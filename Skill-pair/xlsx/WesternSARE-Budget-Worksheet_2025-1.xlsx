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persons/person2.xml" ContentType="application/vnd.ms-excel.person+xml"/>
  <Override PartName="/xl/persons/person8.xml" ContentType="application/vnd.ms-excel.person+xml"/>
  <Override PartName="/xl/persons/person0.xml" ContentType="application/vnd.ms-excel.person+xml"/>
  <Override PartName="/xl/persons/person6.xml" ContentType="application/vnd.ms-excel.person+xml"/>
  <Override PartName="/xl/persons/person5.xml" ContentType="application/vnd.ms-excel.person+xml"/>
  <Override PartName="/xl/persons/person1.xml" ContentType="application/vnd.ms-excel.person+xml"/>
  <Override PartName="/xl/persons/person3.xml" ContentType="application/vnd.ms-excel.person+xml"/>
  <Override PartName="/xl/persons/person7.xml" ContentType="application/vnd.ms-excel.person+xml"/>
  <Override PartName="/xl/persons/person4.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codeName="ThisWorkbook"/>
  <mc:AlternateContent xmlns:mc="http://schemas.openxmlformats.org/markup-compatibility/2006">
    <mc:Choice Requires="x15">
      <x15ac:absPath xmlns:x15ac="http://schemas.microsoft.com/office/spreadsheetml/2010/11/ac" url="https://montanaedu-my.sharepoint.com/personal/w59v531_msu_montana_edu/Documents/Documents/CFPs &amp; Budget Worksheets/Budget Worksheets/Current/"/>
    </mc:Choice>
  </mc:AlternateContent>
  <xr:revisionPtr revIDLastSave="1" documentId="8_{3080AF36-B98D-4B6C-BECA-54B5D1FE117D}" xr6:coauthVersionLast="47" xr6:coauthVersionMax="47" xr10:uidLastSave="{0F409F0B-2562-44AD-8D2A-83C911A6C530}"/>
  <bookViews>
    <workbookView xWindow="-28920" yWindow="-4245" windowWidth="29040" windowHeight="15840" xr2:uid="{00000000-000D-0000-FFFF-FFFF00000000}"/>
  </bookViews>
  <sheets>
    <sheet name=" Budget Worksheet-REQUIRED" sheetId="1" r:id="rId1"/>
    <sheet name="Budget Cont." sheetId="6" r:id="rId2"/>
    <sheet name="Budget Categories and Guidance" sheetId="4" r:id="rId3"/>
    <sheet name="Data" sheetId="5" state="hidden" r:id="rId4"/>
  </sheets>
  <definedNames>
    <definedName name="_xlnm.Print_Area" localSheetId="0">' Budget Worksheet-REQUIRED'!$A$1:$L$183</definedName>
    <definedName name="_xlnm.Print_Area" localSheetId="2">'Budget Categories and Guidance'!$A$1:$B$58</definedName>
    <definedName name="_xlnm.Print_Area" localSheetId="1">'Budget Cont.'!$A$1:$L$179</definedName>
    <definedName name="Program" localSheetId="1">GrantProgram[Program]</definedName>
    <definedName name="Program">GrantProgram[Program]</definedName>
    <definedName name="State" localSheetId="1">Table4[State / Protectorate]</definedName>
    <definedName name="State">Table4[State / Protectorate]</definedName>
  </definedNames>
  <calcPr calcId="191029" fullPrecision="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25" i="1" l="1"/>
  <c r="K26" i="1"/>
  <c r="K27" i="1"/>
  <c r="K28" i="1"/>
  <c r="K29" i="1"/>
  <c r="XFD1048550" i="1"/>
  <c r="XFD1048551" i="1"/>
  <c r="XFD1048552" i="1"/>
  <c r="XFD1048553" i="1"/>
  <c r="XFD1048554" i="1"/>
  <c r="XFD1048555" i="1"/>
  <c r="XFD1048556" i="1"/>
  <c r="XFD1048557" i="1"/>
  <c r="XFD1048558" i="1"/>
  <c r="XFD1048559" i="1"/>
  <c r="XFD1048560" i="1"/>
  <c r="XFD1048561" i="1"/>
  <c r="XFD1048562" i="1"/>
  <c r="XFD1048563" i="1"/>
  <c r="XFD1048564" i="1"/>
  <c r="XFD1048565" i="1"/>
  <c r="XFD1048566" i="1"/>
  <c r="XFD1048567" i="1"/>
  <c r="XFD1048568" i="1"/>
  <c r="XFD1048569" i="1"/>
  <c r="XFD1048570" i="1"/>
  <c r="XFD1048571" i="1"/>
  <c r="XFD1048572" i="1"/>
  <c r="XFD1048573" i="1"/>
  <c r="XFD1048574" i="1"/>
  <c r="XFD1048575" i="1"/>
  <c r="L54" i="6"/>
  <c r="I164" i="6" l="1"/>
  <c r="I162" i="6"/>
  <c r="I160" i="6"/>
  <c r="K175" i="6"/>
  <c r="K173" i="6"/>
  <c r="J169" i="6"/>
  <c r="J167" i="6"/>
  <c r="J165" i="6"/>
  <c r="K172" i="6"/>
  <c r="K174" i="6"/>
  <c r="J166" i="6"/>
  <c r="J168" i="6"/>
  <c r="I161" i="6"/>
  <c r="I163" i="6"/>
  <c r="K77" i="6"/>
  <c r="K76" i="6"/>
  <c r="K75" i="6"/>
  <c r="J72" i="6"/>
  <c r="J71" i="6"/>
  <c r="J70" i="6"/>
  <c r="J67" i="6"/>
  <c r="J68" i="6"/>
  <c r="J69" i="6"/>
  <c r="I63" i="6"/>
  <c r="I62" i="6"/>
  <c r="I61" i="6"/>
  <c r="I60" i="6"/>
  <c r="I59" i="6"/>
  <c r="K78" i="6"/>
  <c r="K74" i="6"/>
  <c r="I58" i="6"/>
  <c r="L139" i="6"/>
  <c r="L140" i="1" s="1"/>
  <c r="L141" i="1" s="1"/>
  <c r="I7" i="6"/>
  <c r="L174" i="1"/>
  <c r="I162" i="1"/>
  <c r="H47" i="1"/>
  <c r="F47" i="1"/>
  <c r="I15" i="1" l="1"/>
  <c r="I9" i="6"/>
  <c r="I8" i="6"/>
  <c r="K176" i="6"/>
  <c r="K171" i="6"/>
  <c r="J170" i="6"/>
  <c r="I159" i="6"/>
  <c r="K154" i="6"/>
  <c r="K153" i="6"/>
  <c r="K152" i="6"/>
  <c r="K151" i="6"/>
  <c r="J150" i="6"/>
  <c r="J149" i="6"/>
  <c r="J148" i="6"/>
  <c r="J147" i="6"/>
  <c r="I146" i="6"/>
  <c r="I145" i="6"/>
  <c r="I144" i="6"/>
  <c r="I143" i="6"/>
  <c r="K122" i="6"/>
  <c r="K121" i="6"/>
  <c r="K120" i="6"/>
  <c r="K119" i="6"/>
  <c r="J118" i="6"/>
  <c r="J117" i="6"/>
  <c r="J116" i="6"/>
  <c r="J115" i="6"/>
  <c r="I114" i="6"/>
  <c r="I113" i="6"/>
  <c r="I112" i="6"/>
  <c r="I111" i="6"/>
  <c r="K106" i="6"/>
  <c r="K105" i="6"/>
  <c r="K104" i="6"/>
  <c r="K103" i="6"/>
  <c r="K102" i="6"/>
  <c r="K101" i="6"/>
  <c r="K100" i="6"/>
  <c r="J99" i="6"/>
  <c r="J98" i="6"/>
  <c r="J97" i="6"/>
  <c r="J96" i="6"/>
  <c r="J95" i="6"/>
  <c r="J94" i="6"/>
  <c r="J93" i="6"/>
  <c r="I92" i="6"/>
  <c r="I91" i="6"/>
  <c r="I90" i="6"/>
  <c r="I89" i="6"/>
  <c r="I88" i="6"/>
  <c r="I87" i="6"/>
  <c r="I86" i="6"/>
  <c r="K81" i="6"/>
  <c r="K80" i="6"/>
  <c r="K79" i="6"/>
  <c r="J73" i="6"/>
  <c r="J66" i="6"/>
  <c r="I65" i="6"/>
  <c r="I64" i="6"/>
  <c r="H38" i="6"/>
  <c r="F38" i="6"/>
  <c r="K37" i="6"/>
  <c r="K36" i="6"/>
  <c r="K35" i="6"/>
  <c r="K34" i="6"/>
  <c r="K33" i="6"/>
  <c r="J32" i="6"/>
  <c r="J31" i="6"/>
  <c r="J30" i="6"/>
  <c r="J29" i="6"/>
  <c r="J28" i="6"/>
  <c r="I27" i="6"/>
  <c r="I26" i="6"/>
  <c r="I25" i="6"/>
  <c r="I24" i="6"/>
  <c r="I23" i="6"/>
  <c r="K21" i="6"/>
  <c r="K20" i="6"/>
  <c r="K19" i="6"/>
  <c r="K18" i="6"/>
  <c r="K17" i="6"/>
  <c r="J16" i="6"/>
  <c r="J15" i="6"/>
  <c r="J14" i="6"/>
  <c r="J13" i="6"/>
  <c r="J12" i="6"/>
  <c r="I11" i="6"/>
  <c r="I10" i="6"/>
  <c r="L176" i="1"/>
  <c r="L175" i="1"/>
  <c r="L177" i="1" s="1"/>
  <c r="L177" i="6" l="1"/>
  <c r="L168" i="1" s="1"/>
  <c r="L155" i="6"/>
  <c r="L157" i="1" s="1"/>
  <c r="L123" i="6"/>
  <c r="L123" i="1" s="1"/>
  <c r="L38" i="6"/>
  <c r="L46" i="1" s="1"/>
  <c r="L82" i="6"/>
  <c r="L80" i="1" s="1"/>
  <c r="L107" i="6"/>
  <c r="K101" i="1"/>
  <c r="J94" i="1"/>
  <c r="J93" i="1"/>
  <c r="I88" i="1"/>
  <c r="L179" i="6" l="1"/>
  <c r="L106" i="1"/>
  <c r="L63" i="1"/>
  <c r="L64" i="1" s="1"/>
  <c r="I163" i="1"/>
  <c r="J164" i="1"/>
  <c r="J165" i="1"/>
  <c r="K102" i="1" l="1"/>
  <c r="K100" i="1"/>
  <c r="K99" i="1"/>
  <c r="J97" i="1"/>
  <c r="J92" i="1"/>
  <c r="I85" i="1"/>
  <c r="I87" i="1"/>
  <c r="I89" i="1"/>
  <c r="J95" i="1"/>
  <c r="I86" i="1"/>
  <c r="K42" i="1"/>
  <c r="J37" i="1"/>
  <c r="I32" i="1"/>
  <c r="J22" i="1"/>
  <c r="I17" i="1"/>
  <c r="I16" i="1" l="1"/>
  <c r="K167" i="1" l="1"/>
  <c r="K166" i="1"/>
  <c r="L169" i="1" s="1"/>
  <c r="I145" i="1"/>
  <c r="K156" i="1"/>
  <c r="K155" i="1"/>
  <c r="K154" i="1"/>
  <c r="K153" i="1"/>
  <c r="J152" i="1"/>
  <c r="J151" i="1"/>
  <c r="J150" i="1"/>
  <c r="J149" i="1"/>
  <c r="I148" i="1"/>
  <c r="I147" i="1"/>
  <c r="I146" i="1"/>
  <c r="K122" i="1"/>
  <c r="K121" i="1"/>
  <c r="K120" i="1"/>
  <c r="K119" i="1"/>
  <c r="J118" i="1"/>
  <c r="J117" i="1"/>
  <c r="J116" i="1"/>
  <c r="J115" i="1"/>
  <c r="I114" i="1"/>
  <c r="I113" i="1"/>
  <c r="I112" i="1"/>
  <c r="I111" i="1"/>
  <c r="J96" i="1"/>
  <c r="I90" i="1"/>
  <c r="K105" i="1"/>
  <c r="K104" i="1"/>
  <c r="K103" i="1"/>
  <c r="J98" i="1"/>
  <c r="I91" i="1"/>
  <c r="J75" i="1"/>
  <c r="J74" i="1"/>
  <c r="J73" i="1"/>
  <c r="J72" i="1"/>
  <c r="K79" i="1"/>
  <c r="K78" i="1"/>
  <c r="K77" i="1"/>
  <c r="K76" i="1"/>
  <c r="I69" i="1"/>
  <c r="I70" i="1"/>
  <c r="I71" i="1"/>
  <c r="L107" i="1" l="1"/>
  <c r="L158" i="1"/>
  <c r="L124" i="1"/>
  <c r="J36" i="1"/>
  <c r="K43" i="1"/>
  <c r="K44" i="1"/>
  <c r="K45" i="1"/>
  <c r="K41" i="1"/>
  <c r="J38" i="1"/>
  <c r="J39" i="1"/>
  <c r="J40" i="1"/>
  <c r="I33" i="1"/>
  <c r="I34" i="1"/>
  <c r="I35" i="1"/>
  <c r="I31" i="1"/>
  <c r="J21" i="1"/>
  <c r="J23" i="1"/>
  <c r="J24" i="1"/>
  <c r="I19" i="1"/>
  <c r="J20" i="1"/>
  <c r="I18" i="1"/>
  <c r="L47" i="1" l="1"/>
  <c r="I68" i="1"/>
  <c r="L81" i="1" s="1"/>
  <c r="L171" i="1" l="1"/>
  <c r="L180" i="1" s="1"/>
  <c r="L3" i="1" s="1"/>
</calcChain>
</file>

<file path=xl/sharedStrings.xml><?xml version="1.0" encoding="utf-8"?>
<sst xmlns="http://schemas.openxmlformats.org/spreadsheetml/2006/main" count="580" uniqueCount="194">
  <si>
    <t>Description</t>
  </si>
  <si>
    <t>(B) Benefits</t>
  </si>
  <si>
    <t>(D) Contracted Services</t>
  </si>
  <si>
    <t>(E) Supplies</t>
  </si>
  <si>
    <t>(F) Communication</t>
  </si>
  <si>
    <t>(G) Travel</t>
  </si>
  <si>
    <t xml:space="preserve">(H) Rent </t>
  </si>
  <si>
    <t>Role/Title</t>
  </si>
  <si>
    <t>Estimated Effort (FTE or hours)</t>
  </si>
  <si>
    <t>Fringe Benefits Rate</t>
  </si>
  <si>
    <t>Salaries (A):</t>
  </si>
  <si>
    <t>Salaries (Name):</t>
  </si>
  <si>
    <t>Item &amp; Description (please list)</t>
  </si>
  <si>
    <t>Date</t>
  </si>
  <si>
    <t>Location</t>
  </si>
  <si>
    <t>Benefits (B):</t>
  </si>
  <si>
    <t>OR</t>
  </si>
  <si>
    <t>Year 1 Amount Requested</t>
  </si>
  <si>
    <t>Year 1</t>
  </si>
  <si>
    <t>Year 2</t>
  </si>
  <si>
    <t>Year 3</t>
  </si>
  <si>
    <t>Year 2 Amount Requested</t>
  </si>
  <si>
    <t>Year 3 Amount Requested</t>
  </si>
  <si>
    <t>SUMMARY</t>
  </si>
  <si>
    <t>Personnel Total</t>
  </si>
  <si>
    <t>Subawards Total</t>
  </si>
  <si>
    <t>Subtotals:</t>
  </si>
  <si>
    <t>Section D - Contracted Services (must not exceed customary rate of pay):</t>
  </si>
  <si>
    <t>Contracted Services Total:</t>
  </si>
  <si>
    <t>Supplies Total:</t>
  </si>
  <si>
    <t>Section E - Supplies:</t>
  </si>
  <si>
    <t>Communication Total:</t>
  </si>
  <si>
    <t>Contractor Name</t>
  </si>
  <si>
    <t>Year 1 / Trip 2</t>
  </si>
  <si>
    <t>Year 1 / Trip 1</t>
  </si>
  <si>
    <t>Year 1 / Trip 3</t>
  </si>
  <si>
    <t>Year 1 / Trip 4</t>
  </si>
  <si>
    <t>Year 2 / Trip 1</t>
  </si>
  <si>
    <t>Year 2 / Trip 2</t>
  </si>
  <si>
    <t>Year 2 / Trip 3</t>
  </si>
  <si>
    <t>Year 2 / Trip 4</t>
  </si>
  <si>
    <t>Year 3 / Trip 1</t>
  </si>
  <si>
    <t>Year 3 / Trip 2</t>
  </si>
  <si>
    <t>Year 3 / Trip 3</t>
  </si>
  <si>
    <t>Year 3 / Trip 4</t>
  </si>
  <si>
    <t>Travel Total:</t>
  </si>
  <si>
    <t>Includes equipment and facility rentals, land use fees, other misc. user fees</t>
  </si>
  <si>
    <t>Item (e.g., equipment, land, etc.)</t>
  </si>
  <si>
    <t>Description of what rental will be used for</t>
  </si>
  <si>
    <t>Rent Total:</t>
  </si>
  <si>
    <t>Participant/Trainee Support Costs Total:</t>
  </si>
  <si>
    <t>Auto-Calculates</t>
  </si>
  <si>
    <t>Section H - Rent:</t>
  </si>
  <si>
    <t>Section F - Communication:</t>
  </si>
  <si>
    <t>List Travelers (Name/Role)</t>
  </si>
  <si>
    <t>See Budget Categories Tab for additional information.</t>
  </si>
  <si>
    <t xml:space="preserve">IDC Rate </t>
  </si>
  <si>
    <t>Total Costs / Total Federal Funds:</t>
  </si>
  <si>
    <t xml:space="preserve"> If paying for itemized participant/trainee travel expenses, use the Travel Section (G) instead</t>
  </si>
  <si>
    <t>Project PI Name:</t>
  </si>
  <si>
    <t>TOTAL COSTS:</t>
  </si>
  <si>
    <t>Research and Education</t>
  </si>
  <si>
    <t>Professional + Producer</t>
  </si>
  <si>
    <t>Farmer / Rancher</t>
  </si>
  <si>
    <t>Graduate Student</t>
  </si>
  <si>
    <t>Competitive PDP</t>
  </si>
  <si>
    <t>State Implementation</t>
  </si>
  <si>
    <t xml:space="preserve">State Enhancement </t>
  </si>
  <si>
    <t>Research to Grassroots</t>
  </si>
  <si>
    <t>Program</t>
  </si>
  <si>
    <t>Alaska</t>
  </si>
  <si>
    <t>American Samoa</t>
  </si>
  <si>
    <t>Arizona</t>
  </si>
  <si>
    <t>California</t>
  </si>
  <si>
    <t>Colorado</t>
  </si>
  <si>
    <t>Guam</t>
  </si>
  <si>
    <t>Hawaii</t>
  </si>
  <si>
    <t>Idaho</t>
  </si>
  <si>
    <t>Micronesia</t>
  </si>
  <si>
    <t>Montana</t>
  </si>
  <si>
    <t>Nevada</t>
  </si>
  <si>
    <t>Northern Mariana Islands</t>
  </si>
  <si>
    <t>New Mexico</t>
  </si>
  <si>
    <t>Oregon</t>
  </si>
  <si>
    <t>Utah</t>
  </si>
  <si>
    <t>Washington</t>
  </si>
  <si>
    <t>Wyoming</t>
  </si>
  <si>
    <t>State / Protectorate</t>
  </si>
  <si>
    <t>PLEASE READ ALL NOTES BELOW and REVIEW the BUDGET CATEGORIES and GUIDANCE tab before beginning.</t>
  </si>
  <si>
    <t>NOTES:</t>
  </si>
  <si>
    <t xml:space="preserve">Please provide a brief description of what the trip costs include, e.g., air travel, rental car, mileage, meal per diem, conference registrations; be sure to include a detailed breakdown of expenses for all travel in the budget justification.  </t>
  </si>
  <si>
    <t>Key Personnel (includes PI, Co-PIs, Collaborators)</t>
  </si>
  <si>
    <t>Subtotal from Budget Cont. Tab</t>
  </si>
  <si>
    <t xml:space="preserve">Section G - Travel: </t>
  </si>
  <si>
    <t>Other</t>
  </si>
  <si>
    <t>Other Personnel (includes support staff, technicians, student wages, etc. )</t>
  </si>
  <si>
    <t>PI State/Protectorate:</t>
  </si>
  <si>
    <t>Event Name / Purpose</t>
  </si>
  <si>
    <t>Annual Base Salary</t>
  </si>
  <si>
    <t>dropdown</t>
  </si>
  <si>
    <t>Includes associated benefits (fringe and health, if applicable) paid on behalf of organization’s employees paid directly from this award.</t>
  </si>
  <si>
    <t>(A) Salary</t>
  </si>
  <si>
    <t>Item &amp; Description (please list); individual items that cost $500 or more must be listed separately</t>
  </si>
  <si>
    <t>Sections A &amp; B - Salary &amp; Benefits:</t>
  </si>
  <si>
    <r>
      <t xml:space="preserve">Includes paying an organization/business or individual for goods, services and/or consulting; fee-for-service work; honoraria.  
</t>
    </r>
    <r>
      <rPr>
        <u/>
        <sz val="11"/>
        <rFont val="Calibri"/>
        <family val="2"/>
        <scheme val="minor"/>
      </rPr>
      <t xml:space="preserve">Characteristics of Contractors include: </t>
    </r>
    <r>
      <rPr>
        <sz val="11"/>
        <rFont val="Calibri"/>
        <family val="2"/>
        <scheme val="minor"/>
      </rPr>
      <t xml:space="preserve">
•	Provides the goods or services within normal business operations;
•	Provides similar goods or services to many different purchasers;
•	Operates in a competitive environment;
•	Provides goods or services that are ancillary to the operation of the research project, and
•	Is not subject to monitoring or reporting requirements of the prime award.
</t>
    </r>
    <r>
      <rPr>
        <u/>
        <sz val="11"/>
        <rFont val="Calibri"/>
        <family val="2"/>
        <scheme val="minor"/>
      </rPr>
      <t>Characteristics of Consultants (must not exceed customary rate of pay) include:</t>
    </r>
    <r>
      <rPr>
        <sz val="11"/>
        <rFont val="Calibri"/>
        <family val="2"/>
        <scheme val="minor"/>
      </rPr>
      <t xml:space="preserve">
•	A company or an individual who is clearly a bona fide consultant (expert advisor) who pursues this line of business for him/herself.
•	Are paid for their time at a daily or hourly fixed rate.
•	A consultant is considered a “work for hire” thus all intellectual property and copyrightable information is assigned to Montana State University.
This budget category also includes paying individuals for participating in activities and/or providing services related to your project, e.g., collecting and providing samples, etc.  Other examples include: computer services, professional service fees, honoraria, speaker fees, testing/analysis services</t>
    </r>
  </si>
  <si>
    <t>Includes postage and mailing expenses (including shipping samples for analysis), printed materials (flyers, brochures, posters). This category also includes expenses for publishing articles in a scientific journals or other types of field/program publications, or for commercial photocopying (note: in-house photocopying falls under supplies)</t>
  </si>
  <si>
    <t>Project Start Date:</t>
  </si>
  <si>
    <t>Project End Date:</t>
  </si>
  <si>
    <t>Includes Minor Equipment (individual items &lt; $5K)</t>
  </si>
  <si>
    <t>Includes costs associated with publishing articles, commercial printing, postage</t>
  </si>
  <si>
    <t>International travel typically is NOT allowed under the SARE program - pre-approval required</t>
  </si>
  <si>
    <t>(A) Amount Salary Requested*</t>
  </si>
  <si>
    <t>(B) Amount Benefits Requested*</t>
  </si>
  <si>
    <t>Rate*</t>
  </si>
  <si>
    <t>Unit(s)*</t>
  </si>
  <si>
    <t>Number of Attendees*</t>
  </si>
  <si>
    <t>Enter Amount(s)*</t>
  </si>
  <si>
    <t>Section I - Participant/Trainee Support Costs:</t>
  </si>
  <si>
    <t>(I) Participant/ Trainee Support</t>
  </si>
  <si>
    <t>(mm/dd/yyyy)</t>
  </si>
  <si>
    <t>PI Institution/Organization:</t>
  </si>
  <si>
    <t>Please fill out all fields in yellow</t>
  </si>
  <si>
    <t>UNALLOWABLE COSTS - All Western SARE Grant Programs</t>
  </si>
  <si>
    <t>Entertainment</t>
  </si>
  <si>
    <t>See (E) Supplies above for more details</t>
  </si>
  <si>
    <t>Costs of entertainment, including amusement, diversion, and social activities and any associated costs</t>
  </si>
  <si>
    <t>Fixed Equipment &amp; Acquisition or Construction of Real Property</t>
  </si>
  <si>
    <t>The purchase or installation of fixed equipment in such spaces; or for the planning, repair, rehabilitation, acquisition, or construction of a building or facility.</t>
  </si>
  <si>
    <t>Incentives</t>
  </si>
  <si>
    <t>Cash or cash value items (i.e., gift cards) provided to individuals to incentivize behavior.</t>
  </si>
  <si>
    <t>Lobbying</t>
  </si>
  <si>
    <t>Any actions designed to influence the obtaining of grants or influence or give special consideration to action on an award or regulatory matter.</t>
  </si>
  <si>
    <t>Cost</t>
  </si>
  <si>
    <t>NIFA Description</t>
  </si>
  <si>
    <t>Meals/Food</t>
  </si>
  <si>
    <t>Business meals may not be charged as project costs when individuals decide to go to breakfast, lunch, or dinner together when no need exists for continuity of a meeting. Such activity is considered to be an entertainment cost.  However, meals that are part of the costs of meetings and conferences, the primary purpose of which is the dissemination of technical information, are allowable as are costs of transportation, rental of facilities, speakers’ fees, and other items incidental to such meetings or conferences. Note: Meals consumed while in official travel status do not fall in this category. They are considered to be per diem expenses and should be reimbursed in accordance with the organization’s established travel policies subject to statutory limitations.</t>
  </si>
  <si>
    <t>Memberships (Lobbying)</t>
  </si>
  <si>
    <t>Costs of membership in organization whose primary purpose is lobbying.</t>
  </si>
  <si>
    <t>Promotional Items</t>
  </si>
  <si>
    <t>Renovation or Refurbishment of Research Spaces</t>
  </si>
  <si>
    <t>Renovation or refurbishment of laboratories or other research spaces</t>
  </si>
  <si>
    <t>T-shirts, Clothes</t>
  </si>
  <si>
    <t>Western SARE Approved Budget Categories, Guidance and Unallowable Costs</t>
  </si>
  <si>
    <t xml:space="preserve">Equipment (Capital) </t>
  </si>
  <si>
    <t>For staff or participants, or so personnel can be identified as working on the project, or as give-aways/promotion of the program.</t>
  </si>
  <si>
    <t>Items purchased to give-away: conference giveaways; t-shirts; bags, pens, pencils, mugs, bottles, etc.</t>
  </si>
  <si>
    <t>Western SARE Budget Worksheet - Additional Budget Details</t>
  </si>
  <si>
    <t>Additionally, Western SARE funds may NOT be used for the following purposes:</t>
  </si>
  <si>
    <t>~ Starting or expanding a farm or farm operation</t>
  </si>
  <si>
    <t>~ Testing of commercial products</t>
  </si>
  <si>
    <t>Total Direct Costs (Sum of Sections A-I):</t>
  </si>
  <si>
    <t>Section C - Lower-tier Subaward Costs:</t>
  </si>
  <si>
    <t>(C) Lower-tier Subawards</t>
  </si>
  <si>
    <r>
      <t xml:space="preserve">Section J - Indirect Costs Recovery:    </t>
    </r>
    <r>
      <rPr>
        <b/>
        <u/>
        <sz val="12"/>
        <color rgb="FFFF0000"/>
        <rFont val="Calibri"/>
        <family val="2"/>
        <scheme val="minor"/>
      </rPr>
      <t>CHOOSE ONE OPTION</t>
    </r>
  </si>
  <si>
    <r>
      <rPr>
        <b/>
        <sz val="11"/>
        <color theme="1"/>
        <rFont val="Calibri"/>
        <family val="2"/>
        <scheme val="minor"/>
      </rPr>
      <t xml:space="preserve">OR: </t>
    </r>
    <r>
      <rPr>
        <sz val="11"/>
        <color theme="1"/>
        <rFont val="Calibri"/>
        <family val="2"/>
        <scheme val="minor"/>
      </rPr>
      <t>Decline indirect cost recovery.  My organization does not have a NICRA and we decline the de minimis.</t>
    </r>
  </si>
  <si>
    <r>
      <t xml:space="preserve">(J) Indirect Costs Recovery (IDCs) </t>
    </r>
    <r>
      <rPr>
        <b/>
        <sz val="11"/>
        <color rgb="FFFF0000"/>
        <rFont val="Calibri"/>
        <family val="2"/>
        <scheme val="minor"/>
      </rPr>
      <t>ONLY ONE APPLIES</t>
    </r>
  </si>
  <si>
    <t xml:space="preserve">~ Furniture/furnishings of any type for any purpose.  </t>
  </si>
  <si>
    <r>
      <t xml:space="preserve">IDC Base </t>
    </r>
    <r>
      <rPr>
        <b/>
        <sz val="10"/>
        <color theme="0"/>
        <rFont val="Calibri"/>
        <family val="2"/>
        <scheme val="minor"/>
      </rPr>
      <t>(enter Dollar Amount)</t>
    </r>
    <r>
      <rPr>
        <b/>
        <sz val="12"/>
        <color theme="0"/>
        <rFont val="Calibri"/>
        <family val="2"/>
        <scheme val="minor"/>
      </rPr>
      <t>*</t>
    </r>
  </si>
  <si>
    <r>
      <t xml:space="preserve">IDC Amount                </t>
    </r>
    <r>
      <rPr>
        <b/>
        <sz val="9"/>
        <color theme="0"/>
        <rFont val="Calibri"/>
        <family val="2"/>
        <scheme val="minor"/>
      </rPr>
      <t xml:space="preserve"> (auto-calculates)</t>
    </r>
  </si>
  <si>
    <t>Indirect Costs Total:</t>
  </si>
  <si>
    <r>
      <t xml:space="preserve">The applicant institution may issue lower-tier subaward(s) in order to pay project collaborators who are not at their institution and/or to support costs associated with the lower-tier subrecipient’s portion of the proposed project. Lower-tier Subrecipients are named institutions and shall have a Principal Investigator.  Characteristics whose presence supports the classification of an entity as a subrecipient are when the entity receiving funds under the award:
•	Determines who is eligible to receive Federal funds;
•	Has its performance measured in relation to whether objectives of a Federal program were met;
•	Has responsibility for programmatic decision making;
•	Is responsible for adherence to applicable Federal program requirements specified in the Federal award; and
•	In accordance with its agreement, uses the Federal funds to carry out a program for a public purpose specified in authorizing statute, as opposed to providing goods or services for the benefit of the pass-through entity                                                                                                              </t>
    </r>
    <r>
      <rPr>
        <b/>
        <sz val="11"/>
        <color theme="1"/>
        <rFont val="Calibri"/>
        <family val="2"/>
        <scheme val="minor"/>
      </rPr>
      <t xml:space="preserve"> </t>
    </r>
  </si>
  <si>
    <t>~ Major repairs to existing equipment and infrastructure</t>
  </si>
  <si>
    <t>Link to NIFA Federal Assistance Policy Guide [https://www.nifa.usda.gov/nifa-federal-assistance-policy-guide]</t>
  </si>
  <si>
    <t xml:space="preserve">Per NIFA's Federal Assistance Policy Guide published April 2021, below is a list of unallowable costs.  Budgets that include any of the following will not be approved and/or the PI will be asked to re-budget.  Please note: this list is not exhaustive; budgets will be reviewed for allowability/allocability of all proposed costs in relation to the proposed project activities.  </t>
  </si>
  <si>
    <t>Lower-tier Subrecipient PI</t>
  </si>
  <si>
    <t>Lower-tier Subrecipient Institution/Organization Name</t>
  </si>
  <si>
    <t>https://www.gsa.gov/travel/plan-book/per-diem-rates</t>
  </si>
  <si>
    <t>Travel must be directly related to the project and includes: mileage reimbursement, airfare, lodging, meal per diem; car rentals, taxi, bus, shuttle expenses and parking; conference fees and registrations. [Please note, travel per diems and mileage need to correlate with your organization's approved rates. If no rate is available, please use the Federal Government rate listed on the U.S. General Services Administration website.  Additionally, lodging costs/reimbursements for ALL travel must be limited to the Federal Government rate listed on the U.S. General Services Administration website:</t>
  </si>
  <si>
    <t>Please use this worksheet if additional space/lines are needed by project year. Subtotals from this worksheet will auto-fill on the main budget worksheet tab.</t>
  </si>
  <si>
    <r>
      <t xml:space="preserve">Section C - Lower-tier Subaward Costs: (Please note, a separate </t>
    </r>
    <r>
      <rPr>
        <b/>
        <i/>
        <sz val="12"/>
        <color theme="0"/>
        <rFont val="Calibri"/>
        <family val="2"/>
        <scheme val="minor"/>
      </rPr>
      <t>Western SARE Budget Worksheet for Lower-tier Subs</t>
    </r>
    <r>
      <rPr>
        <b/>
        <sz val="12"/>
        <color theme="0"/>
        <rFont val="Calibri"/>
        <family val="2"/>
        <scheme val="minor"/>
      </rPr>
      <t xml:space="preserve"> MUST be submitted for EACH proposed lower-tier subaward)</t>
    </r>
  </si>
  <si>
    <r>
      <t xml:space="preserve">Special Note about Capital Equipment Purchase:  </t>
    </r>
    <r>
      <rPr>
        <sz val="11"/>
        <color theme="1"/>
        <rFont val="Calibri"/>
        <family val="2"/>
        <scheme val="minor"/>
      </rPr>
      <t xml:space="preserve">Purchase of capital equipment (defined as a single, autonomous piece of equipment that costs $5,000 or more and has a useful life of more than one year) is generally not allowed under the SARE program. Capital equipment purchase of $5,000 or more may be leveraged by non-Western SARE funds; </t>
    </r>
    <r>
      <rPr>
        <i/>
        <sz val="11"/>
        <color theme="1"/>
        <rFont val="Calibri"/>
        <family val="2"/>
        <scheme val="minor"/>
      </rPr>
      <t>thus, up to $4,999 of the proposed budget may be allocated towards capital equipment purchase.</t>
    </r>
    <r>
      <rPr>
        <sz val="11"/>
        <color theme="1"/>
        <rFont val="Calibri"/>
        <family val="2"/>
        <scheme val="minor"/>
      </rPr>
      <t xml:space="preserve">  This expense must be well-justified.  Purchasing components of equipment that individually cost under $5,000 in an attempt to circumvent the $5,000 cap is not allowed.  Minor equipment that costs less than $5,000 is allowed.  Please include minor equipment and/or leveraged capital equipment purchases in the </t>
    </r>
    <r>
      <rPr>
        <u/>
        <sz val="11"/>
        <color theme="1"/>
        <rFont val="Calibri"/>
        <family val="2"/>
        <scheme val="minor"/>
      </rPr>
      <t>Supplies</t>
    </r>
    <r>
      <rPr>
        <sz val="11"/>
        <color theme="1"/>
        <rFont val="Calibri"/>
        <family val="2"/>
        <scheme val="minor"/>
      </rPr>
      <t xml:space="preserve"> budget category.</t>
    </r>
  </si>
  <si>
    <t>~ Student tuition remission and fees</t>
  </si>
  <si>
    <t>Instructions for Proposing Program Income</t>
  </si>
  <si>
    <t>If the proposed project includes generating program income (e.g., through workshop fees, training registration fees, etc.), that MUST be included in the proposal and approved by Western SARE.  Program income must be re-invested into the project as soon as it is earned, and before the project end date. Program income earned, and how it is expended, must be documented by the subrecipient and reported to Western SARE/Montana State University (MSU).  Program income may only be used for allowable program costs. For more information on program income and how to include this in your proposal, see the Western SARE website - Documents for Applying section.  The applicant must include their intention to generate program income in the budget justification section of the proposal.  Please answer the following five questions:
• How will the program income be generated (e.g., charging a registration fee for a workshop or training)?
• How much program income is anticipated (e.g., up to 50 people may attend the training and the registration cost will be $25, thus $1,250 in program income will be generated.)?
• How will generating program income benefit the project?
• How will the program income be utilized (e.g., the income will be used to pay for lunch and refreshments provided during the workshop.)?                                                                                                                                                                                                                                                            • When during the project period will the program income be generated and will there be sufficient time to expend it?</t>
  </si>
  <si>
    <r>
      <t xml:space="preserve">(1) Organizations that have a Federally Negotiated Indirect Cost Rate (NICRA): IDCs are calculated at a rate of 10% of Total Direct Costs (TDC). This is the maximum indirect cost recovery (IDC cap) allowed under the SARE program per USDA-NIFA.  </t>
    </r>
    <r>
      <rPr>
        <b/>
        <u/>
        <sz val="11"/>
        <color theme="1"/>
        <rFont val="Calibri"/>
        <family val="2"/>
        <scheme val="minor"/>
      </rPr>
      <t>The 10% TDC IDC cap should be consistently applied to both the primary applicant and proposed lower-tier subrecipients, if applicable; therefore, include the total costs of any/all proposed lower-tier subawards in the IDC recovery base.</t>
    </r>
  </si>
  <si>
    <t xml:space="preserve">My organization has a NICRA; full IDC recovery is requested.  Per USDA-NIFA, IDC recovery for the SARE program is capped at 10% of Total Direct Costs (TDC).  IDC Rate = 10%.  IDC Base Amount = Total Direct Costs (TDC); includes the TOTAL COSTS of any proposed lower-tier subawards. </t>
  </si>
  <si>
    <t>(3) If none of the above AND the PI's institution/organization does not want to claim the de minimis, IDC recovery is not required.</t>
  </si>
  <si>
    <r>
      <t xml:space="preserve">A participant is defined as a non-employee (of the applicant’s institution) who is the recipient, not the provider, of a service or training opportunity as part of a workshop, conference, seminar, symposium or other short-term instructional or information sharing activity to be funded by this award.  Participant support may be paid to non-employees to help offset the cost of travel/lodging and meeting/training fees and/or as a stipend for participation in a training.  Participant/trainee support should NOT be used: to reimburse or pay employees of the applicant’s institution; to pay research subjects/participants (unallowable expense under the SARE program); for honoraria/speaker fees (contracted services expense); or, if travel expenses for a non-employee will be directly reimbursed by the institution (travel expense).  The applicant’s institution must maintain back-up documentation for all participant support costs in accordance with their institution’s policy.  </t>
    </r>
    <r>
      <rPr>
        <b/>
        <i/>
        <sz val="11"/>
        <rFont val="Calibri"/>
        <family val="2"/>
        <scheme val="minor"/>
      </rPr>
      <t xml:space="preserve">Note: if funds are budgeted for participant support at the time of award and the PI later wishes to reduce or remove this budget line, prior-approval from Western SARE via a Project Modification re-budget request is required to re-allocate those funds to a different budget category. </t>
    </r>
    <r>
      <rPr>
        <b/>
        <sz val="11"/>
        <rFont val="Calibri"/>
        <family val="2"/>
        <scheme val="minor"/>
      </rPr>
      <t xml:space="preserve"> </t>
    </r>
  </si>
  <si>
    <t xml:space="preserve">Please use the following information to determine the budget categories for your project expenses. The information that follows also will be useful in determining general allowability of costs for the SARE program. Please also see the specific Call for Proposals for the program you are applying to for specific information regarding allowablity of costs. </t>
  </si>
  <si>
    <t>Western SARE Budget Worksheet for Award Year 2025 - REQUIRED</t>
  </si>
  <si>
    <r>
      <t xml:space="preserve">Using this Budget Worksheet to submit the detailed budget is REQUIRED!  Previous versions of this worksheet will not be accepted.  The budget categories below match MSU &amp; Western SARE's approved budget template.  Please note the following: </t>
    </r>
    <r>
      <rPr>
        <b/>
        <u/>
        <sz val="14"/>
        <color theme="1"/>
        <rFont val="Calibri"/>
        <family val="2"/>
        <scheme val="minor"/>
      </rPr>
      <t>max project length and allowable expenses vary by grant program</t>
    </r>
    <r>
      <rPr>
        <b/>
        <sz val="14"/>
        <color theme="1"/>
        <rFont val="Calibri"/>
        <family val="2"/>
        <scheme val="minor"/>
      </rPr>
      <t xml:space="preserve">; see the Call for Proposals (CFP) for the specific grant program to which you are applying for details. Matching contributions are not required; please do not include.  </t>
    </r>
  </si>
  <si>
    <r>
      <rPr>
        <b/>
        <u/>
        <sz val="12"/>
        <color theme="1"/>
        <rFont val="Calibri"/>
        <family val="2"/>
        <scheme val="minor"/>
      </rPr>
      <t>DIRECTIONS:</t>
    </r>
    <r>
      <rPr>
        <sz val="12"/>
        <color theme="1"/>
        <rFont val="Calibri"/>
        <family val="2"/>
        <scheme val="minor"/>
      </rPr>
      <t xml:space="preserve"> Complete the Budget Worksheet below.  </t>
    </r>
    <r>
      <rPr>
        <b/>
        <u/>
        <sz val="12"/>
        <color theme="1"/>
        <rFont val="Calibri"/>
        <family val="2"/>
        <scheme val="minor"/>
      </rPr>
      <t>Yellow fields are for input</t>
    </r>
    <r>
      <rPr>
        <sz val="12"/>
        <color theme="1"/>
        <rFont val="Calibri"/>
        <family val="2"/>
        <scheme val="minor"/>
      </rPr>
      <t xml:space="preserve">. </t>
    </r>
    <r>
      <rPr>
        <b/>
        <u/>
        <sz val="12"/>
        <color theme="1"/>
        <rFont val="Calibri"/>
        <family val="2"/>
        <scheme val="minor"/>
      </rPr>
      <t>Green fields</t>
    </r>
    <r>
      <rPr>
        <sz val="12"/>
        <color theme="1"/>
        <rFont val="Calibri"/>
        <family val="2"/>
        <scheme val="minor"/>
      </rPr>
      <t xml:space="preserve"> are </t>
    </r>
    <r>
      <rPr>
        <b/>
        <u/>
        <sz val="12"/>
        <color theme="1"/>
        <rFont val="Calibri"/>
        <family val="2"/>
        <scheme val="minor"/>
      </rPr>
      <t>locked</t>
    </r>
    <r>
      <rPr>
        <sz val="12"/>
        <color theme="1"/>
        <rFont val="Calibri"/>
        <family val="2"/>
        <scheme val="minor"/>
      </rPr>
      <t xml:space="preserve"> and will </t>
    </r>
    <r>
      <rPr>
        <b/>
        <u/>
        <sz val="12"/>
        <color theme="1"/>
        <rFont val="Calibri"/>
        <family val="2"/>
        <scheme val="minor"/>
      </rPr>
      <t>auto-calculate</t>
    </r>
    <r>
      <rPr>
        <sz val="12"/>
        <color theme="1"/>
        <rFont val="Calibri"/>
        <family val="2"/>
        <scheme val="minor"/>
      </rPr>
      <t xml:space="preserve">, rounding to the nearest dollar value.  Because elements of this worksheet are locked to maintain formula integrity, additional lines cannot be inserted; please enter additional budget detail, by category and year, on the worksheet tab labeled "Budget Cont." (see Tabs at bottom).  Subtotals from the "Budget Cont." worksheet will auto-fill on this worksheet.  </t>
    </r>
    <r>
      <rPr>
        <b/>
        <sz val="12"/>
        <color theme="1"/>
        <rFont val="Calibri"/>
        <family val="2"/>
        <scheme val="minor"/>
      </rPr>
      <t>Tip: the columns with an asterisk (*) indicate that values must be entered below in order for the subtotals to auto-calculate, or that values must be directly entered</t>
    </r>
    <r>
      <rPr>
        <sz val="12"/>
        <color theme="1"/>
        <rFont val="Calibri"/>
        <family val="2"/>
        <scheme val="minor"/>
      </rPr>
      <t xml:space="preserve">.  Finally, a </t>
    </r>
    <r>
      <rPr>
        <b/>
        <sz val="12"/>
        <color theme="1"/>
        <rFont val="Calibri"/>
        <family val="2"/>
        <scheme val="minor"/>
      </rPr>
      <t>detailed budget justification is also required</t>
    </r>
    <r>
      <rPr>
        <sz val="12"/>
        <color theme="1"/>
        <rFont val="Calibri"/>
        <family val="2"/>
        <scheme val="minor"/>
      </rPr>
      <t xml:space="preserve">.  A proper budget justification describes how proposed costs will be used to support the project.  Please follow the directions in the CFP or SARE Grant Management System for submitting a budget justification; following the same order of budget categories below is appreciated and will facilitate budget review. </t>
    </r>
  </si>
  <si>
    <r>
      <t xml:space="preserve">Please refer to the </t>
    </r>
    <r>
      <rPr>
        <b/>
        <sz val="12"/>
        <color theme="1"/>
        <rFont val="Calibri"/>
        <family val="2"/>
        <scheme val="minor"/>
      </rPr>
      <t>Budget Categories and Guidance</t>
    </r>
    <r>
      <rPr>
        <sz val="12"/>
        <color theme="1"/>
        <rFont val="Calibri"/>
        <family val="2"/>
        <scheme val="minor"/>
      </rPr>
      <t xml:space="preserve"> tab at bottom for information and guidance on which costs to include in each budget category. </t>
    </r>
  </si>
  <si>
    <r>
      <rPr>
        <b/>
        <sz val="11"/>
        <color theme="1"/>
        <rFont val="Calibri"/>
        <family val="2"/>
        <scheme val="minor"/>
      </rPr>
      <t>OR:</t>
    </r>
    <r>
      <rPr>
        <sz val="11"/>
        <color theme="1"/>
        <rFont val="Calibri"/>
        <family val="2"/>
        <scheme val="minor"/>
      </rPr>
      <t xml:space="preserve"> My organization is a non-Federal entity that does NOT have a NICRA, or had a NICRA that expired.  The de minimis rate is requested.  IDC Rate = 10%.  IDC Base = </t>
    </r>
    <r>
      <rPr>
        <i/>
        <u/>
        <sz val="11"/>
        <color theme="1"/>
        <rFont val="Calibri"/>
        <family val="2"/>
        <scheme val="minor"/>
      </rPr>
      <t>MODIFIED</t>
    </r>
    <r>
      <rPr>
        <i/>
        <sz val="11"/>
        <color theme="1"/>
        <rFont val="Calibri"/>
        <family val="2"/>
        <scheme val="minor"/>
      </rPr>
      <t xml:space="preserve"> Total Direct Costs</t>
    </r>
    <r>
      <rPr>
        <sz val="11"/>
        <color theme="1"/>
        <rFont val="Calibri"/>
        <family val="2"/>
        <scheme val="minor"/>
      </rPr>
      <t xml:space="preserve"> (MTDC) (total direct costs less Participant Support and the amount of each proposed lower-tier subaward budget that exceeds $25K)</t>
    </r>
  </si>
  <si>
    <r>
      <t>Includes basic supplies and materials needed to carry out the project.  Examples include: agricultural supplies (temporary fencing, seeds, plants, fertilizer), field and lab supplies, minor equipment and tools (individual items that cost less than $5,000), paper/envelopes, in-house photocopying of materials for workshops/meetings, software, books, shipping materials. Any shipping costs associated with the purchase of supplies/materials should be included as supply costs.  The purchase of food/refreshments for meetings/field days (</t>
    </r>
    <r>
      <rPr>
        <u/>
        <sz val="11"/>
        <color theme="1"/>
        <rFont val="Calibri"/>
        <family val="2"/>
        <scheme val="minor"/>
      </rPr>
      <t>must be justified as necessary to maintain meeting continuity</t>
    </r>
    <r>
      <rPr>
        <sz val="11"/>
        <color theme="1"/>
        <rFont val="Calibri"/>
        <family val="2"/>
        <scheme val="minor"/>
      </rPr>
      <t xml:space="preserve">) is also considered a supply cost. </t>
    </r>
    <r>
      <rPr>
        <b/>
        <sz val="11"/>
        <color theme="1"/>
        <rFont val="Calibri"/>
        <family val="2"/>
        <scheme val="minor"/>
      </rPr>
      <t xml:space="preserve"> Please keep the following in mind:                                                                                                                                    •	Supplies must be project-specific and be able to be tracked as being used for the project.
•	Individual items that cost $500 or more must be listed separately.
•	Include “Minor Equipment” and/or leveraged capital equipment purchases as supply costs.                                                                                                             </t>
    </r>
  </si>
  <si>
    <r>
      <t xml:space="preserve">For each proposed Lower-tier Subaward, list the name of the institution / organization AND name of lower-tier subaward Project Leader / collaborator (PI). In the budget justification, also provide a brief description of the plan of work and total funds requested, by year.  </t>
    </r>
    <r>
      <rPr>
        <b/>
        <sz val="11"/>
        <color rgb="FFFF0000"/>
        <rFont val="Calibri"/>
        <family val="2"/>
        <scheme val="minor"/>
      </rPr>
      <t xml:space="preserve">Note: for EACH proposed Lower-tier Subaward, a separate </t>
    </r>
    <r>
      <rPr>
        <b/>
        <i/>
        <sz val="11"/>
        <color rgb="FFFF0000"/>
        <rFont val="Calibri"/>
        <family val="2"/>
        <scheme val="minor"/>
      </rPr>
      <t>Western SARE Budget Worksheet for Lower-tier Subawards</t>
    </r>
    <r>
      <rPr>
        <b/>
        <sz val="11"/>
        <color rgb="FFFF0000"/>
        <rFont val="Calibri"/>
        <family val="2"/>
        <scheme val="minor"/>
      </rPr>
      <t xml:space="preserve"> and corresponding budget justification must be submitted with the proposal.</t>
    </r>
    <r>
      <rPr>
        <i/>
        <sz val="11"/>
        <color theme="1"/>
        <rFont val="Calibri"/>
        <family val="2"/>
        <scheme val="minor"/>
      </rPr>
      <t xml:space="preserve"> Important Note: if using the de minimis IDC rate (see section J, below), the </t>
    </r>
    <r>
      <rPr>
        <i/>
        <u/>
        <sz val="11"/>
        <color theme="1"/>
        <rFont val="Calibri"/>
        <family val="2"/>
        <scheme val="minor"/>
      </rPr>
      <t>amount of each Lower-tier Subaward that exceeds $25,000 must be excluded from the IDC base</t>
    </r>
    <r>
      <rPr>
        <i/>
        <sz val="11"/>
        <color theme="1"/>
        <rFont val="Calibri"/>
        <family val="2"/>
        <scheme val="minor"/>
      </rPr>
      <t>.</t>
    </r>
  </si>
  <si>
    <t>~ The purchase and distribution of gift cards/certificates for any purpose</t>
  </si>
  <si>
    <t>~ Major renovations/permanent improvement to a farm, ranch, research or office space, such as construction or remodeling a building</t>
  </si>
  <si>
    <t>Includes equipment and facility rentals, land use fees, other misc. user fees; capital equipment rental is capped at $4,999 over the life of the project.</t>
  </si>
  <si>
    <r>
      <rPr>
        <b/>
        <u/>
        <sz val="11"/>
        <rFont val="Calibri"/>
        <family val="2"/>
        <scheme val="minor"/>
      </rPr>
      <t>Note on International Travel Requests:</t>
    </r>
    <r>
      <rPr>
        <sz val="11"/>
        <rFont val="Calibri"/>
        <family val="2"/>
        <scheme val="minor"/>
      </rPr>
      <t xml:space="preserve"> Typically, international travel is NOT allowed on any Western SARE grants. An applicant may request funds to support international travel at the proposal stage.  Such requests must be well justified and detail how it is critical to fulfilling project objectives and why the work cannot be completed domestically.  If the proposal is selected for funding, it is NOT an indication that the international travel has been approved.  The proposed budget will be reviewed and international travel requests will be carefully considered.  The PI will be informed at award time as to whether the international travel has been approved and/or whether additional infomation is needed.</t>
    </r>
  </si>
  <si>
    <r>
      <t xml:space="preserve">Personnel costs. Employees of the applicant organization/insitution who will be paid </t>
    </r>
    <r>
      <rPr>
        <u/>
        <sz val="11"/>
        <color theme="1"/>
        <rFont val="Calibri"/>
        <family val="2"/>
        <scheme val="minor"/>
      </rPr>
      <t>directly</t>
    </r>
    <r>
      <rPr>
        <sz val="11"/>
        <color theme="1"/>
        <rFont val="Calibri"/>
        <family val="2"/>
        <scheme val="minor"/>
      </rPr>
      <t xml:space="preserve"> from the grant for work on the proposed project.  Identify each person who will work on the project (or indicate TBD if person will be hired), their role and estimated FTE. Either the annual base salary or hourly rate MUST be provided for each to be paid from the project budget (if unknown, estimate salary or rate).  Include the total salary support requested.</t>
    </r>
  </si>
  <si>
    <t>^ Indirect Costs (IDCs) are calculated at a rate of 10% of Total Direct Costs (TDC) for entities that have a Federally Negotiated Indirect Cost Rate Agreement (NICRA) in place. Per Federal Uniform Guidance, entities that do not have a NICRA in place, or had a NICRA that expired, may request the 10% de minimus rate (.10), applied to Modified Total Direct Costs (MTDC). For Western SARE, MTDC includes all direct salaries and wages, applicable fringe benefits, materials and supplies, services, travel, and only the first $25,000 of each lower-tier subaward budget (regardless of the period of performance of the subawards under the award). MTDC excludes participant support costs and the portion of each lower-tier subaward in excess of $25,000.  See Budget Categories Tab for additional information.  If an entity does NOT have a NICRA and does not wish to elect the de minimis, the entity is not required to recover IDCs.</t>
  </si>
  <si>
    <r>
      <t xml:space="preserve">Includes rental fees for equipment, land, facilities (e.g., meeting rooms, lab space) and user fees. </t>
    </r>
    <r>
      <rPr>
        <i/>
        <sz val="11"/>
        <color theme="1"/>
        <rFont val="Calibri"/>
        <family val="2"/>
        <scheme val="minor"/>
      </rPr>
      <t>Note: capital equipment rental costs are capped at $4,999 over the life of the project.</t>
    </r>
  </si>
  <si>
    <t xml:space="preserve">(2) Non-Federal entities that do NOT have a federally negotiated rate for indirect costs, and never had one previously, or that previously had a NICRA but it is no longer in effect: May claim 10% of modified total direct costs (MTDC) as de minimis to cover overhead. MTDC includes all direct salaries and wages, applicable fringe benefits, materials and supplies, services, travel, and up to the first $25,000 of each lower-tier subaward (regardless of the period of performance of the subawards under the award). MTDC excludes participant support costs and the portion of each lower-tier subaward budget in excess of $25,000.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</si>
</sst>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2" formatCode="_(&quot;$&quot;* #,##0_);_(&quot;$&quot;* \(#,##0\);_(&quot;$&quot;* &quot;-&quot;_);_(@_)"/>
    <numFmt numFmtId="44" formatCode="_(&quot;$&quot;* #,##0.00_);_(&quot;$&quot;* \(#,##0.00\);_(&quot;$&quot;* &quot;-&quot;??_);_(@_)"/>
    <numFmt numFmtId="43" formatCode="_(* #,##0.00_);_(* \(#,##0.00\);_(* &quot;-&quot;??_);_(@_)"/>
    <numFmt numFmtId="164" formatCode="&quot;$&quot;#,##0.00"/>
    <numFmt numFmtId="165" formatCode="_(&quot;$&quot;* #,##0_);_(&quot;$&quot;* \(#,##0\);_(&quot;$&quot;* &quot;-&quot;??_);_(@_)"/>
    <numFmt numFmtId="166" formatCode="mm/dd/yy;@"/>
    <numFmt numFmtId="167" formatCode="m/d/yyyy;@"/>
    <numFmt numFmtId="168" formatCode="&quot;$&quot;#,##0"/>
  </numFmts>
  <fonts count="42" x14ac:knownFonts="1">
    <font>
      <sz val="11"/>
      <color theme="1"/>
      <name val="Calibri"/>
      <family val="2"/>
      <scheme val="minor"/>
    </font>
    <font>
      <sz val="11"/>
      <color theme="1"/>
      <name val="Calibri"/>
      <family val="2"/>
      <scheme val="minor"/>
    </font>
    <font>
      <b/>
      <sz val="11"/>
      <color theme="1"/>
      <name val="Calibri"/>
      <family val="2"/>
      <scheme val="minor"/>
    </font>
    <font>
      <b/>
      <u/>
      <sz val="11"/>
      <color theme="1"/>
      <name val="Calibri"/>
      <family val="2"/>
      <scheme val="minor"/>
    </font>
    <font>
      <sz val="11"/>
      <name val="Calibri"/>
      <family val="2"/>
      <scheme val="minor"/>
    </font>
    <font>
      <b/>
      <sz val="11"/>
      <color rgb="FFFF0000"/>
      <name val="Calibri"/>
      <family val="2"/>
      <scheme val="minor"/>
    </font>
    <font>
      <b/>
      <sz val="11"/>
      <name val="Calibri"/>
      <family val="2"/>
      <scheme val="minor"/>
    </font>
    <font>
      <i/>
      <sz val="11"/>
      <color theme="1"/>
      <name val="Calibri"/>
      <family val="2"/>
      <scheme val="minor"/>
    </font>
    <font>
      <sz val="11"/>
      <color rgb="FFFF0000"/>
      <name val="Calibri"/>
      <family val="2"/>
      <scheme val="minor"/>
    </font>
    <font>
      <sz val="11"/>
      <color theme="0"/>
      <name val="Calibri"/>
      <family val="2"/>
      <scheme val="minor"/>
    </font>
    <font>
      <b/>
      <sz val="11"/>
      <color theme="0"/>
      <name val="Calibri"/>
      <family val="2"/>
      <scheme val="minor"/>
    </font>
    <font>
      <b/>
      <u/>
      <sz val="11"/>
      <color theme="0"/>
      <name val="Calibri"/>
      <family val="2"/>
      <scheme val="minor"/>
    </font>
    <font>
      <b/>
      <sz val="12"/>
      <color theme="0"/>
      <name val="Calibri"/>
      <family val="2"/>
      <scheme val="minor"/>
    </font>
    <font>
      <sz val="12"/>
      <color theme="0"/>
      <name val="Calibri"/>
      <family val="2"/>
      <scheme val="minor"/>
    </font>
    <font>
      <b/>
      <sz val="12"/>
      <color theme="1"/>
      <name val="Calibri"/>
      <family val="2"/>
      <scheme val="minor"/>
    </font>
    <font>
      <b/>
      <sz val="10"/>
      <color theme="0"/>
      <name val="Calibri"/>
      <family val="2"/>
      <scheme val="minor"/>
    </font>
    <font>
      <b/>
      <sz val="12"/>
      <name val="Calibri"/>
      <family val="2"/>
      <scheme val="minor"/>
    </font>
    <font>
      <b/>
      <sz val="10"/>
      <name val="Calibri"/>
      <family val="2"/>
      <scheme val="minor"/>
    </font>
    <font>
      <b/>
      <i/>
      <sz val="9"/>
      <color theme="9" tint="-0.499984740745262"/>
      <name val="Calibri"/>
      <family val="2"/>
      <scheme val="minor"/>
    </font>
    <font>
      <b/>
      <sz val="11"/>
      <color theme="9" tint="-0.499984740745262"/>
      <name val="Calibri"/>
      <family val="2"/>
      <scheme val="minor"/>
    </font>
    <font>
      <b/>
      <sz val="14"/>
      <color theme="1"/>
      <name val="Calibri"/>
      <family val="2"/>
      <scheme val="minor"/>
    </font>
    <font>
      <b/>
      <u/>
      <sz val="12"/>
      <color theme="1"/>
      <name val="Calibri"/>
      <family val="2"/>
      <scheme val="minor"/>
    </font>
    <font>
      <b/>
      <sz val="9"/>
      <color theme="0"/>
      <name val="Calibri"/>
      <family val="2"/>
      <scheme val="minor"/>
    </font>
    <font>
      <b/>
      <i/>
      <sz val="10"/>
      <color theme="1" tint="0.34998626667073579"/>
      <name val="Calibri"/>
      <family val="2"/>
      <scheme val="minor"/>
    </font>
    <font>
      <u/>
      <sz val="11"/>
      <color theme="1"/>
      <name val="Calibri"/>
      <family val="2"/>
      <scheme val="minor"/>
    </font>
    <font>
      <b/>
      <i/>
      <sz val="11"/>
      <color rgb="FFFF0000"/>
      <name val="Calibri"/>
      <family val="2"/>
      <scheme val="minor"/>
    </font>
    <font>
      <u/>
      <sz val="11"/>
      <name val="Calibri"/>
      <family val="2"/>
      <scheme val="minor"/>
    </font>
    <font>
      <b/>
      <u/>
      <sz val="12"/>
      <color rgb="FFFF0000"/>
      <name val="Calibri"/>
      <family val="2"/>
      <scheme val="minor"/>
    </font>
    <font>
      <sz val="10"/>
      <color theme="1"/>
      <name val="Calibri"/>
      <family val="2"/>
      <scheme val="minor"/>
    </font>
    <font>
      <i/>
      <sz val="12"/>
      <color theme="1"/>
      <name val="Calibri"/>
      <family val="2"/>
      <scheme val="minor"/>
    </font>
    <font>
      <b/>
      <sz val="10"/>
      <color theme="1"/>
      <name val="Calibri"/>
      <family val="2"/>
      <scheme val="minor"/>
    </font>
    <font>
      <b/>
      <i/>
      <sz val="11"/>
      <color theme="1"/>
      <name val="Calibri"/>
      <family val="2"/>
      <scheme val="minor"/>
    </font>
    <font>
      <sz val="12"/>
      <color theme="1"/>
      <name val="Calibri"/>
      <family val="2"/>
      <scheme val="minor"/>
    </font>
    <font>
      <b/>
      <sz val="16"/>
      <color theme="1"/>
      <name val="Calibri"/>
      <family val="2"/>
      <scheme val="minor"/>
    </font>
    <font>
      <b/>
      <sz val="16"/>
      <color theme="0"/>
      <name val="Calibri"/>
      <family val="2"/>
      <scheme val="minor"/>
    </font>
    <font>
      <b/>
      <i/>
      <sz val="12"/>
      <color theme="0"/>
      <name val="Calibri"/>
      <family val="2"/>
      <scheme val="minor"/>
    </font>
    <font>
      <b/>
      <u/>
      <sz val="14"/>
      <color theme="1"/>
      <name val="Calibri"/>
      <family val="2"/>
      <scheme val="minor"/>
    </font>
    <font>
      <i/>
      <u/>
      <sz val="11"/>
      <color theme="1"/>
      <name val="Calibri"/>
      <family val="2"/>
      <scheme val="minor"/>
    </font>
    <font>
      <u/>
      <sz val="11"/>
      <color theme="10"/>
      <name val="Calibri"/>
      <family val="2"/>
      <scheme val="minor"/>
    </font>
    <font>
      <sz val="14"/>
      <color theme="1"/>
      <name val="Calibri"/>
      <family val="2"/>
      <scheme val="minor"/>
    </font>
    <font>
      <b/>
      <i/>
      <sz val="11"/>
      <name val="Calibri"/>
      <family val="2"/>
      <scheme val="minor"/>
    </font>
    <font>
      <b/>
      <u/>
      <sz val="11"/>
      <name val="Calibri"/>
      <family val="2"/>
      <scheme val="minor"/>
    </font>
  </fonts>
  <fills count="12">
    <fill>
      <patternFill patternType="none"/>
    </fill>
    <fill>
      <patternFill patternType="gray125"/>
    </fill>
    <fill>
      <patternFill patternType="solid">
        <fgColor theme="9" tint="0.79998168889431442"/>
        <bgColor indexed="64"/>
      </patternFill>
    </fill>
    <fill>
      <patternFill patternType="solid">
        <fgColor rgb="FFFFFF99"/>
        <bgColor indexed="64"/>
      </patternFill>
    </fill>
    <fill>
      <patternFill patternType="solid">
        <fgColor rgb="FFE2EFDA"/>
        <bgColor indexed="64"/>
      </patternFill>
    </fill>
    <fill>
      <patternFill patternType="solid">
        <fgColor theme="0" tint="-0.249977111117893"/>
        <bgColor indexed="64"/>
      </patternFill>
    </fill>
    <fill>
      <patternFill patternType="solid">
        <fgColor theme="1"/>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theme="0"/>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thin">
        <color indexed="64"/>
      </left>
      <right/>
      <top/>
      <bottom/>
      <diagonal/>
    </border>
    <border>
      <left style="thin">
        <color indexed="64"/>
      </left>
      <right/>
      <top/>
      <bottom style="medium">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right style="thin">
        <color indexed="64"/>
      </right>
      <top/>
      <bottom/>
      <diagonal/>
    </border>
    <border>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diagonal/>
    </border>
    <border>
      <left style="medium">
        <color theme="0" tint="-0.499984740745262"/>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top/>
      <bottom/>
      <diagonal/>
    </border>
    <border>
      <left/>
      <right style="medium">
        <color theme="0" tint="-0.499984740745262"/>
      </right>
      <top/>
      <bottom/>
      <diagonal/>
    </border>
    <border>
      <left style="medium">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medium">
        <color theme="0" tint="-0.499984740745262"/>
      </right>
      <top style="thin">
        <color theme="0" tint="-0.499984740745262"/>
      </top>
      <bottom style="thin">
        <color theme="0" tint="-0.499984740745262"/>
      </bottom>
      <diagonal/>
    </border>
    <border>
      <left style="medium">
        <color theme="0" tint="-0.499984740745262"/>
      </left>
      <right/>
      <top/>
      <bottom style="medium">
        <color theme="0" tint="-0.499984740745262"/>
      </bottom>
      <diagonal/>
    </border>
    <border>
      <left/>
      <right style="medium">
        <color theme="0" tint="-0.499984740745262"/>
      </right>
      <top/>
      <bottom style="medium">
        <color theme="0" tint="-0.499984740745262"/>
      </bottom>
      <diagonal/>
    </border>
    <border>
      <left style="thin">
        <color indexed="64"/>
      </left>
      <right style="thin">
        <color indexed="64"/>
      </right>
      <top style="thin">
        <color indexed="64"/>
      </top>
      <bottom/>
      <diagonal/>
    </border>
    <border>
      <left style="medium">
        <color theme="0" tint="-0.499984740745262"/>
      </left>
      <right/>
      <top/>
      <bottom style="thin">
        <color theme="0" tint="-0.499984740745262"/>
      </bottom>
      <diagonal/>
    </border>
    <border>
      <left/>
      <right style="medium">
        <color theme="0" tint="-0.499984740745262"/>
      </right>
      <top/>
      <bottom style="thin">
        <color theme="0" tint="-0.499984740745262"/>
      </bottom>
      <diagonal/>
    </border>
    <border>
      <left/>
      <right/>
      <top style="medium">
        <color theme="0" tint="-0.499984740745262"/>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38" fillId="0" borderId="0" applyNumberFormat="0" applyFill="0" applyBorder="0" applyAlignment="0" applyProtection="0"/>
  </cellStyleXfs>
  <cellXfs count="409">
    <xf numFmtId="0" fontId="0" fillId="0" borderId="0" xfId="0"/>
    <xf numFmtId="0" fontId="0" fillId="0" borderId="0" xfId="0" applyAlignment="1">
      <alignment horizontal="left" vertical="top" wrapText="1"/>
    </xf>
    <xf numFmtId="0" fontId="2" fillId="0" borderId="0" xfId="0" applyFont="1" applyAlignment="1">
      <alignment horizontal="left" vertical="top"/>
    </xf>
    <xf numFmtId="0" fontId="2" fillId="0" borderId="0" xfId="0" applyFont="1" applyAlignment="1">
      <alignment horizontal="right" vertical="top"/>
    </xf>
    <xf numFmtId="0" fontId="2" fillId="0" borderId="0" xfId="0" applyFont="1"/>
    <xf numFmtId="0" fontId="2" fillId="0" borderId="0" xfId="0" applyFont="1" applyAlignment="1">
      <alignment vertical="top"/>
    </xf>
    <xf numFmtId="0" fontId="4" fillId="0" borderId="0" xfId="0" applyFont="1" applyAlignment="1">
      <alignment vertical="center" wrapText="1"/>
    </xf>
    <xf numFmtId="0" fontId="4" fillId="0" borderId="0" xfId="0" applyFont="1" applyAlignment="1">
      <alignment horizontal="left" vertical="top" wrapText="1"/>
    </xf>
    <xf numFmtId="0" fontId="2" fillId="0" borderId="0" xfId="0" applyFont="1" applyAlignment="1">
      <alignment vertical="top" wrapText="1"/>
    </xf>
    <xf numFmtId="42" fontId="0" fillId="2" borderId="3" xfId="2" applyNumberFormat="1" applyFont="1" applyFill="1" applyBorder="1" applyProtection="1"/>
    <xf numFmtId="42" fontId="0" fillId="2" borderId="18" xfId="2" applyNumberFormat="1" applyFont="1" applyFill="1" applyBorder="1" applyProtection="1"/>
    <xf numFmtId="42" fontId="0" fillId="2" borderId="1" xfId="2" applyNumberFormat="1" applyFont="1" applyFill="1" applyBorder="1" applyProtection="1"/>
    <xf numFmtId="42" fontId="0" fillId="2" borderId="20" xfId="2" applyNumberFormat="1" applyFont="1" applyFill="1" applyBorder="1" applyProtection="1"/>
    <xf numFmtId="1" fontId="0" fillId="0" borderId="0" xfId="0" applyNumberFormat="1"/>
    <xf numFmtId="0" fontId="2" fillId="0" borderId="0" xfId="0" applyFont="1" applyAlignment="1">
      <alignment wrapText="1"/>
    </xf>
    <xf numFmtId="42" fontId="14" fillId="4" borderId="38" xfId="2" applyNumberFormat="1" applyFont="1" applyFill="1" applyBorder="1" applyProtection="1"/>
    <xf numFmtId="42" fontId="20" fillId="4" borderId="23" xfId="2" applyNumberFormat="1" applyFont="1" applyFill="1" applyBorder="1" applyProtection="1"/>
    <xf numFmtId="0" fontId="8" fillId="0" borderId="0" xfId="0" applyFont="1" applyAlignment="1" applyProtection="1">
      <alignment vertical="top"/>
      <protection locked="0"/>
    </xf>
    <xf numFmtId="0" fontId="0" fillId="3" borderId="43" xfId="0" applyFill="1" applyBorder="1" applyProtection="1">
      <protection locked="0"/>
    </xf>
    <xf numFmtId="0" fontId="0" fillId="3" borderId="1" xfId="0" applyFill="1" applyBorder="1" applyProtection="1">
      <protection locked="0"/>
    </xf>
    <xf numFmtId="0" fontId="0" fillId="3" borderId="1" xfId="0" applyFill="1" applyBorder="1" applyAlignment="1" applyProtection="1">
      <alignment horizontal="center"/>
      <protection locked="0"/>
    </xf>
    <xf numFmtId="0" fontId="0" fillId="3" borderId="41" xfId="0" applyFill="1" applyBorder="1" applyProtection="1">
      <protection locked="0"/>
    </xf>
    <xf numFmtId="0" fontId="0" fillId="3" borderId="9" xfId="0" applyFill="1" applyBorder="1" applyProtection="1">
      <protection locked="0"/>
    </xf>
    <xf numFmtId="0" fontId="0" fillId="3" borderId="20" xfId="0" applyFill="1" applyBorder="1" applyProtection="1">
      <protection locked="0"/>
    </xf>
    <xf numFmtId="0" fontId="0" fillId="3" borderId="20" xfId="0" applyFill="1" applyBorder="1" applyAlignment="1" applyProtection="1">
      <alignment horizontal="center"/>
      <protection locked="0"/>
    </xf>
    <xf numFmtId="0" fontId="0" fillId="3" borderId="44" xfId="0" applyFill="1" applyBorder="1" applyProtection="1">
      <protection locked="0"/>
    </xf>
    <xf numFmtId="0" fontId="0" fillId="3" borderId="2" xfId="0" applyFill="1" applyBorder="1" applyProtection="1">
      <protection locked="0"/>
    </xf>
    <xf numFmtId="0" fontId="0" fillId="3" borderId="2" xfId="0" applyFill="1" applyBorder="1" applyAlignment="1" applyProtection="1">
      <alignment horizontal="center"/>
      <protection locked="0"/>
    </xf>
    <xf numFmtId="0" fontId="0" fillId="3" borderId="3" xfId="0" applyFill="1" applyBorder="1" applyAlignment="1" applyProtection="1">
      <alignment horizontal="center"/>
      <protection locked="0"/>
    </xf>
    <xf numFmtId="0" fontId="0" fillId="3" borderId="18" xfId="0" applyFill="1" applyBorder="1" applyAlignment="1" applyProtection="1">
      <alignment horizontal="center"/>
      <protection locked="0"/>
    </xf>
    <xf numFmtId="0" fontId="0" fillId="3" borderId="12" xfId="0" applyFill="1" applyBorder="1" applyAlignment="1" applyProtection="1">
      <alignment horizontal="center"/>
      <protection locked="0"/>
    </xf>
    <xf numFmtId="0" fontId="0" fillId="3" borderId="25" xfId="0" applyFill="1" applyBorder="1" applyProtection="1">
      <protection locked="0"/>
    </xf>
    <xf numFmtId="0" fontId="0" fillId="3" borderId="41" xfId="0" applyFill="1" applyBorder="1" applyAlignment="1" applyProtection="1">
      <alignment wrapText="1"/>
      <protection locked="0"/>
    </xf>
    <xf numFmtId="0" fontId="0" fillId="3" borderId="25" xfId="0" applyFill="1" applyBorder="1" applyAlignment="1" applyProtection="1">
      <alignment wrapText="1"/>
      <protection locked="0"/>
    </xf>
    <xf numFmtId="0" fontId="0" fillId="3" borderId="43" xfId="0" applyFill="1" applyBorder="1" applyAlignment="1" applyProtection="1">
      <alignment wrapText="1"/>
      <protection locked="0"/>
    </xf>
    <xf numFmtId="164" fontId="0" fillId="3" borderId="3" xfId="0" applyNumberFormat="1" applyFill="1" applyBorder="1" applyAlignment="1" applyProtection="1">
      <alignment horizontal="center"/>
      <protection locked="0"/>
    </xf>
    <xf numFmtId="164" fontId="0" fillId="3" borderId="18" xfId="0" applyNumberFormat="1" applyFill="1" applyBorder="1" applyAlignment="1" applyProtection="1">
      <alignment horizontal="center"/>
      <protection locked="0"/>
    </xf>
    <xf numFmtId="164" fontId="0" fillId="3" borderId="12" xfId="0" applyNumberFormat="1" applyFill="1" applyBorder="1" applyAlignment="1" applyProtection="1">
      <alignment horizontal="center"/>
      <protection locked="0"/>
    </xf>
    <xf numFmtId="164" fontId="0" fillId="3" borderId="3" xfId="1" applyNumberFormat="1" applyFont="1" applyFill="1" applyBorder="1" applyAlignment="1" applyProtection="1">
      <alignment horizontal="center"/>
      <protection locked="0"/>
    </xf>
    <xf numFmtId="164" fontId="0" fillId="3" borderId="18" xfId="1" applyNumberFormat="1" applyFont="1" applyFill="1" applyBorder="1" applyAlignment="1" applyProtection="1">
      <alignment horizontal="center"/>
      <protection locked="0"/>
    </xf>
    <xf numFmtId="164" fontId="0" fillId="3" borderId="12" xfId="1" applyNumberFormat="1" applyFont="1" applyFill="1" applyBorder="1" applyAlignment="1" applyProtection="1">
      <alignment horizontal="center"/>
      <protection locked="0"/>
    </xf>
    <xf numFmtId="0" fontId="0" fillId="3" borderId="1" xfId="1" applyNumberFormat="1" applyFont="1" applyFill="1" applyBorder="1" applyAlignment="1" applyProtection="1">
      <alignment horizontal="center"/>
      <protection locked="0"/>
    </xf>
    <xf numFmtId="0" fontId="0" fillId="3" borderId="20" xfId="1" applyNumberFormat="1" applyFont="1" applyFill="1" applyBorder="1" applyAlignment="1" applyProtection="1">
      <alignment horizontal="center"/>
      <protection locked="0"/>
    </xf>
    <xf numFmtId="0" fontId="0" fillId="3" borderId="2" xfId="1" applyNumberFormat="1" applyFont="1" applyFill="1" applyBorder="1" applyAlignment="1" applyProtection="1">
      <alignment horizontal="center"/>
      <protection locked="0"/>
    </xf>
    <xf numFmtId="43" fontId="0" fillId="3" borderId="18" xfId="1" applyFont="1" applyFill="1" applyBorder="1" applyAlignment="1" applyProtection="1">
      <alignment horizontal="center"/>
      <protection locked="0"/>
    </xf>
    <xf numFmtId="0" fontId="0" fillId="3" borderId="2" xfId="0" applyFill="1" applyBorder="1" applyAlignment="1" applyProtection="1">
      <alignment horizontal="left" vertical="top" wrapText="1"/>
      <protection locked="0"/>
    </xf>
    <xf numFmtId="0" fontId="0" fillId="3" borderId="1" xfId="0" applyFill="1" applyBorder="1" applyAlignment="1" applyProtection="1">
      <alignment horizontal="left" vertical="top" wrapText="1"/>
      <protection locked="0"/>
    </xf>
    <xf numFmtId="0" fontId="0" fillId="3" borderId="20" xfId="0" applyFill="1" applyBorder="1" applyAlignment="1" applyProtection="1">
      <alignment horizontal="left" vertical="top" wrapText="1"/>
      <protection locked="0"/>
    </xf>
    <xf numFmtId="14" fontId="0" fillId="3" borderId="1" xfId="0" applyNumberFormat="1" applyFill="1" applyBorder="1" applyAlignment="1" applyProtection="1">
      <alignment horizontal="center"/>
      <protection locked="0"/>
    </xf>
    <xf numFmtId="14" fontId="0" fillId="3" borderId="2" xfId="0" applyNumberFormat="1" applyFill="1" applyBorder="1" applyAlignment="1" applyProtection="1">
      <alignment horizontal="center"/>
      <protection locked="0"/>
    </xf>
    <xf numFmtId="165" fontId="16" fillId="3" borderId="37" xfId="0" applyNumberFormat="1" applyFont="1" applyFill="1" applyBorder="1" applyProtection="1">
      <protection locked="0"/>
    </xf>
    <xf numFmtId="42" fontId="14" fillId="4" borderId="38" xfId="2" applyNumberFormat="1" applyFont="1" applyFill="1" applyBorder="1" applyAlignment="1" applyProtection="1"/>
    <xf numFmtId="44" fontId="4" fillId="5" borderId="28" xfId="2" applyFont="1" applyFill="1" applyBorder="1" applyAlignment="1" applyProtection="1">
      <alignment horizontal="right"/>
      <protection locked="0"/>
    </xf>
    <xf numFmtId="10" fontId="4" fillId="5" borderId="0" xfId="3" applyNumberFormat="1" applyFont="1" applyFill="1" applyBorder="1" applyAlignment="1" applyProtection="1">
      <alignment horizontal="right"/>
      <protection locked="0"/>
    </xf>
    <xf numFmtId="44" fontId="4" fillId="5" borderId="16" xfId="2" applyFont="1" applyFill="1" applyBorder="1" applyAlignment="1" applyProtection="1">
      <alignment horizontal="right"/>
      <protection locked="0"/>
    </xf>
    <xf numFmtId="0" fontId="0" fillId="5" borderId="7" xfId="0" applyFill="1" applyBorder="1" applyProtection="1">
      <protection locked="0"/>
    </xf>
    <xf numFmtId="0" fontId="0" fillId="5" borderId="0" xfId="0" applyFill="1" applyProtection="1">
      <protection locked="0"/>
    </xf>
    <xf numFmtId="0" fontId="0" fillId="5" borderId="0" xfId="0" applyFill="1" applyAlignment="1" applyProtection="1">
      <alignment horizontal="center"/>
      <protection locked="0"/>
    </xf>
    <xf numFmtId="44" fontId="4" fillId="5" borderId="6" xfId="2" applyFont="1" applyFill="1" applyBorder="1" applyAlignment="1" applyProtection="1">
      <alignment horizontal="right"/>
      <protection locked="0"/>
    </xf>
    <xf numFmtId="10" fontId="4" fillId="5" borderId="6" xfId="3" applyNumberFormat="1" applyFont="1" applyFill="1" applyBorder="1" applyAlignment="1" applyProtection="1">
      <alignment horizontal="right"/>
      <protection locked="0"/>
    </xf>
    <xf numFmtId="0" fontId="0" fillId="5" borderId="39" xfId="0" applyFill="1" applyBorder="1" applyProtection="1">
      <protection locked="0"/>
    </xf>
    <xf numFmtId="0" fontId="0" fillId="5" borderId="6" xfId="0" applyFill="1" applyBorder="1" applyAlignment="1" applyProtection="1">
      <alignment horizontal="center"/>
      <protection locked="0"/>
    </xf>
    <xf numFmtId="0" fontId="2" fillId="0" borderId="0" xfId="0" applyFont="1" applyAlignment="1">
      <alignment horizontal="left" vertical="top" wrapText="1"/>
    </xf>
    <xf numFmtId="0" fontId="4" fillId="0" borderId="0" xfId="0" applyFont="1" applyAlignment="1">
      <alignment vertical="top" wrapText="1"/>
    </xf>
    <xf numFmtId="0" fontId="0" fillId="0" borderId="0" xfId="0" applyProtection="1">
      <protection locked="0"/>
    </xf>
    <xf numFmtId="0" fontId="20" fillId="0" borderId="7" xfId="0" applyFont="1" applyBorder="1" applyAlignment="1" applyProtection="1">
      <alignment horizontal="center"/>
      <protection locked="0"/>
    </xf>
    <xf numFmtId="0" fontId="20" fillId="0" borderId="0" xfId="0" applyFont="1" applyAlignment="1" applyProtection="1">
      <alignment horizontal="right"/>
      <protection locked="0"/>
    </xf>
    <xf numFmtId="0" fontId="23" fillId="0" borderId="7" xfId="0" applyFont="1" applyBorder="1" applyAlignment="1" applyProtection="1">
      <alignment vertical="center" wrapText="1"/>
      <protection locked="0"/>
    </xf>
    <xf numFmtId="0" fontId="20" fillId="0" borderId="0" xfId="0" applyFont="1" applyAlignment="1" applyProtection="1">
      <alignment horizontal="right" vertical="center"/>
      <protection locked="0"/>
    </xf>
    <xf numFmtId="42" fontId="20" fillId="0" borderId="8" xfId="0" applyNumberFormat="1" applyFont="1" applyBorder="1" applyAlignment="1" applyProtection="1">
      <alignment horizontal="center"/>
      <protection locked="0"/>
    </xf>
    <xf numFmtId="0" fontId="5" fillId="0" borderId="0" xfId="0" applyFont="1" applyProtection="1">
      <protection locked="0"/>
    </xf>
    <xf numFmtId="0" fontId="0" fillId="0" borderId="7"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8" xfId="0" applyBorder="1" applyAlignment="1" applyProtection="1">
      <alignment horizontal="left" vertical="top" wrapText="1"/>
      <protection locked="0"/>
    </xf>
    <xf numFmtId="0" fontId="5" fillId="0" borderId="0" xfId="0" applyFont="1" applyAlignment="1" applyProtection="1">
      <alignment horizontal="left"/>
      <protection locked="0"/>
    </xf>
    <xf numFmtId="0" fontId="0" fillId="5" borderId="43" xfId="0" applyFill="1" applyBorder="1" applyProtection="1">
      <protection locked="0"/>
    </xf>
    <xf numFmtId="0" fontId="18" fillId="5" borderId="4" xfId="0" applyFont="1" applyFill="1" applyBorder="1" applyAlignment="1" applyProtection="1">
      <alignment horizontal="center"/>
      <protection locked="0"/>
    </xf>
    <xf numFmtId="0" fontId="0" fillId="5" borderId="8" xfId="0" applyFill="1" applyBorder="1" applyProtection="1">
      <protection locked="0"/>
    </xf>
    <xf numFmtId="0" fontId="0" fillId="5" borderId="15" xfId="0" applyFill="1" applyBorder="1" applyProtection="1">
      <protection locked="0"/>
    </xf>
    <xf numFmtId="0" fontId="18" fillId="5" borderId="16" xfId="0" applyFont="1" applyFill="1" applyBorder="1" applyAlignment="1" applyProtection="1">
      <alignment horizontal="center"/>
      <protection locked="0"/>
    </xf>
    <xf numFmtId="44" fontId="18" fillId="5" borderId="13" xfId="2" applyFont="1" applyFill="1" applyBorder="1" applyAlignment="1" applyProtection="1">
      <alignment horizontal="center" vertical="center"/>
      <protection locked="0"/>
    </xf>
    <xf numFmtId="0" fontId="18" fillId="5" borderId="8" xfId="0" applyFont="1" applyFill="1" applyBorder="1" applyAlignment="1" applyProtection="1">
      <alignment horizontal="center"/>
      <protection locked="0"/>
    </xf>
    <xf numFmtId="42" fontId="0" fillId="5" borderId="0" xfId="2" applyNumberFormat="1" applyFont="1" applyFill="1" applyBorder="1" applyProtection="1">
      <protection locked="0"/>
    </xf>
    <xf numFmtId="165" fontId="14" fillId="5" borderId="40" xfId="0" applyNumberFormat="1" applyFont="1" applyFill="1" applyBorder="1" applyAlignment="1" applyProtection="1">
      <alignment horizontal="right"/>
      <protection locked="0"/>
    </xf>
    <xf numFmtId="0" fontId="0" fillId="5" borderId="9" xfId="0" applyFill="1" applyBorder="1" applyProtection="1">
      <protection locked="0"/>
    </xf>
    <xf numFmtId="0" fontId="0" fillId="5" borderId="10" xfId="0" applyFill="1" applyBorder="1" applyProtection="1">
      <protection locked="0"/>
    </xf>
    <xf numFmtId="0" fontId="2" fillId="5" borderId="10" xfId="0" applyFont="1" applyFill="1" applyBorder="1" applyAlignment="1" applyProtection="1">
      <alignment horizontal="right"/>
      <protection locked="0"/>
    </xf>
    <xf numFmtId="0" fontId="2" fillId="5" borderId="32" xfId="0" applyFont="1" applyFill="1" applyBorder="1" applyAlignment="1" applyProtection="1">
      <alignment horizontal="right"/>
      <protection locked="0"/>
    </xf>
    <xf numFmtId="44" fontId="2" fillId="5" borderId="9" xfId="2" applyFont="1" applyFill="1" applyBorder="1" applyProtection="1">
      <protection locked="0"/>
    </xf>
    <xf numFmtId="0" fontId="7" fillId="5" borderId="10" xfId="0" applyFont="1" applyFill="1" applyBorder="1" applyAlignment="1" applyProtection="1">
      <alignment horizontal="center"/>
      <protection locked="0"/>
    </xf>
    <xf numFmtId="0" fontId="14" fillId="5" borderId="11" xfId="0" applyFont="1" applyFill="1" applyBorder="1" applyAlignment="1" applyProtection="1">
      <alignment horizontal="right"/>
      <protection locked="0"/>
    </xf>
    <xf numFmtId="0" fontId="0" fillId="0" borderId="21" xfId="0" applyBorder="1" applyProtection="1">
      <protection locked="0"/>
    </xf>
    <xf numFmtId="0" fontId="0" fillId="0" borderId="22" xfId="0" applyBorder="1" applyProtection="1">
      <protection locked="0"/>
    </xf>
    <xf numFmtId="0" fontId="2" fillId="0" borderId="0" xfId="0" applyFont="1" applyAlignment="1" applyProtection="1">
      <alignment horizontal="right"/>
      <protection locked="0"/>
    </xf>
    <xf numFmtId="44" fontId="2" fillId="0" borderId="0" xfId="2" applyFont="1" applyFill="1" applyBorder="1" applyProtection="1">
      <protection locked="0"/>
    </xf>
    <xf numFmtId="0" fontId="0" fillId="0" borderId="29" xfId="0" applyBorder="1" applyProtection="1">
      <protection locked="0"/>
    </xf>
    <xf numFmtId="0" fontId="12" fillId="6" borderId="41" xfId="0" applyFont="1" applyFill="1" applyBorder="1" applyProtection="1">
      <protection locked="0"/>
    </xf>
    <xf numFmtId="0" fontId="12" fillId="6" borderId="17" xfId="0" applyFont="1" applyFill="1" applyBorder="1" applyProtection="1">
      <protection locked="0"/>
    </xf>
    <xf numFmtId="0" fontId="10" fillId="6" borderId="17" xfId="0" applyFont="1" applyFill="1" applyBorder="1" applyProtection="1">
      <protection locked="0"/>
    </xf>
    <xf numFmtId="0" fontId="9" fillId="6" borderId="17" xfId="0" applyFont="1" applyFill="1" applyBorder="1" applyProtection="1">
      <protection locked="0"/>
    </xf>
    <xf numFmtId="43" fontId="9" fillId="6" borderId="17" xfId="1" applyFont="1" applyFill="1" applyBorder="1" applyProtection="1">
      <protection locked="0"/>
    </xf>
    <xf numFmtId="0" fontId="10" fillId="6" borderId="13" xfId="0" applyFont="1" applyFill="1" applyBorder="1" applyProtection="1">
      <protection locked="0"/>
    </xf>
    <xf numFmtId="0" fontId="9" fillId="6" borderId="13" xfId="0" applyFont="1" applyFill="1" applyBorder="1" applyProtection="1">
      <protection locked="0"/>
    </xf>
    <xf numFmtId="0" fontId="9" fillId="6" borderId="45" xfId="0" applyFont="1" applyFill="1" applyBorder="1" applyProtection="1">
      <protection locked="0"/>
    </xf>
    <xf numFmtId="0" fontId="0" fillId="5" borderId="41" xfId="0" applyFill="1" applyBorder="1" applyProtection="1">
      <protection locked="0"/>
    </xf>
    <xf numFmtId="0" fontId="2" fillId="5" borderId="12" xfId="0" applyFont="1" applyFill="1" applyBorder="1" applyAlignment="1" applyProtection="1">
      <alignment horizontal="center"/>
      <protection locked="0"/>
    </xf>
    <xf numFmtId="43" fontId="18" fillId="5" borderId="12" xfId="1" applyFont="1" applyFill="1" applyBorder="1" applyAlignment="1" applyProtection="1">
      <alignment horizontal="center"/>
      <protection locked="0"/>
    </xf>
    <xf numFmtId="0" fontId="0" fillId="5" borderId="14" xfId="0" applyFill="1" applyBorder="1" applyProtection="1">
      <protection locked="0"/>
    </xf>
    <xf numFmtId="0" fontId="18" fillId="5" borderId="10" xfId="0" applyFont="1" applyFill="1" applyBorder="1" applyAlignment="1" applyProtection="1">
      <alignment horizontal="center"/>
      <protection locked="0"/>
    </xf>
    <xf numFmtId="0" fontId="0" fillId="5" borderId="46" xfId="0" applyFill="1" applyBorder="1" applyProtection="1">
      <protection locked="0"/>
    </xf>
    <xf numFmtId="0" fontId="18" fillId="5" borderId="47" xfId="0" applyFont="1" applyFill="1" applyBorder="1" applyAlignment="1" applyProtection="1">
      <alignment horizontal="center"/>
      <protection locked="0"/>
    </xf>
    <xf numFmtId="0" fontId="2" fillId="5" borderId="10" xfId="0" applyFont="1" applyFill="1" applyBorder="1" applyProtection="1">
      <protection locked="0"/>
    </xf>
    <xf numFmtId="42" fontId="2" fillId="5" borderId="10" xfId="2" applyNumberFormat="1" applyFont="1" applyFill="1" applyBorder="1" applyProtection="1">
      <protection locked="0"/>
    </xf>
    <xf numFmtId="0" fontId="0" fillId="0" borderId="10" xfId="0" applyBorder="1" applyProtection="1">
      <protection locked="0"/>
    </xf>
    <xf numFmtId="0" fontId="2" fillId="0" borderId="10" xfId="0" applyFont="1" applyBorder="1" applyAlignment="1" applyProtection="1">
      <alignment horizontal="right"/>
      <protection locked="0"/>
    </xf>
    <xf numFmtId="44" fontId="0" fillId="0" borderId="10" xfId="2" applyFont="1" applyFill="1" applyBorder="1" applyProtection="1">
      <protection locked="0"/>
    </xf>
    <xf numFmtId="0" fontId="12" fillId="6" borderId="44" xfId="0" applyFont="1" applyFill="1" applyBorder="1" applyProtection="1">
      <protection locked="0"/>
    </xf>
    <xf numFmtId="0" fontId="12" fillId="6" borderId="6" xfId="0" applyFont="1" applyFill="1" applyBorder="1" applyProtection="1">
      <protection locked="0"/>
    </xf>
    <xf numFmtId="0" fontId="13" fillId="6" borderId="6" xfId="0" applyFont="1" applyFill="1" applyBorder="1" applyProtection="1">
      <protection locked="0"/>
    </xf>
    <xf numFmtId="43" fontId="13" fillId="6" borderId="6" xfId="1" applyFont="1" applyFill="1" applyBorder="1" applyProtection="1">
      <protection locked="0"/>
    </xf>
    <xf numFmtId="0" fontId="13" fillId="6" borderId="22" xfId="0" applyFont="1" applyFill="1" applyBorder="1" applyProtection="1">
      <protection locked="0"/>
    </xf>
    <xf numFmtId="0" fontId="13" fillId="6" borderId="29" xfId="0" applyFont="1" applyFill="1" applyBorder="1" applyProtection="1">
      <protection locked="0"/>
    </xf>
    <xf numFmtId="0" fontId="2" fillId="5" borderId="5" xfId="0" applyFont="1" applyFill="1" applyBorder="1" applyProtection="1">
      <protection locked="0"/>
    </xf>
    <xf numFmtId="43" fontId="18" fillId="5" borderId="3" xfId="1" applyFont="1" applyFill="1" applyBorder="1" applyAlignment="1" applyProtection="1">
      <alignment horizontal="center"/>
      <protection locked="0"/>
    </xf>
    <xf numFmtId="0" fontId="0" fillId="0" borderId="8" xfId="0" applyBorder="1" applyProtection="1">
      <protection locked="0"/>
    </xf>
    <xf numFmtId="0" fontId="2" fillId="5" borderId="4" xfId="0" applyFont="1" applyFill="1" applyBorder="1" applyProtection="1">
      <protection locked="0"/>
    </xf>
    <xf numFmtId="0" fontId="3" fillId="5" borderId="4" xfId="0" applyFont="1" applyFill="1" applyBorder="1" applyAlignment="1" applyProtection="1">
      <alignment horizontal="center"/>
      <protection locked="0"/>
    </xf>
    <xf numFmtId="0" fontId="2" fillId="5" borderId="4" xfId="0" applyFont="1" applyFill="1" applyBorder="1" applyAlignment="1" applyProtection="1">
      <alignment horizontal="center"/>
      <protection locked="0"/>
    </xf>
    <xf numFmtId="0" fontId="2" fillId="0" borderId="22" xfId="0" applyFont="1" applyBorder="1" applyProtection="1">
      <protection locked="0"/>
    </xf>
    <xf numFmtId="0" fontId="2" fillId="0" borderId="22" xfId="0" applyFont="1" applyBorder="1" applyAlignment="1" applyProtection="1">
      <alignment horizontal="right"/>
      <protection locked="0"/>
    </xf>
    <xf numFmtId="44" fontId="2" fillId="0" borderId="22" xfId="2" applyFont="1" applyFill="1" applyBorder="1" applyProtection="1">
      <protection locked="0"/>
    </xf>
    <xf numFmtId="0" fontId="12" fillId="6" borderId="21" xfId="0" applyFont="1" applyFill="1" applyBorder="1" applyAlignment="1" applyProtection="1">
      <alignment vertical="top"/>
      <protection locked="0"/>
    </xf>
    <xf numFmtId="0" fontId="10" fillId="6" borderId="22" xfId="0" applyFont="1" applyFill="1" applyBorder="1" applyAlignment="1" applyProtection="1">
      <alignment vertical="top"/>
      <protection locked="0"/>
    </xf>
    <xf numFmtId="0" fontId="0" fillId="5" borderId="44" xfId="0" applyFill="1" applyBorder="1" applyProtection="1">
      <protection locked="0"/>
    </xf>
    <xf numFmtId="0" fontId="2" fillId="5" borderId="17" xfId="0" applyFont="1" applyFill="1" applyBorder="1" applyProtection="1">
      <protection locked="0"/>
    </xf>
    <xf numFmtId="0" fontId="2" fillId="5" borderId="17" xfId="0" applyFont="1" applyFill="1" applyBorder="1" applyAlignment="1" applyProtection="1">
      <alignment horizontal="center"/>
      <protection locked="0"/>
    </xf>
    <xf numFmtId="0" fontId="2" fillId="5" borderId="17" xfId="0" applyFont="1" applyFill="1" applyBorder="1" applyAlignment="1" applyProtection="1">
      <alignment horizontal="center" wrapText="1"/>
      <protection locked="0"/>
    </xf>
    <xf numFmtId="0" fontId="18" fillId="5" borderId="35" xfId="0" applyFont="1" applyFill="1" applyBorder="1" applyAlignment="1" applyProtection="1">
      <alignment horizontal="center"/>
      <protection locked="0"/>
    </xf>
    <xf numFmtId="0" fontId="0" fillId="5" borderId="6" xfId="0" applyFill="1" applyBorder="1" applyProtection="1">
      <protection locked="0"/>
    </xf>
    <xf numFmtId="0" fontId="0" fillId="5" borderId="40" xfId="0" applyFill="1" applyBorder="1" applyProtection="1">
      <protection locked="0"/>
    </xf>
    <xf numFmtId="0" fontId="10" fillId="6" borderId="21" xfId="0" applyFont="1" applyFill="1" applyBorder="1" applyAlignment="1" applyProtection="1">
      <alignment vertical="top" wrapText="1"/>
      <protection locked="0"/>
    </xf>
    <xf numFmtId="0" fontId="16" fillId="5" borderId="44" xfId="0" applyFont="1" applyFill="1" applyBorder="1" applyAlignment="1" applyProtection="1">
      <alignment vertical="top"/>
      <protection locked="0"/>
    </xf>
    <xf numFmtId="0" fontId="6" fillId="5" borderId="27" xfId="0" applyFont="1" applyFill="1" applyBorder="1" applyAlignment="1" applyProtection="1">
      <alignment horizontal="center" vertical="center" wrapText="1"/>
      <protection locked="0"/>
    </xf>
    <xf numFmtId="0" fontId="19" fillId="5" borderId="35" xfId="0" applyFont="1" applyFill="1" applyBorder="1" applyAlignment="1" applyProtection="1">
      <alignment wrapText="1"/>
      <protection locked="0"/>
    </xf>
    <xf numFmtId="0" fontId="6" fillId="5" borderId="6" xfId="0" applyFont="1" applyFill="1" applyBorder="1" applyAlignment="1" applyProtection="1">
      <alignment wrapText="1"/>
      <protection locked="0"/>
    </xf>
    <xf numFmtId="0" fontId="17" fillId="5" borderId="40" xfId="0" applyFont="1" applyFill="1" applyBorder="1" applyAlignment="1" applyProtection="1">
      <alignment horizontal="left" vertical="top" wrapText="1"/>
      <protection locked="0"/>
    </xf>
    <xf numFmtId="0" fontId="19" fillId="5" borderId="10" xfId="0" applyFont="1" applyFill="1" applyBorder="1" applyProtection="1">
      <protection locked="0"/>
    </xf>
    <xf numFmtId="0" fontId="19" fillId="5" borderId="16" xfId="0" applyFont="1" applyFill="1" applyBorder="1" applyProtection="1">
      <protection locked="0"/>
    </xf>
    <xf numFmtId="42" fontId="2" fillId="0" borderId="0" xfId="2" applyNumberFormat="1" applyFont="1" applyFill="1" applyBorder="1" applyProtection="1">
      <protection locked="0"/>
    </xf>
    <xf numFmtId="44" fontId="2" fillId="0" borderId="29" xfId="0" applyNumberFormat="1" applyFont="1" applyBorder="1" applyProtection="1">
      <protection locked="0"/>
    </xf>
    <xf numFmtId="0" fontId="12" fillId="6" borderId="21" xfId="0" applyFont="1" applyFill="1" applyBorder="1" applyProtection="1">
      <protection locked="0"/>
    </xf>
    <xf numFmtId="0" fontId="10" fillId="6" borderId="22" xfId="0" applyFont="1" applyFill="1" applyBorder="1" applyProtection="1">
      <protection locked="0"/>
    </xf>
    <xf numFmtId="0" fontId="9" fillId="6" borderId="22" xfId="0" applyFont="1" applyFill="1" applyBorder="1" applyProtection="1">
      <protection locked="0"/>
    </xf>
    <xf numFmtId="43" fontId="9" fillId="6" borderId="22" xfId="1" applyFont="1" applyFill="1" applyBorder="1" applyProtection="1">
      <protection locked="0"/>
    </xf>
    <xf numFmtId="0" fontId="9" fillId="6" borderId="29" xfId="0" applyFont="1" applyFill="1" applyBorder="1" applyProtection="1">
      <protection locked="0"/>
    </xf>
    <xf numFmtId="0" fontId="2" fillId="5" borderId="34" xfId="0" applyFont="1" applyFill="1" applyBorder="1" applyProtection="1">
      <protection locked="0"/>
    </xf>
    <xf numFmtId="0" fontId="2" fillId="5" borderId="12" xfId="0" applyFont="1" applyFill="1" applyBorder="1" applyProtection="1">
      <protection locked="0"/>
    </xf>
    <xf numFmtId="0" fontId="2" fillId="5" borderId="13" xfId="0" applyFont="1" applyFill="1" applyBorder="1" applyProtection="1">
      <protection locked="0"/>
    </xf>
    <xf numFmtId="44" fontId="0" fillId="0" borderId="22" xfId="2" applyFont="1" applyFill="1" applyBorder="1" applyProtection="1">
      <protection locked="0"/>
    </xf>
    <xf numFmtId="0" fontId="9" fillId="6" borderId="10" xfId="0" applyFont="1" applyFill="1" applyBorder="1" applyProtection="1">
      <protection locked="0"/>
    </xf>
    <xf numFmtId="0" fontId="9" fillId="6" borderId="11" xfId="0" applyFont="1" applyFill="1" applyBorder="1" applyProtection="1">
      <protection locked="0"/>
    </xf>
    <xf numFmtId="0" fontId="0" fillId="5" borderId="21" xfId="0" applyFill="1" applyBorder="1" applyProtection="1">
      <protection locked="0"/>
    </xf>
    <xf numFmtId="0" fontId="0" fillId="5" borderId="22" xfId="0" applyFill="1" applyBorder="1" applyProtection="1">
      <protection locked="0"/>
    </xf>
    <xf numFmtId="43" fontId="0" fillId="0" borderId="22" xfId="1" applyFont="1" applyBorder="1" applyProtection="1">
      <protection locked="0"/>
    </xf>
    <xf numFmtId="0" fontId="12" fillId="6" borderId="9" xfId="0" applyFont="1" applyFill="1" applyBorder="1" applyAlignment="1" applyProtection="1">
      <alignment horizontal="left"/>
      <protection locked="0"/>
    </xf>
    <xf numFmtId="0" fontId="6" fillId="5" borderId="27" xfId="0" applyFont="1" applyFill="1" applyBorder="1" applyAlignment="1" applyProtection="1">
      <alignment horizontal="center"/>
      <protection locked="0"/>
    </xf>
    <xf numFmtId="0" fontId="6" fillId="5" borderId="2" xfId="0" applyFont="1" applyFill="1" applyBorder="1" applyAlignment="1" applyProtection="1">
      <alignment horizontal="center"/>
      <protection locked="0"/>
    </xf>
    <xf numFmtId="0" fontId="6" fillId="5" borderId="2" xfId="0" applyFont="1" applyFill="1" applyBorder="1" applyAlignment="1" applyProtection="1">
      <alignment horizontal="center" wrapText="1"/>
      <protection locked="0"/>
    </xf>
    <xf numFmtId="0" fontId="18" fillId="5" borderId="0" xfId="0" applyFont="1" applyFill="1" applyAlignment="1" applyProtection="1">
      <alignment horizontal="center"/>
      <protection locked="0"/>
    </xf>
    <xf numFmtId="42" fontId="9" fillId="6" borderId="22" xfId="2" applyNumberFormat="1" applyFont="1" applyFill="1" applyBorder="1" applyProtection="1">
      <protection locked="0"/>
    </xf>
    <xf numFmtId="0" fontId="12" fillId="6" borderId="29" xfId="0" applyFont="1" applyFill="1" applyBorder="1" applyAlignment="1" applyProtection="1">
      <alignment horizontal="right"/>
      <protection locked="0"/>
    </xf>
    <xf numFmtId="0" fontId="12" fillId="6" borderId="21" xfId="0" applyFont="1" applyFill="1" applyBorder="1" applyAlignment="1" applyProtection="1">
      <alignment horizontal="left" vertical="center"/>
      <protection locked="0"/>
    </xf>
    <xf numFmtId="0" fontId="10" fillId="6" borderId="22" xfId="0" applyFont="1" applyFill="1" applyBorder="1" applyAlignment="1" applyProtection="1">
      <alignment vertical="top" wrapText="1"/>
      <protection locked="0"/>
    </xf>
    <xf numFmtId="0" fontId="12" fillId="6" borderId="37" xfId="0" applyFont="1" applyFill="1" applyBorder="1" applyAlignment="1" applyProtection="1">
      <alignment horizontal="center" vertical="center"/>
      <protection locked="0"/>
    </xf>
    <xf numFmtId="0" fontId="12" fillId="6" borderId="37" xfId="0" applyFont="1" applyFill="1" applyBorder="1" applyAlignment="1" applyProtection="1">
      <alignment horizontal="center" vertical="center" wrapText="1"/>
      <protection locked="0"/>
    </xf>
    <xf numFmtId="0" fontId="12" fillId="6" borderId="29" xfId="0" applyFont="1" applyFill="1" applyBorder="1" applyAlignment="1" applyProtection="1">
      <alignment horizontal="center" vertical="center" wrapText="1"/>
      <protection locked="0"/>
    </xf>
    <xf numFmtId="0" fontId="16" fillId="0" borderId="37" xfId="0" applyFont="1" applyBorder="1" applyProtection="1">
      <protection locked="0"/>
    </xf>
    <xf numFmtId="0" fontId="8" fillId="0" borderId="0" xfId="0" applyFont="1" applyAlignment="1" applyProtection="1">
      <alignment vertical="top" wrapText="1"/>
      <protection locked="0"/>
    </xf>
    <xf numFmtId="2" fontId="16" fillId="0" borderId="37" xfId="0" applyNumberFormat="1" applyFont="1" applyBorder="1" applyProtection="1">
      <protection locked="0"/>
    </xf>
    <xf numFmtId="0" fontId="14" fillId="5" borderId="22" xfId="0" applyFont="1" applyFill="1" applyBorder="1" applyAlignment="1" applyProtection="1">
      <alignment vertical="top" wrapText="1"/>
      <protection locked="0"/>
    </xf>
    <xf numFmtId="0" fontId="2" fillId="5" borderId="22" xfId="0" applyFont="1" applyFill="1" applyBorder="1" applyAlignment="1" applyProtection="1">
      <alignment vertical="top" wrapText="1"/>
      <protection locked="0"/>
    </xf>
    <xf numFmtId="0" fontId="14" fillId="5" borderId="36" xfId="0" applyFont="1" applyFill="1" applyBorder="1" applyAlignment="1" applyProtection="1">
      <alignment horizontal="right" vertical="center"/>
      <protection locked="0"/>
    </xf>
    <xf numFmtId="0" fontId="0" fillId="0" borderId="7" xfId="0" applyBorder="1" applyProtection="1">
      <protection locked="0"/>
    </xf>
    <xf numFmtId="0" fontId="14" fillId="0" borderId="8" xfId="0" applyFont="1" applyBorder="1" applyProtection="1">
      <protection locked="0"/>
    </xf>
    <xf numFmtId="0" fontId="14" fillId="0" borderId="21" xfId="0" applyFont="1" applyBorder="1" applyProtection="1">
      <protection locked="0"/>
    </xf>
    <xf numFmtId="0" fontId="20" fillId="0" borderId="22" xfId="0" applyFont="1" applyBorder="1" applyAlignment="1" applyProtection="1">
      <alignment horizontal="right"/>
      <protection locked="0"/>
    </xf>
    <xf numFmtId="43" fontId="0" fillId="0" borderId="0" xfId="1" applyFont="1" applyProtection="1">
      <protection locked="0"/>
    </xf>
    <xf numFmtId="42" fontId="20" fillId="4" borderId="23" xfId="0" applyNumberFormat="1" applyFont="1" applyFill="1" applyBorder="1" applyAlignment="1">
      <alignment horizontal="center"/>
    </xf>
    <xf numFmtId="165" fontId="0" fillId="2" borderId="2" xfId="0" applyNumberFormat="1" applyFill="1" applyBorder="1"/>
    <xf numFmtId="165" fontId="0" fillId="2" borderId="1" xfId="0" applyNumberFormat="1" applyFill="1" applyBorder="1"/>
    <xf numFmtId="165" fontId="0" fillId="2" borderId="20" xfId="0" applyNumberFormat="1" applyFill="1" applyBorder="1"/>
    <xf numFmtId="165" fontId="14" fillId="2" borderId="23" xfId="0" applyNumberFormat="1" applyFont="1" applyFill="1" applyBorder="1"/>
    <xf numFmtId="42" fontId="2" fillId="2" borderId="16" xfId="0" applyNumberFormat="1" applyFont="1" applyFill="1" applyBorder="1"/>
    <xf numFmtId="42" fontId="2" fillId="2" borderId="28" xfId="0" applyNumberFormat="1" applyFont="1" applyFill="1" applyBorder="1"/>
    <xf numFmtId="165" fontId="0" fillId="2" borderId="26" xfId="0" applyNumberFormat="1" applyFill="1" applyBorder="1"/>
    <xf numFmtId="165" fontId="0" fillId="2" borderId="48" xfId="0" applyNumberFormat="1" applyFill="1" applyBorder="1"/>
    <xf numFmtId="165" fontId="14" fillId="4" borderId="23" xfId="0" applyNumberFormat="1" applyFont="1" applyFill="1" applyBorder="1"/>
    <xf numFmtId="0" fontId="20" fillId="0" borderId="0" xfId="0" applyFont="1" applyAlignment="1" applyProtection="1">
      <alignment horizontal="center"/>
      <protection locked="0"/>
    </xf>
    <xf numFmtId="165" fontId="16" fillId="4" borderId="23" xfId="2" applyNumberFormat="1" applyFont="1" applyFill="1" applyBorder="1" applyAlignment="1" applyProtection="1">
      <alignment horizontal="center"/>
    </xf>
    <xf numFmtId="165" fontId="16" fillId="4" borderId="11" xfId="2" applyNumberFormat="1" applyFont="1" applyFill="1" applyBorder="1" applyAlignment="1" applyProtection="1">
      <alignment horizontal="center"/>
    </xf>
    <xf numFmtId="0" fontId="20" fillId="0" borderId="0" xfId="0" applyFont="1" applyAlignment="1">
      <alignment horizontal="center"/>
    </xf>
    <xf numFmtId="0" fontId="29" fillId="0" borderId="0" xfId="0" applyFont="1" applyProtection="1">
      <protection locked="0"/>
    </xf>
    <xf numFmtId="0" fontId="20" fillId="0" borderId="10" xfId="0" applyFont="1" applyBorder="1" applyAlignment="1" applyProtection="1">
      <alignment horizontal="center"/>
      <protection locked="0"/>
    </xf>
    <xf numFmtId="0" fontId="20" fillId="0" borderId="8" xfId="0" applyFont="1" applyBorder="1" applyAlignment="1" applyProtection="1">
      <alignment horizontal="center"/>
      <protection locked="0"/>
    </xf>
    <xf numFmtId="0" fontId="20" fillId="0" borderId="6" xfId="0" applyFont="1" applyBorder="1" applyProtection="1">
      <protection locked="0"/>
    </xf>
    <xf numFmtId="0" fontId="20" fillId="0" borderId="0" xfId="0" applyFont="1" applyProtection="1">
      <protection locked="0"/>
    </xf>
    <xf numFmtId="42" fontId="20" fillId="0" borderId="8" xfId="0" applyNumberFormat="1" applyFont="1" applyBorder="1" applyAlignment="1">
      <alignment horizontal="center"/>
    </xf>
    <xf numFmtId="0" fontId="28" fillId="0" borderId="0" xfId="0" applyFont="1" applyProtection="1">
      <protection locked="0"/>
    </xf>
    <xf numFmtId="166" fontId="20" fillId="0" borderId="0" xfId="0" applyNumberFormat="1" applyFont="1" applyAlignment="1" applyProtection="1">
      <alignment horizontal="right"/>
      <protection locked="0"/>
    </xf>
    <xf numFmtId="0" fontId="23" fillId="0" borderId="0" xfId="0" applyFont="1" applyAlignment="1" applyProtection="1">
      <alignment vertical="center" wrapText="1"/>
      <protection locked="0"/>
    </xf>
    <xf numFmtId="167" fontId="20" fillId="3" borderId="23" xfId="0" applyNumberFormat="1" applyFont="1" applyFill="1" applyBorder="1" applyAlignment="1" applyProtection="1">
      <alignment horizontal="right"/>
      <protection locked="0"/>
    </xf>
    <xf numFmtId="0" fontId="30" fillId="0" borderId="0" xfId="0" applyFont="1" applyAlignment="1" applyProtection="1">
      <alignment horizontal="left" vertical="center"/>
      <protection locked="0"/>
    </xf>
    <xf numFmtId="0" fontId="12" fillId="6" borderId="7" xfId="0" applyFont="1" applyFill="1" applyBorder="1"/>
    <xf numFmtId="0" fontId="12" fillId="6" borderId="13" xfId="0" applyFont="1" applyFill="1" applyBorder="1"/>
    <xf numFmtId="0" fontId="11" fillId="6" borderId="0" xfId="0" applyFont="1" applyFill="1"/>
    <xf numFmtId="0" fontId="9" fillId="6" borderId="0" xfId="0" applyFont="1" applyFill="1"/>
    <xf numFmtId="43" fontId="9" fillId="6" borderId="8" xfId="1" applyFont="1" applyFill="1" applyBorder="1" applyProtection="1"/>
    <xf numFmtId="0" fontId="9" fillId="6" borderId="8" xfId="0" applyFont="1" applyFill="1" applyBorder="1"/>
    <xf numFmtId="0" fontId="0" fillId="0" borderId="41" xfId="0" applyBorder="1"/>
    <xf numFmtId="0" fontId="2" fillId="0" borderId="4" xfId="0" applyFont="1" applyBorder="1"/>
    <xf numFmtId="0" fontId="2" fillId="0" borderId="4" xfId="0" applyFont="1" applyBorder="1" applyAlignment="1">
      <alignment horizontal="center"/>
    </xf>
    <xf numFmtId="0" fontId="2" fillId="0" borderId="4" xfId="0" applyFont="1" applyBorder="1" applyAlignment="1">
      <alignment horizontal="center" wrapText="1"/>
    </xf>
    <xf numFmtId="43" fontId="2" fillId="0" borderId="4" xfId="1" applyFont="1" applyBorder="1" applyAlignment="1" applyProtection="1">
      <alignment horizontal="center" wrapText="1"/>
    </xf>
    <xf numFmtId="0" fontId="2" fillId="0" borderId="13" xfId="0" applyFont="1" applyBorder="1" applyAlignment="1">
      <alignment horizontal="center" wrapText="1"/>
    </xf>
    <xf numFmtId="0" fontId="2" fillId="0" borderId="42" xfId="0" applyFont="1" applyBorder="1" applyAlignment="1">
      <alignment horizontal="center" wrapText="1"/>
    </xf>
    <xf numFmtId="0" fontId="0" fillId="0" borderId="7" xfId="0" applyBorder="1" applyAlignment="1">
      <alignment horizontal="left" vertical="top" wrapText="1"/>
    </xf>
    <xf numFmtId="0" fontId="2" fillId="0" borderId="53" xfId="0" applyFont="1" applyBorder="1" applyAlignment="1">
      <alignment horizontal="left" vertical="top" wrapText="1"/>
    </xf>
    <xf numFmtId="0" fontId="2" fillId="0" borderId="54" xfId="0" applyFont="1" applyBorder="1" applyAlignment="1">
      <alignment horizontal="left" vertical="top" wrapText="1"/>
    </xf>
    <xf numFmtId="0" fontId="0" fillId="0" borderId="53" xfId="0" applyBorder="1"/>
    <xf numFmtId="0" fontId="0" fillId="0" borderId="54" xfId="0" applyBorder="1"/>
    <xf numFmtId="0" fontId="0" fillId="0" borderId="53" xfId="0" applyBorder="1" applyAlignment="1">
      <alignment wrapText="1"/>
    </xf>
    <xf numFmtId="0" fontId="0" fillId="0" borderId="54" xfId="0" applyBorder="1" applyAlignment="1">
      <alignment horizontal="left" vertical="top" wrapText="1"/>
    </xf>
    <xf numFmtId="0" fontId="0" fillId="0" borderId="53" xfId="0" applyBorder="1" applyAlignment="1">
      <alignment vertical="top"/>
    </xf>
    <xf numFmtId="0" fontId="0" fillId="0" borderId="54" xfId="0" applyBorder="1" applyAlignment="1">
      <alignment wrapText="1"/>
    </xf>
    <xf numFmtId="0" fontId="0" fillId="0" borderId="53" xfId="0" applyBorder="1" applyAlignment="1">
      <alignment horizontal="left" vertical="top" wrapText="1"/>
    </xf>
    <xf numFmtId="0" fontId="0" fillId="0" borderId="54" xfId="0" applyBorder="1" applyAlignment="1">
      <alignment vertical="top"/>
    </xf>
    <xf numFmtId="0" fontId="0" fillId="0" borderId="53" xfId="0" applyBorder="1" applyAlignment="1">
      <alignment horizontal="left" vertical="top"/>
    </xf>
    <xf numFmtId="0" fontId="0" fillId="0" borderId="55" xfId="0" applyBorder="1"/>
    <xf numFmtId="0" fontId="0" fillId="0" borderId="56" xfId="0" applyBorder="1"/>
    <xf numFmtId="0" fontId="0" fillId="3" borderId="34" xfId="0" applyFill="1" applyBorder="1" applyAlignment="1" applyProtection="1">
      <alignment wrapText="1"/>
      <protection locked="0"/>
    </xf>
    <xf numFmtId="0" fontId="0" fillId="3" borderId="24" xfId="0" applyFill="1" applyBorder="1" applyAlignment="1" applyProtection="1">
      <alignment wrapText="1"/>
      <protection locked="0"/>
    </xf>
    <xf numFmtId="0" fontId="0" fillId="3" borderId="5" xfId="0" applyFill="1" applyBorder="1" applyAlignment="1" applyProtection="1">
      <alignment wrapText="1"/>
      <protection locked="0"/>
    </xf>
    <xf numFmtId="0" fontId="0" fillId="0" borderId="51" xfId="0" applyBorder="1" applyAlignment="1">
      <alignment horizontal="left" vertical="top"/>
    </xf>
    <xf numFmtId="0" fontId="0" fillId="0" borderId="52" xfId="0" applyBorder="1" applyAlignment="1">
      <alignment horizontal="left" vertical="top" wrapText="1"/>
    </xf>
    <xf numFmtId="0" fontId="2" fillId="0" borderId="51" xfId="0" applyFont="1" applyBorder="1" applyAlignment="1">
      <alignment horizontal="left" vertical="top"/>
    </xf>
    <xf numFmtId="0" fontId="0" fillId="3" borderId="57" xfId="0" applyFill="1" applyBorder="1" applyProtection="1">
      <protection locked="0"/>
    </xf>
    <xf numFmtId="14" fontId="0" fillId="3" borderId="57" xfId="0" applyNumberFormat="1" applyFill="1" applyBorder="1" applyAlignment="1" applyProtection="1">
      <alignment horizontal="center"/>
      <protection locked="0"/>
    </xf>
    <xf numFmtId="0" fontId="0" fillId="3" borderId="30" xfId="0" applyFill="1" applyBorder="1" applyProtection="1">
      <protection locked="0"/>
    </xf>
    <xf numFmtId="14" fontId="0" fillId="3" borderId="30" xfId="0" applyNumberFormat="1" applyFill="1" applyBorder="1" applyAlignment="1" applyProtection="1">
      <alignment horizontal="center"/>
      <protection locked="0"/>
    </xf>
    <xf numFmtId="43" fontId="19" fillId="5" borderId="12" xfId="1" applyFont="1" applyFill="1" applyBorder="1" applyAlignment="1" applyProtection="1">
      <alignment horizontal="center"/>
      <protection locked="0"/>
    </xf>
    <xf numFmtId="43" fontId="19" fillId="5" borderId="13" xfId="1" applyFont="1" applyFill="1" applyBorder="1" applyAlignment="1" applyProtection="1">
      <alignment horizontal="center"/>
      <protection locked="0"/>
    </xf>
    <xf numFmtId="0" fontId="2" fillId="5" borderId="13" xfId="0" applyFont="1" applyFill="1" applyBorder="1" applyAlignment="1" applyProtection="1">
      <alignment horizontal="center"/>
      <protection locked="0"/>
    </xf>
    <xf numFmtId="44" fontId="4" fillId="5" borderId="0" xfId="2" applyFont="1" applyFill="1" applyBorder="1" applyAlignment="1" applyProtection="1">
      <alignment horizontal="right"/>
      <protection locked="0"/>
    </xf>
    <xf numFmtId="0" fontId="0" fillId="3" borderId="26" xfId="0" applyFill="1" applyBorder="1" applyAlignment="1" applyProtection="1">
      <alignment horizontal="left" vertical="top" wrapText="1"/>
      <protection locked="0"/>
    </xf>
    <xf numFmtId="0" fontId="19" fillId="5" borderId="10" xfId="0" applyFont="1" applyFill="1" applyBorder="1" applyAlignment="1" applyProtection="1">
      <alignment horizontal="center"/>
      <protection locked="0"/>
    </xf>
    <xf numFmtId="0" fontId="38" fillId="0" borderId="0" xfId="4" applyAlignment="1">
      <alignment horizontal="left" vertical="top" wrapText="1"/>
    </xf>
    <xf numFmtId="0" fontId="0" fillId="3" borderId="3" xfId="0" applyFill="1" applyBorder="1" applyAlignment="1" applyProtection="1">
      <alignment horizontal="left" vertical="top" wrapText="1"/>
      <protection locked="0"/>
    </xf>
    <xf numFmtId="0" fontId="0" fillId="3" borderId="4" xfId="0" applyFill="1" applyBorder="1" applyAlignment="1" applyProtection="1">
      <alignment horizontal="left" vertical="top" wrapText="1"/>
      <protection locked="0"/>
    </xf>
    <xf numFmtId="0" fontId="0" fillId="3" borderId="5" xfId="0" applyFill="1" applyBorder="1" applyAlignment="1" applyProtection="1">
      <alignment horizontal="left" vertical="top" wrapText="1"/>
      <protection locked="0"/>
    </xf>
    <xf numFmtId="0" fontId="0" fillId="3" borderId="12" xfId="0" applyFill="1" applyBorder="1" applyAlignment="1" applyProtection="1">
      <alignment horizontal="left" vertical="top" wrapText="1"/>
      <protection locked="0"/>
    </xf>
    <xf numFmtId="0" fontId="0" fillId="3" borderId="13" xfId="0" applyFill="1" applyBorder="1" applyAlignment="1" applyProtection="1">
      <alignment horizontal="left" vertical="top" wrapText="1"/>
      <protection locked="0"/>
    </xf>
    <xf numFmtId="0" fontId="0" fillId="3" borderId="34" xfId="0" applyFill="1" applyBorder="1" applyAlignment="1" applyProtection="1">
      <alignment horizontal="left" vertical="top" wrapText="1"/>
      <protection locked="0"/>
    </xf>
    <xf numFmtId="0" fontId="0" fillId="3" borderId="24" xfId="0" applyFill="1" applyBorder="1" applyAlignment="1" applyProtection="1">
      <alignment horizontal="left" vertical="top" wrapText="1"/>
      <protection locked="0"/>
    </xf>
    <xf numFmtId="0" fontId="0" fillId="0" borderId="60" xfId="0" applyBorder="1"/>
    <xf numFmtId="49" fontId="0" fillId="6" borderId="15" xfId="2" applyNumberFormat="1" applyFont="1" applyFill="1" applyBorder="1" applyProtection="1">
      <protection locked="0"/>
    </xf>
    <xf numFmtId="49" fontId="0" fillId="6" borderId="30" xfId="2" applyNumberFormat="1" applyFont="1" applyFill="1" applyBorder="1" applyProtection="1">
      <protection locked="0"/>
    </xf>
    <xf numFmtId="0" fontId="0" fillId="6" borderId="0" xfId="0" applyFill="1" applyProtection="1">
      <protection locked="0"/>
    </xf>
    <xf numFmtId="49" fontId="0" fillId="6" borderId="16" xfId="2" applyNumberFormat="1" applyFont="1" applyFill="1" applyBorder="1" applyProtection="1">
      <protection locked="0"/>
    </xf>
    <xf numFmtId="44" fontId="0" fillId="6" borderId="33" xfId="0" applyNumberFormat="1" applyFill="1" applyBorder="1" applyProtection="1">
      <protection locked="0"/>
    </xf>
    <xf numFmtId="0" fontId="0" fillId="6" borderId="31" xfId="0" applyFill="1" applyBorder="1" applyProtection="1">
      <protection locked="0"/>
    </xf>
    <xf numFmtId="0" fontId="0" fillId="6" borderId="32" xfId="0" applyFill="1" applyBorder="1" applyProtection="1">
      <protection locked="0"/>
    </xf>
    <xf numFmtId="42" fontId="0" fillId="6" borderId="15" xfId="2" applyNumberFormat="1" applyFont="1" applyFill="1" applyBorder="1" applyProtection="1">
      <protection locked="0"/>
    </xf>
    <xf numFmtId="42" fontId="0" fillId="6" borderId="30" xfId="2" applyNumberFormat="1" applyFont="1" applyFill="1" applyBorder="1" applyProtection="1">
      <protection locked="0"/>
    </xf>
    <xf numFmtId="42" fontId="0" fillId="6" borderId="16" xfId="2" applyNumberFormat="1" applyFont="1" applyFill="1" applyBorder="1" applyProtection="1">
      <protection locked="0"/>
    </xf>
    <xf numFmtId="0" fontId="0" fillId="6" borderId="10" xfId="0" applyFill="1" applyBorder="1" applyProtection="1">
      <protection locked="0"/>
    </xf>
    <xf numFmtId="0" fontId="0" fillId="6" borderId="15" xfId="2" applyNumberFormat="1" applyFont="1" applyFill="1" applyBorder="1" applyProtection="1"/>
    <xf numFmtId="0" fontId="0" fillId="6" borderId="30" xfId="2" applyNumberFormat="1" applyFont="1" applyFill="1" applyBorder="1" applyProtection="1"/>
    <xf numFmtId="0" fontId="0" fillId="6" borderId="16" xfId="2" applyNumberFormat="1" applyFont="1" applyFill="1" applyBorder="1" applyProtection="1"/>
    <xf numFmtId="0" fontId="0" fillId="6" borderId="0" xfId="0" applyFill="1"/>
    <xf numFmtId="0" fontId="0" fillId="6" borderId="32" xfId="0" applyFill="1" applyBorder="1"/>
    <xf numFmtId="0" fontId="0" fillId="6" borderId="33" xfId="0" applyFill="1" applyBorder="1" applyProtection="1">
      <protection locked="0"/>
    </xf>
    <xf numFmtId="0" fontId="0" fillId="3" borderId="1" xfId="0" applyFill="1" applyBorder="1" applyAlignment="1" applyProtection="1">
      <alignment horizontal="left" vertical="top"/>
      <protection locked="0"/>
    </xf>
    <xf numFmtId="0" fontId="0" fillId="3" borderId="20" xfId="0" applyFill="1" applyBorder="1" applyAlignment="1" applyProtection="1">
      <alignment horizontal="left" vertical="top"/>
      <protection locked="0"/>
    </xf>
    <xf numFmtId="0" fontId="0" fillId="3" borderId="2" xfId="0" applyFill="1" applyBorder="1" applyAlignment="1" applyProtection="1">
      <alignment horizontal="left" vertical="top"/>
      <protection locked="0"/>
    </xf>
    <xf numFmtId="14" fontId="0" fillId="3" borderId="1" xfId="0" applyNumberFormat="1" applyFill="1" applyBorder="1" applyAlignment="1" applyProtection="1">
      <alignment horizontal="left" vertical="top"/>
      <protection locked="0"/>
    </xf>
    <xf numFmtId="14" fontId="0" fillId="3" borderId="2" xfId="0" applyNumberFormat="1" applyFill="1" applyBorder="1" applyAlignment="1" applyProtection="1">
      <alignment horizontal="left" vertical="top"/>
      <protection locked="0"/>
    </xf>
    <xf numFmtId="164" fontId="4" fillId="3" borderId="20" xfId="2" applyNumberFormat="1" applyFont="1" applyFill="1" applyBorder="1" applyAlignment="1" applyProtection="1">
      <alignment horizontal="right"/>
      <protection locked="0"/>
    </xf>
    <xf numFmtId="168" fontId="0" fillId="3" borderId="1" xfId="2" applyNumberFormat="1" applyFont="1" applyFill="1" applyBorder="1" applyProtection="1">
      <protection locked="0"/>
    </xf>
    <xf numFmtId="168" fontId="0" fillId="3" borderId="20" xfId="2" applyNumberFormat="1" applyFont="1" applyFill="1" applyBorder="1" applyProtection="1">
      <protection locked="0"/>
    </xf>
    <xf numFmtId="168" fontId="0" fillId="3" borderId="2" xfId="0" applyNumberFormat="1" applyFill="1" applyBorder="1" applyProtection="1">
      <protection locked="0"/>
    </xf>
    <xf numFmtId="168" fontId="0" fillId="3" borderId="1" xfId="0" applyNumberFormat="1" applyFill="1" applyBorder="1" applyProtection="1">
      <protection locked="0"/>
    </xf>
    <xf numFmtId="168" fontId="0" fillId="3" borderId="20" xfId="0" applyNumberFormat="1" applyFill="1" applyBorder="1" applyProtection="1">
      <protection locked="0"/>
    </xf>
    <xf numFmtId="168" fontId="0" fillId="3" borderId="12" xfId="0" applyNumberFormat="1" applyFill="1" applyBorder="1" applyProtection="1">
      <protection locked="0"/>
    </xf>
    <xf numFmtId="168" fontId="0" fillId="3" borderId="3" xfId="0" applyNumberFormat="1" applyFill="1" applyBorder="1" applyProtection="1">
      <protection locked="0"/>
    </xf>
    <xf numFmtId="168" fontId="0" fillId="3" borderId="18" xfId="0" applyNumberFormat="1" applyFill="1" applyBorder="1" applyProtection="1">
      <protection locked="0"/>
    </xf>
    <xf numFmtId="168" fontId="4" fillId="3" borderId="1" xfId="2" applyNumberFormat="1" applyFont="1" applyFill="1" applyBorder="1" applyAlignment="1" applyProtection="1">
      <alignment horizontal="right"/>
      <protection locked="0"/>
    </xf>
    <xf numFmtId="168" fontId="4" fillId="3" borderId="20" xfId="2" applyNumberFormat="1" applyFont="1" applyFill="1" applyBorder="1" applyAlignment="1" applyProtection="1">
      <alignment horizontal="right"/>
      <protection locked="0"/>
    </xf>
    <xf numFmtId="168" fontId="4" fillId="3" borderId="2" xfId="2" applyNumberFormat="1" applyFont="1" applyFill="1" applyBorder="1" applyAlignment="1" applyProtection="1">
      <alignment horizontal="right"/>
      <protection locked="0"/>
    </xf>
    <xf numFmtId="168" fontId="4" fillId="3" borderId="3" xfId="2" applyNumberFormat="1" applyFont="1" applyFill="1" applyBorder="1" applyAlignment="1" applyProtection="1">
      <alignment horizontal="right"/>
      <protection locked="0"/>
    </xf>
    <xf numFmtId="168" fontId="4" fillId="3" borderId="18" xfId="2" applyNumberFormat="1" applyFont="1" applyFill="1" applyBorder="1" applyAlignment="1" applyProtection="1">
      <alignment horizontal="right"/>
      <protection locked="0"/>
    </xf>
    <xf numFmtId="168" fontId="4" fillId="3" borderId="12" xfId="2" applyNumberFormat="1" applyFont="1" applyFill="1" applyBorder="1" applyAlignment="1" applyProtection="1">
      <alignment horizontal="right"/>
      <protection locked="0"/>
    </xf>
    <xf numFmtId="168" fontId="0" fillId="3" borderId="3" xfId="0" applyNumberFormat="1" applyFill="1" applyBorder="1" applyAlignment="1" applyProtection="1">
      <alignment horizontal="center"/>
      <protection locked="0"/>
    </xf>
    <xf numFmtId="168" fontId="0" fillId="3" borderId="18" xfId="0" applyNumberFormat="1" applyFill="1" applyBorder="1" applyAlignment="1" applyProtection="1">
      <alignment horizontal="center"/>
      <protection locked="0"/>
    </xf>
    <xf numFmtId="168" fontId="0" fillId="3" borderId="12" xfId="0" applyNumberFormat="1" applyFill="1" applyBorder="1" applyAlignment="1" applyProtection="1">
      <alignment horizontal="center"/>
      <protection locked="0"/>
    </xf>
    <xf numFmtId="168" fontId="0" fillId="3" borderId="3" xfId="1" applyNumberFormat="1" applyFont="1" applyFill="1" applyBorder="1" applyAlignment="1" applyProtection="1">
      <alignment horizontal="center"/>
      <protection locked="0"/>
    </xf>
    <xf numFmtId="168" fontId="0" fillId="3" borderId="18" xfId="1" applyNumberFormat="1" applyFont="1" applyFill="1" applyBorder="1" applyAlignment="1" applyProtection="1">
      <alignment horizontal="center"/>
      <protection locked="0"/>
    </xf>
    <xf numFmtId="168" fontId="0" fillId="3" borderId="12" xfId="1" applyNumberFormat="1" applyFont="1" applyFill="1" applyBorder="1" applyAlignment="1" applyProtection="1">
      <alignment horizontal="center"/>
      <protection locked="0"/>
    </xf>
    <xf numFmtId="168" fontId="0" fillId="3" borderId="20" xfId="1" applyNumberFormat="1" applyFont="1" applyFill="1" applyBorder="1" applyAlignment="1" applyProtection="1">
      <alignment horizontal="center"/>
      <protection locked="0"/>
    </xf>
    <xf numFmtId="168" fontId="0" fillId="3" borderId="2" xfId="2" applyNumberFormat="1" applyFont="1" applyFill="1" applyBorder="1" applyProtection="1">
      <protection locked="0"/>
    </xf>
    <xf numFmtId="168" fontId="0" fillId="3" borderId="26" xfId="0" applyNumberFormat="1" applyFill="1" applyBorder="1" applyProtection="1">
      <protection locked="0"/>
    </xf>
    <xf numFmtId="0" fontId="6" fillId="5" borderId="12" xfId="0" applyFont="1" applyFill="1" applyBorder="1" applyAlignment="1" applyProtection="1">
      <alignment horizontal="center" wrapText="1"/>
      <protection locked="0"/>
    </xf>
    <xf numFmtId="168" fontId="0" fillId="3" borderId="4" xfId="0" applyNumberFormat="1" applyFill="1" applyBorder="1" applyAlignment="1" applyProtection="1">
      <alignment horizontal="center" vertical="center"/>
      <protection locked="0"/>
    </xf>
    <xf numFmtId="168" fontId="0" fillId="3" borderId="19" xfId="0" applyNumberFormat="1" applyFill="1" applyBorder="1" applyAlignment="1" applyProtection="1">
      <alignment horizontal="center" vertical="center"/>
      <protection locked="0"/>
    </xf>
    <xf numFmtId="168" fontId="0" fillId="3" borderId="13" xfId="0" applyNumberFormat="1" applyFill="1" applyBorder="1" applyAlignment="1" applyProtection="1">
      <alignment horizontal="center" vertical="center"/>
      <protection locked="0"/>
    </xf>
    <xf numFmtId="0" fontId="2" fillId="5" borderId="12" xfId="0" applyFont="1" applyFill="1" applyBorder="1" applyAlignment="1" applyProtection="1">
      <alignment horizontal="center" wrapText="1"/>
      <protection locked="0"/>
    </xf>
    <xf numFmtId="168" fontId="0" fillId="3" borderId="4" xfId="0" applyNumberFormat="1" applyFill="1" applyBorder="1" applyAlignment="1" applyProtection="1">
      <alignment horizontal="center"/>
      <protection locked="0"/>
    </xf>
    <xf numFmtId="168" fontId="0" fillId="3" borderId="14" xfId="0" applyNumberFormat="1" applyFill="1" applyBorder="1" applyAlignment="1" applyProtection="1">
      <alignment horizontal="center"/>
      <protection locked="0"/>
    </xf>
    <xf numFmtId="168" fontId="0" fillId="3" borderId="19" xfId="0" applyNumberFormat="1" applyFill="1" applyBorder="1" applyAlignment="1" applyProtection="1">
      <alignment horizontal="center"/>
      <protection locked="0"/>
    </xf>
    <xf numFmtId="168" fontId="0" fillId="3" borderId="13" xfId="0" applyNumberFormat="1" applyFill="1" applyBorder="1" applyAlignment="1" applyProtection="1">
      <alignment horizontal="center"/>
      <protection locked="0"/>
    </xf>
    <xf numFmtId="168" fontId="0" fillId="3" borderId="0" xfId="0" applyNumberFormat="1" applyFill="1" applyAlignment="1" applyProtection="1">
      <alignment horizontal="center"/>
      <protection locked="0"/>
    </xf>
    <xf numFmtId="0" fontId="0" fillId="3" borderId="57" xfId="0" applyFill="1" applyBorder="1" applyAlignment="1" applyProtection="1">
      <alignment horizontal="center"/>
      <protection locked="0"/>
    </xf>
    <xf numFmtId="0" fontId="0" fillId="3" borderId="30" xfId="0" applyFill="1" applyBorder="1" applyAlignment="1" applyProtection="1">
      <alignment horizontal="center"/>
      <protection locked="0"/>
    </xf>
    <xf numFmtId="168" fontId="0" fillId="3" borderId="1" xfId="0" applyNumberFormat="1" applyFill="1" applyBorder="1" applyAlignment="1" applyProtection="1">
      <alignment horizontal="center"/>
      <protection locked="0"/>
    </xf>
    <xf numFmtId="168" fontId="0" fillId="3" borderId="20" xfId="0" applyNumberFormat="1" applyFill="1" applyBorder="1" applyAlignment="1" applyProtection="1">
      <alignment horizontal="center"/>
      <protection locked="0"/>
    </xf>
    <xf numFmtId="168" fontId="0" fillId="3" borderId="2" xfId="0" applyNumberFormat="1" applyFill="1" applyBorder="1" applyAlignment="1" applyProtection="1">
      <alignment horizontal="center"/>
      <protection locked="0"/>
    </xf>
    <xf numFmtId="10" fontId="4" fillId="3" borderId="3" xfId="3" applyNumberFormat="1" applyFont="1" applyFill="1" applyBorder="1" applyAlignment="1" applyProtection="1">
      <alignment horizontal="center"/>
      <protection locked="0"/>
    </xf>
    <xf numFmtId="10" fontId="4" fillId="3" borderId="20" xfId="3" applyNumberFormat="1" applyFont="1" applyFill="1" applyBorder="1" applyAlignment="1" applyProtection="1">
      <alignment horizontal="center"/>
      <protection locked="0"/>
    </xf>
    <xf numFmtId="10" fontId="4" fillId="3" borderId="12" xfId="3" applyNumberFormat="1" applyFont="1" applyFill="1" applyBorder="1" applyAlignment="1" applyProtection="1">
      <alignment horizontal="center"/>
      <protection locked="0"/>
    </xf>
    <xf numFmtId="10" fontId="4" fillId="3" borderId="18" xfId="3" applyNumberFormat="1" applyFont="1" applyFill="1" applyBorder="1" applyAlignment="1" applyProtection="1">
      <alignment horizontal="center"/>
      <protection locked="0"/>
    </xf>
    <xf numFmtId="0" fontId="0" fillId="0" borderId="0" xfId="0" applyAlignment="1" applyProtection="1">
      <alignment horizontal="left" vertical="top" wrapText="1"/>
      <protection locked="0"/>
    </xf>
    <xf numFmtId="0" fontId="20" fillId="7" borderId="7" xfId="0" applyFont="1" applyFill="1" applyBorder="1" applyAlignment="1">
      <alignment horizontal="center" vertical="center" wrapText="1"/>
    </xf>
    <xf numFmtId="0" fontId="20" fillId="7" borderId="0" xfId="0" applyFont="1" applyFill="1" applyAlignment="1">
      <alignment horizontal="center" vertical="center" wrapText="1"/>
    </xf>
    <xf numFmtId="0" fontId="20" fillId="7" borderId="8" xfId="0" applyFont="1" applyFill="1" applyBorder="1" applyAlignment="1">
      <alignment horizontal="center" vertical="center" wrapText="1"/>
    </xf>
    <xf numFmtId="0" fontId="34" fillId="6" borderId="7" xfId="0" applyFont="1" applyFill="1" applyBorder="1" applyAlignment="1">
      <alignment horizontal="center" vertical="center" wrapText="1"/>
    </xf>
    <xf numFmtId="0" fontId="34" fillId="6" borderId="0" xfId="0" applyFont="1" applyFill="1" applyAlignment="1">
      <alignment horizontal="center" vertical="center" wrapText="1"/>
    </xf>
    <xf numFmtId="0" fontId="34" fillId="6" borderId="8" xfId="0" applyFont="1" applyFill="1" applyBorder="1" applyAlignment="1">
      <alignment horizontal="center" vertical="center" wrapText="1"/>
    </xf>
    <xf numFmtId="0" fontId="12" fillId="6" borderId="22" xfId="0" applyFont="1" applyFill="1" applyBorder="1" applyAlignment="1" applyProtection="1">
      <alignment horizontal="center" vertical="center" wrapText="1"/>
      <protection locked="0"/>
    </xf>
    <xf numFmtId="0" fontId="12" fillId="6" borderId="36" xfId="0" applyFont="1" applyFill="1" applyBorder="1" applyAlignment="1" applyProtection="1">
      <alignment horizontal="center" vertical="center" wrapText="1"/>
      <protection locked="0"/>
    </xf>
    <xf numFmtId="0" fontId="0" fillId="0" borderId="21" xfId="0" applyBorder="1" applyAlignment="1" applyProtection="1">
      <alignment horizontal="left" vertical="top" wrapText="1"/>
      <protection locked="0"/>
    </xf>
    <xf numFmtId="0" fontId="0" fillId="0" borderId="22" xfId="0" applyBorder="1" applyAlignment="1" applyProtection="1">
      <alignment horizontal="left" vertical="top" wrapText="1"/>
      <protection locked="0"/>
    </xf>
    <xf numFmtId="0" fontId="0" fillId="0" borderId="36" xfId="0" applyBorder="1" applyAlignment="1" applyProtection="1">
      <alignment horizontal="left" vertical="top" wrapText="1"/>
      <protection locked="0"/>
    </xf>
    <xf numFmtId="0" fontId="2" fillId="0" borderId="0" xfId="0" applyFont="1" applyAlignment="1" applyProtection="1">
      <alignment horizontal="left" vertical="center" wrapText="1"/>
      <protection locked="0"/>
    </xf>
    <xf numFmtId="0" fontId="0" fillId="3" borderId="35" xfId="0" applyFill="1" applyBorder="1" applyAlignment="1" applyProtection="1">
      <alignment horizontal="left" vertical="top" wrapText="1"/>
      <protection locked="0"/>
    </xf>
    <xf numFmtId="0" fontId="0" fillId="3" borderId="17" xfId="0" applyFill="1" applyBorder="1" applyAlignment="1" applyProtection="1">
      <alignment horizontal="left" vertical="top" wrapText="1"/>
      <protection locked="0"/>
    </xf>
    <xf numFmtId="0" fontId="0" fillId="3" borderId="27" xfId="0" applyFill="1" applyBorder="1" applyAlignment="1" applyProtection="1">
      <alignment horizontal="left" vertical="top" wrapText="1"/>
      <protection locked="0"/>
    </xf>
    <xf numFmtId="0" fontId="0" fillId="3" borderId="3" xfId="0" applyFill="1" applyBorder="1" applyAlignment="1" applyProtection="1">
      <alignment horizontal="left" vertical="top" wrapText="1"/>
      <protection locked="0"/>
    </xf>
    <xf numFmtId="0" fontId="0" fillId="3" borderId="4" xfId="0" applyFill="1" applyBorder="1" applyAlignment="1" applyProtection="1">
      <alignment horizontal="left" vertical="top" wrapText="1"/>
      <protection locked="0"/>
    </xf>
    <xf numFmtId="0" fontId="0" fillId="3" borderId="5" xfId="0" applyFill="1" applyBorder="1" applyAlignment="1" applyProtection="1">
      <alignment horizontal="left" vertical="top" wrapText="1"/>
      <protection locked="0"/>
    </xf>
    <xf numFmtId="0" fontId="0" fillId="3" borderId="18" xfId="0" applyFill="1" applyBorder="1" applyAlignment="1" applyProtection="1">
      <alignment horizontal="left" vertical="top" wrapText="1"/>
      <protection locked="0"/>
    </xf>
    <xf numFmtId="0" fontId="0" fillId="3" borderId="19" xfId="0" applyFill="1" applyBorder="1" applyAlignment="1" applyProtection="1">
      <alignment horizontal="left" vertical="top" wrapText="1"/>
      <protection locked="0"/>
    </xf>
    <xf numFmtId="0" fontId="0" fillId="3" borderId="24" xfId="0" applyFill="1" applyBorder="1" applyAlignment="1" applyProtection="1">
      <alignment horizontal="left" vertical="top" wrapText="1"/>
      <protection locked="0"/>
    </xf>
    <xf numFmtId="0" fontId="33" fillId="0" borderId="39" xfId="0" applyFont="1" applyBorder="1" applyAlignment="1" applyProtection="1">
      <alignment horizontal="center"/>
      <protection locked="0"/>
    </xf>
    <xf numFmtId="0" fontId="33" fillId="0" borderId="6" xfId="0" applyFont="1" applyBorder="1" applyAlignment="1" applyProtection="1">
      <alignment horizontal="center"/>
      <protection locked="0"/>
    </xf>
    <xf numFmtId="0" fontId="33" fillId="0" borderId="40" xfId="0" applyFont="1" applyBorder="1" applyAlignment="1" applyProtection="1">
      <alignment horizontal="center"/>
      <protection locked="0"/>
    </xf>
    <xf numFmtId="44" fontId="6" fillId="5" borderId="4" xfId="2" applyFont="1" applyFill="1" applyBorder="1" applyAlignment="1" applyProtection="1">
      <alignment horizontal="left" vertical="center"/>
      <protection locked="0"/>
    </xf>
    <xf numFmtId="0" fontId="6" fillId="5" borderId="4" xfId="0" applyFont="1" applyFill="1" applyBorder="1" applyAlignment="1" applyProtection="1">
      <alignment horizontal="left"/>
      <protection locked="0"/>
    </xf>
    <xf numFmtId="0" fontId="32" fillId="9" borderId="7" xfId="0" applyFont="1" applyFill="1" applyBorder="1" applyAlignment="1">
      <alignment horizontal="center" vertical="center" wrapText="1"/>
    </xf>
    <xf numFmtId="0" fontId="32" fillId="9" borderId="0" xfId="0" applyFont="1" applyFill="1" applyAlignment="1">
      <alignment horizontal="center" vertical="center" wrapText="1"/>
    </xf>
    <xf numFmtId="0" fontId="32" fillId="9" borderId="8" xfId="0" applyFont="1" applyFill="1" applyBorder="1" applyAlignment="1">
      <alignment horizontal="center" vertical="center" wrapText="1"/>
    </xf>
    <xf numFmtId="0" fontId="2" fillId="5" borderId="4" xfId="0" applyFont="1" applyFill="1" applyBorder="1" applyAlignment="1" applyProtection="1">
      <alignment horizontal="center"/>
      <protection locked="0"/>
    </xf>
    <xf numFmtId="0" fontId="2" fillId="5" borderId="5" xfId="0" applyFont="1" applyFill="1" applyBorder="1" applyAlignment="1" applyProtection="1">
      <alignment horizontal="center"/>
      <protection locked="0"/>
    </xf>
    <xf numFmtId="0" fontId="2" fillId="5" borderId="3" xfId="0" applyFont="1" applyFill="1" applyBorder="1" applyAlignment="1" applyProtection="1">
      <alignment horizontal="center"/>
      <protection locked="0"/>
    </xf>
    <xf numFmtId="0" fontId="0" fillId="3" borderId="12" xfId="0" applyFill="1" applyBorder="1" applyAlignment="1" applyProtection="1">
      <alignment horizontal="left" vertical="top" wrapText="1"/>
      <protection locked="0"/>
    </xf>
    <xf numFmtId="0" fontId="0" fillId="3" borderId="13" xfId="0" applyFill="1" applyBorder="1" applyAlignment="1" applyProtection="1">
      <alignment horizontal="left" vertical="top" wrapText="1"/>
      <protection locked="0"/>
    </xf>
    <xf numFmtId="0" fontId="0" fillId="3" borderId="34" xfId="0" applyFill="1" applyBorder="1" applyAlignment="1" applyProtection="1">
      <alignment horizontal="left" vertical="top" wrapText="1"/>
      <protection locked="0"/>
    </xf>
    <xf numFmtId="0" fontId="6" fillId="5" borderId="13" xfId="0" applyFont="1" applyFill="1" applyBorder="1" applyAlignment="1" applyProtection="1">
      <alignment horizontal="center" vertical="center" wrapText="1"/>
      <protection locked="0"/>
    </xf>
    <xf numFmtId="0" fontId="10" fillId="6" borderId="22" xfId="0" applyFont="1" applyFill="1" applyBorder="1" applyAlignment="1" applyProtection="1">
      <alignment horizontal="left" vertical="top" wrapText="1"/>
      <protection locked="0"/>
    </xf>
    <xf numFmtId="0" fontId="10" fillId="6" borderId="29" xfId="0" applyFont="1" applyFill="1" applyBorder="1" applyAlignment="1" applyProtection="1">
      <alignment horizontal="left" vertical="top" wrapText="1"/>
      <protection locked="0"/>
    </xf>
    <xf numFmtId="0" fontId="5" fillId="6" borderId="22" xfId="0" applyFont="1" applyFill="1" applyBorder="1" applyAlignment="1" applyProtection="1">
      <alignment horizontal="left" vertical="top" wrapText="1"/>
      <protection locked="0"/>
    </xf>
    <xf numFmtId="0" fontId="5" fillId="6" borderId="29" xfId="0" applyFont="1" applyFill="1" applyBorder="1" applyAlignment="1" applyProtection="1">
      <alignment horizontal="left" vertical="top" wrapText="1"/>
      <protection locked="0"/>
    </xf>
    <xf numFmtId="0" fontId="6" fillId="5" borderId="35" xfId="0" applyFont="1" applyFill="1" applyBorder="1" applyAlignment="1" applyProtection="1">
      <alignment horizontal="left" vertical="top" wrapText="1"/>
      <protection locked="0"/>
    </xf>
    <xf numFmtId="0" fontId="6" fillId="5" borderId="17" xfId="0" applyFont="1" applyFill="1" applyBorder="1" applyAlignment="1" applyProtection="1">
      <alignment horizontal="left" vertical="top" wrapText="1"/>
      <protection locked="0"/>
    </xf>
    <xf numFmtId="0" fontId="6" fillId="5" borderId="27" xfId="0" applyFont="1" applyFill="1" applyBorder="1" applyAlignment="1" applyProtection="1">
      <alignment horizontal="left" vertical="top" wrapText="1"/>
      <protection locked="0"/>
    </xf>
    <xf numFmtId="0" fontId="20" fillId="3" borderId="21" xfId="0" applyFont="1" applyFill="1" applyBorder="1" applyAlignment="1" applyProtection="1">
      <alignment horizontal="left" vertical="center"/>
      <protection locked="0"/>
    </xf>
    <xf numFmtId="0" fontId="20" fillId="3" borderId="22" xfId="0" applyFont="1" applyFill="1" applyBorder="1" applyAlignment="1" applyProtection="1">
      <alignment horizontal="left" vertical="center"/>
      <protection locked="0"/>
    </xf>
    <xf numFmtId="0" fontId="20" fillId="3" borderId="29" xfId="0" applyFont="1" applyFill="1" applyBorder="1" applyAlignment="1" applyProtection="1">
      <alignment horizontal="left" vertical="center"/>
      <protection locked="0"/>
    </xf>
    <xf numFmtId="0" fontId="20" fillId="3" borderId="21" xfId="0" applyFont="1" applyFill="1" applyBorder="1" applyAlignment="1" applyProtection="1">
      <alignment horizontal="center"/>
      <protection locked="0"/>
    </xf>
    <xf numFmtId="0" fontId="20" fillId="3" borderId="29" xfId="0" applyFont="1" applyFill="1" applyBorder="1" applyAlignment="1" applyProtection="1">
      <alignment horizontal="center"/>
      <protection locked="0"/>
    </xf>
    <xf numFmtId="0" fontId="32" fillId="8" borderId="7" xfId="0" applyFont="1" applyFill="1" applyBorder="1" applyAlignment="1">
      <alignment horizontal="left" vertical="center" wrapText="1"/>
    </xf>
    <xf numFmtId="0" fontId="32" fillId="8" borderId="0" xfId="0" applyFont="1" applyFill="1" applyAlignment="1">
      <alignment horizontal="left" vertical="center" wrapText="1"/>
    </xf>
    <xf numFmtId="0" fontId="32" fillId="8" borderId="8" xfId="0" applyFont="1" applyFill="1" applyBorder="1" applyAlignment="1">
      <alignment horizontal="left" vertical="center" wrapText="1"/>
    </xf>
    <xf numFmtId="0" fontId="39" fillId="5" borderId="7" xfId="0" applyFont="1" applyFill="1" applyBorder="1" applyAlignment="1">
      <alignment horizontal="center" vertical="center" wrapText="1"/>
    </xf>
    <xf numFmtId="0" fontId="39" fillId="5" borderId="0" xfId="0" applyFont="1" applyFill="1" applyAlignment="1">
      <alignment horizontal="center" vertical="center" wrapText="1"/>
    </xf>
    <xf numFmtId="0" fontId="0" fillId="3" borderId="3" xfId="0" applyFill="1" applyBorder="1" applyAlignment="1" applyProtection="1">
      <alignment horizontal="left" wrapText="1"/>
      <protection locked="0"/>
    </xf>
    <xf numFmtId="0" fontId="0" fillId="3" borderId="4" xfId="0" applyFill="1" applyBorder="1" applyAlignment="1" applyProtection="1">
      <alignment horizontal="left" wrapText="1"/>
      <protection locked="0"/>
    </xf>
    <xf numFmtId="0" fontId="0" fillId="3" borderId="5" xfId="0" applyFill="1" applyBorder="1" applyAlignment="1" applyProtection="1">
      <alignment horizontal="left" wrapText="1"/>
      <protection locked="0"/>
    </xf>
    <xf numFmtId="0" fontId="0" fillId="3" borderId="4" xfId="0" applyFill="1" applyBorder="1" applyAlignment="1" applyProtection="1">
      <alignment horizontal="center" wrapText="1"/>
      <protection locked="0"/>
    </xf>
    <xf numFmtId="0" fontId="0" fillId="3" borderId="5" xfId="0" applyFill="1" applyBorder="1" applyAlignment="1" applyProtection="1">
      <alignment horizontal="center" wrapText="1"/>
      <protection locked="0"/>
    </xf>
    <xf numFmtId="0" fontId="0" fillId="3" borderId="18" xfId="0" applyFill="1" applyBorder="1" applyAlignment="1" applyProtection="1">
      <alignment horizontal="left" wrapText="1"/>
      <protection locked="0"/>
    </xf>
    <xf numFmtId="0" fontId="0" fillId="3" borderId="19" xfId="0" applyFill="1" applyBorder="1" applyAlignment="1" applyProtection="1">
      <alignment horizontal="left" wrapText="1"/>
      <protection locked="0"/>
    </xf>
    <xf numFmtId="0" fontId="0" fillId="3" borderId="24" xfId="0" applyFill="1" applyBorder="1" applyAlignment="1" applyProtection="1">
      <alignment horizontal="left" wrapText="1"/>
      <protection locked="0"/>
    </xf>
    <xf numFmtId="0" fontId="0" fillId="3" borderId="35" xfId="0" applyFill="1" applyBorder="1" applyAlignment="1" applyProtection="1">
      <alignment horizontal="left" wrapText="1"/>
      <protection locked="0"/>
    </xf>
    <xf numFmtId="0" fontId="0" fillId="3" borderId="17" xfId="0" applyFill="1" applyBorder="1" applyAlignment="1" applyProtection="1">
      <alignment horizontal="left" wrapText="1"/>
      <protection locked="0"/>
    </xf>
    <xf numFmtId="0" fontId="0" fillId="3" borderId="27" xfId="0" applyFill="1" applyBorder="1" applyAlignment="1" applyProtection="1">
      <alignment horizontal="left" wrapText="1"/>
      <protection locked="0"/>
    </xf>
    <xf numFmtId="0" fontId="33" fillId="0" borderId="7" xfId="0" applyFont="1" applyBorder="1" applyAlignment="1">
      <alignment horizontal="center"/>
    </xf>
    <xf numFmtId="0" fontId="33" fillId="0" borderId="0" xfId="0" applyFont="1" applyAlignment="1">
      <alignment horizontal="center"/>
    </xf>
    <xf numFmtId="0" fontId="14" fillId="9" borderId="49" xfId="0" applyFont="1" applyFill="1" applyBorder="1" applyAlignment="1">
      <alignment horizontal="center" vertical="top"/>
    </xf>
    <xf numFmtId="0" fontId="14" fillId="9" borderId="50" xfId="0" applyFont="1" applyFill="1" applyBorder="1" applyAlignment="1">
      <alignment horizontal="center" vertical="top"/>
    </xf>
    <xf numFmtId="0" fontId="0" fillId="0" borderId="55" xfId="0" applyBorder="1" applyAlignment="1">
      <alignment horizontal="left" vertical="top" wrapText="1"/>
    </xf>
    <xf numFmtId="0" fontId="0" fillId="0" borderId="56" xfId="0" applyBorder="1" applyAlignment="1">
      <alignment horizontal="left" vertical="top" wrapText="1"/>
    </xf>
    <xf numFmtId="0" fontId="2" fillId="0" borderId="0" xfId="0" applyFont="1" applyAlignment="1">
      <alignment horizontal="left" vertical="top" wrapText="1"/>
    </xf>
    <xf numFmtId="0" fontId="20" fillId="0" borderId="0" xfId="0" applyFont="1" applyAlignment="1">
      <alignment horizontal="center"/>
    </xf>
    <xf numFmtId="0" fontId="20" fillId="10" borderId="49" xfId="0" applyFont="1" applyFill="1" applyBorder="1" applyAlignment="1">
      <alignment horizontal="center"/>
    </xf>
    <xf numFmtId="0" fontId="20" fillId="10" borderId="50" xfId="0" applyFont="1" applyFill="1" applyBorder="1" applyAlignment="1">
      <alignment horizontal="center"/>
    </xf>
    <xf numFmtId="0" fontId="31" fillId="11" borderId="51" xfId="0" applyFont="1" applyFill="1" applyBorder="1" applyAlignment="1">
      <alignment horizontal="left" vertical="top" wrapText="1"/>
    </xf>
    <xf numFmtId="0" fontId="31" fillId="11" borderId="52" xfId="0" applyFont="1" applyFill="1" applyBorder="1" applyAlignment="1">
      <alignment horizontal="left" vertical="top" wrapText="1"/>
    </xf>
    <xf numFmtId="0" fontId="38" fillId="11" borderId="58" xfId="4" applyFill="1" applyBorder="1" applyAlignment="1">
      <alignment horizontal="left" vertical="top" wrapText="1"/>
    </xf>
    <xf numFmtId="0" fontId="38" fillId="11" borderId="59" xfId="4" applyFill="1" applyBorder="1" applyAlignment="1">
      <alignment horizontal="left" vertical="top" wrapText="1"/>
    </xf>
    <xf numFmtId="0" fontId="4" fillId="0" borderId="0" xfId="4" applyFont="1" applyAlignment="1">
      <alignment horizontal="left" vertical="top" wrapText="1"/>
    </xf>
  </cellXfs>
  <cellStyles count="5">
    <cellStyle name="Comma" xfId="1" builtinId="3"/>
    <cellStyle name="Currency" xfId="2" builtinId="4"/>
    <cellStyle name="Hyperlink" xfId="4" builtinId="8"/>
    <cellStyle name="Normal" xfId="0" builtinId="0"/>
    <cellStyle name="Percent" xfId="3" builtinId="5"/>
  </cellStyles>
  <dxfs count="0"/>
  <tableStyles count="0" defaultTableStyle="TableStyleMedium2" defaultPivotStyle="PivotStyleLight16"/>
  <colors>
    <mruColors>
      <color rgb="FFFFFF99"/>
      <color rgb="FF008000"/>
      <color rgb="FF00CC00"/>
      <color rgb="FFFFFF00"/>
      <color rgb="FFE2EFDA"/>
      <color rgb="FFFFFF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13" Type="http://schemas.microsoft.com/office/2017/10/relationships/person" Target="persons/person2.xml"/><Relationship Id="rId18" Type="http://schemas.microsoft.com/office/2017/10/relationships/person" Target="persons/person8.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10/relationships/person" Target="persons/person0.xml"/><Relationship Id="rId17" Type="http://schemas.microsoft.com/office/2017/10/relationships/person" Target="persons/person6.xml"/><Relationship Id="rId2" Type="http://schemas.openxmlformats.org/officeDocument/2006/relationships/worksheet" Target="worksheets/sheet2.xml"/><Relationship Id="rId16" Type="http://schemas.microsoft.com/office/2017/10/relationships/person" Target="persons/person5.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10/relationships/person" Target="persons/person1.xml"/><Relationship Id="rId5" Type="http://schemas.openxmlformats.org/officeDocument/2006/relationships/theme" Target="theme/theme1.xml"/><Relationship Id="rId15" Type="http://schemas.microsoft.com/office/2017/10/relationships/person" Target="persons/person3.xml"/><Relationship Id="rId10" Type="http://schemas.microsoft.com/office/2017/10/relationships/person" Target="persons/person7.xml"/><Relationship Id="rId4" Type="http://schemas.openxmlformats.org/officeDocument/2006/relationships/worksheet" Target="worksheets/sheet4.xml"/><Relationship Id="rId9" Type="http://schemas.microsoft.com/office/2017/10/relationships/person" Target="persons/person.xml"/><Relationship Id="rId14" Type="http://schemas.microsoft.com/office/2017/10/relationships/person" Target="persons/person4.xml"/></Relationships>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persons/person1.xml><?xml version="1.0" encoding="utf-8"?>
<personList xmlns="http://schemas.microsoft.com/office/spreadsheetml/2018/threadedcomments" xmlns:x="http://schemas.openxmlformats.org/spreadsheetml/2006/main"/>
</file>

<file path=xl/persons/person2.xml><?xml version="1.0" encoding="utf-8"?>
<personList xmlns="http://schemas.microsoft.com/office/spreadsheetml/2018/threadedcomments" xmlns:x="http://schemas.openxmlformats.org/spreadsheetml/2006/main"/>
</file>

<file path=xl/persons/person3.xml><?xml version="1.0" encoding="utf-8"?>
<personList xmlns="http://schemas.microsoft.com/office/spreadsheetml/2018/threadedcomments" xmlns:x="http://schemas.openxmlformats.org/spreadsheetml/2006/main"/>
</file>

<file path=xl/persons/person4.xml><?xml version="1.0" encoding="utf-8"?>
<personList xmlns="http://schemas.microsoft.com/office/spreadsheetml/2018/threadedcomments" xmlns:x="http://schemas.openxmlformats.org/spreadsheetml/2006/main"/>
</file>

<file path=xl/persons/person5.xml><?xml version="1.0" encoding="utf-8"?>
<personList xmlns="http://schemas.microsoft.com/office/spreadsheetml/2018/threadedcomments" xmlns:x="http://schemas.openxmlformats.org/spreadsheetml/2006/main"/>
</file>

<file path=xl/persons/person6.xml><?xml version="1.0" encoding="utf-8"?>
<personList xmlns="http://schemas.microsoft.com/office/spreadsheetml/2018/threadedcomments" xmlns:x="http://schemas.openxmlformats.org/spreadsheetml/2006/main"/>
</file>

<file path=xl/persons/person7.xml><?xml version="1.0" encoding="utf-8"?>
<personList xmlns="http://schemas.microsoft.com/office/spreadsheetml/2018/threadedcomments" xmlns:x="http://schemas.openxmlformats.org/spreadsheetml/2006/main"/>
</file>

<file path=xl/persons/person8.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4FB7BDA-CCBF-4971-A9C9-E2E6090FA15A}" name="GrantProgram" displayName="GrantProgram" ref="A1:A9" totalsRowShown="0">
  <tableColumns count="1">
    <tableColumn id="1" xr3:uid="{F3BB29CA-7C11-4933-B413-48C25A892B68}" name="Program"/>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EA20B55-2179-4EEF-A764-F4572614DC6E}" name="Table4" displayName="Table4" ref="A15:A33" totalsRowShown="0">
  <autoFilter ref="A15:A33" xr:uid="{1190C812-004A-46D7-AA02-069D207F1522}"/>
  <tableColumns count="1">
    <tableColumn id="1" xr3:uid="{64AFD4B6-D45C-4F2C-87BD-B3389B9993DB}" name="State / Protectorat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EFBD7D5-F65A-4F37-829C-37A41A9AFA04}">
  <we:reference id="1e10eb66-9ba2-46e3-84ee-57e2a49831f0" version="3.0.0.1" store="EXCatalog" storeType="EXCatalog"/>
  <we:alternateReferences>
    <we:reference id="WA104100404" version="3.0.0.1" store="en-US" storeType="OMEX"/>
  </we:alternateReferences>
  <we:properties>
    <we:property name="UniqueID" value="&quot;20233181681852075276&quot;"/>
    <we:property name="aAQ2EFZVAVVjLgYTKxBVBjxrETFgZTwncQVVNzoS" value="&quot;&quot;"/>
    <we:property name="aAQ2EFZVAVVjLgYTKxBVBjxrETFgZTwncQVVCzcURgY6GSYaVg==" value="&quot;DxQE&quot;"/>
    <we:property name="aAQ2EFZVAVVjLgYTKxBVBjxrETFgZTwncQVVNTkAfQom" value="&quot;eQ==&quot;"/>
    <we:property name="aAQ2EFZVAVVjLgYTKxBVBjxrETFgZTwncQVVCzcURgY6GS0RVg==" value="&quot;eQ==&quot;"/>
    <we:property name="aAQ2EFZVAVVjLgYTKxBVBjxrETFgZTwncQVVCzcURgY6GTMGVA==" value="&quot;eGhzRAEARUQ=&quot;"/>
    <we:property name="aAQ2EFZVAVVjLgYTKxBVBjxrETFgZTwncQVVCzcURgY6GTAXXQ==" value="&quot;eQ==&quot;"/>
    <we:property name="aAQ2EFZVAVVjLgYTKxBVBjxrETFgZTwncQVVCzcURgY6GTEYSQ==" value="&quot;eA==&quot;"/>
    <we:property name="aAQ2EFZVAVVjLgYTKxBVBjxrETFgZTwncQVVCzcURgY6GTcbXQ==" value="&quot;eGhzRQ==&quot;"/>
    <we:property name="aAQ2EFZVAVVjLgYTKxBVBjxrETFgZTwncQVVCzcURgY6GSACVg==" value="&quot;eGhzRAEB&quot;"/>
    <we:property name="aAQ2EFZVAVVjLgYTKxBVBjxrETFgZTwncQVVCzcURgY6GS4HXQ==" value="&quot;eA==&quot;"/>
    <we:property name="aAQ2EFZVAVVjLgYTKxBVBjxrETFgZTwncQVVCzcURgY6GTAHSw==" value="&quot;eXZz&quot;"/>
    <we:property name="aAQ2EFZVAVVjLgYTKxBVBjxrETFgZTwncQVVCzcURgY6GTEHVQ==" value="&quot;eA==&quot;"/>
    <we:property name="aAQ2EFZVAVVjLgYTKxBVBjxrETFgZTwncQVVCzcURgY6GS4GRQ==" value="&quot;eGhzQwQ=&quot;"/>
    <we:property name="aAQ2EFZVAVVjLgYTKxBVBjxrETFgZTwncQVVCzcURgY6GS4aWA==" value="&quot;e3Y=&quot;"/>
    <we:property name="aAQ2EFZVAVVjLgYTKxBVBjxrETFgZTwncQVVCzcURgY6GTEWRw==" value="&quot;eQ==&quot;"/>
    <we:property name="aAQ2EFZVAVVjLgYTKxBVBjxrETFgZTwncQVVCzcURgY6GS0AQw==" value="&quot;eg==&quot;"/>
    <we:property name="aAQ2EFZVAVVjLgYTKxBVBjxrETFgZTwncQVVCzcURgY6GSIXUg==" value="&quot;eGhzRAA=&quot;"/>
    <we:property name="aAQ2EFZVAVVjLgYTKxBVBjxrETFgZTwncQVVCzcURgY6GTERQg==" value="&quot;fQ==&quot;"/>
    <we:property name="aAQ2EFZVAVVjLgYTKxBVBjxrETFgZTwncQVVCzcURgY6GSIGQg==" value="&quot;eQ==&quot;"/>
    <we:property name="aAQ2EFZVAVVjLgYTKxBVBjxrETFgZTwncQVVCzcURgY6GTAAUA==" value="&quot;eA==&quot;"/>
    <we:property name="aAQ2EFZVAVVjLgYTKxBVBjxrETFgZTwncQVVCzcURgY6GS4RRQ==" value="&quot;eg==&quot;"/>
    <we:property name="aAQ2EFZVAVVjLgYTKxBVBjxrETFgZTwncQVVCzcURgY6GTAbUg==" value="&quot;eA==&quot;"/>
    <we:property name="aAQ2EFZVAVVjLgYTKxBVBjxrETFgZTwncQVVCzcURgY6GS8ERQ==" value="&quot;eA==&quot;"/>
    <we:property name="aAQ2EFZVAVVjLgYTKxBVBjxrETFgZTwncQVVCzcURgY6GS8EQQ==" value="&quot;eA==&quot;"/>
    <we:property name="aAQ2EFZVAVVjLgYTKxBVBjxrETFgZTwncQVVCzcURgY6GSQVQQ==" value="&quot;eGhzRAEARUQ=&quot;"/>
    <we:property name="aAQ2EFZVAVVjLgYTKxBVBjxrETFgZTwncQVVCzcURgY6GSoEQg==" value="&quot;eGh6TQ==&quot;"/>
    <we:property name="aAQ2EFZVAVVjLgYTKxBVBjxrETFgZTwncQVVCzcURgY6GSURUA==" value="&quot;eGhzRAEARUQ=&quot;"/>
    <we:property name="aAQ2EFZVAVVjLgYTKxBVBjxrETFgZTwncQVVCzcURgY6GSoEWA==" value="&quot;eQ==&quot;"/>
    <we:property name="aAQ2EFZVAVVjLgYTKxBVBjxrETFgZTwncQVVCzcURgY6GSoEVQ==" value="&quot;ew==&quot;"/>
  </we:properties>
  <we:bindings>
    <we:binding id="refEdit" type="matrix" appref="{1092BB5C-498B-4DC1-8D8F-F8AE8D35B404}"/>
    <we:binding id="Worker" type="matrix" appref="{61BF8370-D835-4127-80D9-1E8C3609C321}"/>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gsa.gov/travel/plan-book/per-diem-rates" TargetMode="External"/><Relationship Id="rId1" Type="http://schemas.openxmlformats.org/officeDocument/2006/relationships/hyperlink" Target="https://www.nifa.usda.gov/nifa-federal-assistance-policy-guide"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9" tint="0.59999389629810485"/>
    <pageSetUpPr fitToPage="1"/>
  </sheetPr>
  <dimension ref="A1:XFD1048575"/>
  <sheetViews>
    <sheetView tabSelected="1" zoomScaleNormal="100" zoomScaleSheetLayoutView="80" zoomScalePageLayoutView="90" workbookViewId="0">
      <selection activeCell="B22" sqref="B22"/>
    </sheetView>
  </sheetViews>
  <sheetFormatPr defaultRowHeight="14.4" x14ac:dyDescent="0.3"/>
  <cols>
    <col min="1" max="1" width="7.44140625" style="64" customWidth="1"/>
    <col min="2" max="2" width="29.88671875" style="64" customWidth="1"/>
    <col min="3" max="3" width="25.88671875" style="64" customWidth="1"/>
    <col min="4" max="8" width="12.77734375" style="64" customWidth="1"/>
    <col min="9" max="9" width="15.77734375" style="186" customWidth="1"/>
    <col min="10" max="11" width="15.77734375" style="64" customWidth="1"/>
    <col min="12" max="12" width="16.77734375" style="64" customWidth="1"/>
    <col min="13" max="16384" width="8.88671875" style="64"/>
  </cols>
  <sheetData>
    <row r="1" spans="1:13" ht="21" x14ac:dyDescent="0.4">
      <c r="A1" s="351" t="s">
        <v>179</v>
      </c>
      <c r="B1" s="352"/>
      <c r="C1" s="352"/>
      <c r="D1" s="352"/>
      <c r="E1" s="352"/>
      <c r="F1" s="352"/>
      <c r="G1" s="352"/>
      <c r="H1" s="352"/>
      <c r="I1" s="352"/>
      <c r="J1" s="352"/>
      <c r="K1" s="352"/>
      <c r="L1" s="353"/>
    </row>
    <row r="2" spans="1:13" ht="15" customHeight="1" thickBot="1" x14ac:dyDescent="0.4">
      <c r="A2" s="65"/>
      <c r="B2" s="197"/>
      <c r="C2" s="201" t="s">
        <v>121</v>
      </c>
      <c r="D2" s="202"/>
      <c r="E2" s="197"/>
      <c r="F2" s="197"/>
      <c r="G2" s="197"/>
      <c r="H2" s="197"/>
      <c r="I2" s="197"/>
      <c r="J2" s="197"/>
      <c r="K2" s="197"/>
      <c r="L2" s="203"/>
    </row>
    <row r="3" spans="1:13" ht="18.600000000000001" thickBot="1" x14ac:dyDescent="0.4">
      <c r="A3" s="65"/>
      <c r="B3" s="66" t="s">
        <v>59</v>
      </c>
      <c r="C3" s="373"/>
      <c r="D3" s="374"/>
      <c r="E3" s="375"/>
      <c r="F3" s="66"/>
      <c r="G3" s="66" t="s">
        <v>96</v>
      </c>
      <c r="H3" s="376"/>
      <c r="I3" s="377"/>
      <c r="J3" s="67" t="s">
        <v>99</v>
      </c>
      <c r="K3" s="66" t="s">
        <v>60</v>
      </c>
      <c r="L3" s="187">
        <f>L180</f>
        <v>0</v>
      </c>
    </row>
    <row r="4" spans="1:13" ht="18.600000000000001" thickBot="1" x14ac:dyDescent="0.4">
      <c r="A4" s="65"/>
      <c r="B4" s="66" t="s">
        <v>120</v>
      </c>
      <c r="C4" s="373"/>
      <c r="D4" s="374"/>
      <c r="E4" s="375"/>
      <c r="F4" s="66"/>
      <c r="G4" s="66"/>
      <c r="H4" s="204"/>
      <c r="I4" s="205"/>
      <c r="J4" s="209"/>
      <c r="K4" s="66"/>
      <c r="L4" s="206"/>
    </row>
    <row r="5" spans="1:13" ht="18.600000000000001" thickBot="1" x14ac:dyDescent="0.4">
      <c r="A5" s="65"/>
      <c r="B5" s="66" t="s">
        <v>106</v>
      </c>
      <c r="C5" s="210"/>
      <c r="D5" s="211" t="s">
        <v>119</v>
      </c>
      <c r="E5" s="68"/>
      <c r="F5" s="66"/>
      <c r="G5" s="66"/>
      <c r="H5" s="205"/>
      <c r="I5" s="205"/>
      <c r="J5" s="209"/>
      <c r="K5" s="66"/>
      <c r="L5" s="206"/>
    </row>
    <row r="6" spans="1:13" ht="18.600000000000001" thickBot="1" x14ac:dyDescent="0.4">
      <c r="A6" s="65"/>
      <c r="B6" s="66" t="s">
        <v>107</v>
      </c>
      <c r="C6" s="210"/>
      <c r="D6" s="211" t="s">
        <v>119</v>
      </c>
      <c r="E6" s="68"/>
      <c r="F6" s="208"/>
      <c r="G6" s="207"/>
      <c r="H6" s="68"/>
      <c r="I6" s="68"/>
      <c r="J6" s="208"/>
      <c r="K6" s="207"/>
      <c r="L6" s="69"/>
      <c r="M6" s="70"/>
    </row>
    <row r="7" spans="1:13" ht="22.2" customHeight="1" x14ac:dyDescent="0.3">
      <c r="A7" s="333" t="s">
        <v>88</v>
      </c>
      <c r="B7" s="334"/>
      <c r="C7" s="334"/>
      <c r="D7" s="334"/>
      <c r="E7" s="334"/>
      <c r="F7" s="334"/>
      <c r="G7" s="334"/>
      <c r="H7" s="334"/>
      <c r="I7" s="334"/>
      <c r="J7" s="334"/>
      <c r="K7" s="334"/>
      <c r="L7" s="335"/>
    </row>
    <row r="8" spans="1:13" ht="54" customHeight="1" x14ac:dyDescent="0.3">
      <c r="A8" s="330" t="s">
        <v>180</v>
      </c>
      <c r="B8" s="331"/>
      <c r="C8" s="331"/>
      <c r="D8" s="331"/>
      <c r="E8" s="331"/>
      <c r="F8" s="331"/>
      <c r="G8" s="331"/>
      <c r="H8" s="331"/>
      <c r="I8" s="331"/>
      <c r="J8" s="331"/>
      <c r="K8" s="331"/>
      <c r="L8" s="332"/>
    </row>
    <row r="9" spans="1:13" ht="79.8" customHeight="1" x14ac:dyDescent="0.3">
      <c r="A9" s="378" t="s">
        <v>181</v>
      </c>
      <c r="B9" s="379"/>
      <c r="C9" s="379"/>
      <c r="D9" s="379"/>
      <c r="E9" s="379"/>
      <c r="F9" s="379"/>
      <c r="G9" s="379"/>
      <c r="H9" s="379"/>
      <c r="I9" s="379"/>
      <c r="J9" s="379"/>
      <c r="K9" s="379"/>
      <c r="L9" s="380"/>
    </row>
    <row r="10" spans="1:13" ht="20.399999999999999" customHeight="1" x14ac:dyDescent="0.3">
      <c r="A10" s="356" t="s">
        <v>182</v>
      </c>
      <c r="B10" s="357"/>
      <c r="C10" s="357"/>
      <c r="D10" s="357"/>
      <c r="E10" s="357"/>
      <c r="F10" s="357"/>
      <c r="G10" s="357"/>
      <c r="H10" s="357"/>
      <c r="I10" s="357"/>
      <c r="J10" s="357"/>
      <c r="K10" s="357"/>
      <c r="L10" s="358"/>
    </row>
    <row r="11" spans="1:13" ht="9" customHeight="1" x14ac:dyDescent="0.3">
      <c r="A11" s="71"/>
      <c r="B11" s="72"/>
      <c r="C11" s="72"/>
      <c r="D11" s="72"/>
      <c r="E11" s="72"/>
      <c r="F11" s="72"/>
      <c r="G11" s="72"/>
      <c r="H11" s="72"/>
      <c r="I11" s="72"/>
      <c r="J11" s="72"/>
      <c r="K11" s="72"/>
      <c r="L11" s="73"/>
    </row>
    <row r="12" spans="1:13" ht="15.6" x14ac:dyDescent="0.3">
      <c r="A12" s="212" t="s">
        <v>103</v>
      </c>
      <c r="B12" s="213"/>
      <c r="C12" s="214"/>
      <c r="D12" s="215"/>
      <c r="E12" s="215"/>
      <c r="F12" s="215"/>
      <c r="G12" s="215"/>
      <c r="H12" s="215"/>
      <c r="I12" s="216"/>
      <c r="J12" s="215"/>
      <c r="K12" s="215"/>
      <c r="L12" s="217"/>
    </row>
    <row r="13" spans="1:13" ht="43.2" x14ac:dyDescent="0.3">
      <c r="A13" s="218"/>
      <c r="B13" s="219" t="s">
        <v>11</v>
      </c>
      <c r="C13" s="220" t="s">
        <v>7</v>
      </c>
      <c r="D13" s="221" t="s">
        <v>8</v>
      </c>
      <c r="E13" s="221" t="s">
        <v>98</v>
      </c>
      <c r="F13" s="221" t="s">
        <v>111</v>
      </c>
      <c r="G13" s="221" t="s">
        <v>9</v>
      </c>
      <c r="H13" s="221" t="s">
        <v>112</v>
      </c>
      <c r="I13" s="222" t="s">
        <v>17</v>
      </c>
      <c r="J13" s="223" t="s">
        <v>21</v>
      </c>
      <c r="K13" s="223" t="s">
        <v>22</v>
      </c>
      <c r="L13" s="224" t="s">
        <v>23</v>
      </c>
      <c r="M13" s="74"/>
    </row>
    <row r="14" spans="1:13" x14ac:dyDescent="0.3">
      <c r="A14" s="75"/>
      <c r="B14" s="355" t="s">
        <v>91</v>
      </c>
      <c r="C14" s="355"/>
      <c r="D14" s="355"/>
      <c r="E14" s="355"/>
      <c r="F14" s="355"/>
      <c r="G14" s="355"/>
      <c r="H14" s="355"/>
      <c r="I14" s="76" t="s">
        <v>51</v>
      </c>
      <c r="J14" s="56"/>
      <c r="K14" s="56"/>
      <c r="L14" s="77"/>
    </row>
    <row r="15" spans="1:13" x14ac:dyDescent="0.3">
      <c r="A15" s="18" t="s">
        <v>18</v>
      </c>
      <c r="B15" s="46"/>
      <c r="C15" s="46"/>
      <c r="D15" s="20"/>
      <c r="E15" s="322"/>
      <c r="F15" s="295"/>
      <c r="G15" s="325"/>
      <c r="H15" s="298"/>
      <c r="I15" s="9">
        <f>F15+H15</f>
        <v>0</v>
      </c>
      <c r="J15" s="78"/>
      <c r="K15" s="56"/>
      <c r="L15" s="77"/>
      <c r="M15" s="70"/>
    </row>
    <row r="16" spans="1:13" x14ac:dyDescent="0.3">
      <c r="A16" s="21" t="s">
        <v>18</v>
      </c>
      <c r="B16" s="46"/>
      <c r="C16" s="46"/>
      <c r="D16" s="20"/>
      <c r="E16" s="322"/>
      <c r="F16" s="295"/>
      <c r="G16" s="325"/>
      <c r="H16" s="298"/>
      <c r="I16" s="9">
        <f>F16+H16</f>
        <v>0</v>
      </c>
      <c r="J16" s="78"/>
      <c r="K16" s="56"/>
      <c r="L16" s="77"/>
    </row>
    <row r="17" spans="1:12" x14ac:dyDescent="0.3">
      <c r="A17" s="21" t="s">
        <v>18</v>
      </c>
      <c r="B17" s="46"/>
      <c r="C17" s="46"/>
      <c r="D17" s="20"/>
      <c r="E17" s="322"/>
      <c r="F17" s="295"/>
      <c r="G17" s="325"/>
      <c r="H17" s="298"/>
      <c r="I17" s="9">
        <f>F17+H17</f>
        <v>0</v>
      </c>
      <c r="J17" s="78"/>
      <c r="K17" s="56"/>
      <c r="L17" s="77"/>
    </row>
    <row r="18" spans="1:12" x14ac:dyDescent="0.3">
      <c r="A18" s="21" t="s">
        <v>18</v>
      </c>
      <c r="B18" s="46"/>
      <c r="C18" s="46"/>
      <c r="D18" s="20"/>
      <c r="E18" s="322"/>
      <c r="F18" s="295"/>
      <c r="G18" s="325"/>
      <c r="H18" s="298"/>
      <c r="I18" s="9">
        <f t="shared" ref="I18" si="0">F18+H18</f>
        <v>0</v>
      </c>
      <c r="J18" s="78"/>
      <c r="K18" s="56"/>
      <c r="L18" s="77"/>
    </row>
    <row r="19" spans="1:12" ht="15" thickBot="1" x14ac:dyDescent="0.35">
      <c r="A19" s="22" t="s">
        <v>18</v>
      </c>
      <c r="B19" s="47"/>
      <c r="C19" s="47"/>
      <c r="D19" s="24"/>
      <c r="E19" s="323"/>
      <c r="F19" s="296"/>
      <c r="G19" s="326"/>
      <c r="H19" s="299"/>
      <c r="I19" s="10">
        <f>F19+H19</f>
        <v>0</v>
      </c>
      <c r="J19" s="79" t="s">
        <v>51</v>
      </c>
      <c r="K19" s="56"/>
      <c r="L19" s="77"/>
    </row>
    <row r="20" spans="1:12" x14ac:dyDescent="0.3">
      <c r="A20" s="25" t="s">
        <v>19</v>
      </c>
      <c r="B20" s="46"/>
      <c r="C20" s="46"/>
      <c r="D20" s="27"/>
      <c r="E20" s="324"/>
      <c r="F20" s="297"/>
      <c r="G20" s="327"/>
      <c r="H20" s="300"/>
      <c r="I20" s="264"/>
      <c r="J20" s="188">
        <f>F20+H20</f>
        <v>0</v>
      </c>
      <c r="K20" s="78"/>
      <c r="L20" s="77"/>
    </row>
    <row r="21" spans="1:12" x14ac:dyDescent="0.3">
      <c r="A21" s="18" t="s">
        <v>19</v>
      </c>
      <c r="B21" s="46"/>
      <c r="C21" s="46"/>
      <c r="D21" s="20"/>
      <c r="E21" s="322"/>
      <c r="F21" s="297"/>
      <c r="G21" s="325"/>
      <c r="H21" s="300"/>
      <c r="I21" s="265"/>
      <c r="J21" s="189">
        <f t="shared" ref="J21:J24" si="1">F21+H21</f>
        <v>0</v>
      </c>
      <c r="K21" s="78"/>
      <c r="L21" s="77"/>
    </row>
    <row r="22" spans="1:12" x14ac:dyDescent="0.3">
      <c r="A22" s="18" t="s">
        <v>19</v>
      </c>
      <c r="B22" s="46"/>
      <c r="C22" s="46"/>
      <c r="D22" s="20"/>
      <c r="E22" s="322"/>
      <c r="F22" s="295"/>
      <c r="G22" s="325"/>
      <c r="H22" s="298"/>
      <c r="I22" s="265"/>
      <c r="J22" s="189">
        <f t="shared" si="1"/>
        <v>0</v>
      </c>
      <c r="K22" s="78"/>
      <c r="L22" s="77"/>
    </row>
    <row r="23" spans="1:12" x14ac:dyDescent="0.3">
      <c r="A23" s="18" t="s">
        <v>19</v>
      </c>
      <c r="B23" s="46"/>
      <c r="C23" s="46"/>
      <c r="D23" s="20"/>
      <c r="E23" s="322"/>
      <c r="F23" s="295"/>
      <c r="G23" s="325"/>
      <c r="H23" s="298"/>
      <c r="I23" s="265"/>
      <c r="J23" s="189">
        <f t="shared" si="1"/>
        <v>0</v>
      </c>
      <c r="K23" s="78"/>
      <c r="L23" s="77"/>
    </row>
    <row r="24" spans="1:12" ht="15" thickBot="1" x14ac:dyDescent="0.35">
      <c r="A24" s="22" t="s">
        <v>19</v>
      </c>
      <c r="B24" s="47"/>
      <c r="C24" s="47"/>
      <c r="D24" s="24"/>
      <c r="E24" s="323"/>
      <c r="F24" s="296"/>
      <c r="G24" s="326"/>
      <c r="H24" s="299"/>
      <c r="I24" s="265"/>
      <c r="J24" s="190">
        <f t="shared" si="1"/>
        <v>0</v>
      </c>
      <c r="K24" s="79" t="s">
        <v>51</v>
      </c>
      <c r="L24" s="77"/>
    </row>
    <row r="25" spans="1:12" x14ac:dyDescent="0.3">
      <c r="A25" s="25" t="s">
        <v>20</v>
      </c>
      <c r="B25" s="46"/>
      <c r="C25" s="46"/>
      <c r="D25" s="27"/>
      <c r="E25" s="324"/>
      <c r="F25" s="297"/>
      <c r="G25" s="327"/>
      <c r="H25" s="300"/>
      <c r="I25" s="264"/>
      <c r="J25" s="266"/>
      <c r="K25" s="188">
        <f>F25+H25</f>
        <v>0</v>
      </c>
      <c r="L25" s="77"/>
    </row>
    <row r="26" spans="1:12" x14ac:dyDescent="0.3">
      <c r="A26" s="21" t="s">
        <v>20</v>
      </c>
      <c r="B26" s="46"/>
      <c r="C26" s="46"/>
      <c r="D26" s="27"/>
      <c r="E26" s="324"/>
      <c r="F26" s="297"/>
      <c r="G26" s="325"/>
      <c r="H26" s="300"/>
      <c r="I26" s="264"/>
      <c r="J26" s="266"/>
      <c r="K26" s="188">
        <f>F26+H26</f>
        <v>0</v>
      </c>
      <c r="L26" s="77"/>
    </row>
    <row r="27" spans="1:12" x14ac:dyDescent="0.3">
      <c r="A27" s="18" t="s">
        <v>20</v>
      </c>
      <c r="B27" s="46"/>
      <c r="C27" s="46"/>
      <c r="D27" s="20"/>
      <c r="E27" s="322"/>
      <c r="F27" s="295"/>
      <c r="G27" s="325"/>
      <c r="H27" s="298"/>
      <c r="I27" s="264"/>
      <c r="J27" s="266"/>
      <c r="K27" s="189">
        <f t="shared" ref="K27:K29" si="2">F27+H27</f>
        <v>0</v>
      </c>
      <c r="L27" s="77"/>
    </row>
    <row r="28" spans="1:12" x14ac:dyDescent="0.3">
      <c r="A28" s="18" t="s">
        <v>20</v>
      </c>
      <c r="B28" s="46"/>
      <c r="C28" s="46"/>
      <c r="D28" s="20"/>
      <c r="E28" s="322"/>
      <c r="F28" s="295"/>
      <c r="G28" s="325"/>
      <c r="H28" s="298"/>
      <c r="I28" s="264"/>
      <c r="J28" s="266"/>
      <c r="K28" s="189">
        <f t="shared" si="2"/>
        <v>0</v>
      </c>
      <c r="L28" s="77"/>
    </row>
    <row r="29" spans="1:12" ht="15" thickBot="1" x14ac:dyDescent="0.35">
      <c r="A29" s="18" t="s">
        <v>20</v>
      </c>
      <c r="B29" s="46"/>
      <c r="C29" s="46"/>
      <c r="D29" s="20"/>
      <c r="E29" s="322"/>
      <c r="F29" s="295"/>
      <c r="G29" s="325"/>
      <c r="H29" s="298"/>
      <c r="I29" s="264"/>
      <c r="J29" s="266"/>
      <c r="K29" s="190">
        <f t="shared" si="2"/>
        <v>0</v>
      </c>
      <c r="L29" s="77"/>
    </row>
    <row r="30" spans="1:12" x14ac:dyDescent="0.3">
      <c r="A30" s="75"/>
      <c r="B30" s="354" t="s">
        <v>95</v>
      </c>
      <c r="C30" s="354"/>
      <c r="D30" s="354"/>
      <c r="E30" s="354"/>
      <c r="F30" s="354"/>
      <c r="G30" s="354"/>
      <c r="H30" s="354"/>
      <c r="I30" s="80" t="s">
        <v>51</v>
      </c>
      <c r="J30" s="56"/>
      <c r="K30" s="56"/>
      <c r="L30" s="77"/>
    </row>
    <row r="31" spans="1:12" x14ac:dyDescent="0.3">
      <c r="A31" s="18" t="s">
        <v>18</v>
      </c>
      <c r="B31" s="46"/>
      <c r="C31" s="46"/>
      <c r="D31" s="20"/>
      <c r="E31" s="322"/>
      <c r="F31" s="295"/>
      <c r="G31" s="325"/>
      <c r="H31" s="298"/>
      <c r="I31" s="9">
        <f>F31+H31</f>
        <v>0</v>
      </c>
      <c r="J31" s="78"/>
      <c r="K31" s="56"/>
      <c r="L31" s="77"/>
    </row>
    <row r="32" spans="1:12" x14ac:dyDescent="0.3">
      <c r="A32" s="18" t="s">
        <v>18</v>
      </c>
      <c r="B32" s="46"/>
      <c r="C32" s="46"/>
      <c r="D32" s="20"/>
      <c r="E32" s="322"/>
      <c r="F32" s="295"/>
      <c r="G32" s="325"/>
      <c r="H32" s="298"/>
      <c r="I32" s="9">
        <f>F32+H32</f>
        <v>0</v>
      </c>
      <c r="J32" s="78"/>
      <c r="K32" s="56"/>
      <c r="L32" s="77"/>
    </row>
    <row r="33" spans="1:12" x14ac:dyDescent="0.3">
      <c r="A33" s="18" t="s">
        <v>18</v>
      </c>
      <c r="B33" s="46"/>
      <c r="C33" s="46"/>
      <c r="D33" s="20"/>
      <c r="E33" s="322"/>
      <c r="F33" s="295"/>
      <c r="G33" s="325"/>
      <c r="H33" s="298"/>
      <c r="I33" s="9">
        <f t="shared" ref="I33:I35" si="3">F33+H33</f>
        <v>0</v>
      </c>
      <c r="J33" s="78"/>
      <c r="K33" s="56"/>
      <c r="L33" s="77"/>
    </row>
    <row r="34" spans="1:12" x14ac:dyDescent="0.3">
      <c r="A34" s="18" t="s">
        <v>18</v>
      </c>
      <c r="B34" s="46"/>
      <c r="C34" s="46"/>
      <c r="D34" s="20"/>
      <c r="E34" s="322"/>
      <c r="F34" s="295"/>
      <c r="G34" s="325"/>
      <c r="H34" s="298"/>
      <c r="I34" s="9">
        <f t="shared" si="3"/>
        <v>0</v>
      </c>
      <c r="J34" s="78"/>
      <c r="K34" s="56"/>
      <c r="L34" s="77"/>
    </row>
    <row r="35" spans="1:12" ht="15" thickBot="1" x14ac:dyDescent="0.35">
      <c r="A35" s="22" t="s">
        <v>18</v>
      </c>
      <c r="B35" s="47"/>
      <c r="C35" s="47"/>
      <c r="D35" s="24"/>
      <c r="E35" s="323"/>
      <c r="F35" s="296"/>
      <c r="G35" s="326"/>
      <c r="H35" s="299"/>
      <c r="I35" s="10">
        <f t="shared" si="3"/>
        <v>0</v>
      </c>
      <c r="J35" s="79" t="s">
        <v>51</v>
      </c>
      <c r="K35" s="56"/>
      <c r="L35" s="77"/>
    </row>
    <row r="36" spans="1:12" x14ac:dyDescent="0.3">
      <c r="A36" s="25" t="s">
        <v>19</v>
      </c>
      <c r="B36" s="46"/>
      <c r="C36" s="46"/>
      <c r="D36" s="27"/>
      <c r="E36" s="324"/>
      <c r="F36" s="295"/>
      <c r="G36" s="325"/>
      <c r="H36" s="298"/>
      <c r="I36" s="264"/>
      <c r="J36" s="188">
        <f>F36+H36</f>
        <v>0</v>
      </c>
      <c r="K36" s="78"/>
      <c r="L36" s="77"/>
    </row>
    <row r="37" spans="1:12" x14ac:dyDescent="0.3">
      <c r="A37" s="21" t="s">
        <v>19</v>
      </c>
      <c r="B37" s="45"/>
      <c r="C37" s="45"/>
      <c r="D37" s="27"/>
      <c r="E37" s="324"/>
      <c r="F37" s="297"/>
      <c r="G37" s="327"/>
      <c r="H37" s="300"/>
      <c r="I37" s="264"/>
      <c r="J37" s="188">
        <f>F37+H37</f>
        <v>0</v>
      </c>
      <c r="K37" s="78"/>
      <c r="L37" s="77"/>
    </row>
    <row r="38" spans="1:12" x14ac:dyDescent="0.3">
      <c r="A38" s="18" t="s">
        <v>19</v>
      </c>
      <c r="B38" s="46"/>
      <c r="C38" s="46"/>
      <c r="D38" s="20"/>
      <c r="E38" s="322"/>
      <c r="F38" s="295"/>
      <c r="G38" s="325"/>
      <c r="H38" s="298"/>
      <c r="I38" s="265"/>
      <c r="J38" s="189">
        <f t="shared" ref="J38:J40" si="4">F38+H38</f>
        <v>0</v>
      </c>
      <c r="K38" s="78"/>
      <c r="L38" s="77"/>
    </row>
    <row r="39" spans="1:12" x14ac:dyDescent="0.3">
      <c r="A39" s="18" t="s">
        <v>19</v>
      </c>
      <c r="B39" s="46"/>
      <c r="C39" s="46"/>
      <c r="D39" s="20"/>
      <c r="E39" s="322"/>
      <c r="F39" s="295"/>
      <c r="G39" s="325"/>
      <c r="H39" s="298"/>
      <c r="I39" s="265"/>
      <c r="J39" s="189">
        <f t="shared" si="4"/>
        <v>0</v>
      </c>
      <c r="K39" s="78"/>
      <c r="L39" s="77"/>
    </row>
    <row r="40" spans="1:12" ht="15" thickBot="1" x14ac:dyDescent="0.35">
      <c r="A40" s="22" t="s">
        <v>19</v>
      </c>
      <c r="B40" s="47"/>
      <c r="C40" s="47"/>
      <c r="D40" s="24"/>
      <c r="E40" s="323"/>
      <c r="F40" s="296"/>
      <c r="G40" s="326"/>
      <c r="H40" s="299"/>
      <c r="I40" s="265"/>
      <c r="J40" s="190">
        <f t="shared" si="4"/>
        <v>0</v>
      </c>
      <c r="K40" s="79" t="s">
        <v>51</v>
      </c>
      <c r="L40" s="77"/>
    </row>
    <row r="41" spans="1:12" x14ac:dyDescent="0.3">
      <c r="A41" s="25" t="s">
        <v>20</v>
      </c>
      <c r="B41" s="46"/>
      <c r="C41" s="46"/>
      <c r="D41" s="27"/>
      <c r="E41" s="324"/>
      <c r="F41" s="295"/>
      <c r="G41" s="325"/>
      <c r="H41" s="298"/>
      <c r="I41" s="264"/>
      <c r="J41" s="268"/>
      <c r="K41" s="188">
        <f>F41+H41</f>
        <v>0</v>
      </c>
      <c r="L41" s="77"/>
    </row>
    <row r="42" spans="1:12" x14ac:dyDescent="0.3">
      <c r="A42" s="21" t="s">
        <v>20</v>
      </c>
      <c r="B42" s="45"/>
      <c r="C42" s="45"/>
      <c r="D42" s="27"/>
      <c r="E42" s="324"/>
      <c r="F42" s="297"/>
      <c r="G42" s="327"/>
      <c r="H42" s="300"/>
      <c r="I42" s="264"/>
      <c r="J42" s="269"/>
      <c r="K42" s="188">
        <f>F42+H42</f>
        <v>0</v>
      </c>
      <c r="L42" s="77"/>
    </row>
    <row r="43" spans="1:12" x14ac:dyDescent="0.3">
      <c r="A43" s="18" t="s">
        <v>20</v>
      </c>
      <c r="B43" s="46"/>
      <c r="C43" s="46"/>
      <c r="D43" s="20"/>
      <c r="E43" s="322"/>
      <c r="F43" s="295"/>
      <c r="G43" s="325"/>
      <c r="H43" s="298"/>
      <c r="I43" s="264"/>
      <c r="J43" s="269"/>
      <c r="K43" s="189">
        <f t="shared" ref="K43:K45" si="5">F43+H43</f>
        <v>0</v>
      </c>
      <c r="L43" s="77"/>
    </row>
    <row r="44" spans="1:12" x14ac:dyDescent="0.3">
      <c r="A44" s="18" t="s">
        <v>20</v>
      </c>
      <c r="B44" s="46"/>
      <c r="C44" s="46"/>
      <c r="D44" s="20"/>
      <c r="E44" s="322"/>
      <c r="F44" s="295"/>
      <c r="G44" s="325"/>
      <c r="H44" s="298"/>
      <c r="I44" s="264"/>
      <c r="J44" s="269"/>
      <c r="K44" s="189">
        <f t="shared" si="5"/>
        <v>0</v>
      </c>
      <c r="L44" s="77"/>
    </row>
    <row r="45" spans="1:12" ht="15" thickBot="1" x14ac:dyDescent="0.35">
      <c r="A45" s="31" t="s">
        <v>20</v>
      </c>
      <c r="B45" s="47"/>
      <c r="C45" s="47"/>
      <c r="D45" s="24"/>
      <c r="E45" s="24"/>
      <c r="F45" s="296"/>
      <c r="G45" s="328"/>
      <c r="H45" s="296"/>
      <c r="I45" s="267"/>
      <c r="J45" s="270"/>
      <c r="K45" s="190">
        <f t="shared" si="5"/>
        <v>0</v>
      </c>
      <c r="L45" s="81" t="s">
        <v>51</v>
      </c>
    </row>
    <row r="46" spans="1:12" ht="16.2" thickBot="1" x14ac:dyDescent="0.35">
      <c r="A46" s="55"/>
      <c r="B46" s="56"/>
      <c r="C46" s="56"/>
      <c r="D46" s="57"/>
      <c r="E46" s="57"/>
      <c r="F46" s="52"/>
      <c r="G46" s="53"/>
      <c r="H46" s="54"/>
      <c r="I46" s="82"/>
      <c r="J46" s="56"/>
      <c r="K46" s="83" t="s">
        <v>92</v>
      </c>
      <c r="L46" s="198">
        <f>'Budget Cont.'!L38</f>
        <v>0</v>
      </c>
    </row>
    <row r="47" spans="1:12" ht="16.2" thickBot="1" x14ac:dyDescent="0.35">
      <c r="A47" s="84"/>
      <c r="B47" s="85"/>
      <c r="C47" s="86"/>
      <c r="D47" s="86" t="s">
        <v>26</v>
      </c>
      <c r="E47" s="87" t="s">
        <v>10</v>
      </c>
      <c r="F47" s="193">
        <f>SUM(F15:F29)+SUM(F31:F45)</f>
        <v>0</v>
      </c>
      <c r="G47" s="86" t="s">
        <v>15</v>
      </c>
      <c r="H47" s="192">
        <f>SUM(H15:H29)+SUM(H31:H45)</f>
        <v>0</v>
      </c>
      <c r="I47" s="88"/>
      <c r="J47" s="89"/>
      <c r="K47" s="90" t="s">
        <v>24</v>
      </c>
      <c r="L47" s="191">
        <f>SUM(I15:I19)+SUM(J20:J24)+SUM(K25:K29)+SUM(I31:I35)+SUM(J36:J40)+SUM(K41:K45)+L46</f>
        <v>0</v>
      </c>
    </row>
    <row r="48" spans="1:12" ht="9" customHeight="1" thickBot="1" x14ac:dyDescent="0.35">
      <c r="A48" s="91"/>
      <c r="B48" s="92"/>
      <c r="F48" s="93"/>
      <c r="G48" s="93"/>
      <c r="H48" s="93"/>
      <c r="I48" s="94"/>
      <c r="J48" s="92"/>
      <c r="K48" s="92"/>
      <c r="L48" s="95"/>
    </row>
    <row r="49" spans="1:13" ht="15.6" x14ac:dyDescent="0.3">
      <c r="A49" s="96" t="s">
        <v>169</v>
      </c>
      <c r="B49" s="97"/>
      <c r="C49" s="98"/>
      <c r="D49" s="99"/>
      <c r="E49" s="99"/>
      <c r="F49" s="99"/>
      <c r="G49" s="99"/>
      <c r="H49" s="99"/>
      <c r="I49" s="100"/>
      <c r="J49" s="101"/>
      <c r="K49" s="102"/>
      <c r="L49" s="103"/>
    </row>
    <row r="50" spans="1:13" x14ac:dyDescent="0.3">
      <c r="A50" s="104"/>
      <c r="B50" s="251" t="s">
        <v>164</v>
      </c>
      <c r="C50" s="359" t="s">
        <v>165</v>
      </c>
      <c r="D50" s="359"/>
      <c r="E50" s="359"/>
      <c r="F50" s="359"/>
      <c r="G50" s="359"/>
      <c r="H50" s="360"/>
      <c r="I50" s="249" t="s">
        <v>116</v>
      </c>
      <c r="J50" s="56"/>
      <c r="K50" s="107"/>
      <c r="L50" s="77"/>
      <c r="M50" s="70"/>
    </row>
    <row r="51" spans="1:13" x14ac:dyDescent="0.3">
      <c r="A51" s="18" t="s">
        <v>18</v>
      </c>
      <c r="B51" s="46"/>
      <c r="C51" s="345"/>
      <c r="D51" s="346"/>
      <c r="E51" s="346"/>
      <c r="F51" s="346"/>
      <c r="G51" s="346"/>
      <c r="H51" s="347"/>
      <c r="I51" s="308"/>
      <c r="J51" s="56"/>
      <c r="K51" s="56"/>
      <c r="L51" s="77"/>
    </row>
    <row r="52" spans="1:13" x14ac:dyDescent="0.3">
      <c r="A52" s="18" t="s">
        <v>18</v>
      </c>
      <c r="B52" s="46"/>
      <c r="C52" s="345"/>
      <c r="D52" s="346"/>
      <c r="E52" s="346"/>
      <c r="F52" s="346"/>
      <c r="G52" s="346"/>
      <c r="H52" s="347"/>
      <c r="I52" s="308"/>
      <c r="J52" s="56"/>
      <c r="K52" s="56"/>
      <c r="L52" s="77"/>
    </row>
    <row r="53" spans="1:13" x14ac:dyDescent="0.3">
      <c r="A53" s="18" t="s">
        <v>18</v>
      </c>
      <c r="B53" s="46"/>
      <c r="C53" s="345"/>
      <c r="D53" s="346"/>
      <c r="E53" s="346"/>
      <c r="F53" s="346"/>
      <c r="G53" s="346"/>
      <c r="H53" s="347"/>
      <c r="I53" s="308"/>
      <c r="J53" s="56"/>
      <c r="K53" s="56"/>
      <c r="L53" s="77"/>
    </row>
    <row r="54" spans="1:13" ht="15" thickBot="1" x14ac:dyDescent="0.35">
      <c r="A54" s="22" t="s">
        <v>18</v>
      </c>
      <c r="B54" s="47"/>
      <c r="C54" s="348"/>
      <c r="D54" s="349"/>
      <c r="E54" s="349"/>
      <c r="F54" s="349"/>
      <c r="G54" s="349"/>
      <c r="H54" s="350"/>
      <c r="I54" s="308"/>
      <c r="J54" s="249" t="s">
        <v>116</v>
      </c>
      <c r="K54" s="56"/>
      <c r="L54" s="77"/>
    </row>
    <row r="55" spans="1:13" x14ac:dyDescent="0.3">
      <c r="A55" s="25" t="s">
        <v>19</v>
      </c>
      <c r="B55" s="45"/>
      <c r="C55" s="362"/>
      <c r="D55" s="363"/>
      <c r="E55" s="363"/>
      <c r="F55" s="363"/>
      <c r="G55" s="363"/>
      <c r="H55" s="364"/>
      <c r="I55" s="271"/>
      <c r="J55" s="308"/>
      <c r="K55" s="56"/>
      <c r="L55" s="77"/>
    </row>
    <row r="56" spans="1:13" x14ac:dyDescent="0.3">
      <c r="A56" s="18" t="s">
        <v>19</v>
      </c>
      <c r="B56" s="46"/>
      <c r="C56" s="345"/>
      <c r="D56" s="346"/>
      <c r="E56" s="346"/>
      <c r="F56" s="346"/>
      <c r="G56" s="346"/>
      <c r="H56" s="347"/>
      <c r="I56" s="271"/>
      <c r="J56" s="308"/>
      <c r="K56" s="56"/>
      <c r="L56" s="77"/>
    </row>
    <row r="57" spans="1:13" x14ac:dyDescent="0.3">
      <c r="A57" s="18" t="s">
        <v>19</v>
      </c>
      <c r="B57" s="46"/>
      <c r="C57" s="345"/>
      <c r="D57" s="346"/>
      <c r="E57" s="346"/>
      <c r="F57" s="346"/>
      <c r="G57" s="346"/>
      <c r="H57" s="347"/>
      <c r="I57" s="271"/>
      <c r="J57" s="308"/>
      <c r="K57" s="56"/>
      <c r="L57" s="77"/>
    </row>
    <row r="58" spans="1:13" ht="15" thickBot="1" x14ac:dyDescent="0.35">
      <c r="A58" s="22" t="s">
        <v>19</v>
      </c>
      <c r="B58" s="47"/>
      <c r="C58" s="348"/>
      <c r="D58" s="349"/>
      <c r="E58" s="349"/>
      <c r="F58" s="349"/>
      <c r="G58" s="349"/>
      <c r="H58" s="350"/>
      <c r="I58" s="271"/>
      <c r="J58" s="308"/>
      <c r="K58" s="250" t="s">
        <v>116</v>
      </c>
      <c r="L58" s="77"/>
    </row>
    <row r="59" spans="1:13" x14ac:dyDescent="0.3">
      <c r="A59" s="25" t="s">
        <v>20</v>
      </c>
      <c r="B59" s="45"/>
      <c r="C59" s="362"/>
      <c r="D59" s="363"/>
      <c r="E59" s="363"/>
      <c r="F59" s="363"/>
      <c r="G59" s="363"/>
      <c r="H59" s="364"/>
      <c r="I59" s="271"/>
      <c r="J59" s="266"/>
      <c r="K59" s="308"/>
      <c r="L59" s="109"/>
    </row>
    <row r="60" spans="1:13" x14ac:dyDescent="0.3">
      <c r="A60" s="18" t="s">
        <v>20</v>
      </c>
      <c r="B60" s="46"/>
      <c r="C60" s="345"/>
      <c r="D60" s="346"/>
      <c r="E60" s="346"/>
      <c r="F60" s="346"/>
      <c r="G60" s="346"/>
      <c r="H60" s="347"/>
      <c r="I60" s="271"/>
      <c r="J60" s="266"/>
      <c r="K60" s="308"/>
      <c r="L60" s="109"/>
    </row>
    <row r="61" spans="1:13" x14ac:dyDescent="0.3">
      <c r="A61" s="18" t="s">
        <v>20</v>
      </c>
      <c r="B61" s="46"/>
      <c r="C61" s="345"/>
      <c r="D61" s="346"/>
      <c r="E61" s="346"/>
      <c r="F61" s="346"/>
      <c r="G61" s="346"/>
      <c r="H61" s="347"/>
      <c r="I61" s="271"/>
      <c r="J61" s="266"/>
      <c r="K61" s="308"/>
      <c r="L61" s="109"/>
    </row>
    <row r="62" spans="1:13" ht="15" thickBot="1" x14ac:dyDescent="0.35">
      <c r="A62" s="22" t="s">
        <v>20</v>
      </c>
      <c r="B62" s="47"/>
      <c r="C62" s="348"/>
      <c r="D62" s="349"/>
      <c r="E62" s="349"/>
      <c r="F62" s="349"/>
      <c r="G62" s="349"/>
      <c r="H62" s="350"/>
      <c r="I62" s="273"/>
      <c r="J62" s="274"/>
      <c r="K62" s="308"/>
      <c r="L62" s="110" t="s">
        <v>51</v>
      </c>
    </row>
    <row r="63" spans="1:13" ht="16.2" thickBot="1" x14ac:dyDescent="0.35">
      <c r="A63" s="55"/>
      <c r="B63" s="56"/>
      <c r="C63" s="56"/>
      <c r="D63" s="57"/>
      <c r="E63" s="57"/>
      <c r="F63" s="252"/>
      <c r="G63" s="53"/>
      <c r="H63" s="252"/>
      <c r="I63" s="82"/>
      <c r="J63" s="56"/>
      <c r="K63" s="83" t="s">
        <v>92</v>
      </c>
      <c r="L63" s="199">
        <f>'Budget Cont.'!L54</f>
        <v>0</v>
      </c>
    </row>
    <row r="64" spans="1:13" ht="16.2" thickBot="1" x14ac:dyDescent="0.35">
      <c r="A64" s="84"/>
      <c r="B64" s="111"/>
      <c r="C64" s="85"/>
      <c r="D64" s="85"/>
      <c r="E64" s="85"/>
      <c r="F64" s="86"/>
      <c r="G64" s="86"/>
      <c r="H64" s="86"/>
      <c r="I64" s="112"/>
      <c r="J64" s="85"/>
      <c r="K64" s="90" t="s">
        <v>25</v>
      </c>
      <c r="L64" s="191">
        <f>SUM(I51:I54)+SUM(J55:J58)+SUM(K59:K62)+L63</f>
        <v>0</v>
      </c>
    </row>
    <row r="65" spans="1:12" ht="9" customHeight="1" thickBot="1" x14ac:dyDescent="0.35">
      <c r="A65" s="91"/>
      <c r="B65" s="113"/>
      <c r="C65" s="113"/>
      <c r="D65" s="113"/>
      <c r="E65" s="113"/>
      <c r="F65" s="114"/>
      <c r="G65" s="114"/>
      <c r="H65" s="114"/>
      <c r="I65" s="115"/>
      <c r="J65" s="92"/>
      <c r="K65" s="92"/>
      <c r="L65" s="95"/>
    </row>
    <row r="66" spans="1:12" ht="16.2" thickBot="1" x14ac:dyDescent="0.35">
      <c r="A66" s="116" t="s">
        <v>27</v>
      </c>
      <c r="B66" s="117"/>
      <c r="C66" s="118"/>
      <c r="D66" s="118"/>
      <c r="E66" s="118"/>
      <c r="F66" s="118"/>
      <c r="G66" s="118"/>
      <c r="H66" s="118"/>
      <c r="I66" s="119"/>
      <c r="J66" s="120"/>
      <c r="K66" s="120"/>
      <c r="L66" s="121"/>
    </row>
    <row r="67" spans="1:12" x14ac:dyDescent="0.3">
      <c r="A67" s="75"/>
      <c r="B67" s="122" t="s">
        <v>32</v>
      </c>
      <c r="C67" s="361" t="s">
        <v>0</v>
      </c>
      <c r="D67" s="359"/>
      <c r="E67" s="359"/>
      <c r="F67" s="360"/>
      <c r="G67" s="105" t="s">
        <v>113</v>
      </c>
      <c r="H67" s="105" t="s">
        <v>114</v>
      </c>
      <c r="I67" s="123" t="s">
        <v>51</v>
      </c>
      <c r="J67" s="56"/>
      <c r="K67" s="56"/>
      <c r="L67" s="77"/>
    </row>
    <row r="68" spans="1:12" x14ac:dyDescent="0.3">
      <c r="A68" s="21" t="s">
        <v>18</v>
      </c>
      <c r="B68" s="46"/>
      <c r="C68" s="345"/>
      <c r="D68" s="346"/>
      <c r="E68" s="346"/>
      <c r="F68" s="347"/>
      <c r="G68" s="35"/>
      <c r="H68" s="28"/>
      <c r="I68" s="9">
        <f>SUM(G68*H68)</f>
        <v>0</v>
      </c>
      <c r="J68" s="78"/>
      <c r="K68" s="56"/>
      <c r="L68" s="77"/>
    </row>
    <row r="69" spans="1:12" x14ac:dyDescent="0.3">
      <c r="A69" s="18" t="s">
        <v>18</v>
      </c>
      <c r="B69" s="46"/>
      <c r="C69" s="345"/>
      <c r="D69" s="346"/>
      <c r="E69" s="346"/>
      <c r="F69" s="347"/>
      <c r="G69" s="35"/>
      <c r="H69" s="28"/>
      <c r="I69" s="9">
        <f t="shared" ref="I69:I71" si="6">SUM(G69*H69)</f>
        <v>0</v>
      </c>
      <c r="J69" s="78"/>
      <c r="K69" s="56"/>
      <c r="L69" s="77"/>
    </row>
    <row r="70" spans="1:12" x14ac:dyDescent="0.3">
      <c r="A70" s="18" t="s">
        <v>18</v>
      </c>
      <c r="B70" s="46"/>
      <c r="C70" s="345"/>
      <c r="D70" s="346"/>
      <c r="E70" s="346"/>
      <c r="F70" s="347"/>
      <c r="G70" s="35"/>
      <c r="H70" s="28"/>
      <c r="I70" s="9">
        <f t="shared" si="6"/>
        <v>0</v>
      </c>
      <c r="J70" s="78"/>
      <c r="K70" s="56"/>
      <c r="L70" s="77"/>
    </row>
    <row r="71" spans="1:12" ht="15" thickBot="1" x14ac:dyDescent="0.35">
      <c r="A71" s="31" t="s">
        <v>18</v>
      </c>
      <c r="B71" s="47"/>
      <c r="C71" s="348"/>
      <c r="D71" s="349"/>
      <c r="E71" s="349"/>
      <c r="F71" s="350"/>
      <c r="G71" s="36"/>
      <c r="H71" s="24"/>
      <c r="I71" s="10">
        <f t="shared" si="6"/>
        <v>0</v>
      </c>
      <c r="J71" s="79" t="s">
        <v>51</v>
      </c>
      <c r="K71" s="56"/>
      <c r="L71" s="77"/>
    </row>
    <row r="72" spans="1:12" x14ac:dyDescent="0.3">
      <c r="A72" s="21" t="s">
        <v>19</v>
      </c>
      <c r="B72" s="45"/>
      <c r="C72" s="342"/>
      <c r="D72" s="343"/>
      <c r="E72" s="343"/>
      <c r="F72" s="344"/>
      <c r="G72" s="37"/>
      <c r="H72" s="30"/>
      <c r="I72" s="271"/>
      <c r="J72" s="188">
        <f>G72*H72</f>
        <v>0</v>
      </c>
      <c r="K72" s="56"/>
      <c r="L72" s="77"/>
    </row>
    <row r="73" spans="1:12" x14ac:dyDescent="0.3">
      <c r="A73" s="18" t="s">
        <v>19</v>
      </c>
      <c r="B73" s="46"/>
      <c r="C73" s="345"/>
      <c r="D73" s="346"/>
      <c r="E73" s="346"/>
      <c r="F73" s="347"/>
      <c r="G73" s="35"/>
      <c r="H73" s="28"/>
      <c r="I73" s="272"/>
      <c r="J73" s="189">
        <f>G73*H73</f>
        <v>0</v>
      </c>
      <c r="K73" s="56"/>
      <c r="L73" s="77"/>
    </row>
    <row r="74" spans="1:12" x14ac:dyDescent="0.3">
      <c r="A74" s="18" t="s">
        <v>19</v>
      </c>
      <c r="B74" s="46"/>
      <c r="C74" s="345"/>
      <c r="D74" s="346"/>
      <c r="E74" s="346"/>
      <c r="F74" s="347"/>
      <c r="G74" s="35"/>
      <c r="H74" s="28"/>
      <c r="I74" s="272"/>
      <c r="J74" s="189">
        <f>G74*H74</f>
        <v>0</v>
      </c>
      <c r="K74" s="56"/>
      <c r="L74" s="77"/>
    </row>
    <row r="75" spans="1:12" ht="15" thickBot="1" x14ac:dyDescent="0.35">
      <c r="A75" s="31" t="s">
        <v>19</v>
      </c>
      <c r="B75" s="47"/>
      <c r="C75" s="348"/>
      <c r="D75" s="349"/>
      <c r="E75" s="349"/>
      <c r="F75" s="350"/>
      <c r="G75" s="36"/>
      <c r="H75" s="24"/>
      <c r="I75" s="272"/>
      <c r="J75" s="190">
        <f>G75*H75</f>
        <v>0</v>
      </c>
      <c r="K75" s="79" t="s">
        <v>51</v>
      </c>
      <c r="L75" s="77"/>
    </row>
    <row r="76" spans="1:12" x14ac:dyDescent="0.3">
      <c r="A76" s="21" t="s">
        <v>20</v>
      </c>
      <c r="B76" s="45"/>
      <c r="C76" s="342"/>
      <c r="D76" s="343"/>
      <c r="E76" s="343"/>
      <c r="F76" s="344"/>
      <c r="G76" s="37"/>
      <c r="H76" s="30"/>
      <c r="I76" s="271"/>
      <c r="J76" s="266"/>
      <c r="K76" s="194">
        <f>G76*H76</f>
        <v>0</v>
      </c>
      <c r="L76" s="77"/>
    </row>
    <row r="77" spans="1:12" x14ac:dyDescent="0.3">
      <c r="A77" s="18" t="s">
        <v>20</v>
      </c>
      <c r="B77" s="46"/>
      <c r="C77" s="345"/>
      <c r="D77" s="346"/>
      <c r="E77" s="346"/>
      <c r="F77" s="347"/>
      <c r="G77" s="35"/>
      <c r="H77" s="28"/>
      <c r="I77" s="271"/>
      <c r="J77" s="266"/>
      <c r="K77" s="189">
        <f t="shared" ref="K77:K79" si="7">G77*H77</f>
        <v>0</v>
      </c>
      <c r="L77" s="77"/>
    </row>
    <row r="78" spans="1:12" x14ac:dyDescent="0.3">
      <c r="A78" s="18" t="s">
        <v>20</v>
      </c>
      <c r="B78" s="46"/>
      <c r="C78" s="345"/>
      <c r="D78" s="346"/>
      <c r="E78" s="346"/>
      <c r="F78" s="347"/>
      <c r="G78" s="35"/>
      <c r="H78" s="28"/>
      <c r="I78" s="271"/>
      <c r="J78" s="266"/>
      <c r="K78" s="189">
        <f t="shared" si="7"/>
        <v>0</v>
      </c>
      <c r="L78" s="77"/>
    </row>
    <row r="79" spans="1:12" ht="15" thickBot="1" x14ac:dyDescent="0.35">
      <c r="A79" s="31" t="s">
        <v>20</v>
      </c>
      <c r="B79" s="47"/>
      <c r="C79" s="348"/>
      <c r="D79" s="349"/>
      <c r="E79" s="349"/>
      <c r="F79" s="350"/>
      <c r="G79" s="36"/>
      <c r="H79" s="29"/>
      <c r="I79" s="273"/>
      <c r="J79" s="270"/>
      <c r="K79" s="190">
        <f t="shared" si="7"/>
        <v>0</v>
      </c>
      <c r="L79" s="81" t="s">
        <v>51</v>
      </c>
    </row>
    <row r="80" spans="1:12" ht="16.2" thickBot="1" x14ac:dyDescent="0.35">
      <c r="A80" s="55"/>
      <c r="B80" s="56"/>
      <c r="C80" s="56"/>
      <c r="D80" s="57"/>
      <c r="E80" s="57"/>
      <c r="F80" s="58"/>
      <c r="G80" s="59"/>
      <c r="H80" s="58"/>
      <c r="I80" s="82"/>
      <c r="J80" s="56"/>
      <c r="K80" s="83" t="s">
        <v>92</v>
      </c>
      <c r="L80" s="198">
        <f>'Budget Cont.'!L82</f>
        <v>0</v>
      </c>
    </row>
    <row r="81" spans="1:12" ht="16.2" thickBot="1" x14ac:dyDescent="0.35">
      <c r="A81" s="84"/>
      <c r="B81" s="85"/>
      <c r="C81" s="85"/>
      <c r="D81" s="85"/>
      <c r="E81" s="85"/>
      <c r="F81" s="86"/>
      <c r="G81" s="86"/>
      <c r="H81" s="86"/>
      <c r="I81" s="112"/>
      <c r="J81" s="85"/>
      <c r="K81" s="90" t="s">
        <v>28</v>
      </c>
      <c r="L81" s="191">
        <f>SUM(I68:I71)+SUM(J72:J75)+SUM(K76:K79)+L80</f>
        <v>0</v>
      </c>
    </row>
    <row r="82" spans="1:12" ht="9.6" customHeight="1" thickBot="1" x14ac:dyDescent="0.35">
      <c r="A82" s="91"/>
      <c r="F82" s="93"/>
      <c r="G82" s="93"/>
      <c r="H82" s="93"/>
      <c r="I82" s="94"/>
      <c r="L82" s="124"/>
    </row>
    <row r="83" spans="1:12" ht="16.5" customHeight="1" thickBot="1" x14ac:dyDescent="0.35">
      <c r="A83" s="96" t="s">
        <v>30</v>
      </c>
      <c r="B83" s="98"/>
      <c r="C83" s="98" t="s">
        <v>108</v>
      </c>
      <c r="D83" s="99"/>
      <c r="E83" s="99"/>
      <c r="F83" s="99"/>
      <c r="G83" s="99"/>
      <c r="H83" s="99"/>
      <c r="I83" s="119"/>
      <c r="J83" s="120"/>
      <c r="K83" s="120"/>
      <c r="L83" s="121"/>
    </row>
    <row r="84" spans="1:12" x14ac:dyDescent="0.3">
      <c r="A84" s="104"/>
      <c r="B84" s="125" t="s">
        <v>102</v>
      </c>
      <c r="C84" s="126"/>
      <c r="D84" s="56"/>
      <c r="E84" s="56"/>
      <c r="F84" s="127"/>
      <c r="G84" s="105" t="s">
        <v>113</v>
      </c>
      <c r="H84" s="105" t="s">
        <v>114</v>
      </c>
      <c r="I84" s="123" t="s">
        <v>51</v>
      </c>
      <c r="J84" s="56"/>
      <c r="K84" s="56"/>
      <c r="L84" s="77"/>
    </row>
    <row r="85" spans="1:12" x14ac:dyDescent="0.3">
      <c r="A85" s="21" t="s">
        <v>18</v>
      </c>
      <c r="B85" s="345"/>
      <c r="C85" s="346"/>
      <c r="D85" s="346"/>
      <c r="E85" s="346"/>
      <c r="F85" s="347"/>
      <c r="G85" s="38"/>
      <c r="H85" s="41"/>
      <c r="I85" s="9">
        <f>SUM(G85*H85)</f>
        <v>0</v>
      </c>
      <c r="J85" s="78"/>
      <c r="K85" s="56"/>
      <c r="L85" s="77"/>
    </row>
    <row r="86" spans="1:12" x14ac:dyDescent="0.3">
      <c r="A86" s="18" t="s">
        <v>18</v>
      </c>
      <c r="B86" s="345"/>
      <c r="C86" s="346"/>
      <c r="D86" s="346"/>
      <c r="E86" s="346"/>
      <c r="F86" s="347"/>
      <c r="G86" s="38"/>
      <c r="H86" s="41"/>
      <c r="I86" s="9">
        <f t="shared" ref="I86" si="8">SUM(G86*H86)</f>
        <v>0</v>
      </c>
      <c r="J86" s="78"/>
      <c r="K86" s="56"/>
      <c r="L86" s="77"/>
    </row>
    <row r="87" spans="1:12" x14ac:dyDescent="0.3">
      <c r="A87" s="18" t="s">
        <v>18</v>
      </c>
      <c r="B87" s="345"/>
      <c r="C87" s="346"/>
      <c r="D87" s="346"/>
      <c r="E87" s="346"/>
      <c r="F87" s="347"/>
      <c r="G87" s="38"/>
      <c r="H87" s="41"/>
      <c r="I87" s="9">
        <f>SUM(G87*H87)</f>
        <v>0</v>
      </c>
      <c r="J87" s="78"/>
      <c r="K87" s="56"/>
      <c r="L87" s="77"/>
    </row>
    <row r="88" spans="1:12" x14ac:dyDescent="0.3">
      <c r="A88" s="18" t="s">
        <v>18</v>
      </c>
      <c r="B88" s="345"/>
      <c r="C88" s="346"/>
      <c r="D88" s="346"/>
      <c r="E88" s="346"/>
      <c r="F88" s="347"/>
      <c r="G88" s="38"/>
      <c r="H88" s="41"/>
      <c r="I88" s="9">
        <f>SUM(G88*H88)</f>
        <v>0</v>
      </c>
      <c r="J88" s="78"/>
      <c r="K88" s="56"/>
      <c r="L88" s="77"/>
    </row>
    <row r="89" spans="1:12" x14ac:dyDescent="0.3">
      <c r="A89" s="18" t="s">
        <v>18</v>
      </c>
      <c r="B89" s="345"/>
      <c r="C89" s="346"/>
      <c r="D89" s="346"/>
      <c r="E89" s="346"/>
      <c r="F89" s="347"/>
      <c r="G89" s="38"/>
      <c r="H89" s="41"/>
      <c r="I89" s="9">
        <f>SUM(G89*H89)</f>
        <v>0</v>
      </c>
      <c r="J89" s="78"/>
      <c r="K89" s="56"/>
      <c r="L89" s="77"/>
    </row>
    <row r="90" spans="1:12" x14ac:dyDescent="0.3">
      <c r="A90" s="18" t="s">
        <v>18</v>
      </c>
      <c r="B90" s="345"/>
      <c r="C90" s="346"/>
      <c r="D90" s="346"/>
      <c r="E90" s="346"/>
      <c r="F90" s="347"/>
      <c r="G90" s="38"/>
      <c r="H90" s="41"/>
      <c r="I90" s="9">
        <f>SUM(G90*H90)</f>
        <v>0</v>
      </c>
      <c r="J90" s="78"/>
      <c r="K90" s="56"/>
      <c r="L90" s="77"/>
    </row>
    <row r="91" spans="1:12" ht="15" thickBot="1" x14ac:dyDescent="0.35">
      <c r="A91" s="31" t="s">
        <v>18</v>
      </c>
      <c r="B91" s="348"/>
      <c r="C91" s="349"/>
      <c r="D91" s="349"/>
      <c r="E91" s="349"/>
      <c r="F91" s="350"/>
      <c r="G91" s="39"/>
      <c r="H91" s="42"/>
      <c r="I91" s="10">
        <f t="shared" ref="I91" si="9">SUM(G91*H91)</f>
        <v>0</v>
      </c>
      <c r="J91" s="79" t="s">
        <v>51</v>
      </c>
      <c r="K91" s="56"/>
      <c r="L91" s="77"/>
    </row>
    <row r="92" spans="1:12" x14ac:dyDescent="0.3">
      <c r="A92" s="21" t="s">
        <v>19</v>
      </c>
      <c r="B92" s="342"/>
      <c r="C92" s="343"/>
      <c r="D92" s="343"/>
      <c r="E92" s="343"/>
      <c r="F92" s="344"/>
      <c r="G92" s="40"/>
      <c r="H92" s="43"/>
      <c r="I92" s="271"/>
      <c r="J92" s="188">
        <f>G92*H92</f>
        <v>0</v>
      </c>
      <c r="K92" s="56"/>
      <c r="L92" s="77"/>
    </row>
    <row r="93" spans="1:12" x14ac:dyDescent="0.3">
      <c r="A93" s="18" t="s">
        <v>19</v>
      </c>
      <c r="B93" s="345"/>
      <c r="C93" s="346"/>
      <c r="D93" s="346"/>
      <c r="E93" s="346"/>
      <c r="F93" s="347"/>
      <c r="G93" s="40"/>
      <c r="H93" s="43"/>
      <c r="I93" s="271"/>
      <c r="J93" s="188">
        <f>G93*H93</f>
        <v>0</v>
      </c>
      <c r="K93" s="56"/>
      <c r="L93" s="77"/>
    </row>
    <row r="94" spans="1:12" x14ac:dyDescent="0.3">
      <c r="A94" s="18" t="s">
        <v>19</v>
      </c>
      <c r="B94" s="345"/>
      <c r="C94" s="346"/>
      <c r="D94" s="346"/>
      <c r="E94" s="346"/>
      <c r="F94" s="347"/>
      <c r="G94" s="40"/>
      <c r="H94" s="43"/>
      <c r="I94" s="271"/>
      <c r="J94" s="188">
        <f>G94*H94</f>
        <v>0</v>
      </c>
      <c r="K94" s="56"/>
      <c r="L94" s="77"/>
    </row>
    <row r="95" spans="1:12" x14ac:dyDescent="0.3">
      <c r="A95" s="18" t="s">
        <v>19</v>
      </c>
      <c r="B95" s="345"/>
      <c r="C95" s="346"/>
      <c r="D95" s="346"/>
      <c r="E95" s="346"/>
      <c r="F95" s="347"/>
      <c r="G95" s="40"/>
      <c r="H95" s="43"/>
      <c r="I95" s="271"/>
      <c r="J95" s="188">
        <f t="shared" ref="J95" si="10">G95*H95</f>
        <v>0</v>
      </c>
      <c r="K95" s="56"/>
      <c r="L95" s="77"/>
    </row>
    <row r="96" spans="1:12" x14ac:dyDescent="0.3">
      <c r="A96" s="18" t="s">
        <v>19</v>
      </c>
      <c r="B96" s="345"/>
      <c r="C96" s="346"/>
      <c r="D96" s="346"/>
      <c r="E96" s="346"/>
      <c r="F96" s="347"/>
      <c r="G96" s="38"/>
      <c r="H96" s="41"/>
      <c r="I96" s="272"/>
      <c r="J96" s="189">
        <f>G96*H96</f>
        <v>0</v>
      </c>
      <c r="K96" s="56"/>
      <c r="L96" s="77"/>
    </row>
    <row r="97" spans="1:12" x14ac:dyDescent="0.3">
      <c r="A97" s="18" t="s">
        <v>19</v>
      </c>
      <c r="B97" s="345"/>
      <c r="C97" s="346"/>
      <c r="D97" s="346"/>
      <c r="E97" s="346"/>
      <c r="F97" s="347"/>
      <c r="G97" s="38"/>
      <c r="H97" s="41"/>
      <c r="I97" s="272"/>
      <c r="J97" s="189">
        <f>G97*H97</f>
        <v>0</v>
      </c>
      <c r="K97" s="56"/>
      <c r="L97" s="77"/>
    </row>
    <row r="98" spans="1:12" ht="15" thickBot="1" x14ac:dyDescent="0.35">
      <c r="A98" s="31" t="s">
        <v>19</v>
      </c>
      <c r="B98" s="348"/>
      <c r="C98" s="349"/>
      <c r="D98" s="349"/>
      <c r="E98" s="349"/>
      <c r="F98" s="350"/>
      <c r="G98" s="39"/>
      <c r="H98" s="42"/>
      <c r="I98" s="272"/>
      <c r="J98" s="190">
        <f>G98*H98</f>
        <v>0</v>
      </c>
      <c r="K98" s="79" t="s">
        <v>51</v>
      </c>
      <c r="L98" s="77"/>
    </row>
    <row r="99" spans="1:12" x14ac:dyDescent="0.3">
      <c r="A99" s="21" t="s">
        <v>20</v>
      </c>
      <c r="B99" s="342"/>
      <c r="C99" s="343"/>
      <c r="D99" s="343"/>
      <c r="E99" s="343"/>
      <c r="F99" s="344"/>
      <c r="G99" s="40"/>
      <c r="H99" s="43"/>
      <c r="I99" s="271"/>
      <c r="J99" s="266"/>
      <c r="K99" s="195">
        <f>G99*H99</f>
        <v>0</v>
      </c>
      <c r="L99" s="77"/>
    </row>
    <row r="100" spans="1:12" x14ac:dyDescent="0.3">
      <c r="A100" s="18" t="s">
        <v>20</v>
      </c>
      <c r="B100" s="345"/>
      <c r="C100" s="346"/>
      <c r="D100" s="346"/>
      <c r="E100" s="346"/>
      <c r="F100" s="347"/>
      <c r="G100" s="40"/>
      <c r="H100" s="43"/>
      <c r="I100" s="271"/>
      <c r="J100" s="266"/>
      <c r="K100" s="189">
        <f>G100*H100</f>
        <v>0</v>
      </c>
      <c r="L100" s="77"/>
    </row>
    <row r="101" spans="1:12" x14ac:dyDescent="0.3">
      <c r="A101" s="18" t="s">
        <v>20</v>
      </c>
      <c r="B101" s="345"/>
      <c r="C101" s="346"/>
      <c r="D101" s="346"/>
      <c r="E101" s="346"/>
      <c r="F101" s="347"/>
      <c r="G101" s="40"/>
      <c r="H101" s="43"/>
      <c r="I101" s="271"/>
      <c r="J101" s="266"/>
      <c r="K101" s="189">
        <f>G101*H101</f>
        <v>0</v>
      </c>
      <c r="L101" s="77"/>
    </row>
    <row r="102" spans="1:12" x14ac:dyDescent="0.3">
      <c r="A102" s="18" t="s">
        <v>20</v>
      </c>
      <c r="B102" s="345"/>
      <c r="C102" s="346"/>
      <c r="D102" s="346"/>
      <c r="E102" s="346"/>
      <c r="F102" s="347"/>
      <c r="G102" s="40"/>
      <c r="H102" s="43"/>
      <c r="I102" s="271"/>
      <c r="J102" s="266"/>
      <c r="K102" s="188">
        <f>G102*H102</f>
        <v>0</v>
      </c>
      <c r="L102" s="77"/>
    </row>
    <row r="103" spans="1:12" x14ac:dyDescent="0.3">
      <c r="A103" s="18" t="s">
        <v>20</v>
      </c>
      <c r="B103" s="345"/>
      <c r="C103" s="346"/>
      <c r="D103" s="346"/>
      <c r="E103" s="346"/>
      <c r="F103" s="347"/>
      <c r="G103" s="38"/>
      <c r="H103" s="41"/>
      <c r="I103" s="271"/>
      <c r="J103" s="266"/>
      <c r="K103" s="189">
        <f t="shared" ref="K103:K105" si="11">G103*H103</f>
        <v>0</v>
      </c>
      <c r="L103" s="77"/>
    </row>
    <row r="104" spans="1:12" x14ac:dyDescent="0.3">
      <c r="A104" s="18" t="s">
        <v>20</v>
      </c>
      <c r="B104" s="345"/>
      <c r="C104" s="346"/>
      <c r="D104" s="346"/>
      <c r="E104" s="346"/>
      <c r="F104" s="347"/>
      <c r="G104" s="38"/>
      <c r="H104" s="41"/>
      <c r="I104" s="271"/>
      <c r="J104" s="266"/>
      <c r="K104" s="189">
        <f t="shared" si="11"/>
        <v>0</v>
      </c>
      <c r="L104" s="77"/>
    </row>
    <row r="105" spans="1:12" ht="15" thickBot="1" x14ac:dyDescent="0.35">
      <c r="A105" s="31" t="s">
        <v>20</v>
      </c>
      <c r="B105" s="348"/>
      <c r="C105" s="349"/>
      <c r="D105" s="349"/>
      <c r="E105" s="349"/>
      <c r="F105" s="350"/>
      <c r="G105" s="39"/>
      <c r="H105" s="42"/>
      <c r="I105" s="273"/>
      <c r="J105" s="270"/>
      <c r="K105" s="190">
        <f t="shared" si="11"/>
        <v>0</v>
      </c>
      <c r="L105" s="81" t="s">
        <v>51</v>
      </c>
    </row>
    <row r="106" spans="1:12" ht="16.2" thickBot="1" x14ac:dyDescent="0.35">
      <c r="A106" s="55"/>
      <c r="B106" s="56"/>
      <c r="C106" s="56"/>
      <c r="D106" s="57"/>
      <c r="E106" s="57"/>
      <c r="F106" s="58"/>
      <c r="G106" s="59"/>
      <c r="H106" s="58"/>
      <c r="I106" s="82"/>
      <c r="J106" s="56"/>
      <c r="K106" s="83" t="s">
        <v>92</v>
      </c>
      <c r="L106" s="198">
        <f>'Budget Cont.'!L107</f>
        <v>0</v>
      </c>
    </row>
    <row r="107" spans="1:12" ht="16.2" thickBot="1" x14ac:dyDescent="0.35">
      <c r="A107" s="84"/>
      <c r="B107" s="85"/>
      <c r="C107" s="85"/>
      <c r="D107" s="111"/>
      <c r="E107" s="111"/>
      <c r="F107" s="86"/>
      <c r="G107" s="86"/>
      <c r="H107" s="86"/>
      <c r="I107" s="112"/>
      <c r="J107" s="85"/>
      <c r="K107" s="90" t="s">
        <v>29</v>
      </c>
      <c r="L107" s="191">
        <f>SUM(I85:I91)+SUM(J92:J98)+SUM(K99:K105)+L106</f>
        <v>0</v>
      </c>
    </row>
    <row r="108" spans="1:12" ht="9" customHeight="1" thickBot="1" x14ac:dyDescent="0.35">
      <c r="A108" s="91"/>
      <c r="B108" s="92"/>
      <c r="C108" s="92"/>
      <c r="D108" s="128"/>
      <c r="E108" s="128"/>
      <c r="F108" s="129"/>
      <c r="G108" s="129"/>
      <c r="H108" s="129"/>
      <c r="I108" s="130"/>
      <c r="J108" s="92"/>
      <c r="K108" s="92"/>
      <c r="L108" s="95"/>
    </row>
    <row r="109" spans="1:12" ht="16.2" thickBot="1" x14ac:dyDescent="0.35">
      <c r="A109" s="131" t="s">
        <v>53</v>
      </c>
      <c r="B109" s="132"/>
      <c r="C109" s="366" t="s">
        <v>109</v>
      </c>
      <c r="D109" s="366"/>
      <c r="E109" s="366"/>
      <c r="F109" s="366"/>
      <c r="G109" s="366"/>
      <c r="H109" s="366"/>
      <c r="I109" s="366"/>
      <c r="J109" s="366"/>
      <c r="K109" s="366"/>
      <c r="L109" s="367"/>
    </row>
    <row r="110" spans="1:12" x14ac:dyDescent="0.3">
      <c r="A110" s="133"/>
      <c r="B110" s="134" t="s">
        <v>12</v>
      </c>
      <c r="C110" s="135"/>
      <c r="D110" s="135"/>
      <c r="E110" s="135"/>
      <c r="F110" s="136"/>
      <c r="G110" s="105" t="s">
        <v>113</v>
      </c>
      <c r="H110" s="105" t="s">
        <v>114</v>
      </c>
      <c r="I110" s="137" t="s">
        <v>51</v>
      </c>
      <c r="J110" s="138"/>
      <c r="K110" s="138"/>
      <c r="L110" s="139"/>
    </row>
    <row r="111" spans="1:12" x14ac:dyDescent="0.3">
      <c r="A111" s="21" t="s">
        <v>18</v>
      </c>
      <c r="B111" s="346"/>
      <c r="C111" s="346"/>
      <c r="D111" s="346"/>
      <c r="E111" s="346"/>
      <c r="F111" s="347"/>
      <c r="G111" s="40"/>
      <c r="H111" s="43"/>
      <c r="I111" s="9">
        <f>SUM(G111*H111)</f>
        <v>0</v>
      </c>
      <c r="J111" s="78"/>
      <c r="K111" s="56"/>
      <c r="L111" s="77"/>
    </row>
    <row r="112" spans="1:12" x14ac:dyDescent="0.3">
      <c r="A112" s="18" t="s">
        <v>18</v>
      </c>
      <c r="B112" s="346"/>
      <c r="C112" s="346"/>
      <c r="D112" s="346"/>
      <c r="E112" s="346"/>
      <c r="F112" s="347"/>
      <c r="G112" s="38"/>
      <c r="H112" s="41"/>
      <c r="I112" s="9">
        <f t="shared" ref="I112" si="12">SUM(G112*H112)</f>
        <v>0</v>
      </c>
      <c r="J112" s="78"/>
      <c r="K112" s="56"/>
      <c r="L112" s="77"/>
    </row>
    <row r="113" spans="1:12" x14ac:dyDescent="0.3">
      <c r="A113" s="18" t="s">
        <v>18</v>
      </c>
      <c r="B113" s="346"/>
      <c r="C113" s="346"/>
      <c r="D113" s="346"/>
      <c r="E113" s="346"/>
      <c r="F113" s="347"/>
      <c r="G113" s="38"/>
      <c r="H113" s="41"/>
      <c r="I113" s="9">
        <f>SUM(G113*H113)</f>
        <v>0</v>
      </c>
      <c r="J113" s="78"/>
      <c r="K113" s="56"/>
      <c r="L113" s="77"/>
    </row>
    <row r="114" spans="1:12" ht="15" thickBot="1" x14ac:dyDescent="0.35">
      <c r="A114" s="31" t="s">
        <v>18</v>
      </c>
      <c r="B114" s="349"/>
      <c r="C114" s="349"/>
      <c r="D114" s="349"/>
      <c r="E114" s="349"/>
      <c r="F114" s="350"/>
      <c r="G114" s="39"/>
      <c r="H114" s="42"/>
      <c r="I114" s="10">
        <f t="shared" ref="I114" si="13">SUM(G114*H114)</f>
        <v>0</v>
      </c>
      <c r="J114" s="79" t="s">
        <v>51</v>
      </c>
      <c r="K114" s="56"/>
      <c r="L114" s="77"/>
    </row>
    <row r="115" spans="1:12" x14ac:dyDescent="0.3">
      <c r="A115" s="21" t="s">
        <v>19</v>
      </c>
      <c r="B115" s="363"/>
      <c r="C115" s="363"/>
      <c r="D115" s="363"/>
      <c r="E115" s="363"/>
      <c r="F115" s="364"/>
      <c r="G115" s="40"/>
      <c r="H115" s="43"/>
      <c r="I115" s="271"/>
      <c r="J115" s="188">
        <f>G115*H115</f>
        <v>0</v>
      </c>
      <c r="K115" s="56"/>
      <c r="L115" s="77"/>
    </row>
    <row r="116" spans="1:12" x14ac:dyDescent="0.3">
      <c r="A116" s="18" t="s">
        <v>19</v>
      </c>
      <c r="B116" s="346"/>
      <c r="C116" s="346"/>
      <c r="D116" s="346"/>
      <c r="E116" s="346"/>
      <c r="F116" s="347"/>
      <c r="G116" s="38"/>
      <c r="H116" s="41"/>
      <c r="I116" s="272"/>
      <c r="J116" s="189">
        <f>G116*H116</f>
        <v>0</v>
      </c>
      <c r="K116" s="56"/>
      <c r="L116" s="77"/>
    </row>
    <row r="117" spans="1:12" x14ac:dyDescent="0.3">
      <c r="A117" s="18" t="s">
        <v>19</v>
      </c>
      <c r="B117" s="346"/>
      <c r="C117" s="346"/>
      <c r="D117" s="346"/>
      <c r="E117" s="346"/>
      <c r="F117" s="347"/>
      <c r="G117" s="38"/>
      <c r="H117" s="41"/>
      <c r="I117" s="272"/>
      <c r="J117" s="189">
        <f>G117*H117</f>
        <v>0</v>
      </c>
      <c r="K117" s="56"/>
      <c r="L117" s="77"/>
    </row>
    <row r="118" spans="1:12" ht="15" thickBot="1" x14ac:dyDescent="0.35">
      <c r="A118" s="31" t="s">
        <v>19</v>
      </c>
      <c r="B118" s="349"/>
      <c r="C118" s="349"/>
      <c r="D118" s="349"/>
      <c r="E118" s="349"/>
      <c r="F118" s="350"/>
      <c r="G118" s="39"/>
      <c r="H118" s="42"/>
      <c r="I118" s="272"/>
      <c r="J118" s="190">
        <f>G118*H118</f>
        <v>0</v>
      </c>
      <c r="K118" s="79" t="s">
        <v>51</v>
      </c>
      <c r="L118" s="77"/>
    </row>
    <row r="119" spans="1:12" x14ac:dyDescent="0.3">
      <c r="A119" s="21" t="s">
        <v>20</v>
      </c>
      <c r="B119" s="363"/>
      <c r="C119" s="363"/>
      <c r="D119" s="363"/>
      <c r="E119" s="363"/>
      <c r="F119" s="364"/>
      <c r="G119" s="40"/>
      <c r="H119" s="43"/>
      <c r="I119" s="271"/>
      <c r="J119" s="266"/>
      <c r="K119" s="194">
        <f>G119*H119</f>
        <v>0</v>
      </c>
      <c r="L119" s="77"/>
    </row>
    <row r="120" spans="1:12" x14ac:dyDescent="0.3">
      <c r="A120" s="18" t="s">
        <v>20</v>
      </c>
      <c r="B120" s="346"/>
      <c r="C120" s="346"/>
      <c r="D120" s="346"/>
      <c r="E120" s="346"/>
      <c r="F120" s="347"/>
      <c r="G120" s="38"/>
      <c r="H120" s="41"/>
      <c r="I120" s="271"/>
      <c r="J120" s="266"/>
      <c r="K120" s="189">
        <f t="shared" ref="K120:K122" si="14">G120*H120</f>
        <v>0</v>
      </c>
      <c r="L120" s="77"/>
    </row>
    <row r="121" spans="1:12" x14ac:dyDescent="0.3">
      <c r="A121" s="18" t="s">
        <v>20</v>
      </c>
      <c r="B121" s="346"/>
      <c r="C121" s="346"/>
      <c r="D121" s="346"/>
      <c r="E121" s="346"/>
      <c r="F121" s="347"/>
      <c r="G121" s="38"/>
      <c r="H121" s="41"/>
      <c r="I121" s="271"/>
      <c r="J121" s="266"/>
      <c r="K121" s="189">
        <f t="shared" si="14"/>
        <v>0</v>
      </c>
      <c r="L121" s="77"/>
    </row>
    <row r="122" spans="1:12" ht="15" thickBot="1" x14ac:dyDescent="0.35">
      <c r="A122" s="31" t="s">
        <v>20</v>
      </c>
      <c r="B122" s="349"/>
      <c r="C122" s="349"/>
      <c r="D122" s="349"/>
      <c r="E122" s="349"/>
      <c r="F122" s="350"/>
      <c r="G122" s="44"/>
      <c r="H122" s="42"/>
      <c r="I122" s="273"/>
      <c r="J122" s="270"/>
      <c r="K122" s="190">
        <f t="shared" si="14"/>
        <v>0</v>
      </c>
      <c r="L122" s="81" t="s">
        <v>51</v>
      </c>
    </row>
    <row r="123" spans="1:12" ht="16.2" thickBot="1" x14ac:dyDescent="0.35">
      <c r="A123" s="55"/>
      <c r="B123" s="56"/>
      <c r="C123" s="56"/>
      <c r="D123" s="57"/>
      <c r="E123" s="57"/>
      <c r="F123" s="58"/>
      <c r="G123" s="59"/>
      <c r="H123" s="58"/>
      <c r="I123" s="82"/>
      <c r="J123" s="56"/>
      <c r="K123" s="83" t="s">
        <v>92</v>
      </c>
      <c r="L123" s="198">
        <f>'Budget Cont.'!L123</f>
        <v>0</v>
      </c>
    </row>
    <row r="124" spans="1:12" ht="16.2" thickBot="1" x14ac:dyDescent="0.35">
      <c r="A124" s="84"/>
      <c r="B124" s="85"/>
      <c r="C124" s="85"/>
      <c r="D124" s="85"/>
      <c r="E124" s="85"/>
      <c r="F124" s="86"/>
      <c r="G124" s="86"/>
      <c r="H124" s="86"/>
      <c r="I124" s="112"/>
      <c r="J124" s="85"/>
      <c r="K124" s="90" t="s">
        <v>31</v>
      </c>
      <c r="L124" s="191">
        <f>SUM(I111:I114)+SUM(J115:J118)+SUM(K119:K122)+L123</f>
        <v>0</v>
      </c>
    </row>
    <row r="125" spans="1:12" ht="9" customHeight="1" thickBot="1" x14ac:dyDescent="0.35">
      <c r="A125" s="91"/>
      <c r="B125" s="92"/>
      <c r="C125" s="92"/>
      <c r="D125" s="92"/>
      <c r="E125" s="92"/>
      <c r="F125" s="129"/>
      <c r="G125" s="129"/>
      <c r="H125" s="129"/>
      <c r="I125" s="130"/>
      <c r="J125" s="92"/>
      <c r="K125" s="92"/>
      <c r="L125" s="95"/>
    </row>
    <row r="126" spans="1:12" ht="16.2" thickBot="1" x14ac:dyDescent="0.35">
      <c r="A126" s="131" t="s">
        <v>93</v>
      </c>
      <c r="B126" s="140"/>
      <c r="C126" s="368" t="s">
        <v>110</v>
      </c>
      <c r="D126" s="368"/>
      <c r="E126" s="368"/>
      <c r="F126" s="368"/>
      <c r="G126" s="368"/>
      <c r="H126" s="368"/>
      <c r="I126" s="368"/>
      <c r="J126" s="368"/>
      <c r="K126" s="368"/>
      <c r="L126" s="369"/>
    </row>
    <row r="127" spans="1:12" ht="45" customHeight="1" x14ac:dyDescent="0.3">
      <c r="A127" s="141"/>
      <c r="B127" s="142" t="s">
        <v>54</v>
      </c>
      <c r="C127" s="370" t="s">
        <v>90</v>
      </c>
      <c r="D127" s="371"/>
      <c r="E127" s="371"/>
      <c r="F127" s="371"/>
      <c r="G127" s="371"/>
      <c r="H127" s="372"/>
      <c r="I127" s="143" t="s">
        <v>116</v>
      </c>
      <c r="J127" s="144"/>
      <c r="K127" s="144"/>
      <c r="L127" s="145"/>
    </row>
    <row r="128" spans="1:12" ht="28.8" customHeight="1" x14ac:dyDescent="0.3">
      <c r="A128" s="32" t="s">
        <v>34</v>
      </c>
      <c r="B128" s="45"/>
      <c r="C128" s="362"/>
      <c r="D128" s="363"/>
      <c r="E128" s="363"/>
      <c r="F128" s="363"/>
      <c r="G128" s="363"/>
      <c r="H128" s="364"/>
      <c r="I128" s="308"/>
      <c r="J128" s="78"/>
      <c r="K128" s="56"/>
      <c r="L128" s="77"/>
    </row>
    <row r="129" spans="1:12" ht="28.2" customHeight="1" x14ac:dyDescent="0.3">
      <c r="A129" s="32" t="s">
        <v>33</v>
      </c>
      <c r="B129" s="46"/>
      <c r="C129" s="345"/>
      <c r="D129" s="346"/>
      <c r="E129" s="346"/>
      <c r="F129" s="346"/>
      <c r="G129" s="346"/>
      <c r="H129" s="347"/>
      <c r="I129" s="287"/>
      <c r="J129" s="56"/>
      <c r="K129" s="56"/>
      <c r="L129" s="77"/>
    </row>
    <row r="130" spans="1:12" ht="28.2" customHeight="1" x14ac:dyDescent="0.3">
      <c r="A130" s="32" t="s">
        <v>35</v>
      </c>
      <c r="B130" s="46"/>
      <c r="C130" s="345"/>
      <c r="D130" s="346"/>
      <c r="E130" s="346"/>
      <c r="F130" s="346"/>
      <c r="G130" s="346"/>
      <c r="H130" s="347"/>
      <c r="I130" s="287"/>
      <c r="J130" s="56"/>
      <c r="K130" s="56"/>
      <c r="L130" s="77"/>
    </row>
    <row r="131" spans="1:12" ht="28.2" customHeight="1" thickBot="1" x14ac:dyDescent="0.35">
      <c r="A131" s="33" t="s">
        <v>36</v>
      </c>
      <c r="B131" s="47"/>
      <c r="C131" s="348"/>
      <c r="D131" s="349"/>
      <c r="E131" s="349"/>
      <c r="F131" s="349"/>
      <c r="G131" s="349"/>
      <c r="H131" s="350"/>
      <c r="I131" s="288"/>
      <c r="J131" s="146" t="s">
        <v>116</v>
      </c>
      <c r="K131" s="56"/>
      <c r="L131" s="77"/>
    </row>
    <row r="132" spans="1:12" ht="28.2" customHeight="1" x14ac:dyDescent="0.3">
      <c r="A132" s="32" t="s">
        <v>37</v>
      </c>
      <c r="B132" s="45"/>
      <c r="C132" s="362"/>
      <c r="D132" s="363"/>
      <c r="E132" s="363"/>
      <c r="F132" s="363"/>
      <c r="G132" s="363"/>
      <c r="H132" s="364"/>
      <c r="I132" s="271"/>
      <c r="J132" s="289"/>
      <c r="K132" s="56"/>
      <c r="L132" s="77"/>
    </row>
    <row r="133" spans="1:12" ht="28.2" customHeight="1" x14ac:dyDescent="0.3">
      <c r="A133" s="34" t="s">
        <v>38</v>
      </c>
      <c r="B133" s="46"/>
      <c r="C133" s="345"/>
      <c r="D133" s="346"/>
      <c r="E133" s="346"/>
      <c r="F133" s="346"/>
      <c r="G133" s="346"/>
      <c r="H133" s="347"/>
      <c r="I133" s="272"/>
      <c r="J133" s="290"/>
      <c r="K133" s="56"/>
      <c r="L133" s="77"/>
    </row>
    <row r="134" spans="1:12" ht="28.2" customHeight="1" x14ac:dyDescent="0.3">
      <c r="A134" s="34" t="s">
        <v>39</v>
      </c>
      <c r="B134" s="46"/>
      <c r="C134" s="345"/>
      <c r="D134" s="346"/>
      <c r="E134" s="346"/>
      <c r="F134" s="346"/>
      <c r="G134" s="346"/>
      <c r="H134" s="347"/>
      <c r="I134" s="272"/>
      <c r="J134" s="290"/>
      <c r="K134" s="56"/>
      <c r="L134" s="77"/>
    </row>
    <row r="135" spans="1:12" ht="28.2" customHeight="1" thickBot="1" x14ac:dyDescent="0.35">
      <c r="A135" s="33" t="s">
        <v>40</v>
      </c>
      <c r="B135" s="47"/>
      <c r="C135" s="348"/>
      <c r="D135" s="349"/>
      <c r="E135" s="349"/>
      <c r="F135" s="349"/>
      <c r="G135" s="349"/>
      <c r="H135" s="350"/>
      <c r="I135" s="272"/>
      <c r="J135" s="291"/>
      <c r="K135" s="147" t="s">
        <v>116</v>
      </c>
      <c r="L135" s="77"/>
    </row>
    <row r="136" spans="1:12" ht="28.2" customHeight="1" x14ac:dyDescent="0.3">
      <c r="A136" s="32" t="s">
        <v>41</v>
      </c>
      <c r="B136" s="45"/>
      <c r="C136" s="362"/>
      <c r="D136" s="363"/>
      <c r="E136" s="363"/>
      <c r="F136" s="363"/>
      <c r="G136" s="363"/>
      <c r="H136" s="364"/>
      <c r="I136" s="271"/>
      <c r="J136" s="266"/>
      <c r="K136" s="309"/>
      <c r="L136" s="77"/>
    </row>
    <row r="137" spans="1:12" ht="28.2" customHeight="1" x14ac:dyDescent="0.3">
      <c r="A137" s="34" t="s">
        <v>42</v>
      </c>
      <c r="B137" s="46"/>
      <c r="C137" s="345"/>
      <c r="D137" s="346"/>
      <c r="E137" s="346"/>
      <c r="F137" s="346"/>
      <c r="G137" s="346"/>
      <c r="H137" s="347"/>
      <c r="I137" s="271"/>
      <c r="J137" s="266"/>
      <c r="K137" s="290"/>
      <c r="L137" s="77"/>
    </row>
    <row r="138" spans="1:12" ht="28.2" customHeight="1" x14ac:dyDescent="0.3">
      <c r="A138" s="34" t="s">
        <v>43</v>
      </c>
      <c r="B138" s="46"/>
      <c r="C138" s="345"/>
      <c r="D138" s="346"/>
      <c r="E138" s="346"/>
      <c r="F138" s="346"/>
      <c r="G138" s="346"/>
      <c r="H138" s="347"/>
      <c r="I138" s="271"/>
      <c r="J138" s="266"/>
      <c r="K138" s="290"/>
      <c r="L138" s="77"/>
    </row>
    <row r="139" spans="1:12" ht="28.2" customHeight="1" thickBot="1" x14ac:dyDescent="0.35">
      <c r="A139" s="33" t="s">
        <v>44</v>
      </c>
      <c r="B139" s="47"/>
      <c r="C139" s="348"/>
      <c r="D139" s="349"/>
      <c r="E139" s="349"/>
      <c r="F139" s="349"/>
      <c r="G139" s="349"/>
      <c r="H139" s="350"/>
      <c r="I139" s="273"/>
      <c r="J139" s="270"/>
      <c r="K139" s="291"/>
      <c r="L139" s="81" t="s">
        <v>51</v>
      </c>
    </row>
    <row r="140" spans="1:12" ht="16.2" thickBot="1" x14ac:dyDescent="0.35">
      <c r="A140" s="55"/>
      <c r="B140" s="56"/>
      <c r="C140" s="56"/>
      <c r="D140" s="57"/>
      <c r="E140" s="57"/>
      <c r="F140" s="58"/>
      <c r="G140" s="59"/>
      <c r="H140" s="58"/>
      <c r="I140" s="82"/>
      <c r="J140" s="56"/>
      <c r="K140" s="83" t="s">
        <v>92</v>
      </c>
      <c r="L140" s="198">
        <f>'Budget Cont.'!L139</f>
        <v>0</v>
      </c>
    </row>
    <row r="141" spans="1:12" ht="16.2" customHeight="1" thickBot="1" x14ac:dyDescent="0.35">
      <c r="A141" s="84"/>
      <c r="B141" s="85"/>
      <c r="C141" s="85"/>
      <c r="D141" s="85"/>
      <c r="E141" s="85"/>
      <c r="F141" s="85"/>
      <c r="G141" s="85"/>
      <c r="H141" s="85"/>
      <c r="I141" s="112"/>
      <c r="J141" s="85"/>
      <c r="K141" s="90" t="s">
        <v>45</v>
      </c>
      <c r="L141" s="191">
        <f>SUM(I128:I131)+SUM(J132:J135)+SUM(K136:K139)+L140</f>
        <v>0</v>
      </c>
    </row>
    <row r="142" spans="1:12" ht="9.6" customHeight="1" thickBot="1" x14ac:dyDescent="0.35">
      <c r="A142" s="91"/>
      <c r="I142" s="148"/>
      <c r="J142" s="92"/>
      <c r="K142" s="129"/>
      <c r="L142" s="149"/>
    </row>
    <row r="143" spans="1:12" ht="16.2" thickBot="1" x14ac:dyDescent="0.35">
      <c r="A143" s="150" t="s">
        <v>52</v>
      </c>
      <c r="B143" s="151"/>
      <c r="C143" s="151" t="s">
        <v>188</v>
      </c>
      <c r="D143" s="152"/>
      <c r="E143" s="152"/>
      <c r="F143" s="152"/>
      <c r="G143" s="152"/>
      <c r="H143" s="152"/>
      <c r="I143" s="153"/>
      <c r="J143" s="152"/>
      <c r="K143" s="152"/>
      <c r="L143" s="154"/>
    </row>
    <row r="144" spans="1:12" x14ac:dyDescent="0.3">
      <c r="A144" s="133"/>
      <c r="B144" s="155" t="s">
        <v>47</v>
      </c>
      <c r="C144" s="156" t="s">
        <v>48</v>
      </c>
      <c r="D144" s="157"/>
      <c r="E144" s="157"/>
      <c r="F144" s="155"/>
      <c r="G144" s="105" t="s">
        <v>113</v>
      </c>
      <c r="H144" s="105" t="s">
        <v>114</v>
      </c>
      <c r="I144" s="137" t="s">
        <v>51</v>
      </c>
      <c r="J144" s="138"/>
      <c r="K144" s="138"/>
      <c r="L144" s="139"/>
    </row>
    <row r="145" spans="1:12" x14ac:dyDescent="0.3">
      <c r="A145" s="21" t="s">
        <v>18</v>
      </c>
      <c r="B145" s="261"/>
      <c r="C145" s="345"/>
      <c r="D145" s="346"/>
      <c r="E145" s="346"/>
      <c r="F145" s="347"/>
      <c r="G145" s="37"/>
      <c r="H145" s="30"/>
      <c r="I145" s="9">
        <f>SUM(G145*H145)</f>
        <v>0</v>
      </c>
      <c r="J145" s="78"/>
      <c r="K145" s="56"/>
      <c r="L145" s="77"/>
    </row>
    <row r="146" spans="1:12" x14ac:dyDescent="0.3">
      <c r="A146" s="18" t="s">
        <v>18</v>
      </c>
      <c r="B146" s="261"/>
      <c r="C146" s="345"/>
      <c r="D146" s="346"/>
      <c r="E146" s="346"/>
      <c r="F146" s="347"/>
      <c r="G146" s="37"/>
      <c r="H146" s="30"/>
      <c r="I146" s="9">
        <f t="shared" ref="I146" si="15">SUM(G146*H146)</f>
        <v>0</v>
      </c>
      <c r="J146" s="78"/>
      <c r="K146" s="56"/>
      <c r="L146" s="77"/>
    </row>
    <row r="147" spans="1:12" x14ac:dyDescent="0.3">
      <c r="A147" s="18" t="s">
        <v>18</v>
      </c>
      <c r="B147" s="261"/>
      <c r="C147" s="345"/>
      <c r="D147" s="346"/>
      <c r="E147" s="346"/>
      <c r="F147" s="347"/>
      <c r="G147" s="37"/>
      <c r="H147" s="30"/>
      <c r="I147" s="9">
        <f>SUM(G147*H147)</f>
        <v>0</v>
      </c>
      <c r="J147" s="78"/>
      <c r="K147" s="56"/>
      <c r="L147" s="77"/>
    </row>
    <row r="148" spans="1:12" ht="15" thickBot="1" x14ac:dyDescent="0.35">
      <c r="A148" s="31" t="s">
        <v>18</v>
      </c>
      <c r="B148" s="262"/>
      <c r="C148" s="348"/>
      <c r="D148" s="349"/>
      <c r="E148" s="349"/>
      <c r="F148" s="350"/>
      <c r="G148" s="36"/>
      <c r="H148" s="24"/>
      <c r="I148" s="10">
        <f t="shared" ref="I148" si="16">SUM(G148*H148)</f>
        <v>0</v>
      </c>
      <c r="J148" s="79" t="s">
        <v>51</v>
      </c>
      <c r="K148" s="56"/>
      <c r="L148" s="77"/>
    </row>
    <row r="149" spans="1:12" x14ac:dyDescent="0.3">
      <c r="A149" s="21" t="s">
        <v>19</v>
      </c>
      <c r="B149" s="261"/>
      <c r="C149" s="342"/>
      <c r="D149" s="343"/>
      <c r="E149" s="343"/>
      <c r="F149" s="344"/>
      <c r="G149" s="37"/>
      <c r="H149" s="30"/>
      <c r="I149" s="271"/>
      <c r="J149" s="188">
        <f>G149*H149</f>
        <v>0</v>
      </c>
      <c r="K149" s="56"/>
      <c r="L149" s="77"/>
    </row>
    <row r="150" spans="1:12" x14ac:dyDescent="0.3">
      <c r="A150" s="18" t="s">
        <v>19</v>
      </c>
      <c r="B150" s="261"/>
      <c r="C150" s="345"/>
      <c r="D150" s="346"/>
      <c r="E150" s="346"/>
      <c r="F150" s="347"/>
      <c r="G150" s="37"/>
      <c r="H150" s="30"/>
      <c r="I150" s="272"/>
      <c r="J150" s="189">
        <f>G150*H150</f>
        <v>0</v>
      </c>
      <c r="K150" s="56"/>
      <c r="L150" s="77"/>
    </row>
    <row r="151" spans="1:12" x14ac:dyDescent="0.3">
      <c r="A151" s="18" t="s">
        <v>19</v>
      </c>
      <c r="B151" s="258"/>
      <c r="C151" s="345"/>
      <c r="D151" s="346"/>
      <c r="E151" s="346"/>
      <c r="F151" s="347"/>
      <c r="G151" s="35"/>
      <c r="H151" s="28"/>
      <c r="I151" s="272"/>
      <c r="J151" s="189">
        <f>G151*H151</f>
        <v>0</v>
      </c>
      <c r="K151" s="56"/>
      <c r="L151" s="77"/>
    </row>
    <row r="152" spans="1:12" ht="15" thickBot="1" x14ac:dyDescent="0.35">
      <c r="A152" s="31" t="s">
        <v>19</v>
      </c>
      <c r="B152" s="262"/>
      <c r="C152" s="348"/>
      <c r="D152" s="349"/>
      <c r="E152" s="349"/>
      <c r="F152" s="350"/>
      <c r="G152" s="36"/>
      <c r="H152" s="24"/>
      <c r="I152" s="272"/>
      <c r="J152" s="190">
        <f>G152*H152</f>
        <v>0</v>
      </c>
      <c r="K152" s="79" t="s">
        <v>51</v>
      </c>
      <c r="L152" s="77"/>
    </row>
    <row r="153" spans="1:12" x14ac:dyDescent="0.3">
      <c r="A153" s="21" t="s">
        <v>20</v>
      </c>
      <c r="B153" s="261"/>
      <c r="C153" s="342"/>
      <c r="D153" s="343"/>
      <c r="E153" s="343"/>
      <c r="F153" s="344"/>
      <c r="G153" s="37"/>
      <c r="H153" s="30"/>
      <c r="I153" s="271"/>
      <c r="J153" s="266"/>
      <c r="K153" s="194">
        <f>G153*H153</f>
        <v>0</v>
      </c>
      <c r="L153" s="77"/>
    </row>
    <row r="154" spans="1:12" x14ac:dyDescent="0.3">
      <c r="A154" s="18" t="s">
        <v>20</v>
      </c>
      <c r="B154" s="258"/>
      <c r="C154" s="345"/>
      <c r="D154" s="346"/>
      <c r="E154" s="346"/>
      <c r="F154" s="347"/>
      <c r="G154" s="35"/>
      <c r="H154" s="28"/>
      <c r="I154" s="271"/>
      <c r="J154" s="266"/>
      <c r="K154" s="189">
        <f t="shared" ref="K154:K156" si="17">G154*H154</f>
        <v>0</v>
      </c>
      <c r="L154" s="77"/>
    </row>
    <row r="155" spans="1:12" x14ac:dyDescent="0.3">
      <c r="A155" s="18" t="s">
        <v>20</v>
      </c>
      <c r="B155" s="258"/>
      <c r="C155" s="345"/>
      <c r="D155" s="346"/>
      <c r="E155" s="346"/>
      <c r="F155" s="347"/>
      <c r="G155" s="35"/>
      <c r="H155" s="28"/>
      <c r="I155" s="271"/>
      <c r="J155" s="266"/>
      <c r="K155" s="189">
        <f t="shared" si="17"/>
        <v>0</v>
      </c>
      <c r="L155" s="77"/>
    </row>
    <row r="156" spans="1:12" ht="15" thickBot="1" x14ac:dyDescent="0.35">
      <c r="A156" s="31" t="s">
        <v>20</v>
      </c>
      <c r="B156" s="262"/>
      <c r="C156" s="348"/>
      <c r="D156" s="349"/>
      <c r="E156" s="349"/>
      <c r="F156" s="350"/>
      <c r="G156" s="36"/>
      <c r="H156" s="24"/>
      <c r="I156" s="273"/>
      <c r="J156" s="270"/>
      <c r="K156" s="190">
        <f t="shared" si="17"/>
        <v>0</v>
      </c>
      <c r="L156" s="81" t="s">
        <v>51</v>
      </c>
    </row>
    <row r="157" spans="1:12" ht="16.2" thickBot="1" x14ac:dyDescent="0.35">
      <c r="A157" s="60"/>
      <c r="B157" s="56"/>
      <c r="C157" s="56"/>
      <c r="D157" s="57"/>
      <c r="E157" s="57"/>
      <c r="F157" s="58"/>
      <c r="G157" s="59"/>
      <c r="H157" s="58"/>
      <c r="I157" s="82"/>
      <c r="J157" s="56"/>
      <c r="K157" s="83" t="s">
        <v>92</v>
      </c>
      <c r="L157" s="198">
        <f>'Budget Cont.'!L155</f>
        <v>0</v>
      </c>
    </row>
    <row r="158" spans="1:12" ht="16.2" thickBot="1" x14ac:dyDescent="0.35">
      <c r="A158" s="84"/>
      <c r="B158" s="85"/>
      <c r="C158" s="85"/>
      <c r="D158" s="85"/>
      <c r="E158" s="85"/>
      <c r="F158" s="86"/>
      <c r="G158" s="86"/>
      <c r="H158" s="86"/>
      <c r="I158" s="112"/>
      <c r="J158" s="85"/>
      <c r="K158" s="90" t="s">
        <v>49</v>
      </c>
      <c r="L158" s="191">
        <f>SUM(I145:I148)+SUM(J149:J152)+SUM(K153:K156)+L157</f>
        <v>0</v>
      </c>
    </row>
    <row r="159" spans="1:12" ht="9" customHeight="1" thickBot="1" x14ac:dyDescent="0.35">
      <c r="A159" s="91"/>
      <c r="B159" s="92"/>
      <c r="C159" s="92"/>
      <c r="D159" s="92"/>
      <c r="E159" s="92"/>
      <c r="F159" s="92"/>
      <c r="G159" s="92"/>
      <c r="H159" s="92"/>
      <c r="I159" s="163"/>
      <c r="J159" s="92"/>
      <c r="K159" s="92"/>
      <c r="L159" s="95"/>
    </row>
    <row r="160" spans="1:12" ht="16.2" thickBot="1" x14ac:dyDescent="0.35">
      <c r="A160" s="164" t="s">
        <v>117</v>
      </c>
      <c r="B160" s="151"/>
      <c r="C160" s="152"/>
      <c r="D160" s="151" t="s">
        <v>58</v>
      </c>
      <c r="E160" s="151"/>
      <c r="F160" s="152"/>
      <c r="G160" s="152"/>
      <c r="H160" s="152"/>
      <c r="I160" s="153"/>
      <c r="J160" s="159"/>
      <c r="K160" s="159"/>
      <c r="L160" s="160"/>
    </row>
    <row r="161" spans="1:15" ht="30" customHeight="1" x14ac:dyDescent="0.3">
      <c r="A161" s="55"/>
      <c r="B161" s="365" t="s">
        <v>97</v>
      </c>
      <c r="C161" s="365"/>
      <c r="D161" s="165"/>
      <c r="E161" s="166" t="s">
        <v>14</v>
      </c>
      <c r="F161" s="166" t="s">
        <v>13</v>
      </c>
      <c r="G161" s="167" t="s">
        <v>113</v>
      </c>
      <c r="H161" s="310" t="s">
        <v>115</v>
      </c>
      <c r="I161" s="106" t="s">
        <v>51</v>
      </c>
      <c r="J161" s="56"/>
      <c r="K161" s="56"/>
      <c r="L161" s="77"/>
    </row>
    <row r="162" spans="1:15" x14ac:dyDescent="0.3">
      <c r="A162" s="18" t="s">
        <v>18</v>
      </c>
      <c r="B162" s="346"/>
      <c r="C162" s="346"/>
      <c r="D162" s="347"/>
      <c r="E162" s="281"/>
      <c r="F162" s="284"/>
      <c r="G162" s="311"/>
      <c r="H162" s="20"/>
      <c r="I162" s="11">
        <f>SUM(G162*H162)</f>
        <v>0</v>
      </c>
      <c r="J162" s="56"/>
      <c r="K162" s="56"/>
      <c r="L162" s="77"/>
    </row>
    <row r="163" spans="1:15" ht="15" thickBot="1" x14ac:dyDescent="0.35">
      <c r="A163" s="31" t="s">
        <v>18</v>
      </c>
      <c r="B163" s="349"/>
      <c r="C163" s="349"/>
      <c r="D163" s="350"/>
      <c r="E163" s="282"/>
      <c r="F163" s="282"/>
      <c r="G163" s="312"/>
      <c r="H163" s="24"/>
      <c r="I163" s="12">
        <f>SUM(G163*H163)</f>
        <v>0</v>
      </c>
      <c r="J163" s="108" t="s">
        <v>51</v>
      </c>
      <c r="K163" s="56"/>
      <c r="L163" s="77"/>
    </row>
    <row r="164" spans="1:15" x14ac:dyDescent="0.3">
      <c r="A164" s="21" t="s">
        <v>19</v>
      </c>
      <c r="B164" s="343"/>
      <c r="C164" s="343"/>
      <c r="D164" s="344"/>
      <c r="E164" s="283"/>
      <c r="F164" s="285"/>
      <c r="G164" s="313"/>
      <c r="H164" s="27"/>
      <c r="I164" s="271"/>
      <c r="J164" s="188">
        <f>G164*H164</f>
        <v>0</v>
      </c>
      <c r="K164" s="56"/>
      <c r="L164" s="77"/>
    </row>
    <row r="165" spans="1:15" ht="15" thickBot="1" x14ac:dyDescent="0.35">
      <c r="A165" s="31" t="s">
        <v>19</v>
      </c>
      <c r="B165" s="349"/>
      <c r="C165" s="349"/>
      <c r="D165" s="350"/>
      <c r="E165" s="282"/>
      <c r="F165" s="282"/>
      <c r="G165" s="312"/>
      <c r="H165" s="24"/>
      <c r="I165" s="272"/>
      <c r="J165" s="190">
        <f>G165*H165</f>
        <v>0</v>
      </c>
      <c r="K165" s="168" t="s">
        <v>51</v>
      </c>
      <c r="L165" s="77"/>
    </row>
    <row r="166" spans="1:15" x14ac:dyDescent="0.3">
      <c r="A166" s="21" t="s">
        <v>20</v>
      </c>
      <c r="B166" s="343"/>
      <c r="C166" s="343"/>
      <c r="D166" s="344"/>
      <c r="E166" s="283"/>
      <c r="F166" s="285"/>
      <c r="G166" s="313"/>
      <c r="H166" s="27"/>
      <c r="I166" s="271"/>
      <c r="J166" s="266"/>
      <c r="K166" s="194">
        <f>G166*H166</f>
        <v>0</v>
      </c>
      <c r="L166" s="77"/>
    </row>
    <row r="167" spans="1:15" ht="15" thickBot="1" x14ac:dyDescent="0.35">
      <c r="A167" s="31" t="s">
        <v>20</v>
      </c>
      <c r="B167" s="349"/>
      <c r="C167" s="349"/>
      <c r="D167" s="350"/>
      <c r="E167" s="282"/>
      <c r="F167" s="282"/>
      <c r="G167" s="312"/>
      <c r="H167" s="24"/>
      <c r="I167" s="273"/>
      <c r="J167" s="274"/>
      <c r="K167" s="190">
        <f t="shared" ref="K167" si="18">G167*H167</f>
        <v>0</v>
      </c>
      <c r="L167" s="81" t="s">
        <v>51</v>
      </c>
    </row>
    <row r="168" spans="1:15" ht="16.2" thickBot="1" x14ac:dyDescent="0.35">
      <c r="A168" s="60"/>
      <c r="B168" s="56"/>
      <c r="C168" s="56"/>
      <c r="D168" s="61"/>
      <c r="E168" s="61"/>
      <c r="F168" s="58"/>
      <c r="G168" s="59"/>
      <c r="H168" s="58"/>
      <c r="I168" s="82"/>
      <c r="J168" s="56"/>
      <c r="K168" s="83" t="s">
        <v>92</v>
      </c>
      <c r="L168" s="198">
        <f>'Budget Cont.'!L177</f>
        <v>0</v>
      </c>
    </row>
    <row r="169" spans="1:15" ht="16.2" thickBot="1" x14ac:dyDescent="0.35">
      <c r="A169" s="84"/>
      <c r="B169" s="85"/>
      <c r="C169" s="85"/>
      <c r="D169" s="85"/>
      <c r="E169" s="85"/>
      <c r="F169" s="86"/>
      <c r="G169" s="86"/>
      <c r="H169" s="86"/>
      <c r="I169" s="112"/>
      <c r="J169" s="85"/>
      <c r="K169" s="90" t="s">
        <v>50</v>
      </c>
      <c r="L169" s="191">
        <f>SUM(I162:I163)+SUM(J164:J165)+SUM(K166:K167)+L168</f>
        <v>0</v>
      </c>
    </row>
    <row r="170" spans="1:15" ht="9" customHeight="1" thickBot="1" x14ac:dyDescent="0.35">
      <c r="A170" s="91"/>
      <c r="B170" s="92"/>
      <c r="C170" s="92"/>
      <c r="D170" s="92"/>
      <c r="E170" s="92"/>
      <c r="F170" s="92"/>
      <c r="G170" s="92"/>
      <c r="H170" s="92"/>
      <c r="I170" s="163"/>
      <c r="J170" s="92"/>
      <c r="K170" s="92"/>
      <c r="L170" s="95"/>
    </row>
    <row r="171" spans="1:15" ht="16.2" thickBot="1" x14ac:dyDescent="0.35">
      <c r="A171" s="150"/>
      <c r="B171" s="151"/>
      <c r="C171" s="152"/>
      <c r="D171" s="152"/>
      <c r="E171" s="152"/>
      <c r="F171" s="152"/>
      <c r="G171" s="152"/>
      <c r="H171" s="152"/>
      <c r="I171" s="169"/>
      <c r="J171" s="152"/>
      <c r="K171" s="170" t="s">
        <v>150</v>
      </c>
      <c r="L171" s="196">
        <f>L47+L64+L81+L107+L124+L141+L158+L169</f>
        <v>0</v>
      </c>
    </row>
    <row r="172" spans="1:15" ht="9" customHeight="1" thickBot="1" x14ac:dyDescent="0.35">
      <c r="A172" s="91"/>
      <c r="B172" s="128"/>
      <c r="C172" s="92"/>
      <c r="D172" s="92"/>
      <c r="E172" s="92"/>
      <c r="F172" s="92"/>
      <c r="G172" s="92"/>
      <c r="H172" s="92"/>
      <c r="I172" s="92"/>
      <c r="J172" s="92"/>
      <c r="K172" s="92"/>
      <c r="L172" s="95"/>
    </row>
    <row r="173" spans="1:15" ht="32.25" customHeight="1" thickBot="1" x14ac:dyDescent="0.35">
      <c r="A173" s="171" t="s">
        <v>153</v>
      </c>
      <c r="B173" s="172"/>
      <c r="C173" s="172"/>
      <c r="D173" s="172"/>
      <c r="E173" s="172"/>
      <c r="F173" s="336" t="s">
        <v>55</v>
      </c>
      <c r="G173" s="336"/>
      <c r="H173" s="336"/>
      <c r="I173" s="337"/>
      <c r="J173" s="173" t="s">
        <v>56</v>
      </c>
      <c r="K173" s="174" t="s">
        <v>157</v>
      </c>
      <c r="L173" s="175" t="s">
        <v>158</v>
      </c>
    </row>
    <row r="174" spans="1:15" ht="31.8" customHeight="1" thickBot="1" x14ac:dyDescent="0.35">
      <c r="A174" s="338" t="s">
        <v>175</v>
      </c>
      <c r="B174" s="339"/>
      <c r="C174" s="339"/>
      <c r="D174" s="339"/>
      <c r="E174" s="339"/>
      <c r="F174" s="339"/>
      <c r="G174" s="339"/>
      <c r="H174" s="339"/>
      <c r="I174" s="340"/>
      <c r="J174" s="178">
        <v>0.1</v>
      </c>
      <c r="K174" s="50"/>
      <c r="L174" s="15">
        <f>J174*K174</f>
        <v>0</v>
      </c>
      <c r="M174" s="177"/>
      <c r="N174" s="177"/>
      <c r="O174" s="177"/>
    </row>
    <row r="175" spans="1:15" ht="31.8" customHeight="1" thickBot="1" x14ac:dyDescent="0.35">
      <c r="A175" s="338" t="s">
        <v>183</v>
      </c>
      <c r="B175" s="339"/>
      <c r="C175" s="339"/>
      <c r="D175" s="339"/>
      <c r="E175" s="339"/>
      <c r="F175" s="339"/>
      <c r="G175" s="339"/>
      <c r="H175" s="339"/>
      <c r="I175" s="340"/>
      <c r="J175" s="178">
        <v>0.1</v>
      </c>
      <c r="K175" s="50"/>
      <c r="L175" s="51">
        <f>J175*K175</f>
        <v>0</v>
      </c>
      <c r="M175" s="17"/>
      <c r="N175" s="177"/>
      <c r="O175" s="177"/>
    </row>
    <row r="176" spans="1:15" ht="31.8" customHeight="1" thickBot="1" x14ac:dyDescent="0.35">
      <c r="A176" s="338" t="s">
        <v>154</v>
      </c>
      <c r="B176" s="339"/>
      <c r="C176" s="339"/>
      <c r="D176" s="339"/>
      <c r="E176" s="339"/>
      <c r="F176" s="339"/>
      <c r="G176" s="339"/>
      <c r="H176" s="339"/>
      <c r="I176" s="340"/>
      <c r="J176" s="176">
        <v>0</v>
      </c>
      <c r="K176" s="50"/>
      <c r="L176" s="51">
        <f>J176*K176</f>
        <v>0</v>
      </c>
      <c r="M176" s="177"/>
      <c r="N176" s="177"/>
      <c r="O176" s="177"/>
    </row>
    <row r="177" spans="1:12" ht="19.8" customHeight="1" thickBot="1" x14ac:dyDescent="0.35">
      <c r="A177" s="161"/>
      <c r="B177" s="179"/>
      <c r="C177" s="180"/>
      <c r="D177" s="180"/>
      <c r="E177" s="180"/>
      <c r="F177" s="180"/>
      <c r="G177" s="162"/>
      <c r="H177" s="162"/>
      <c r="I177" s="162"/>
      <c r="J177" s="180"/>
      <c r="K177" s="181" t="s">
        <v>159</v>
      </c>
      <c r="L177" s="15">
        <f>SUM(L174:L176)</f>
        <v>0</v>
      </c>
    </row>
    <row r="178" spans="1:12" ht="7.5" customHeight="1" x14ac:dyDescent="0.3">
      <c r="A178" s="182"/>
      <c r="I178" s="64"/>
      <c r="L178" s="183"/>
    </row>
    <row r="179" spans="1:12" ht="7.5" customHeight="1" thickBot="1" x14ac:dyDescent="0.35">
      <c r="A179" s="182"/>
      <c r="I179" s="64"/>
      <c r="L179" s="183"/>
    </row>
    <row r="180" spans="1:12" ht="18.600000000000001" thickBot="1" x14ac:dyDescent="0.4">
      <c r="A180" s="184"/>
      <c r="B180" s="92"/>
      <c r="C180" s="92"/>
      <c r="D180" s="92"/>
      <c r="E180" s="92"/>
      <c r="F180" s="92"/>
      <c r="G180" s="92"/>
      <c r="H180" s="92"/>
      <c r="I180" s="92"/>
      <c r="J180" s="92"/>
      <c r="K180" s="185" t="s">
        <v>57</v>
      </c>
      <c r="L180" s="16">
        <f>SUM(L171,L177)</f>
        <v>0</v>
      </c>
    </row>
    <row r="182" spans="1:12" ht="17.25" customHeight="1" x14ac:dyDescent="0.3">
      <c r="A182" s="341" t="s">
        <v>89</v>
      </c>
      <c r="B182" s="341"/>
      <c r="C182" s="341"/>
      <c r="D182" s="341"/>
      <c r="E182" s="341"/>
      <c r="F182" s="341"/>
      <c r="G182" s="341"/>
      <c r="H182" s="341"/>
      <c r="I182" s="341"/>
      <c r="J182" s="341"/>
      <c r="K182" s="341"/>
      <c r="L182" s="341"/>
    </row>
    <row r="183" spans="1:12" ht="75" customHeight="1" x14ac:dyDescent="0.3">
      <c r="A183" s="329" t="s">
        <v>191</v>
      </c>
      <c r="B183" s="329"/>
      <c r="C183" s="329"/>
      <c r="D183" s="329"/>
      <c r="E183" s="329"/>
      <c r="F183" s="329"/>
      <c r="G183" s="329"/>
      <c r="H183" s="329"/>
      <c r="I183" s="329"/>
      <c r="J183" s="329"/>
      <c r="K183" s="329"/>
      <c r="L183" s="329"/>
    </row>
    <row r="1048550" spans="16384:16384" x14ac:dyDescent="0.3">
      <c r="XFD1048550" s="64" t="e">
        <f>solver_pre</f>
        <v>#NAME?</v>
      </c>
    </row>
    <row r="1048551" spans="16384:16384" x14ac:dyDescent="0.3">
      <c r="XFD1048551" s="64" t="e">
        <f>solver_scl</f>
        <v>#NAME?</v>
      </c>
    </row>
    <row r="1048552" spans="16384:16384" x14ac:dyDescent="0.3">
      <c r="XFD1048552" s="64" t="e">
        <f>solver_rlx</f>
        <v>#NAME?</v>
      </c>
    </row>
    <row r="1048553" spans="16384:16384" x14ac:dyDescent="0.3">
      <c r="XFD1048553" s="64" t="e">
        <f>solver_tol</f>
        <v>#NAME?</v>
      </c>
    </row>
    <row r="1048554" spans="16384:16384" x14ac:dyDescent="0.3">
      <c r="XFD1048554" s="64" t="e">
        <f>solver_cvg</f>
        <v>#NAME?</v>
      </c>
    </row>
    <row r="1048555" spans="16384:16384" x14ac:dyDescent="0.3">
      <c r="XFD1048555" s="64" t="e">
        <f>AREAS(solver_adj1)</f>
        <v>#NAME?</v>
      </c>
    </row>
    <row r="1048556" spans="16384:16384" x14ac:dyDescent="0.3">
      <c r="XFD1048556" s="64" t="e">
        <f>solver_ssz</f>
        <v>#NAME?</v>
      </c>
    </row>
    <row r="1048557" spans="16384:16384" x14ac:dyDescent="0.3">
      <c r="XFD1048557" s="64" t="e">
        <f>solver_rsd</f>
        <v>#NAME?</v>
      </c>
    </row>
    <row r="1048558" spans="16384:16384" x14ac:dyDescent="0.3">
      <c r="XFD1048558" s="64" t="e">
        <f>solver_mrt</f>
        <v>#NAME?</v>
      </c>
    </row>
    <row r="1048559" spans="16384:16384" x14ac:dyDescent="0.3">
      <c r="XFD1048559" s="64" t="e">
        <f>solver_mni</f>
        <v>#NAME?</v>
      </c>
    </row>
    <row r="1048560" spans="16384:16384" x14ac:dyDescent="0.3">
      <c r="XFD1048560" s="64" t="e">
        <f>solver_rbv</f>
        <v>#NAME?</v>
      </c>
    </row>
    <row r="1048561" spans="16384:16384" x14ac:dyDescent="0.3">
      <c r="XFD1048561" s="64" t="e">
        <f>solver_neg</f>
        <v>#NAME?</v>
      </c>
    </row>
    <row r="1048562" spans="16384:16384" x14ac:dyDescent="0.3">
      <c r="XFD1048562" s="64" t="e">
        <f>solver_ntr</f>
        <v>#NAME?</v>
      </c>
    </row>
    <row r="1048563" spans="16384:16384" x14ac:dyDescent="0.3">
      <c r="XFD1048563" s="64" t="e">
        <f>solver_acc</f>
        <v>#NAME?</v>
      </c>
    </row>
    <row r="1048564" spans="16384:16384" x14ac:dyDescent="0.3">
      <c r="XFD1048564" s="64" t="e">
        <f>solver_res</f>
        <v>#NAME?</v>
      </c>
    </row>
    <row r="1048565" spans="16384:16384" x14ac:dyDescent="0.3">
      <c r="XFD1048565" s="64" t="e">
        <f>solver_ars</f>
        <v>#NAME?</v>
      </c>
    </row>
    <row r="1048566" spans="16384:16384" x14ac:dyDescent="0.3">
      <c r="XFD1048566" s="64" t="e">
        <f>solver_sta</f>
        <v>#NAME?</v>
      </c>
    </row>
    <row r="1048567" spans="16384:16384" x14ac:dyDescent="0.3">
      <c r="XFD1048567" s="64" t="e">
        <f>solver_met</f>
        <v>#NAME?</v>
      </c>
    </row>
    <row r="1048568" spans="16384:16384" x14ac:dyDescent="0.3">
      <c r="XFD1048568" s="64" t="e">
        <f>solver_soc</f>
        <v>#NAME?</v>
      </c>
    </row>
    <row r="1048569" spans="16384:16384" x14ac:dyDescent="0.3">
      <c r="XFD1048569" s="64" t="e">
        <f>solver_lpt</f>
        <v>#NAME?</v>
      </c>
    </row>
    <row r="1048570" spans="16384:16384" x14ac:dyDescent="0.3">
      <c r="XFD1048570" s="64" t="e">
        <f>solver_lpp</f>
        <v>#NAME?</v>
      </c>
    </row>
    <row r="1048571" spans="16384:16384" x14ac:dyDescent="0.3">
      <c r="XFD1048571" s="64" t="e">
        <f>solver_gap</f>
        <v>#NAME?</v>
      </c>
    </row>
    <row r="1048572" spans="16384:16384" x14ac:dyDescent="0.3">
      <c r="XFD1048572" s="64" t="e">
        <f>solver_ips</f>
        <v>#NAME?</v>
      </c>
    </row>
    <row r="1048573" spans="16384:16384" x14ac:dyDescent="0.3">
      <c r="XFD1048573" s="64" t="e">
        <f>solver_fea</f>
        <v>#NAME?</v>
      </c>
    </row>
    <row r="1048574" spans="16384:16384" x14ac:dyDescent="0.3">
      <c r="XFD1048574" s="64" t="e">
        <f>solver_ipi</f>
        <v>#NAME?</v>
      </c>
    </row>
    <row r="1048575" spans="16384:16384" x14ac:dyDescent="0.3">
      <c r="XFD1048575" s="64" t="e">
        <f>solver_ipd</f>
        <v>#NAME?</v>
      </c>
    </row>
  </sheetData>
  <sheetProtection algorithmName="SHA-512" hashValue="8AMeBaNqW3NgyTGvtxFo2d2T/bxvwvka5iFJ1xQ8PZvXYkyXTWh1V/MkWDqC+YEGpqafiGf6U8zXVgSSf8T+Vg==" saltValue="0HnQdNAOWy3R9wHLLtET+g==" spinCount="100000" sheet="1" formatRows="0"/>
  <mergeCells count="109">
    <mergeCell ref="A9:L9"/>
    <mergeCell ref="B163:D163"/>
    <mergeCell ref="B164:D164"/>
    <mergeCell ref="B165:D165"/>
    <mergeCell ref="B166:D166"/>
    <mergeCell ref="C147:F147"/>
    <mergeCell ref="C148:F148"/>
    <mergeCell ref="C149:F149"/>
    <mergeCell ref="C133:H133"/>
    <mergeCell ref="C134:H134"/>
    <mergeCell ref="C135:H135"/>
    <mergeCell ref="C136:H136"/>
    <mergeCell ref="C137:H137"/>
    <mergeCell ref="C151:F151"/>
    <mergeCell ref="C152:F152"/>
    <mergeCell ref="B91:F91"/>
    <mergeCell ref="B94:F94"/>
    <mergeCell ref="B101:F101"/>
    <mergeCell ref="B93:F93"/>
    <mergeCell ref="B115:F115"/>
    <mergeCell ref="C79:F79"/>
    <mergeCell ref="C62:H62"/>
    <mergeCell ref="C54:H54"/>
    <mergeCell ref="B116:F116"/>
    <mergeCell ref="B92:F92"/>
    <mergeCell ref="B96:F96"/>
    <mergeCell ref="B97:F97"/>
    <mergeCell ref="B98:F98"/>
    <mergeCell ref="B167:D167"/>
    <mergeCell ref="C3:E3"/>
    <mergeCell ref="B95:F95"/>
    <mergeCell ref="B100:F100"/>
    <mergeCell ref="B102:F102"/>
    <mergeCell ref="B120:F120"/>
    <mergeCell ref="B121:F121"/>
    <mergeCell ref="B122:F122"/>
    <mergeCell ref="C145:F145"/>
    <mergeCell ref="C146:F146"/>
    <mergeCell ref="C129:H129"/>
    <mergeCell ref="C130:H130"/>
    <mergeCell ref="C131:H131"/>
    <mergeCell ref="C132:H132"/>
    <mergeCell ref="C4:E4"/>
    <mergeCell ref="B111:F111"/>
    <mergeCell ref="B112:F112"/>
    <mergeCell ref="B113:F113"/>
    <mergeCell ref="B114:F114"/>
    <mergeCell ref="H3:I3"/>
    <mergeCell ref="C150:F150"/>
    <mergeCell ref="B161:C161"/>
    <mergeCell ref="C109:L109"/>
    <mergeCell ref="C126:L126"/>
    <mergeCell ref="B117:F117"/>
    <mergeCell ref="B118:F118"/>
    <mergeCell ref="B119:F119"/>
    <mergeCell ref="C127:H127"/>
    <mergeCell ref="C128:H128"/>
    <mergeCell ref="C153:F153"/>
    <mergeCell ref="C154:F154"/>
    <mergeCell ref="C155:F155"/>
    <mergeCell ref="C156:F156"/>
    <mergeCell ref="A1:L1"/>
    <mergeCell ref="B85:F85"/>
    <mergeCell ref="B89:F89"/>
    <mergeCell ref="B90:F90"/>
    <mergeCell ref="B30:H30"/>
    <mergeCell ref="B14:H14"/>
    <mergeCell ref="A10:L10"/>
    <mergeCell ref="B87:F87"/>
    <mergeCell ref="B86:F86"/>
    <mergeCell ref="B88:F88"/>
    <mergeCell ref="C50:H50"/>
    <mergeCell ref="C51:H51"/>
    <mergeCell ref="C52:H52"/>
    <mergeCell ref="C53:H53"/>
    <mergeCell ref="C67:F67"/>
    <mergeCell ref="C68:F68"/>
    <mergeCell ref="C77:F77"/>
    <mergeCell ref="C78:F78"/>
    <mergeCell ref="C55:H55"/>
    <mergeCell ref="C56:H56"/>
    <mergeCell ref="C57:H57"/>
    <mergeCell ref="C58:H58"/>
    <mergeCell ref="C59:H59"/>
    <mergeCell ref="C60:H60"/>
    <mergeCell ref="A183:L183"/>
    <mergeCell ref="A8:L8"/>
    <mergeCell ref="A7:L7"/>
    <mergeCell ref="F173:I173"/>
    <mergeCell ref="A174:I174"/>
    <mergeCell ref="A175:I175"/>
    <mergeCell ref="A176:I176"/>
    <mergeCell ref="A182:L182"/>
    <mergeCell ref="B99:F99"/>
    <mergeCell ref="B103:F103"/>
    <mergeCell ref="B104:F104"/>
    <mergeCell ref="B105:F105"/>
    <mergeCell ref="C69:F69"/>
    <mergeCell ref="C70:F70"/>
    <mergeCell ref="C71:F71"/>
    <mergeCell ref="C72:F72"/>
    <mergeCell ref="C73:F73"/>
    <mergeCell ref="C74:F74"/>
    <mergeCell ref="C61:H61"/>
    <mergeCell ref="C75:F75"/>
    <mergeCell ref="C76:F76"/>
    <mergeCell ref="B162:D162"/>
    <mergeCell ref="C138:H138"/>
    <mergeCell ref="C139:H139"/>
  </mergeCells>
  <dataValidations disablePrompts="1" count="1">
    <dataValidation type="list" allowBlank="1" showInputMessage="1" showErrorMessage="1" sqref="H3:H4" xr:uid="{FDF3D72D-D52B-419C-8B7D-893C2E6CD4DD}">
      <formula1>State</formula1>
    </dataValidation>
  </dataValidations>
  <pageMargins left="0.5" right="0.5" top="0.5" bottom="0.5" header="0" footer="0"/>
  <pageSetup scale="49" fitToHeight="0" orientation="portrait" r:id="rId1"/>
  <rowBreaks count="2" manualBreakCount="2">
    <brk id="81" max="16383" man="1"/>
    <brk id="158" max="16383" man="1"/>
  </rowBreaks>
  <extLst>
    <ext xmlns:x15="http://schemas.microsoft.com/office/spreadsheetml/2010/11/main" uri="{F7C9EE02-42E1-4005-9D12-6889AFFD525C}">
      <x15:webExtensions xmlns:xm="http://schemas.microsoft.com/office/excel/2006/main">
        <x15:webExtension appRef="{1092BB5C-498B-4DC1-8D8F-F8AE8D35B404}">
          <xm:f>' Budget Worksheet-REQUIRED'!1:1048576</xm:f>
        </x15:webExtension>
        <x15:webExtension appRef="{61BF8370-D835-4127-80D9-1E8C3609C321}">
          <xm:f>' Budget Worksheet-REQUIRED'!XFD1048550:XFD1048575</xm:f>
        </x15:webExtension>
      </x15:webExtens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25F8E-DE2C-4CB5-BBD1-4826E1436FE6}">
  <sheetPr>
    <tabColor theme="9" tint="0.59999389629810485"/>
    <pageSetUpPr fitToPage="1"/>
  </sheetPr>
  <dimension ref="A1:L179"/>
  <sheetViews>
    <sheetView zoomScaleNormal="100" zoomScaleSheetLayoutView="80" zoomScalePageLayoutView="90" workbookViewId="0">
      <selection activeCell="C50" sqref="C50:H50"/>
    </sheetView>
  </sheetViews>
  <sheetFormatPr defaultRowHeight="14.4" x14ac:dyDescent="0.3"/>
  <cols>
    <col min="1" max="1" width="7.44140625" style="64" customWidth="1"/>
    <col min="2" max="2" width="29.88671875" style="64" customWidth="1"/>
    <col min="3" max="3" width="25.88671875" style="64" customWidth="1"/>
    <col min="4" max="7" width="12.77734375" style="64" customWidth="1"/>
    <col min="8" max="8" width="15.5546875" style="186" bestFit="1" customWidth="1"/>
    <col min="9" max="11" width="15.77734375" style="64" customWidth="1"/>
    <col min="12" max="12" width="16.77734375" style="64" customWidth="1"/>
    <col min="13" max="16384" width="8.88671875" style="64"/>
  </cols>
  <sheetData>
    <row r="1" spans="1:12" ht="21" x14ac:dyDescent="0.4">
      <c r="A1" s="394" t="s">
        <v>146</v>
      </c>
      <c r="B1" s="395"/>
      <c r="C1" s="395"/>
      <c r="D1" s="395"/>
      <c r="E1" s="395"/>
      <c r="F1" s="395"/>
      <c r="G1" s="395"/>
      <c r="H1" s="395"/>
      <c r="I1" s="395"/>
      <c r="J1" s="395"/>
      <c r="K1" s="395"/>
      <c r="L1" s="395"/>
    </row>
    <row r="2" spans="1:12" ht="24" customHeight="1" x14ac:dyDescent="0.3">
      <c r="A2" s="381" t="s">
        <v>168</v>
      </c>
      <c r="B2" s="382"/>
      <c r="C2" s="382"/>
      <c r="D2" s="382"/>
      <c r="E2" s="382"/>
      <c r="F2" s="382"/>
      <c r="G2" s="382"/>
      <c r="H2" s="382"/>
      <c r="I2" s="382"/>
      <c r="J2" s="382"/>
      <c r="K2" s="382"/>
      <c r="L2" s="382"/>
    </row>
    <row r="3" spans="1:12" ht="9" customHeight="1" x14ac:dyDescent="0.3">
      <c r="A3" s="225"/>
      <c r="B3" s="1"/>
      <c r="C3" s="1"/>
      <c r="D3" s="1"/>
      <c r="E3" s="1"/>
      <c r="F3" s="1"/>
      <c r="G3" s="1"/>
      <c r="H3" s="1"/>
      <c r="I3" s="1"/>
      <c r="J3" s="1"/>
      <c r="K3" s="1"/>
      <c r="L3"/>
    </row>
    <row r="4" spans="1:12" ht="15.6" x14ac:dyDescent="0.3">
      <c r="A4" s="212" t="s">
        <v>103</v>
      </c>
      <c r="B4" s="213"/>
      <c r="C4" s="214"/>
      <c r="D4" s="215"/>
      <c r="E4" s="215"/>
      <c r="F4" s="215"/>
      <c r="G4" s="215"/>
      <c r="H4" s="215"/>
      <c r="I4" s="216"/>
      <c r="J4" s="215"/>
      <c r="K4" s="215"/>
      <c r="L4" s="217"/>
    </row>
    <row r="5" spans="1:12" ht="43.2" x14ac:dyDescent="0.3">
      <c r="A5" s="218"/>
      <c r="B5" s="219" t="s">
        <v>11</v>
      </c>
      <c r="C5" s="220" t="s">
        <v>7</v>
      </c>
      <c r="D5" s="221" t="s">
        <v>8</v>
      </c>
      <c r="E5" s="221" t="s">
        <v>98</v>
      </c>
      <c r="F5" s="221" t="s">
        <v>111</v>
      </c>
      <c r="G5" s="221" t="s">
        <v>9</v>
      </c>
      <c r="H5" s="221" t="s">
        <v>112</v>
      </c>
      <c r="I5" s="222" t="s">
        <v>17</v>
      </c>
      <c r="J5" s="223" t="s">
        <v>21</v>
      </c>
      <c r="K5" s="223" t="s">
        <v>22</v>
      </c>
      <c r="L5" s="224" t="s">
        <v>23</v>
      </c>
    </row>
    <row r="6" spans="1:12" x14ac:dyDescent="0.3">
      <c r="A6" s="75"/>
      <c r="B6" s="355" t="s">
        <v>91</v>
      </c>
      <c r="C6" s="355"/>
      <c r="D6" s="355"/>
      <c r="E6" s="355"/>
      <c r="F6" s="355"/>
      <c r="G6" s="355"/>
      <c r="H6" s="355"/>
      <c r="I6" s="76" t="s">
        <v>51</v>
      </c>
      <c r="J6" s="56"/>
      <c r="K6" s="56"/>
      <c r="L6" s="77"/>
    </row>
    <row r="7" spans="1:12" x14ac:dyDescent="0.3">
      <c r="A7" s="18" t="s">
        <v>18</v>
      </c>
      <c r="B7" s="46"/>
      <c r="C7" s="46"/>
      <c r="D7" s="20"/>
      <c r="E7" s="322"/>
      <c r="F7" s="295"/>
      <c r="G7" s="325"/>
      <c r="H7" s="298"/>
      <c r="I7" s="9">
        <f>F7+H7</f>
        <v>0</v>
      </c>
      <c r="J7" s="78"/>
      <c r="K7" s="56"/>
      <c r="L7" s="77"/>
    </row>
    <row r="8" spans="1:12" x14ac:dyDescent="0.3">
      <c r="A8" s="21" t="s">
        <v>18</v>
      </c>
      <c r="B8" s="46"/>
      <c r="C8" s="46"/>
      <c r="D8" s="20"/>
      <c r="E8" s="322"/>
      <c r="F8" s="295"/>
      <c r="G8" s="325"/>
      <c r="H8" s="298"/>
      <c r="I8" s="9">
        <f>F8+H8</f>
        <v>0</v>
      </c>
      <c r="J8" s="78"/>
      <c r="K8" s="56"/>
      <c r="L8" s="77"/>
    </row>
    <row r="9" spans="1:12" x14ac:dyDescent="0.3">
      <c r="A9" s="21" t="s">
        <v>18</v>
      </c>
      <c r="B9" s="46"/>
      <c r="C9" s="46"/>
      <c r="D9" s="20"/>
      <c r="E9" s="322"/>
      <c r="F9" s="295"/>
      <c r="G9" s="325"/>
      <c r="H9" s="298"/>
      <c r="I9" s="9">
        <f>F9+H9</f>
        <v>0</v>
      </c>
      <c r="J9" s="78"/>
      <c r="K9" s="56"/>
      <c r="L9" s="77"/>
    </row>
    <row r="10" spans="1:12" x14ac:dyDescent="0.3">
      <c r="A10" s="21" t="s">
        <v>18</v>
      </c>
      <c r="B10" s="46"/>
      <c r="C10" s="46"/>
      <c r="D10" s="20"/>
      <c r="E10" s="322"/>
      <c r="F10" s="295"/>
      <c r="G10" s="325"/>
      <c r="H10" s="298"/>
      <c r="I10" s="9">
        <f t="shared" ref="I10" si="0">F10+H10</f>
        <v>0</v>
      </c>
      <c r="J10" s="78"/>
      <c r="K10" s="56"/>
      <c r="L10" s="77"/>
    </row>
    <row r="11" spans="1:12" ht="15" thickBot="1" x14ac:dyDescent="0.35">
      <c r="A11" s="22" t="s">
        <v>18</v>
      </c>
      <c r="B11" s="47"/>
      <c r="C11" s="47"/>
      <c r="D11" s="24"/>
      <c r="E11" s="323"/>
      <c r="F11" s="296"/>
      <c r="G11" s="326"/>
      <c r="H11" s="299"/>
      <c r="I11" s="10">
        <f>F11+H11</f>
        <v>0</v>
      </c>
      <c r="J11" s="79" t="s">
        <v>51</v>
      </c>
      <c r="K11" s="56"/>
      <c r="L11" s="77"/>
    </row>
    <row r="12" spans="1:12" x14ac:dyDescent="0.3">
      <c r="A12" s="25" t="s">
        <v>19</v>
      </c>
      <c r="B12" s="45"/>
      <c r="C12" s="45"/>
      <c r="D12" s="27"/>
      <c r="E12" s="324"/>
      <c r="F12" s="297"/>
      <c r="G12" s="327"/>
      <c r="H12" s="300"/>
      <c r="I12" s="271"/>
      <c r="J12" s="188">
        <f>F12+H12</f>
        <v>0</v>
      </c>
      <c r="K12" s="78"/>
      <c r="L12" s="77"/>
    </row>
    <row r="13" spans="1:12" x14ac:dyDescent="0.3">
      <c r="A13" s="18" t="s">
        <v>19</v>
      </c>
      <c r="B13" s="46"/>
      <c r="C13" s="46"/>
      <c r="D13" s="20"/>
      <c r="E13" s="322"/>
      <c r="F13" s="295"/>
      <c r="G13" s="325"/>
      <c r="H13" s="298"/>
      <c r="I13" s="272"/>
      <c r="J13" s="189">
        <f t="shared" ref="J13:J16" si="1">F13+H13</f>
        <v>0</v>
      </c>
      <c r="K13" s="78"/>
      <c r="L13" s="77"/>
    </row>
    <row r="14" spans="1:12" x14ac:dyDescent="0.3">
      <c r="A14" s="18" t="s">
        <v>19</v>
      </c>
      <c r="B14" s="46"/>
      <c r="C14" s="46"/>
      <c r="D14" s="20"/>
      <c r="E14" s="322"/>
      <c r="F14" s="295"/>
      <c r="G14" s="325"/>
      <c r="H14" s="298"/>
      <c r="I14" s="272"/>
      <c r="J14" s="189">
        <f t="shared" si="1"/>
        <v>0</v>
      </c>
      <c r="K14" s="78"/>
      <c r="L14" s="77"/>
    </row>
    <row r="15" spans="1:12" x14ac:dyDescent="0.3">
      <c r="A15" s="18" t="s">
        <v>19</v>
      </c>
      <c r="B15" s="46"/>
      <c r="C15" s="46"/>
      <c r="D15" s="20"/>
      <c r="E15" s="322"/>
      <c r="F15" s="295"/>
      <c r="G15" s="325"/>
      <c r="H15" s="298"/>
      <c r="I15" s="272"/>
      <c r="J15" s="189">
        <f t="shared" si="1"/>
        <v>0</v>
      </c>
      <c r="K15" s="78"/>
      <c r="L15" s="77"/>
    </row>
    <row r="16" spans="1:12" ht="15" thickBot="1" x14ac:dyDescent="0.35">
      <c r="A16" s="22" t="s">
        <v>19</v>
      </c>
      <c r="B16" s="47"/>
      <c r="C16" s="47"/>
      <c r="D16" s="24"/>
      <c r="E16" s="323"/>
      <c r="F16" s="296"/>
      <c r="G16" s="326"/>
      <c r="H16" s="299"/>
      <c r="I16" s="272"/>
      <c r="J16" s="190">
        <f t="shared" si="1"/>
        <v>0</v>
      </c>
      <c r="K16" s="79" t="s">
        <v>51</v>
      </c>
      <c r="L16" s="77"/>
    </row>
    <row r="17" spans="1:12" x14ac:dyDescent="0.3">
      <c r="A17" s="25" t="s">
        <v>20</v>
      </c>
      <c r="B17" s="45"/>
      <c r="C17" s="45"/>
      <c r="D17" s="27"/>
      <c r="E17" s="324"/>
      <c r="F17" s="297"/>
      <c r="G17" s="327"/>
      <c r="H17" s="300"/>
      <c r="I17" s="271"/>
      <c r="J17" s="280"/>
      <c r="K17" s="188">
        <f>F17+H17</f>
        <v>0</v>
      </c>
      <c r="L17" s="77"/>
    </row>
    <row r="18" spans="1:12" x14ac:dyDescent="0.3">
      <c r="A18" s="21" t="s">
        <v>20</v>
      </c>
      <c r="B18" s="45"/>
      <c r="C18" s="45"/>
      <c r="D18" s="27"/>
      <c r="E18" s="324"/>
      <c r="F18" s="297"/>
      <c r="G18" s="327"/>
      <c r="H18" s="300"/>
      <c r="I18" s="271"/>
      <c r="J18" s="269"/>
      <c r="K18" s="188">
        <f>F18+H18</f>
        <v>0</v>
      </c>
      <c r="L18" s="77"/>
    </row>
    <row r="19" spans="1:12" x14ac:dyDescent="0.3">
      <c r="A19" s="18" t="s">
        <v>20</v>
      </c>
      <c r="B19" s="46"/>
      <c r="C19" s="46"/>
      <c r="D19" s="20"/>
      <c r="E19" s="322"/>
      <c r="F19" s="295"/>
      <c r="G19" s="325"/>
      <c r="H19" s="298"/>
      <c r="I19" s="271"/>
      <c r="J19" s="269"/>
      <c r="K19" s="189">
        <f t="shared" ref="K19:K21" si="2">F19+H19</f>
        <v>0</v>
      </c>
      <c r="L19" s="77"/>
    </row>
    <row r="20" spans="1:12" x14ac:dyDescent="0.3">
      <c r="A20" s="18" t="s">
        <v>20</v>
      </c>
      <c r="B20" s="46"/>
      <c r="C20" s="46"/>
      <c r="D20" s="20"/>
      <c r="E20" s="322"/>
      <c r="F20" s="295"/>
      <c r="G20" s="325"/>
      <c r="H20" s="298"/>
      <c r="I20" s="271"/>
      <c r="J20" s="269"/>
      <c r="K20" s="189">
        <f t="shared" si="2"/>
        <v>0</v>
      </c>
      <c r="L20" s="77"/>
    </row>
    <row r="21" spans="1:12" ht="15" thickBot="1" x14ac:dyDescent="0.35">
      <c r="A21" s="18" t="s">
        <v>20</v>
      </c>
      <c r="B21" s="46"/>
      <c r="C21" s="46"/>
      <c r="D21" s="20"/>
      <c r="E21" s="322"/>
      <c r="F21" s="295"/>
      <c r="G21" s="325"/>
      <c r="H21" s="298"/>
      <c r="I21" s="271"/>
      <c r="J21" s="269"/>
      <c r="K21" s="190">
        <f t="shared" si="2"/>
        <v>0</v>
      </c>
      <c r="L21" s="77"/>
    </row>
    <row r="22" spans="1:12" x14ac:dyDescent="0.3">
      <c r="A22" s="75"/>
      <c r="B22" s="354" t="s">
        <v>95</v>
      </c>
      <c r="C22" s="354"/>
      <c r="D22" s="354"/>
      <c r="E22" s="354"/>
      <c r="F22" s="354"/>
      <c r="G22" s="354"/>
      <c r="H22" s="354"/>
      <c r="I22" s="80" t="s">
        <v>51</v>
      </c>
      <c r="J22" s="56"/>
      <c r="K22" s="56"/>
      <c r="L22" s="77"/>
    </row>
    <row r="23" spans="1:12" x14ac:dyDescent="0.3">
      <c r="A23" s="18" t="s">
        <v>18</v>
      </c>
      <c r="B23" s="46"/>
      <c r="C23" s="46"/>
      <c r="D23" s="20"/>
      <c r="E23" s="322"/>
      <c r="F23" s="295"/>
      <c r="G23" s="325"/>
      <c r="H23" s="298"/>
      <c r="I23" s="9">
        <f>F23+H23</f>
        <v>0</v>
      </c>
      <c r="J23" s="78"/>
      <c r="K23" s="56"/>
      <c r="L23" s="77"/>
    </row>
    <row r="24" spans="1:12" x14ac:dyDescent="0.3">
      <c r="A24" s="18" t="s">
        <v>18</v>
      </c>
      <c r="B24" s="46"/>
      <c r="C24" s="46"/>
      <c r="D24" s="20"/>
      <c r="E24" s="322"/>
      <c r="F24" s="295"/>
      <c r="G24" s="325"/>
      <c r="H24" s="298"/>
      <c r="I24" s="9">
        <f>F24+H24</f>
        <v>0</v>
      </c>
      <c r="J24" s="78"/>
      <c r="K24" s="56"/>
      <c r="L24" s="77"/>
    </row>
    <row r="25" spans="1:12" x14ac:dyDescent="0.3">
      <c r="A25" s="18" t="s">
        <v>18</v>
      </c>
      <c r="B25" s="46"/>
      <c r="C25" s="46"/>
      <c r="D25" s="20"/>
      <c r="E25" s="322"/>
      <c r="F25" s="295"/>
      <c r="G25" s="325"/>
      <c r="H25" s="298"/>
      <c r="I25" s="9">
        <f t="shared" ref="I25:I27" si="3">F25+H25</f>
        <v>0</v>
      </c>
      <c r="J25" s="78"/>
      <c r="K25" s="56"/>
      <c r="L25" s="77"/>
    </row>
    <row r="26" spans="1:12" x14ac:dyDescent="0.3">
      <c r="A26" s="18" t="s">
        <v>18</v>
      </c>
      <c r="B26" s="46"/>
      <c r="C26" s="46"/>
      <c r="D26" s="20"/>
      <c r="E26" s="322"/>
      <c r="F26" s="295"/>
      <c r="G26" s="325"/>
      <c r="H26" s="298"/>
      <c r="I26" s="9">
        <f t="shared" si="3"/>
        <v>0</v>
      </c>
      <c r="J26" s="78"/>
      <c r="K26" s="56"/>
      <c r="L26" s="77"/>
    </row>
    <row r="27" spans="1:12" ht="15" thickBot="1" x14ac:dyDescent="0.35">
      <c r="A27" s="22" t="s">
        <v>18</v>
      </c>
      <c r="B27" s="47"/>
      <c r="C27" s="47"/>
      <c r="D27" s="24"/>
      <c r="E27" s="323"/>
      <c r="F27" s="296"/>
      <c r="G27" s="326"/>
      <c r="H27" s="299"/>
      <c r="I27" s="10">
        <f t="shared" si="3"/>
        <v>0</v>
      </c>
      <c r="J27" s="79" t="s">
        <v>51</v>
      </c>
      <c r="K27" s="56"/>
      <c r="L27" s="77"/>
    </row>
    <row r="28" spans="1:12" x14ac:dyDescent="0.3">
      <c r="A28" s="25" t="s">
        <v>19</v>
      </c>
      <c r="B28" s="45"/>
      <c r="C28" s="45"/>
      <c r="D28" s="27"/>
      <c r="E28" s="324"/>
      <c r="F28" s="297"/>
      <c r="G28" s="327"/>
      <c r="H28" s="300"/>
      <c r="I28" s="271"/>
      <c r="J28" s="188">
        <f>F28+H28</f>
        <v>0</v>
      </c>
      <c r="K28" s="78"/>
      <c r="L28" s="77"/>
    </row>
    <row r="29" spans="1:12" x14ac:dyDescent="0.3">
      <c r="A29" s="21" t="s">
        <v>19</v>
      </c>
      <c r="B29" s="45"/>
      <c r="C29" s="45"/>
      <c r="D29" s="27"/>
      <c r="E29" s="324"/>
      <c r="F29" s="297"/>
      <c r="G29" s="327"/>
      <c r="H29" s="300"/>
      <c r="I29" s="271"/>
      <c r="J29" s="188">
        <f>F29+H29</f>
        <v>0</v>
      </c>
      <c r="K29" s="78"/>
      <c r="L29" s="77"/>
    </row>
    <row r="30" spans="1:12" x14ac:dyDescent="0.3">
      <c r="A30" s="18" t="s">
        <v>19</v>
      </c>
      <c r="B30" s="46"/>
      <c r="C30" s="46"/>
      <c r="D30" s="20"/>
      <c r="E30" s="322"/>
      <c r="F30" s="295"/>
      <c r="G30" s="325"/>
      <c r="H30" s="298"/>
      <c r="I30" s="272"/>
      <c r="J30" s="189">
        <f t="shared" ref="J30:J32" si="4">F30+H30</f>
        <v>0</v>
      </c>
      <c r="K30" s="78"/>
      <c r="L30" s="77"/>
    </row>
    <row r="31" spans="1:12" x14ac:dyDescent="0.3">
      <c r="A31" s="18" t="s">
        <v>19</v>
      </c>
      <c r="B31" s="46"/>
      <c r="C31" s="46"/>
      <c r="D31" s="20"/>
      <c r="E31" s="322"/>
      <c r="F31" s="295"/>
      <c r="G31" s="325"/>
      <c r="H31" s="298"/>
      <c r="I31" s="272"/>
      <c r="J31" s="189">
        <f t="shared" si="4"/>
        <v>0</v>
      </c>
      <c r="K31" s="78"/>
      <c r="L31" s="77"/>
    </row>
    <row r="32" spans="1:12" ht="15" thickBot="1" x14ac:dyDescent="0.35">
      <c r="A32" s="22" t="s">
        <v>19</v>
      </c>
      <c r="B32" s="47"/>
      <c r="C32" s="47"/>
      <c r="D32" s="24"/>
      <c r="E32" s="323"/>
      <c r="F32" s="296"/>
      <c r="G32" s="326"/>
      <c r="H32" s="299"/>
      <c r="I32" s="272"/>
      <c r="J32" s="190">
        <f t="shared" si="4"/>
        <v>0</v>
      </c>
      <c r="K32" s="79" t="s">
        <v>51</v>
      </c>
      <c r="L32" s="77"/>
    </row>
    <row r="33" spans="1:12" x14ac:dyDescent="0.3">
      <c r="A33" s="25" t="s">
        <v>20</v>
      </c>
      <c r="B33" s="45"/>
      <c r="C33" s="45"/>
      <c r="D33" s="27"/>
      <c r="E33" s="324"/>
      <c r="F33" s="297"/>
      <c r="G33" s="327"/>
      <c r="H33" s="300"/>
      <c r="I33" s="271"/>
      <c r="J33" s="280"/>
      <c r="K33" s="188">
        <f>F33+H33</f>
        <v>0</v>
      </c>
      <c r="L33" s="77"/>
    </row>
    <row r="34" spans="1:12" x14ac:dyDescent="0.3">
      <c r="A34" s="21" t="s">
        <v>20</v>
      </c>
      <c r="B34" s="45"/>
      <c r="C34" s="45"/>
      <c r="D34" s="27"/>
      <c r="E34" s="324"/>
      <c r="F34" s="297"/>
      <c r="G34" s="327"/>
      <c r="H34" s="300"/>
      <c r="I34" s="271"/>
      <c r="J34" s="269"/>
      <c r="K34" s="188">
        <f>F34+H34</f>
        <v>0</v>
      </c>
      <c r="L34" s="77"/>
    </row>
    <row r="35" spans="1:12" x14ac:dyDescent="0.3">
      <c r="A35" s="18" t="s">
        <v>20</v>
      </c>
      <c r="B35" s="46"/>
      <c r="C35" s="46"/>
      <c r="D35" s="20"/>
      <c r="E35" s="322"/>
      <c r="F35" s="295"/>
      <c r="G35" s="325"/>
      <c r="H35" s="298"/>
      <c r="I35" s="271"/>
      <c r="J35" s="269"/>
      <c r="K35" s="189">
        <f t="shared" ref="K35:K37" si="5">F35+H35</f>
        <v>0</v>
      </c>
      <c r="L35" s="77"/>
    </row>
    <row r="36" spans="1:12" x14ac:dyDescent="0.3">
      <c r="A36" s="18" t="s">
        <v>20</v>
      </c>
      <c r="B36" s="46"/>
      <c r="C36" s="46"/>
      <c r="D36" s="20"/>
      <c r="E36" s="322"/>
      <c r="F36" s="295"/>
      <c r="G36" s="325"/>
      <c r="H36" s="298"/>
      <c r="I36" s="271"/>
      <c r="J36" s="269"/>
      <c r="K36" s="189">
        <f t="shared" si="5"/>
        <v>0</v>
      </c>
      <c r="L36" s="77"/>
    </row>
    <row r="37" spans="1:12" ht="15" thickBot="1" x14ac:dyDescent="0.35">
      <c r="A37" s="31" t="s">
        <v>20</v>
      </c>
      <c r="B37" s="47"/>
      <c r="C37" s="47"/>
      <c r="D37" s="24"/>
      <c r="E37" s="323"/>
      <c r="F37" s="296"/>
      <c r="G37" s="328"/>
      <c r="H37" s="286"/>
      <c r="I37" s="273"/>
      <c r="J37" s="270"/>
      <c r="K37" s="190">
        <f t="shared" si="5"/>
        <v>0</v>
      </c>
      <c r="L37" s="81" t="s">
        <v>51</v>
      </c>
    </row>
    <row r="38" spans="1:12" ht="16.2" thickBot="1" x14ac:dyDescent="0.35">
      <c r="A38" s="84"/>
      <c r="B38" s="85"/>
      <c r="C38" s="86"/>
      <c r="D38" s="86" t="s">
        <v>26</v>
      </c>
      <c r="E38" s="87" t="s">
        <v>10</v>
      </c>
      <c r="F38" s="193">
        <f>SUM(F7:F21)+SUM(F23:F37)</f>
        <v>0</v>
      </c>
      <c r="G38" s="86" t="s">
        <v>15</v>
      </c>
      <c r="H38" s="192">
        <f>SUM(H7:H21)+SUM(H23:H37)</f>
        <v>0</v>
      </c>
      <c r="I38" s="88"/>
      <c r="J38" s="89"/>
      <c r="K38" s="90" t="s">
        <v>24</v>
      </c>
      <c r="L38" s="191">
        <f>SUM(I7:I11)+SUM(J12:J16)+SUM(K17:K21)+SUM(I23:I27)+SUM(J28:J32)+SUM(K33:K37)</f>
        <v>0</v>
      </c>
    </row>
    <row r="39" spans="1:12" ht="15" thickBot="1" x14ac:dyDescent="0.35">
      <c r="A39" s="91"/>
      <c r="B39" s="92"/>
      <c r="F39" s="93"/>
      <c r="G39" s="93"/>
      <c r="H39" s="93"/>
      <c r="I39" s="94"/>
      <c r="J39" s="92"/>
      <c r="K39" s="92"/>
      <c r="L39" s="95"/>
    </row>
    <row r="40" spans="1:12" ht="15.6" x14ac:dyDescent="0.3">
      <c r="A40" s="96" t="s">
        <v>151</v>
      </c>
      <c r="B40" s="97"/>
      <c r="C40" s="98"/>
      <c r="D40" s="99"/>
      <c r="E40" s="99"/>
      <c r="F40" s="99"/>
      <c r="G40" s="99"/>
      <c r="H40" s="99"/>
      <c r="I40" s="100"/>
      <c r="J40" s="101"/>
      <c r="K40" s="102"/>
      <c r="L40" s="103"/>
    </row>
    <row r="41" spans="1:12" x14ac:dyDescent="0.3">
      <c r="A41" s="104"/>
      <c r="B41" s="251" t="s">
        <v>164</v>
      </c>
      <c r="C41" s="359" t="s">
        <v>165</v>
      </c>
      <c r="D41" s="359"/>
      <c r="E41" s="359"/>
      <c r="F41" s="359"/>
      <c r="G41" s="359"/>
      <c r="H41" s="360"/>
      <c r="I41" s="249" t="s">
        <v>116</v>
      </c>
      <c r="J41" s="56"/>
      <c r="K41" s="107"/>
      <c r="L41" s="77"/>
    </row>
    <row r="42" spans="1:12" x14ac:dyDescent="0.3">
      <c r="A42" s="18" t="s">
        <v>18</v>
      </c>
      <c r="B42" s="46"/>
      <c r="C42" s="345"/>
      <c r="D42" s="346"/>
      <c r="E42" s="346"/>
      <c r="F42" s="346"/>
      <c r="G42" s="346"/>
      <c r="H42" s="347"/>
      <c r="I42" s="287"/>
      <c r="J42" s="56"/>
      <c r="K42" s="56"/>
      <c r="L42" s="77"/>
    </row>
    <row r="43" spans="1:12" x14ac:dyDescent="0.3">
      <c r="A43" s="18" t="s">
        <v>18</v>
      </c>
      <c r="B43" s="46"/>
      <c r="C43" s="345"/>
      <c r="D43" s="346"/>
      <c r="E43" s="346"/>
      <c r="F43" s="346"/>
      <c r="G43" s="346"/>
      <c r="H43" s="347"/>
      <c r="I43" s="287"/>
      <c r="J43" s="56"/>
      <c r="K43" s="56"/>
      <c r="L43" s="77"/>
    </row>
    <row r="44" spans="1:12" x14ac:dyDescent="0.3">
      <c r="A44" s="18" t="s">
        <v>18</v>
      </c>
      <c r="B44" s="46"/>
      <c r="C44" s="345"/>
      <c r="D44" s="346"/>
      <c r="E44" s="346"/>
      <c r="F44" s="346"/>
      <c r="G44" s="346"/>
      <c r="H44" s="347"/>
      <c r="I44" s="287"/>
      <c r="J44" s="56"/>
      <c r="K44" s="56"/>
      <c r="L44" s="77"/>
    </row>
    <row r="45" spans="1:12" ht="15" thickBot="1" x14ac:dyDescent="0.35">
      <c r="A45" s="22" t="s">
        <v>18</v>
      </c>
      <c r="B45" s="47"/>
      <c r="C45" s="348"/>
      <c r="D45" s="349"/>
      <c r="E45" s="349"/>
      <c r="F45" s="349"/>
      <c r="G45" s="349"/>
      <c r="H45" s="350"/>
      <c r="I45" s="288"/>
      <c r="J45" s="254" t="s">
        <v>116</v>
      </c>
      <c r="K45" s="56"/>
      <c r="L45" s="77"/>
    </row>
    <row r="46" spans="1:12" x14ac:dyDescent="0.3">
      <c r="A46" s="25" t="s">
        <v>19</v>
      </c>
      <c r="B46" s="253"/>
      <c r="C46" s="362"/>
      <c r="D46" s="363"/>
      <c r="E46" s="363"/>
      <c r="F46" s="363"/>
      <c r="G46" s="363"/>
      <c r="H46" s="364"/>
      <c r="I46" s="271"/>
      <c r="J46" s="289"/>
      <c r="K46" s="78"/>
      <c r="L46" s="77"/>
    </row>
    <row r="47" spans="1:12" x14ac:dyDescent="0.3">
      <c r="A47" s="18" t="s">
        <v>19</v>
      </c>
      <c r="B47" s="46"/>
      <c r="C47" s="345"/>
      <c r="D47" s="346"/>
      <c r="E47" s="346"/>
      <c r="F47" s="346"/>
      <c r="G47" s="346"/>
      <c r="H47" s="347"/>
      <c r="I47" s="271"/>
      <c r="J47" s="290"/>
      <c r="K47" s="56"/>
      <c r="L47" s="77"/>
    </row>
    <row r="48" spans="1:12" x14ac:dyDescent="0.3">
      <c r="A48" s="18" t="s">
        <v>19</v>
      </c>
      <c r="B48" s="46"/>
      <c r="C48" s="345"/>
      <c r="D48" s="346"/>
      <c r="E48" s="346"/>
      <c r="F48" s="346"/>
      <c r="G48" s="346"/>
      <c r="H48" s="347"/>
      <c r="I48" s="271"/>
      <c r="J48" s="290"/>
      <c r="K48" s="56"/>
      <c r="L48" s="77"/>
    </row>
    <row r="49" spans="1:12" ht="15" thickBot="1" x14ac:dyDescent="0.35">
      <c r="A49" s="22" t="s">
        <v>19</v>
      </c>
      <c r="B49" s="47"/>
      <c r="C49" s="348"/>
      <c r="D49" s="349"/>
      <c r="E49" s="349"/>
      <c r="F49" s="349"/>
      <c r="G49" s="349"/>
      <c r="H49" s="350"/>
      <c r="I49" s="271"/>
      <c r="J49" s="291"/>
      <c r="K49" s="254" t="s">
        <v>116</v>
      </c>
      <c r="L49" s="77"/>
    </row>
    <row r="50" spans="1:12" x14ac:dyDescent="0.3">
      <c r="A50" s="25" t="s">
        <v>20</v>
      </c>
      <c r="B50" s="253"/>
      <c r="C50" s="362"/>
      <c r="D50" s="363"/>
      <c r="E50" s="363"/>
      <c r="F50" s="363"/>
      <c r="G50" s="363"/>
      <c r="H50" s="364"/>
      <c r="I50" s="271"/>
      <c r="J50" s="266"/>
      <c r="K50" s="292"/>
      <c r="L50" s="109"/>
    </row>
    <row r="51" spans="1:12" x14ac:dyDescent="0.3">
      <c r="A51" s="18" t="s">
        <v>20</v>
      </c>
      <c r="B51" s="46"/>
      <c r="C51" s="345"/>
      <c r="D51" s="346"/>
      <c r="E51" s="346"/>
      <c r="F51" s="346"/>
      <c r="G51" s="346"/>
      <c r="H51" s="347"/>
      <c r="I51" s="271"/>
      <c r="J51" s="266"/>
      <c r="K51" s="293"/>
      <c r="L51" s="109"/>
    </row>
    <row r="52" spans="1:12" x14ac:dyDescent="0.3">
      <c r="A52" s="18" t="s">
        <v>20</v>
      </c>
      <c r="B52" s="46"/>
      <c r="C52" s="345"/>
      <c r="D52" s="346"/>
      <c r="E52" s="346"/>
      <c r="F52" s="346"/>
      <c r="G52" s="346"/>
      <c r="H52" s="347"/>
      <c r="I52" s="271"/>
      <c r="J52" s="266"/>
      <c r="K52" s="293"/>
      <c r="L52" s="109"/>
    </row>
    <row r="53" spans="1:12" ht="15" thickBot="1" x14ac:dyDescent="0.35">
      <c r="A53" s="22" t="s">
        <v>20</v>
      </c>
      <c r="B53" s="47"/>
      <c r="C53" s="348"/>
      <c r="D53" s="349"/>
      <c r="E53" s="349"/>
      <c r="F53" s="349"/>
      <c r="G53" s="349"/>
      <c r="H53" s="350"/>
      <c r="I53" s="273"/>
      <c r="J53" s="274"/>
      <c r="K53" s="294"/>
      <c r="L53" s="110" t="s">
        <v>51</v>
      </c>
    </row>
    <row r="54" spans="1:12" ht="16.2" thickBot="1" x14ac:dyDescent="0.35">
      <c r="A54" s="84"/>
      <c r="B54" s="111"/>
      <c r="C54" s="85"/>
      <c r="D54" s="85"/>
      <c r="E54" s="85"/>
      <c r="F54" s="86"/>
      <c r="G54" s="86"/>
      <c r="H54" s="86"/>
      <c r="I54" s="112"/>
      <c r="J54" s="85"/>
      <c r="K54" s="90" t="s">
        <v>25</v>
      </c>
      <c r="L54" s="191">
        <f>SUM(I42:I45)+SUM(J46:J49)+SUM(K50:K53)</f>
        <v>0</v>
      </c>
    </row>
    <row r="55" spans="1:12" ht="15" thickBot="1" x14ac:dyDescent="0.35">
      <c r="A55" s="91"/>
      <c r="B55" s="113"/>
      <c r="C55" s="113"/>
      <c r="D55" s="113"/>
      <c r="E55" s="113"/>
      <c r="F55" s="114"/>
      <c r="G55" s="114"/>
      <c r="H55" s="114"/>
      <c r="I55" s="115"/>
      <c r="J55" s="92"/>
      <c r="K55" s="92"/>
      <c r="L55" s="95"/>
    </row>
    <row r="56" spans="1:12" ht="16.2" thickBot="1" x14ac:dyDescent="0.35">
      <c r="A56" s="116" t="s">
        <v>27</v>
      </c>
      <c r="B56" s="117"/>
      <c r="C56" s="118"/>
      <c r="D56" s="118"/>
      <c r="E56" s="118"/>
      <c r="F56" s="118"/>
      <c r="G56" s="118"/>
      <c r="H56" s="118"/>
      <c r="I56" s="119"/>
      <c r="J56" s="120"/>
      <c r="K56" s="120"/>
      <c r="L56" s="121"/>
    </row>
    <row r="57" spans="1:12" x14ac:dyDescent="0.3">
      <c r="A57" s="75"/>
      <c r="B57" s="122" t="s">
        <v>32</v>
      </c>
      <c r="C57" s="361" t="s">
        <v>0</v>
      </c>
      <c r="D57" s="359"/>
      <c r="E57" s="359"/>
      <c r="F57" s="360"/>
      <c r="G57" s="105" t="s">
        <v>113</v>
      </c>
      <c r="H57" s="105" t="s">
        <v>114</v>
      </c>
      <c r="I57" s="123" t="s">
        <v>51</v>
      </c>
      <c r="J57" s="56"/>
      <c r="K57" s="56"/>
      <c r="L57" s="77"/>
    </row>
    <row r="58" spans="1:12" x14ac:dyDescent="0.3">
      <c r="A58" s="21" t="s">
        <v>18</v>
      </c>
      <c r="B58" s="46"/>
      <c r="C58" s="345"/>
      <c r="D58" s="346"/>
      <c r="E58" s="346"/>
      <c r="F58" s="347"/>
      <c r="G58" s="301"/>
      <c r="H58" s="28"/>
      <c r="I58" s="9">
        <f t="shared" ref="I58:I63" si="6">SUM(G58*H58)</f>
        <v>0</v>
      </c>
      <c r="J58" s="78"/>
      <c r="K58" s="56"/>
      <c r="L58" s="77"/>
    </row>
    <row r="59" spans="1:12" x14ac:dyDescent="0.3">
      <c r="A59" s="21" t="s">
        <v>18</v>
      </c>
      <c r="B59" s="46"/>
      <c r="C59" s="256"/>
      <c r="D59" s="257"/>
      <c r="E59" s="257"/>
      <c r="F59" s="258"/>
      <c r="G59" s="301"/>
      <c r="H59" s="28"/>
      <c r="I59" s="9">
        <f t="shared" si="6"/>
        <v>0</v>
      </c>
      <c r="J59" s="78"/>
      <c r="K59" s="56"/>
      <c r="L59" s="77"/>
    </row>
    <row r="60" spans="1:12" x14ac:dyDescent="0.3">
      <c r="A60" s="21" t="s">
        <v>18</v>
      </c>
      <c r="B60" s="46"/>
      <c r="C60" s="256"/>
      <c r="D60" s="257"/>
      <c r="E60" s="257"/>
      <c r="F60" s="258"/>
      <c r="G60" s="301"/>
      <c r="H60" s="28"/>
      <c r="I60" s="9">
        <f t="shared" si="6"/>
        <v>0</v>
      </c>
      <c r="J60" s="78"/>
      <c r="K60" s="56"/>
      <c r="L60" s="77"/>
    </row>
    <row r="61" spans="1:12" x14ac:dyDescent="0.3">
      <c r="A61" s="21" t="s">
        <v>18</v>
      </c>
      <c r="B61" s="46"/>
      <c r="C61" s="256"/>
      <c r="D61" s="257"/>
      <c r="E61" s="257"/>
      <c r="F61" s="258"/>
      <c r="G61" s="301"/>
      <c r="H61" s="28"/>
      <c r="I61" s="9">
        <f t="shared" si="6"/>
        <v>0</v>
      </c>
      <c r="J61" s="78"/>
      <c r="K61" s="56"/>
      <c r="L61" s="77"/>
    </row>
    <row r="62" spans="1:12" x14ac:dyDescent="0.3">
      <c r="A62" s="21" t="s">
        <v>18</v>
      </c>
      <c r="B62" s="46"/>
      <c r="C62" s="256"/>
      <c r="D62" s="257"/>
      <c r="E62" s="257"/>
      <c r="F62" s="258"/>
      <c r="G62" s="301"/>
      <c r="H62" s="28"/>
      <c r="I62" s="9">
        <f t="shared" si="6"/>
        <v>0</v>
      </c>
      <c r="J62" s="78"/>
      <c r="K62" s="56"/>
      <c r="L62" s="77"/>
    </row>
    <row r="63" spans="1:12" x14ac:dyDescent="0.3">
      <c r="A63" s="18" t="s">
        <v>18</v>
      </c>
      <c r="B63" s="46"/>
      <c r="C63" s="345"/>
      <c r="D63" s="346"/>
      <c r="E63" s="346"/>
      <c r="F63" s="347"/>
      <c r="G63" s="301"/>
      <c r="H63" s="28"/>
      <c r="I63" s="9">
        <f t="shared" si="6"/>
        <v>0</v>
      </c>
      <c r="J63" s="78"/>
      <c r="K63" s="56"/>
      <c r="L63" s="77"/>
    </row>
    <row r="64" spans="1:12" x14ac:dyDescent="0.3">
      <c r="A64" s="18" t="s">
        <v>18</v>
      </c>
      <c r="B64" s="46"/>
      <c r="C64" s="345"/>
      <c r="D64" s="346"/>
      <c r="E64" s="346"/>
      <c r="F64" s="347"/>
      <c r="G64" s="301"/>
      <c r="H64" s="28"/>
      <c r="I64" s="9">
        <f t="shared" ref="I64:I65" si="7">SUM(G64*H64)</f>
        <v>0</v>
      </c>
      <c r="J64" s="78"/>
      <c r="K64" s="56"/>
      <c r="L64" s="77"/>
    </row>
    <row r="65" spans="1:12" ht="15" thickBot="1" x14ac:dyDescent="0.35">
      <c r="A65" s="31" t="s">
        <v>18</v>
      </c>
      <c r="B65" s="47"/>
      <c r="C65" s="348"/>
      <c r="D65" s="349"/>
      <c r="E65" s="349"/>
      <c r="F65" s="350"/>
      <c r="G65" s="302"/>
      <c r="H65" s="24"/>
      <c r="I65" s="10">
        <f t="shared" si="7"/>
        <v>0</v>
      </c>
      <c r="J65" s="79" t="s">
        <v>51</v>
      </c>
      <c r="K65" s="56"/>
      <c r="L65" s="77"/>
    </row>
    <row r="66" spans="1:12" x14ac:dyDescent="0.3">
      <c r="A66" s="21" t="s">
        <v>19</v>
      </c>
      <c r="B66" s="45"/>
      <c r="C66" s="342"/>
      <c r="D66" s="343"/>
      <c r="E66" s="343"/>
      <c r="F66" s="344"/>
      <c r="G66" s="303"/>
      <c r="H66" s="30"/>
      <c r="I66" s="271"/>
      <c r="J66" s="188">
        <f t="shared" ref="J66:J73" si="8">G66*H66</f>
        <v>0</v>
      </c>
      <c r="K66" s="56"/>
      <c r="L66" s="77"/>
    </row>
    <row r="67" spans="1:12" x14ac:dyDescent="0.3">
      <c r="A67" s="18" t="s">
        <v>19</v>
      </c>
      <c r="B67" s="45"/>
      <c r="C67" s="259"/>
      <c r="D67" s="260"/>
      <c r="E67" s="260"/>
      <c r="F67" s="261"/>
      <c r="G67" s="303"/>
      <c r="H67" s="30"/>
      <c r="I67" s="271"/>
      <c r="J67" s="188">
        <f t="shared" si="8"/>
        <v>0</v>
      </c>
      <c r="K67" s="56"/>
      <c r="L67" s="77"/>
    </row>
    <row r="68" spans="1:12" x14ac:dyDescent="0.3">
      <c r="A68" s="18" t="s">
        <v>19</v>
      </c>
      <c r="B68" s="45"/>
      <c r="C68" s="259"/>
      <c r="D68" s="260"/>
      <c r="E68" s="260"/>
      <c r="F68" s="261"/>
      <c r="G68" s="303"/>
      <c r="H68" s="30"/>
      <c r="I68" s="271"/>
      <c r="J68" s="188">
        <f t="shared" si="8"/>
        <v>0</v>
      </c>
      <c r="K68" s="56"/>
      <c r="L68" s="77"/>
    </row>
    <row r="69" spans="1:12" x14ac:dyDescent="0.3">
      <c r="A69" s="18" t="s">
        <v>19</v>
      </c>
      <c r="B69" s="45"/>
      <c r="C69" s="259"/>
      <c r="D69" s="260"/>
      <c r="E69" s="260"/>
      <c r="F69" s="261"/>
      <c r="G69" s="303"/>
      <c r="H69" s="30"/>
      <c r="I69" s="271"/>
      <c r="J69" s="188">
        <f t="shared" si="8"/>
        <v>0</v>
      </c>
      <c r="K69" s="56"/>
      <c r="L69" s="77"/>
    </row>
    <row r="70" spans="1:12" x14ac:dyDescent="0.3">
      <c r="A70" s="18" t="s">
        <v>19</v>
      </c>
      <c r="B70" s="45"/>
      <c r="C70" s="259"/>
      <c r="D70" s="260"/>
      <c r="E70" s="260"/>
      <c r="F70" s="261"/>
      <c r="G70" s="303"/>
      <c r="H70" s="30"/>
      <c r="I70" s="271"/>
      <c r="J70" s="188">
        <f t="shared" si="8"/>
        <v>0</v>
      </c>
      <c r="K70" s="56"/>
      <c r="L70" s="77"/>
    </row>
    <row r="71" spans="1:12" x14ac:dyDescent="0.3">
      <c r="A71" s="18" t="s">
        <v>19</v>
      </c>
      <c r="B71" s="46"/>
      <c r="C71" s="345"/>
      <c r="D71" s="346"/>
      <c r="E71" s="346"/>
      <c r="F71" s="347"/>
      <c r="G71" s="301"/>
      <c r="H71" s="28"/>
      <c r="I71" s="272"/>
      <c r="J71" s="189">
        <f t="shared" si="8"/>
        <v>0</v>
      </c>
      <c r="K71" s="56"/>
      <c r="L71" s="77"/>
    </row>
    <row r="72" spans="1:12" x14ac:dyDescent="0.3">
      <c r="A72" s="18" t="s">
        <v>19</v>
      </c>
      <c r="B72" s="46"/>
      <c r="C72" s="345"/>
      <c r="D72" s="346"/>
      <c r="E72" s="346"/>
      <c r="F72" s="347"/>
      <c r="G72" s="301"/>
      <c r="H72" s="28"/>
      <c r="I72" s="272"/>
      <c r="J72" s="189">
        <f t="shared" si="8"/>
        <v>0</v>
      </c>
      <c r="K72" s="56"/>
      <c r="L72" s="77"/>
    </row>
    <row r="73" spans="1:12" ht="15" thickBot="1" x14ac:dyDescent="0.35">
      <c r="A73" s="31" t="s">
        <v>19</v>
      </c>
      <c r="B73" s="47"/>
      <c r="C73" s="348"/>
      <c r="D73" s="349"/>
      <c r="E73" s="349"/>
      <c r="F73" s="350"/>
      <c r="G73" s="302"/>
      <c r="H73" s="24"/>
      <c r="I73" s="272"/>
      <c r="J73" s="190">
        <f t="shared" si="8"/>
        <v>0</v>
      </c>
      <c r="K73" s="79" t="s">
        <v>51</v>
      </c>
      <c r="L73" s="77"/>
    </row>
    <row r="74" spans="1:12" x14ac:dyDescent="0.3">
      <c r="A74" s="21" t="s">
        <v>20</v>
      </c>
      <c r="B74" s="45"/>
      <c r="C74" s="342"/>
      <c r="D74" s="343"/>
      <c r="E74" s="343"/>
      <c r="F74" s="344"/>
      <c r="G74" s="303"/>
      <c r="H74" s="30"/>
      <c r="I74" s="271"/>
      <c r="J74" s="266"/>
      <c r="K74" s="194">
        <f>G74*H74</f>
        <v>0</v>
      </c>
      <c r="L74" s="77"/>
    </row>
    <row r="75" spans="1:12" x14ac:dyDescent="0.3">
      <c r="A75" s="21" t="s">
        <v>20</v>
      </c>
      <c r="B75" s="45"/>
      <c r="C75" s="259"/>
      <c r="D75" s="260"/>
      <c r="E75" s="260"/>
      <c r="F75" s="261"/>
      <c r="G75" s="303"/>
      <c r="H75" s="30"/>
      <c r="I75" s="271"/>
      <c r="J75" s="266"/>
      <c r="K75" s="189">
        <f>G75*H75</f>
        <v>0</v>
      </c>
      <c r="L75" s="77"/>
    </row>
    <row r="76" spans="1:12" x14ac:dyDescent="0.3">
      <c r="A76" s="21" t="s">
        <v>20</v>
      </c>
      <c r="B76" s="45"/>
      <c r="C76" s="259"/>
      <c r="D76" s="260"/>
      <c r="E76" s="260"/>
      <c r="F76" s="261"/>
      <c r="G76" s="303"/>
      <c r="H76" s="30"/>
      <c r="I76" s="271"/>
      <c r="J76" s="266"/>
      <c r="K76" s="189">
        <f>G76*H76</f>
        <v>0</v>
      </c>
      <c r="L76" s="77"/>
    </row>
    <row r="77" spans="1:12" x14ac:dyDescent="0.3">
      <c r="A77" s="21" t="s">
        <v>20</v>
      </c>
      <c r="B77" s="45"/>
      <c r="C77" s="259"/>
      <c r="D77" s="260"/>
      <c r="E77" s="260"/>
      <c r="F77" s="261"/>
      <c r="G77" s="303"/>
      <c r="H77" s="30"/>
      <c r="I77" s="271"/>
      <c r="J77" s="266"/>
      <c r="K77" s="189">
        <f>G77*H77</f>
        <v>0</v>
      </c>
      <c r="L77" s="77"/>
    </row>
    <row r="78" spans="1:12" x14ac:dyDescent="0.3">
      <c r="A78" s="21" t="s">
        <v>20</v>
      </c>
      <c r="B78" s="45"/>
      <c r="C78" s="259"/>
      <c r="D78" s="260"/>
      <c r="E78" s="260"/>
      <c r="F78" s="261"/>
      <c r="G78" s="303"/>
      <c r="H78" s="30"/>
      <c r="I78" s="271"/>
      <c r="J78" s="266"/>
      <c r="K78" s="188">
        <f t="shared" ref="K78" si="9">G78*H78</f>
        <v>0</v>
      </c>
      <c r="L78" s="77"/>
    </row>
    <row r="79" spans="1:12" x14ac:dyDescent="0.3">
      <c r="A79" s="18" t="s">
        <v>20</v>
      </c>
      <c r="B79" s="46"/>
      <c r="C79" s="345"/>
      <c r="D79" s="346"/>
      <c r="E79" s="346"/>
      <c r="F79" s="347"/>
      <c r="G79" s="301"/>
      <c r="H79" s="28"/>
      <c r="I79" s="271"/>
      <c r="J79" s="266"/>
      <c r="K79" s="189">
        <f t="shared" ref="K79:K81" si="10">G79*H79</f>
        <v>0</v>
      </c>
      <c r="L79" s="77"/>
    </row>
    <row r="80" spans="1:12" x14ac:dyDescent="0.3">
      <c r="A80" s="18" t="s">
        <v>20</v>
      </c>
      <c r="B80" s="46"/>
      <c r="C80" s="345"/>
      <c r="D80" s="346"/>
      <c r="E80" s="346"/>
      <c r="F80" s="347"/>
      <c r="G80" s="301"/>
      <c r="H80" s="28"/>
      <c r="I80" s="271"/>
      <c r="J80" s="266"/>
      <c r="K80" s="189">
        <f t="shared" si="10"/>
        <v>0</v>
      </c>
      <c r="L80" s="77"/>
    </row>
    <row r="81" spans="1:12" ht="15" thickBot="1" x14ac:dyDescent="0.35">
      <c r="A81" s="31" t="s">
        <v>20</v>
      </c>
      <c r="B81" s="47"/>
      <c r="C81" s="348"/>
      <c r="D81" s="349"/>
      <c r="E81" s="349"/>
      <c r="F81" s="350"/>
      <c r="G81" s="302"/>
      <c r="H81" s="29"/>
      <c r="I81" s="273"/>
      <c r="J81" s="270"/>
      <c r="K81" s="190">
        <f t="shared" si="10"/>
        <v>0</v>
      </c>
      <c r="L81" s="81" t="s">
        <v>51</v>
      </c>
    </row>
    <row r="82" spans="1:12" ht="16.2" thickBot="1" x14ac:dyDescent="0.35">
      <c r="A82" s="84"/>
      <c r="B82" s="85"/>
      <c r="C82" s="85"/>
      <c r="D82" s="85"/>
      <c r="E82" s="85"/>
      <c r="F82" s="86"/>
      <c r="G82" s="86"/>
      <c r="H82" s="86"/>
      <c r="I82" s="112"/>
      <c r="J82" s="85"/>
      <c r="K82" s="90" t="s">
        <v>28</v>
      </c>
      <c r="L82" s="191">
        <f>SUM(I58:I65)+SUM(J66:J73)+SUM(K74:K81)</f>
        <v>0</v>
      </c>
    </row>
    <row r="83" spans="1:12" ht="15" thickBot="1" x14ac:dyDescent="0.35">
      <c r="A83" s="91"/>
      <c r="F83" s="93"/>
      <c r="G83" s="93"/>
      <c r="H83" s="93"/>
      <c r="I83" s="94"/>
      <c r="L83" s="124"/>
    </row>
    <row r="84" spans="1:12" ht="16.2" thickBot="1" x14ac:dyDescent="0.35">
      <c r="A84" s="96" t="s">
        <v>30</v>
      </c>
      <c r="B84" s="98"/>
      <c r="C84" s="98" t="s">
        <v>108</v>
      </c>
      <c r="D84" s="99"/>
      <c r="E84" s="99"/>
      <c r="F84" s="99"/>
      <c r="G84" s="99"/>
      <c r="H84" s="99"/>
      <c r="I84" s="119"/>
      <c r="J84" s="120"/>
      <c r="K84" s="120"/>
      <c r="L84" s="121"/>
    </row>
    <row r="85" spans="1:12" x14ac:dyDescent="0.3">
      <c r="A85" s="104"/>
      <c r="B85" s="125" t="s">
        <v>102</v>
      </c>
      <c r="C85" s="126"/>
      <c r="D85" s="56"/>
      <c r="E85" s="56"/>
      <c r="F85" s="127"/>
      <c r="G85" s="105" t="s">
        <v>113</v>
      </c>
      <c r="H85" s="105" t="s">
        <v>114</v>
      </c>
      <c r="I85" s="123" t="s">
        <v>51</v>
      </c>
      <c r="J85" s="56"/>
      <c r="K85" s="56"/>
      <c r="L85" s="77"/>
    </row>
    <row r="86" spans="1:12" x14ac:dyDescent="0.3">
      <c r="A86" s="21" t="s">
        <v>18</v>
      </c>
      <c r="B86" s="383"/>
      <c r="C86" s="384"/>
      <c r="D86" s="384"/>
      <c r="E86" s="384"/>
      <c r="F86" s="385"/>
      <c r="G86" s="304"/>
      <c r="H86" s="41"/>
      <c r="I86" s="9">
        <f>SUM(G86*H86)</f>
        <v>0</v>
      </c>
      <c r="J86" s="78"/>
      <c r="K86" s="56"/>
      <c r="L86" s="77"/>
    </row>
    <row r="87" spans="1:12" x14ac:dyDescent="0.3">
      <c r="A87" s="18" t="s">
        <v>18</v>
      </c>
      <c r="B87" s="383"/>
      <c r="C87" s="384"/>
      <c r="D87" s="384"/>
      <c r="E87" s="384"/>
      <c r="F87" s="385"/>
      <c r="G87" s="304"/>
      <c r="H87" s="41"/>
      <c r="I87" s="9">
        <f t="shared" ref="I87" si="11">SUM(G87*H87)</f>
        <v>0</v>
      </c>
      <c r="J87" s="78"/>
      <c r="K87" s="56"/>
      <c r="L87" s="77"/>
    </row>
    <row r="88" spans="1:12" x14ac:dyDescent="0.3">
      <c r="A88" s="18" t="s">
        <v>18</v>
      </c>
      <c r="B88" s="383"/>
      <c r="C88" s="384"/>
      <c r="D88" s="384"/>
      <c r="E88" s="384"/>
      <c r="F88" s="385"/>
      <c r="G88" s="304"/>
      <c r="H88" s="41"/>
      <c r="I88" s="9">
        <f>SUM(G88*H88)</f>
        <v>0</v>
      </c>
      <c r="J88" s="78"/>
      <c r="K88" s="56"/>
      <c r="L88" s="77"/>
    </row>
    <row r="89" spans="1:12" x14ac:dyDescent="0.3">
      <c r="A89" s="18" t="s">
        <v>18</v>
      </c>
      <c r="B89" s="383"/>
      <c r="C89" s="384"/>
      <c r="D89" s="384"/>
      <c r="E89" s="384"/>
      <c r="F89" s="385"/>
      <c r="G89" s="304"/>
      <c r="H89" s="41"/>
      <c r="I89" s="9">
        <f>SUM(G89*H89)</f>
        <v>0</v>
      </c>
      <c r="J89" s="78"/>
      <c r="K89" s="56"/>
      <c r="L89" s="77"/>
    </row>
    <row r="90" spans="1:12" x14ac:dyDescent="0.3">
      <c r="A90" s="18" t="s">
        <v>18</v>
      </c>
      <c r="B90" s="383"/>
      <c r="C90" s="384"/>
      <c r="D90" s="384"/>
      <c r="E90" s="384"/>
      <c r="F90" s="385"/>
      <c r="G90" s="304"/>
      <c r="H90" s="41"/>
      <c r="I90" s="9">
        <f>SUM(G90*H90)</f>
        <v>0</v>
      </c>
      <c r="J90" s="78"/>
      <c r="K90" s="56"/>
      <c r="L90" s="77"/>
    </row>
    <row r="91" spans="1:12" x14ac:dyDescent="0.3">
      <c r="A91" s="18" t="s">
        <v>18</v>
      </c>
      <c r="B91" s="383"/>
      <c r="C91" s="384"/>
      <c r="D91" s="384"/>
      <c r="E91" s="384"/>
      <c r="F91" s="385"/>
      <c r="G91" s="304"/>
      <c r="H91" s="41"/>
      <c r="I91" s="9">
        <f>SUM(G91*H91)</f>
        <v>0</v>
      </c>
      <c r="J91" s="78"/>
      <c r="K91" s="56"/>
      <c r="L91" s="77"/>
    </row>
    <row r="92" spans="1:12" ht="15" thickBot="1" x14ac:dyDescent="0.35">
      <c r="A92" s="31" t="s">
        <v>18</v>
      </c>
      <c r="B92" s="388"/>
      <c r="C92" s="389"/>
      <c r="D92" s="389"/>
      <c r="E92" s="389"/>
      <c r="F92" s="390"/>
      <c r="G92" s="305"/>
      <c r="H92" s="42"/>
      <c r="I92" s="10">
        <f t="shared" ref="I92" si="12">SUM(G92*H92)</f>
        <v>0</v>
      </c>
      <c r="J92" s="79" t="s">
        <v>51</v>
      </c>
      <c r="K92" s="56"/>
      <c r="L92" s="77"/>
    </row>
    <row r="93" spans="1:12" x14ac:dyDescent="0.3">
      <c r="A93" s="21" t="s">
        <v>19</v>
      </c>
      <c r="B93" s="391"/>
      <c r="C93" s="392"/>
      <c r="D93" s="392"/>
      <c r="E93" s="392"/>
      <c r="F93" s="393"/>
      <c r="G93" s="306"/>
      <c r="H93" s="43"/>
      <c r="I93" s="271"/>
      <c r="J93" s="188">
        <f>G93*H93</f>
        <v>0</v>
      </c>
      <c r="K93" s="56"/>
      <c r="L93" s="77"/>
    </row>
    <row r="94" spans="1:12" x14ac:dyDescent="0.3">
      <c r="A94" s="18" t="s">
        <v>19</v>
      </c>
      <c r="B94" s="383"/>
      <c r="C94" s="384"/>
      <c r="D94" s="384"/>
      <c r="E94" s="384"/>
      <c r="F94" s="385"/>
      <c r="G94" s="306"/>
      <c r="H94" s="43"/>
      <c r="I94" s="271"/>
      <c r="J94" s="188">
        <f>G94*H94</f>
        <v>0</v>
      </c>
      <c r="K94" s="56"/>
      <c r="L94" s="77"/>
    </row>
    <row r="95" spans="1:12" x14ac:dyDescent="0.3">
      <c r="A95" s="18" t="s">
        <v>19</v>
      </c>
      <c r="B95" s="383"/>
      <c r="C95" s="384"/>
      <c r="D95" s="384"/>
      <c r="E95" s="384"/>
      <c r="F95" s="385"/>
      <c r="G95" s="306"/>
      <c r="H95" s="43"/>
      <c r="I95" s="271"/>
      <c r="J95" s="188">
        <f>G95*H95</f>
        <v>0</v>
      </c>
      <c r="K95" s="56"/>
      <c r="L95" s="77"/>
    </row>
    <row r="96" spans="1:12" x14ac:dyDescent="0.3">
      <c r="A96" s="18" t="s">
        <v>19</v>
      </c>
      <c r="B96" s="383"/>
      <c r="C96" s="384"/>
      <c r="D96" s="384"/>
      <c r="E96" s="384"/>
      <c r="F96" s="385"/>
      <c r="G96" s="306"/>
      <c r="H96" s="43"/>
      <c r="I96" s="271"/>
      <c r="J96" s="188">
        <f t="shared" ref="J96" si="13">G96*H96</f>
        <v>0</v>
      </c>
      <c r="K96" s="56"/>
      <c r="L96" s="77"/>
    </row>
    <row r="97" spans="1:12" x14ac:dyDescent="0.3">
      <c r="A97" s="18" t="s">
        <v>19</v>
      </c>
      <c r="B97" s="383"/>
      <c r="C97" s="384"/>
      <c r="D97" s="384"/>
      <c r="E97" s="384"/>
      <c r="F97" s="385"/>
      <c r="G97" s="304"/>
      <c r="H97" s="41"/>
      <c r="I97" s="272"/>
      <c r="J97" s="189">
        <f>G97*H97</f>
        <v>0</v>
      </c>
      <c r="K97" s="56"/>
      <c r="L97" s="77"/>
    </row>
    <row r="98" spans="1:12" x14ac:dyDescent="0.3">
      <c r="A98" s="18" t="s">
        <v>19</v>
      </c>
      <c r="B98" s="383"/>
      <c r="C98" s="384"/>
      <c r="D98" s="384"/>
      <c r="E98" s="384"/>
      <c r="F98" s="385"/>
      <c r="G98" s="304"/>
      <c r="H98" s="41"/>
      <c r="I98" s="272"/>
      <c r="J98" s="189">
        <f>G98*H98</f>
        <v>0</v>
      </c>
      <c r="K98" s="56"/>
      <c r="L98" s="77"/>
    </row>
    <row r="99" spans="1:12" ht="15" thickBot="1" x14ac:dyDescent="0.35">
      <c r="A99" s="31" t="s">
        <v>19</v>
      </c>
      <c r="B99" s="388"/>
      <c r="C99" s="389"/>
      <c r="D99" s="389"/>
      <c r="E99" s="389"/>
      <c r="F99" s="390"/>
      <c r="G99" s="305"/>
      <c r="H99" s="42"/>
      <c r="I99" s="272"/>
      <c r="J99" s="190">
        <f>G99*H99</f>
        <v>0</v>
      </c>
      <c r="K99" s="79" t="s">
        <v>51</v>
      </c>
      <c r="L99" s="77"/>
    </row>
    <row r="100" spans="1:12" x14ac:dyDescent="0.3">
      <c r="A100" s="21" t="s">
        <v>20</v>
      </c>
      <c r="B100" s="391"/>
      <c r="C100" s="392"/>
      <c r="D100" s="392"/>
      <c r="E100" s="392"/>
      <c r="F100" s="393"/>
      <c r="G100" s="306"/>
      <c r="H100" s="43"/>
      <c r="I100" s="271"/>
      <c r="J100" s="266"/>
      <c r="K100" s="195">
        <f>G100*H100</f>
        <v>0</v>
      </c>
      <c r="L100" s="77"/>
    </row>
    <row r="101" spans="1:12" x14ac:dyDescent="0.3">
      <c r="A101" s="18" t="s">
        <v>20</v>
      </c>
      <c r="B101" s="383"/>
      <c r="C101" s="384"/>
      <c r="D101" s="384"/>
      <c r="E101" s="384"/>
      <c r="F101" s="385"/>
      <c r="G101" s="306"/>
      <c r="H101" s="43"/>
      <c r="I101" s="271"/>
      <c r="J101" s="266"/>
      <c r="K101" s="189">
        <f>G101*H101</f>
        <v>0</v>
      </c>
      <c r="L101" s="77"/>
    </row>
    <row r="102" spans="1:12" x14ac:dyDescent="0.3">
      <c r="A102" s="18" t="s">
        <v>20</v>
      </c>
      <c r="B102" s="383"/>
      <c r="C102" s="384"/>
      <c r="D102" s="384"/>
      <c r="E102" s="384"/>
      <c r="F102" s="385"/>
      <c r="G102" s="306"/>
      <c r="H102" s="43"/>
      <c r="I102" s="271"/>
      <c r="J102" s="266"/>
      <c r="K102" s="189">
        <f>G102*H102</f>
        <v>0</v>
      </c>
      <c r="L102" s="77"/>
    </row>
    <row r="103" spans="1:12" x14ac:dyDescent="0.3">
      <c r="A103" s="18" t="s">
        <v>20</v>
      </c>
      <c r="B103" s="383"/>
      <c r="C103" s="384"/>
      <c r="D103" s="384"/>
      <c r="E103" s="384"/>
      <c r="F103" s="385"/>
      <c r="G103" s="306"/>
      <c r="H103" s="43"/>
      <c r="I103" s="271"/>
      <c r="J103" s="266"/>
      <c r="K103" s="188">
        <f>G103*H103</f>
        <v>0</v>
      </c>
      <c r="L103" s="77"/>
    </row>
    <row r="104" spans="1:12" x14ac:dyDescent="0.3">
      <c r="A104" s="18" t="s">
        <v>20</v>
      </c>
      <c r="B104" s="383"/>
      <c r="C104" s="384"/>
      <c r="D104" s="384"/>
      <c r="E104" s="384"/>
      <c r="F104" s="385"/>
      <c r="G104" s="304"/>
      <c r="H104" s="41"/>
      <c r="I104" s="271"/>
      <c r="J104" s="266"/>
      <c r="K104" s="189">
        <f t="shared" ref="K104:K106" si="14">G104*H104</f>
        <v>0</v>
      </c>
      <c r="L104" s="77"/>
    </row>
    <row r="105" spans="1:12" x14ac:dyDescent="0.3">
      <c r="A105" s="18" t="s">
        <v>20</v>
      </c>
      <c r="B105" s="383"/>
      <c r="C105" s="384"/>
      <c r="D105" s="384"/>
      <c r="E105" s="384"/>
      <c r="F105" s="385"/>
      <c r="G105" s="304"/>
      <c r="H105" s="41"/>
      <c r="I105" s="271"/>
      <c r="J105" s="266"/>
      <c r="K105" s="189">
        <f t="shared" si="14"/>
        <v>0</v>
      </c>
      <c r="L105" s="77"/>
    </row>
    <row r="106" spans="1:12" ht="15" thickBot="1" x14ac:dyDescent="0.35">
      <c r="A106" s="31" t="s">
        <v>20</v>
      </c>
      <c r="B106" s="388"/>
      <c r="C106" s="389"/>
      <c r="D106" s="389"/>
      <c r="E106" s="389"/>
      <c r="F106" s="390"/>
      <c r="G106" s="305"/>
      <c r="H106" s="42"/>
      <c r="I106" s="273"/>
      <c r="J106" s="270"/>
      <c r="K106" s="190">
        <f t="shared" si="14"/>
        <v>0</v>
      </c>
      <c r="L106" s="81" t="s">
        <v>51</v>
      </c>
    </row>
    <row r="107" spans="1:12" ht="16.2" thickBot="1" x14ac:dyDescent="0.35">
      <c r="A107" s="84"/>
      <c r="B107" s="85"/>
      <c r="C107" s="85"/>
      <c r="D107" s="111"/>
      <c r="E107" s="111"/>
      <c r="F107" s="86"/>
      <c r="G107" s="86"/>
      <c r="H107" s="86"/>
      <c r="I107" s="112"/>
      <c r="J107" s="85"/>
      <c r="K107" s="90" t="s">
        <v>29</v>
      </c>
      <c r="L107" s="191">
        <f>SUM(I86:I92)+SUM(J93:J99)+SUM(K100:K106)</f>
        <v>0</v>
      </c>
    </row>
    <row r="108" spans="1:12" ht="15" thickBot="1" x14ac:dyDescent="0.35">
      <c r="A108" s="91"/>
      <c r="B108" s="92"/>
      <c r="C108" s="92"/>
      <c r="D108" s="128"/>
      <c r="E108" s="128"/>
      <c r="F108" s="129"/>
      <c r="G108" s="129"/>
      <c r="H108" s="129"/>
      <c r="I108" s="130"/>
      <c r="J108" s="92"/>
      <c r="K108" s="92"/>
      <c r="L108" s="95"/>
    </row>
    <row r="109" spans="1:12" ht="16.2" thickBot="1" x14ac:dyDescent="0.35">
      <c r="A109" s="131" t="s">
        <v>53</v>
      </c>
      <c r="B109" s="132"/>
      <c r="C109" s="366" t="s">
        <v>109</v>
      </c>
      <c r="D109" s="366"/>
      <c r="E109" s="366"/>
      <c r="F109" s="366"/>
      <c r="G109" s="366"/>
      <c r="H109" s="366"/>
      <c r="I109" s="366"/>
      <c r="J109" s="366"/>
      <c r="K109" s="366"/>
      <c r="L109" s="367"/>
    </row>
    <row r="110" spans="1:12" x14ac:dyDescent="0.3">
      <c r="A110" s="133"/>
      <c r="B110" s="134" t="s">
        <v>12</v>
      </c>
      <c r="C110" s="135"/>
      <c r="D110" s="135"/>
      <c r="E110" s="135"/>
      <c r="F110" s="136"/>
      <c r="G110" s="105" t="s">
        <v>113</v>
      </c>
      <c r="H110" s="105" t="s">
        <v>114</v>
      </c>
      <c r="I110" s="137" t="s">
        <v>51</v>
      </c>
      <c r="J110" s="138"/>
      <c r="K110" s="138"/>
      <c r="L110" s="139"/>
    </row>
    <row r="111" spans="1:12" x14ac:dyDescent="0.3">
      <c r="A111" s="21" t="s">
        <v>18</v>
      </c>
      <c r="B111" s="346"/>
      <c r="C111" s="346"/>
      <c r="D111" s="346"/>
      <c r="E111" s="346"/>
      <c r="F111" s="347"/>
      <c r="G111" s="306"/>
      <c r="H111" s="43"/>
      <c r="I111" s="9">
        <f>SUM(G111*H111)</f>
        <v>0</v>
      </c>
      <c r="J111" s="78"/>
      <c r="K111" s="56"/>
      <c r="L111" s="77"/>
    </row>
    <row r="112" spans="1:12" x14ac:dyDescent="0.3">
      <c r="A112" s="18" t="s">
        <v>18</v>
      </c>
      <c r="B112" s="346"/>
      <c r="C112" s="346"/>
      <c r="D112" s="346"/>
      <c r="E112" s="346"/>
      <c r="F112" s="347"/>
      <c r="G112" s="304"/>
      <c r="H112" s="41"/>
      <c r="I112" s="9">
        <f t="shared" ref="I112" si="15">SUM(G112*H112)</f>
        <v>0</v>
      </c>
      <c r="J112" s="78"/>
      <c r="K112" s="56"/>
      <c r="L112" s="77"/>
    </row>
    <row r="113" spans="1:12" x14ac:dyDescent="0.3">
      <c r="A113" s="18" t="s">
        <v>18</v>
      </c>
      <c r="B113" s="346"/>
      <c r="C113" s="346"/>
      <c r="D113" s="346"/>
      <c r="E113" s="346"/>
      <c r="F113" s="347"/>
      <c r="G113" s="304"/>
      <c r="H113" s="41"/>
      <c r="I113" s="9">
        <f>SUM(G113*H113)</f>
        <v>0</v>
      </c>
      <c r="J113" s="78"/>
      <c r="K113" s="56"/>
      <c r="L113" s="77"/>
    </row>
    <row r="114" spans="1:12" ht="15" thickBot="1" x14ac:dyDescent="0.35">
      <c r="A114" s="31" t="s">
        <v>18</v>
      </c>
      <c r="B114" s="349"/>
      <c r="C114" s="349"/>
      <c r="D114" s="349"/>
      <c r="E114" s="349"/>
      <c r="F114" s="350"/>
      <c r="G114" s="305"/>
      <c r="H114" s="42"/>
      <c r="I114" s="10">
        <f t="shared" ref="I114" si="16">SUM(G114*H114)</f>
        <v>0</v>
      </c>
      <c r="J114" s="79" t="s">
        <v>51</v>
      </c>
      <c r="K114" s="56"/>
      <c r="L114" s="77"/>
    </row>
    <row r="115" spans="1:12" x14ac:dyDescent="0.3">
      <c r="A115" s="21" t="s">
        <v>19</v>
      </c>
      <c r="B115" s="363"/>
      <c r="C115" s="363"/>
      <c r="D115" s="363"/>
      <c r="E115" s="363"/>
      <c r="F115" s="364"/>
      <c r="G115" s="306"/>
      <c r="H115" s="43"/>
      <c r="I115" s="275"/>
      <c r="J115" s="188">
        <f>G115*H115</f>
        <v>0</v>
      </c>
      <c r="K115" s="56"/>
      <c r="L115" s="77"/>
    </row>
    <row r="116" spans="1:12" x14ac:dyDescent="0.3">
      <c r="A116" s="18" t="s">
        <v>19</v>
      </c>
      <c r="B116" s="346"/>
      <c r="C116" s="346"/>
      <c r="D116" s="346"/>
      <c r="E116" s="346"/>
      <c r="F116" s="347"/>
      <c r="G116" s="304"/>
      <c r="H116" s="41"/>
      <c r="I116" s="276"/>
      <c r="J116" s="189">
        <f>G116*H116</f>
        <v>0</v>
      </c>
      <c r="K116" s="56"/>
      <c r="L116" s="77"/>
    </row>
    <row r="117" spans="1:12" x14ac:dyDescent="0.3">
      <c r="A117" s="18" t="s">
        <v>19</v>
      </c>
      <c r="B117" s="346"/>
      <c r="C117" s="346"/>
      <c r="D117" s="346"/>
      <c r="E117" s="346"/>
      <c r="F117" s="347"/>
      <c r="G117" s="304"/>
      <c r="H117" s="41"/>
      <c r="I117" s="276"/>
      <c r="J117" s="189">
        <f>G117*H117</f>
        <v>0</v>
      </c>
      <c r="K117" s="56"/>
      <c r="L117" s="77"/>
    </row>
    <row r="118" spans="1:12" ht="15" thickBot="1" x14ac:dyDescent="0.35">
      <c r="A118" s="31" t="s">
        <v>19</v>
      </c>
      <c r="B118" s="349"/>
      <c r="C118" s="349"/>
      <c r="D118" s="349"/>
      <c r="E118" s="349"/>
      <c r="F118" s="350"/>
      <c r="G118" s="305"/>
      <c r="H118" s="42"/>
      <c r="I118" s="276"/>
      <c r="J118" s="190">
        <f>G118*H118</f>
        <v>0</v>
      </c>
      <c r="K118" s="79" t="s">
        <v>51</v>
      </c>
      <c r="L118" s="77"/>
    </row>
    <row r="119" spans="1:12" x14ac:dyDescent="0.3">
      <c r="A119" s="21" t="s">
        <v>20</v>
      </c>
      <c r="B119" s="363"/>
      <c r="C119" s="363"/>
      <c r="D119" s="363"/>
      <c r="E119" s="363"/>
      <c r="F119" s="364"/>
      <c r="G119" s="306"/>
      <c r="H119" s="43"/>
      <c r="I119" s="275"/>
      <c r="J119" s="278"/>
      <c r="K119" s="194">
        <f>G119*H119</f>
        <v>0</v>
      </c>
      <c r="L119" s="77"/>
    </row>
    <row r="120" spans="1:12" x14ac:dyDescent="0.3">
      <c r="A120" s="18" t="s">
        <v>20</v>
      </c>
      <c r="B120" s="346"/>
      <c r="C120" s="346"/>
      <c r="D120" s="346"/>
      <c r="E120" s="346"/>
      <c r="F120" s="347"/>
      <c r="G120" s="304"/>
      <c r="H120" s="41"/>
      <c r="I120" s="275"/>
      <c r="J120" s="278"/>
      <c r="K120" s="189">
        <f t="shared" ref="K120:K122" si="17">G120*H120</f>
        <v>0</v>
      </c>
      <c r="L120" s="77"/>
    </row>
    <row r="121" spans="1:12" x14ac:dyDescent="0.3">
      <c r="A121" s="18" t="s">
        <v>20</v>
      </c>
      <c r="B121" s="346"/>
      <c r="C121" s="346"/>
      <c r="D121" s="346"/>
      <c r="E121" s="346"/>
      <c r="F121" s="347"/>
      <c r="G121" s="304"/>
      <c r="H121" s="41"/>
      <c r="I121" s="275"/>
      <c r="J121" s="278"/>
      <c r="K121" s="189">
        <f t="shared" si="17"/>
        <v>0</v>
      </c>
      <c r="L121" s="77"/>
    </row>
    <row r="122" spans="1:12" ht="15" thickBot="1" x14ac:dyDescent="0.35">
      <c r="A122" s="31" t="s">
        <v>20</v>
      </c>
      <c r="B122" s="349"/>
      <c r="C122" s="349"/>
      <c r="D122" s="349"/>
      <c r="E122" s="349"/>
      <c r="F122" s="350"/>
      <c r="G122" s="307"/>
      <c r="H122" s="42"/>
      <c r="I122" s="277"/>
      <c r="J122" s="279"/>
      <c r="K122" s="190">
        <f t="shared" si="17"/>
        <v>0</v>
      </c>
      <c r="L122" s="81" t="s">
        <v>51</v>
      </c>
    </row>
    <row r="123" spans="1:12" ht="16.2" thickBot="1" x14ac:dyDescent="0.35">
      <c r="A123" s="84"/>
      <c r="B123" s="85"/>
      <c r="C123" s="85"/>
      <c r="D123" s="85"/>
      <c r="E123" s="85"/>
      <c r="F123" s="86"/>
      <c r="G123" s="86"/>
      <c r="H123" s="86"/>
      <c r="I123" s="112"/>
      <c r="J123" s="85"/>
      <c r="K123" s="90" t="s">
        <v>31</v>
      </c>
      <c r="L123" s="191">
        <f>SUM(I111:I114)+SUM(J115:J118)+SUM(K119:K122)</f>
        <v>0</v>
      </c>
    </row>
    <row r="124" spans="1:12" ht="15" thickBot="1" x14ac:dyDescent="0.35">
      <c r="A124" s="91"/>
      <c r="B124" s="92"/>
      <c r="C124" s="92"/>
      <c r="D124" s="92"/>
      <c r="E124" s="92"/>
      <c r="F124" s="129"/>
      <c r="G124" s="129"/>
      <c r="H124" s="129"/>
      <c r="I124" s="130"/>
      <c r="J124" s="92"/>
      <c r="K124" s="92"/>
      <c r="L124" s="95"/>
    </row>
    <row r="125" spans="1:12" ht="16.2" thickBot="1" x14ac:dyDescent="0.35">
      <c r="A125" s="131" t="s">
        <v>93</v>
      </c>
      <c r="B125" s="140"/>
      <c r="C125" s="368" t="s">
        <v>110</v>
      </c>
      <c r="D125" s="368"/>
      <c r="E125" s="368"/>
      <c r="F125" s="368"/>
      <c r="G125" s="368"/>
      <c r="H125" s="368"/>
      <c r="I125" s="368"/>
      <c r="J125" s="368"/>
      <c r="K125" s="368"/>
      <c r="L125" s="369"/>
    </row>
    <row r="126" spans="1:12" ht="28.8" x14ac:dyDescent="0.3">
      <c r="A126" s="141"/>
      <c r="B126" s="142" t="s">
        <v>54</v>
      </c>
      <c r="C126" s="370" t="s">
        <v>90</v>
      </c>
      <c r="D126" s="371"/>
      <c r="E126" s="371"/>
      <c r="F126" s="371"/>
      <c r="G126" s="371"/>
      <c r="H126" s="372"/>
      <c r="I126" s="143" t="s">
        <v>116</v>
      </c>
      <c r="J126" s="144"/>
      <c r="K126" s="144"/>
      <c r="L126" s="145"/>
    </row>
    <row r="127" spans="1:12" ht="28.8" x14ac:dyDescent="0.3">
      <c r="A127" s="32" t="s">
        <v>34</v>
      </c>
      <c r="B127" s="45"/>
      <c r="C127" s="362"/>
      <c r="D127" s="363"/>
      <c r="E127" s="363"/>
      <c r="F127" s="363"/>
      <c r="G127" s="363"/>
      <c r="H127" s="364"/>
      <c r="I127" s="308"/>
      <c r="J127" s="78"/>
      <c r="K127" s="56"/>
      <c r="L127" s="77"/>
    </row>
    <row r="128" spans="1:12" ht="28.8" x14ac:dyDescent="0.3">
      <c r="A128" s="32" t="s">
        <v>33</v>
      </c>
      <c r="B128" s="46"/>
      <c r="C128" s="345"/>
      <c r="D128" s="346"/>
      <c r="E128" s="346"/>
      <c r="F128" s="346"/>
      <c r="G128" s="346"/>
      <c r="H128" s="347"/>
      <c r="I128" s="287"/>
      <c r="J128" s="56"/>
      <c r="K128" s="56"/>
      <c r="L128" s="77"/>
    </row>
    <row r="129" spans="1:12" ht="28.8" x14ac:dyDescent="0.3">
      <c r="A129" s="32" t="s">
        <v>35</v>
      </c>
      <c r="B129" s="46"/>
      <c r="C129" s="345"/>
      <c r="D129" s="346"/>
      <c r="E129" s="346"/>
      <c r="F129" s="346"/>
      <c r="G129" s="346"/>
      <c r="H129" s="347"/>
      <c r="I129" s="287"/>
      <c r="J129" s="56"/>
      <c r="K129" s="56"/>
      <c r="L129" s="77"/>
    </row>
    <row r="130" spans="1:12" ht="29.4" thickBot="1" x14ac:dyDescent="0.35">
      <c r="A130" s="33" t="s">
        <v>36</v>
      </c>
      <c r="B130" s="47"/>
      <c r="C130" s="348"/>
      <c r="D130" s="349"/>
      <c r="E130" s="349"/>
      <c r="F130" s="349"/>
      <c r="G130" s="349"/>
      <c r="H130" s="350"/>
      <c r="I130" s="288"/>
      <c r="J130" s="146" t="s">
        <v>116</v>
      </c>
      <c r="K130" s="56"/>
      <c r="L130" s="77"/>
    </row>
    <row r="131" spans="1:12" ht="28.8" x14ac:dyDescent="0.3">
      <c r="A131" s="32" t="s">
        <v>37</v>
      </c>
      <c r="B131" s="45"/>
      <c r="C131" s="362"/>
      <c r="D131" s="363"/>
      <c r="E131" s="363"/>
      <c r="F131" s="363"/>
      <c r="G131" s="363"/>
      <c r="H131" s="364"/>
      <c r="I131" s="271"/>
      <c r="J131" s="289"/>
      <c r="K131" s="56"/>
      <c r="L131" s="77"/>
    </row>
    <row r="132" spans="1:12" ht="28.8" x14ac:dyDescent="0.3">
      <c r="A132" s="34" t="s">
        <v>38</v>
      </c>
      <c r="B132" s="46"/>
      <c r="C132" s="345"/>
      <c r="D132" s="346"/>
      <c r="E132" s="346"/>
      <c r="F132" s="346"/>
      <c r="G132" s="346"/>
      <c r="H132" s="347"/>
      <c r="I132" s="272"/>
      <c r="J132" s="290"/>
      <c r="K132" s="56"/>
      <c r="L132" s="77"/>
    </row>
    <row r="133" spans="1:12" ht="28.8" x14ac:dyDescent="0.3">
      <c r="A133" s="34" t="s">
        <v>39</v>
      </c>
      <c r="B133" s="46"/>
      <c r="C133" s="345"/>
      <c r="D133" s="346"/>
      <c r="E133" s="346"/>
      <c r="F133" s="346"/>
      <c r="G133" s="346"/>
      <c r="H133" s="347"/>
      <c r="I133" s="272"/>
      <c r="J133" s="290"/>
      <c r="K133" s="56"/>
      <c r="L133" s="77"/>
    </row>
    <row r="134" spans="1:12" ht="29.4" thickBot="1" x14ac:dyDescent="0.35">
      <c r="A134" s="33" t="s">
        <v>40</v>
      </c>
      <c r="B134" s="47"/>
      <c r="C134" s="348"/>
      <c r="D134" s="349"/>
      <c r="E134" s="349"/>
      <c r="F134" s="349"/>
      <c r="G134" s="349"/>
      <c r="H134" s="350"/>
      <c r="I134" s="272"/>
      <c r="J134" s="291"/>
      <c r="K134" s="147" t="s">
        <v>116</v>
      </c>
      <c r="L134" s="77"/>
    </row>
    <row r="135" spans="1:12" ht="28.8" x14ac:dyDescent="0.3">
      <c r="A135" s="32" t="s">
        <v>41</v>
      </c>
      <c r="B135" s="45"/>
      <c r="C135" s="362"/>
      <c r="D135" s="363"/>
      <c r="E135" s="363"/>
      <c r="F135" s="363"/>
      <c r="G135" s="363"/>
      <c r="H135" s="364"/>
      <c r="I135" s="271"/>
      <c r="J135" s="266"/>
      <c r="K135" s="309"/>
      <c r="L135" s="77"/>
    </row>
    <row r="136" spans="1:12" ht="28.8" x14ac:dyDescent="0.3">
      <c r="A136" s="34" t="s">
        <v>42</v>
      </c>
      <c r="B136" s="46"/>
      <c r="C136" s="345"/>
      <c r="D136" s="346"/>
      <c r="E136" s="346"/>
      <c r="F136" s="346"/>
      <c r="G136" s="346"/>
      <c r="H136" s="347"/>
      <c r="I136" s="271"/>
      <c r="J136" s="266"/>
      <c r="K136" s="290"/>
      <c r="L136" s="77"/>
    </row>
    <row r="137" spans="1:12" ht="28.8" x14ac:dyDescent="0.3">
      <c r="A137" s="34" t="s">
        <v>43</v>
      </c>
      <c r="B137" s="46"/>
      <c r="C137" s="345"/>
      <c r="D137" s="346"/>
      <c r="E137" s="346"/>
      <c r="F137" s="346"/>
      <c r="G137" s="346"/>
      <c r="H137" s="347"/>
      <c r="I137" s="271"/>
      <c r="J137" s="266"/>
      <c r="K137" s="290"/>
      <c r="L137" s="77"/>
    </row>
    <row r="138" spans="1:12" ht="29.4" thickBot="1" x14ac:dyDescent="0.35">
      <c r="A138" s="33" t="s">
        <v>44</v>
      </c>
      <c r="B138" s="47"/>
      <c r="C138" s="348"/>
      <c r="D138" s="349"/>
      <c r="E138" s="349"/>
      <c r="F138" s="349"/>
      <c r="G138" s="349"/>
      <c r="H138" s="350"/>
      <c r="I138" s="273"/>
      <c r="J138" s="270"/>
      <c r="K138" s="291"/>
      <c r="L138" s="81" t="s">
        <v>51</v>
      </c>
    </row>
    <row r="139" spans="1:12" ht="16.2" thickBot="1" x14ac:dyDescent="0.35">
      <c r="A139" s="84"/>
      <c r="B139" s="85"/>
      <c r="C139" s="85"/>
      <c r="D139" s="85"/>
      <c r="E139" s="85"/>
      <c r="F139" s="85"/>
      <c r="G139" s="85"/>
      <c r="H139" s="85"/>
      <c r="I139" s="112"/>
      <c r="J139" s="85"/>
      <c r="K139" s="90" t="s">
        <v>45</v>
      </c>
      <c r="L139" s="191">
        <f>SUM(I127:I130)+SUM(J131:J134)+SUM(K135:K138)</f>
        <v>0</v>
      </c>
    </row>
    <row r="140" spans="1:12" ht="15" thickBot="1" x14ac:dyDescent="0.35">
      <c r="A140" s="91"/>
      <c r="H140" s="64"/>
      <c r="I140" s="148"/>
      <c r="J140" s="92"/>
      <c r="K140" s="129"/>
      <c r="L140" s="149"/>
    </row>
    <row r="141" spans="1:12" ht="16.2" thickBot="1" x14ac:dyDescent="0.35">
      <c r="A141" s="150" t="s">
        <v>52</v>
      </c>
      <c r="B141" s="151"/>
      <c r="C141" s="151" t="s">
        <v>46</v>
      </c>
      <c r="D141" s="152"/>
      <c r="E141" s="152"/>
      <c r="F141" s="152"/>
      <c r="G141" s="152"/>
      <c r="H141" s="152"/>
      <c r="I141" s="153"/>
      <c r="J141" s="152"/>
      <c r="K141" s="152"/>
      <c r="L141" s="154"/>
    </row>
    <row r="142" spans="1:12" x14ac:dyDescent="0.3">
      <c r="A142" s="133"/>
      <c r="B142" s="155" t="s">
        <v>47</v>
      </c>
      <c r="C142" s="156" t="s">
        <v>48</v>
      </c>
      <c r="D142" s="157"/>
      <c r="E142" s="157"/>
      <c r="F142" s="155"/>
      <c r="G142" s="105" t="s">
        <v>113</v>
      </c>
      <c r="H142" s="105" t="s">
        <v>114</v>
      </c>
      <c r="I142" s="137" t="s">
        <v>51</v>
      </c>
      <c r="J142" s="138"/>
      <c r="K142" s="138"/>
      <c r="L142" s="139"/>
    </row>
    <row r="143" spans="1:12" x14ac:dyDescent="0.3">
      <c r="A143" s="21" t="s">
        <v>18</v>
      </c>
      <c r="B143" s="239"/>
      <c r="C143" s="383"/>
      <c r="D143" s="384"/>
      <c r="E143" s="384"/>
      <c r="F143" s="385"/>
      <c r="G143" s="303"/>
      <c r="H143" s="30"/>
      <c r="I143" s="9">
        <f>SUM(G143*H143)</f>
        <v>0</v>
      </c>
      <c r="J143" s="78"/>
      <c r="K143" s="56"/>
      <c r="L143" s="77"/>
    </row>
    <row r="144" spans="1:12" x14ac:dyDescent="0.3">
      <c r="A144" s="18" t="s">
        <v>18</v>
      </c>
      <c r="B144" s="239"/>
      <c r="C144" s="383"/>
      <c r="D144" s="384"/>
      <c r="E144" s="384"/>
      <c r="F144" s="385"/>
      <c r="G144" s="303"/>
      <c r="H144" s="30"/>
      <c r="I144" s="9">
        <f t="shared" ref="I144" si="18">SUM(G144*H144)</f>
        <v>0</v>
      </c>
      <c r="J144" s="78"/>
      <c r="K144" s="56"/>
      <c r="L144" s="77"/>
    </row>
    <row r="145" spans="1:12" x14ac:dyDescent="0.3">
      <c r="A145" s="18" t="s">
        <v>18</v>
      </c>
      <c r="B145" s="239"/>
      <c r="C145" s="383"/>
      <c r="D145" s="384"/>
      <c r="E145" s="384"/>
      <c r="F145" s="385"/>
      <c r="G145" s="303"/>
      <c r="H145" s="30"/>
      <c r="I145" s="9">
        <f>SUM(G145*H145)</f>
        <v>0</v>
      </c>
      <c r="J145" s="78"/>
      <c r="K145" s="56"/>
      <c r="L145" s="77"/>
    </row>
    <row r="146" spans="1:12" ht="15" thickBot="1" x14ac:dyDescent="0.35">
      <c r="A146" s="31" t="s">
        <v>18</v>
      </c>
      <c r="B146" s="240"/>
      <c r="C146" s="388"/>
      <c r="D146" s="389"/>
      <c r="E146" s="389"/>
      <c r="F146" s="390"/>
      <c r="G146" s="302"/>
      <c r="H146" s="24"/>
      <c r="I146" s="10">
        <f t="shared" ref="I146" si="19">SUM(G146*H146)</f>
        <v>0</v>
      </c>
      <c r="J146" s="79" t="s">
        <v>51</v>
      </c>
      <c r="K146" s="56"/>
      <c r="L146" s="77"/>
    </row>
    <row r="147" spans="1:12" x14ac:dyDescent="0.3">
      <c r="A147" s="21" t="s">
        <v>19</v>
      </c>
      <c r="B147" s="239"/>
      <c r="C147" s="391"/>
      <c r="D147" s="392"/>
      <c r="E147" s="392"/>
      <c r="F147" s="393"/>
      <c r="G147" s="303"/>
      <c r="H147" s="30"/>
      <c r="I147" s="271"/>
      <c r="J147" s="188">
        <f>G147*H147</f>
        <v>0</v>
      </c>
      <c r="K147" s="56"/>
      <c r="L147" s="77"/>
    </row>
    <row r="148" spans="1:12" x14ac:dyDescent="0.3">
      <c r="A148" s="18" t="s">
        <v>19</v>
      </c>
      <c r="B148" s="239"/>
      <c r="C148" s="383"/>
      <c r="D148" s="384"/>
      <c r="E148" s="384"/>
      <c r="F148" s="385"/>
      <c r="G148" s="303"/>
      <c r="H148" s="30"/>
      <c r="I148" s="272"/>
      <c r="J148" s="189">
        <f>G148*H148</f>
        <v>0</v>
      </c>
      <c r="K148" s="56"/>
      <c r="L148" s="77"/>
    </row>
    <row r="149" spans="1:12" x14ac:dyDescent="0.3">
      <c r="A149" s="18" t="s">
        <v>19</v>
      </c>
      <c r="B149" s="241"/>
      <c r="C149" s="383"/>
      <c r="D149" s="384"/>
      <c r="E149" s="384"/>
      <c r="F149" s="385"/>
      <c r="G149" s="301"/>
      <c r="H149" s="28"/>
      <c r="I149" s="272"/>
      <c r="J149" s="189">
        <f>G149*H149</f>
        <v>0</v>
      </c>
      <c r="K149" s="56"/>
      <c r="L149" s="77"/>
    </row>
    <row r="150" spans="1:12" ht="15" thickBot="1" x14ac:dyDescent="0.35">
      <c r="A150" s="31" t="s">
        <v>19</v>
      </c>
      <c r="B150" s="240"/>
      <c r="C150" s="388"/>
      <c r="D150" s="389"/>
      <c r="E150" s="389"/>
      <c r="F150" s="390"/>
      <c r="G150" s="302"/>
      <c r="H150" s="24"/>
      <c r="I150" s="272"/>
      <c r="J150" s="190">
        <f>G150*H150</f>
        <v>0</v>
      </c>
      <c r="K150" s="79" t="s">
        <v>51</v>
      </c>
      <c r="L150" s="77"/>
    </row>
    <row r="151" spans="1:12" x14ac:dyDescent="0.3">
      <c r="A151" s="21" t="s">
        <v>20</v>
      </c>
      <c r="B151" s="239"/>
      <c r="C151" s="391"/>
      <c r="D151" s="392"/>
      <c r="E151" s="392"/>
      <c r="F151" s="393"/>
      <c r="G151" s="303"/>
      <c r="H151" s="30"/>
      <c r="I151" s="271"/>
      <c r="J151" s="266"/>
      <c r="K151" s="194">
        <f>G151*H151</f>
        <v>0</v>
      </c>
      <c r="L151" s="77"/>
    </row>
    <row r="152" spans="1:12" x14ac:dyDescent="0.3">
      <c r="A152" s="18" t="s">
        <v>20</v>
      </c>
      <c r="B152" s="241"/>
      <c r="C152" s="383"/>
      <c r="D152" s="384"/>
      <c r="E152" s="384"/>
      <c r="F152" s="385"/>
      <c r="G152" s="301"/>
      <c r="H152" s="28"/>
      <c r="I152" s="271"/>
      <c r="J152" s="266"/>
      <c r="K152" s="189">
        <f t="shared" ref="K152:K154" si="20">G152*H152</f>
        <v>0</v>
      </c>
      <c r="L152" s="77"/>
    </row>
    <row r="153" spans="1:12" x14ac:dyDescent="0.3">
      <c r="A153" s="18" t="s">
        <v>20</v>
      </c>
      <c r="B153" s="241"/>
      <c r="C153" s="383"/>
      <c r="D153" s="384"/>
      <c r="E153" s="384"/>
      <c r="F153" s="385"/>
      <c r="G153" s="301"/>
      <c r="H153" s="28"/>
      <c r="I153" s="271"/>
      <c r="J153" s="266"/>
      <c r="K153" s="189">
        <f t="shared" si="20"/>
        <v>0</v>
      </c>
      <c r="L153" s="77"/>
    </row>
    <row r="154" spans="1:12" ht="15" thickBot="1" x14ac:dyDescent="0.35">
      <c r="A154" s="31" t="s">
        <v>20</v>
      </c>
      <c r="B154" s="240"/>
      <c r="C154" s="388"/>
      <c r="D154" s="389"/>
      <c r="E154" s="389"/>
      <c r="F154" s="390"/>
      <c r="G154" s="302"/>
      <c r="H154" s="24"/>
      <c r="I154" s="273"/>
      <c r="J154" s="270"/>
      <c r="K154" s="190">
        <f t="shared" si="20"/>
        <v>0</v>
      </c>
      <c r="L154" s="81" t="s">
        <v>51</v>
      </c>
    </row>
    <row r="155" spans="1:12" ht="16.2" thickBot="1" x14ac:dyDescent="0.35">
      <c r="A155" s="84"/>
      <c r="B155" s="85"/>
      <c r="C155" s="85"/>
      <c r="D155" s="85"/>
      <c r="E155" s="85"/>
      <c r="F155" s="86"/>
      <c r="G155" s="86"/>
      <c r="H155" s="86"/>
      <c r="I155" s="112"/>
      <c r="J155" s="85"/>
      <c r="K155" s="90" t="s">
        <v>49</v>
      </c>
      <c r="L155" s="191">
        <f>SUM(I143:I146)+SUM(J147:J150)+SUM(K151:K154)</f>
        <v>0</v>
      </c>
    </row>
    <row r="156" spans="1:12" ht="15" thickBot="1" x14ac:dyDescent="0.35">
      <c r="A156" s="91"/>
      <c r="B156" s="92"/>
      <c r="C156" s="92"/>
      <c r="D156" s="92"/>
      <c r="E156" s="92"/>
      <c r="F156" s="129"/>
      <c r="G156" s="129"/>
      <c r="H156" s="129"/>
      <c r="I156" s="158"/>
      <c r="J156" s="92"/>
      <c r="K156" s="92"/>
      <c r="L156" s="95"/>
    </row>
    <row r="157" spans="1:12" ht="16.2" thickBot="1" x14ac:dyDescent="0.35">
      <c r="A157" s="164" t="s">
        <v>117</v>
      </c>
      <c r="B157" s="151"/>
      <c r="C157" s="152"/>
      <c r="D157" s="151" t="s">
        <v>58</v>
      </c>
      <c r="E157" s="151"/>
      <c r="F157" s="152"/>
      <c r="G157" s="152"/>
      <c r="H157" s="152"/>
      <c r="I157" s="153"/>
      <c r="J157" s="159"/>
      <c r="K157" s="159"/>
      <c r="L157" s="160"/>
    </row>
    <row r="158" spans="1:12" ht="28.8" x14ac:dyDescent="0.3">
      <c r="A158" s="55"/>
      <c r="B158" s="365" t="s">
        <v>97</v>
      </c>
      <c r="C158" s="365"/>
      <c r="D158" s="165"/>
      <c r="E158" s="166" t="s">
        <v>14</v>
      </c>
      <c r="F158" s="166" t="s">
        <v>13</v>
      </c>
      <c r="G158" s="167" t="s">
        <v>113</v>
      </c>
      <c r="H158" s="314" t="s">
        <v>115</v>
      </c>
      <c r="I158" s="106" t="s">
        <v>51</v>
      </c>
      <c r="J158" s="56"/>
      <c r="K158" s="56"/>
      <c r="L158" s="77"/>
    </row>
    <row r="159" spans="1:12" x14ac:dyDescent="0.3">
      <c r="A159" s="18" t="s">
        <v>18</v>
      </c>
      <c r="B159" s="386"/>
      <c r="C159" s="386"/>
      <c r="D159" s="387"/>
      <c r="E159" s="19"/>
      <c r="F159" s="48"/>
      <c r="G159" s="315"/>
      <c r="H159" s="20"/>
      <c r="I159" s="11">
        <f>SUM(G159*H159)</f>
        <v>0</v>
      </c>
      <c r="J159" s="56"/>
      <c r="K159" s="56"/>
      <c r="L159" s="77"/>
    </row>
    <row r="160" spans="1:12" x14ac:dyDescent="0.3">
      <c r="A160" s="18" t="s">
        <v>18</v>
      </c>
      <c r="B160" s="346"/>
      <c r="C160" s="346"/>
      <c r="D160" s="347"/>
      <c r="E160" s="245"/>
      <c r="F160" s="246"/>
      <c r="G160" s="316"/>
      <c r="H160" s="320"/>
      <c r="I160" s="11">
        <f>SUM(G160*H160)</f>
        <v>0</v>
      </c>
      <c r="J160" s="56"/>
      <c r="K160" s="56"/>
      <c r="L160" s="77"/>
    </row>
    <row r="161" spans="1:12" x14ac:dyDescent="0.3">
      <c r="A161" s="18" t="s">
        <v>18</v>
      </c>
      <c r="B161" s="346"/>
      <c r="C161" s="346"/>
      <c r="D161" s="347"/>
      <c r="E161" s="245"/>
      <c r="F161" s="246"/>
      <c r="G161" s="316"/>
      <c r="H161" s="320"/>
      <c r="I161" s="11">
        <f t="shared" ref="I161:I163" si="21">SUM(G161*H161)</f>
        <v>0</v>
      </c>
      <c r="J161" s="56"/>
      <c r="K161" s="56"/>
      <c r="L161" s="77"/>
    </row>
    <row r="162" spans="1:12" x14ac:dyDescent="0.3">
      <c r="A162" s="18" t="s">
        <v>18</v>
      </c>
      <c r="B162" s="346"/>
      <c r="C162" s="346"/>
      <c r="D162" s="347"/>
      <c r="E162" s="245"/>
      <c r="F162" s="246"/>
      <c r="G162" s="316"/>
      <c r="H162" s="320"/>
      <c r="I162" s="11">
        <f>SUM(G162*H162)</f>
        <v>0</v>
      </c>
      <c r="J162" s="56"/>
      <c r="K162" s="56"/>
      <c r="L162" s="77"/>
    </row>
    <row r="163" spans="1:12" x14ac:dyDescent="0.3">
      <c r="A163" s="18" t="s">
        <v>18</v>
      </c>
      <c r="B163" s="346"/>
      <c r="C163" s="346"/>
      <c r="D163" s="347"/>
      <c r="E163" s="245"/>
      <c r="F163" s="246"/>
      <c r="G163" s="316"/>
      <c r="H163" s="320"/>
      <c r="I163" s="11">
        <f t="shared" si="21"/>
        <v>0</v>
      </c>
      <c r="J163" s="56"/>
      <c r="K163" s="56"/>
      <c r="L163" s="77"/>
    </row>
    <row r="164" spans="1:12" ht="15" thickBot="1" x14ac:dyDescent="0.35">
      <c r="A164" s="31" t="s">
        <v>18</v>
      </c>
      <c r="B164" s="349"/>
      <c r="C164" s="349"/>
      <c r="D164" s="350"/>
      <c r="E164" s="23"/>
      <c r="F164" s="24"/>
      <c r="G164" s="317"/>
      <c r="H164" s="24"/>
      <c r="I164" s="12">
        <f>SUM(G164*H164)</f>
        <v>0</v>
      </c>
      <c r="J164" s="108" t="s">
        <v>51</v>
      </c>
      <c r="K164" s="56"/>
      <c r="L164" s="77"/>
    </row>
    <row r="165" spans="1:12" x14ac:dyDescent="0.3">
      <c r="A165" s="21" t="s">
        <v>19</v>
      </c>
      <c r="B165" s="363"/>
      <c r="C165" s="363"/>
      <c r="D165" s="364"/>
      <c r="E165" s="26"/>
      <c r="F165" s="49"/>
      <c r="G165" s="318"/>
      <c r="H165" s="27"/>
      <c r="I165" s="271"/>
      <c r="J165" s="188">
        <f>G165*H165</f>
        <v>0</v>
      </c>
      <c r="K165" s="56"/>
      <c r="L165" s="77"/>
    </row>
    <row r="166" spans="1:12" x14ac:dyDescent="0.3">
      <c r="A166" s="21" t="s">
        <v>19</v>
      </c>
      <c r="B166" s="346"/>
      <c r="C166" s="346"/>
      <c r="D166" s="347"/>
      <c r="E166" s="19"/>
      <c r="F166" s="48"/>
      <c r="G166" s="315"/>
      <c r="H166" s="20"/>
      <c r="I166" s="271"/>
      <c r="J166" s="188">
        <f t="shared" ref="J166:J168" si="22">G166*H166</f>
        <v>0</v>
      </c>
      <c r="K166" s="56"/>
      <c r="L166" s="77"/>
    </row>
    <row r="167" spans="1:12" x14ac:dyDescent="0.3">
      <c r="A167" s="21" t="s">
        <v>19</v>
      </c>
      <c r="B167" s="346"/>
      <c r="C167" s="346"/>
      <c r="D167" s="347"/>
      <c r="E167" s="19"/>
      <c r="F167" s="48"/>
      <c r="G167" s="315"/>
      <c r="H167" s="20"/>
      <c r="I167" s="271"/>
      <c r="J167" s="188">
        <f>G167*H167</f>
        <v>0</v>
      </c>
      <c r="K167" s="56"/>
      <c r="L167" s="77"/>
    </row>
    <row r="168" spans="1:12" x14ac:dyDescent="0.3">
      <c r="A168" s="21" t="s">
        <v>19</v>
      </c>
      <c r="B168" s="346"/>
      <c r="C168" s="346"/>
      <c r="D168" s="347"/>
      <c r="E168" s="19"/>
      <c r="F168" s="48"/>
      <c r="G168" s="315"/>
      <c r="H168" s="20"/>
      <c r="I168" s="271"/>
      <c r="J168" s="188">
        <f t="shared" si="22"/>
        <v>0</v>
      </c>
      <c r="K168" s="56"/>
      <c r="L168" s="77"/>
    </row>
    <row r="169" spans="1:12" x14ac:dyDescent="0.3">
      <c r="A169" s="21" t="s">
        <v>19</v>
      </c>
      <c r="B169" s="346"/>
      <c r="C169" s="346"/>
      <c r="D169" s="347"/>
      <c r="E169" s="247"/>
      <c r="F169" s="248"/>
      <c r="G169" s="319"/>
      <c r="H169" s="321"/>
      <c r="I169" s="271"/>
      <c r="J169" s="188">
        <f>G169*H169</f>
        <v>0</v>
      </c>
      <c r="K169" s="56"/>
      <c r="L169" s="77"/>
    </row>
    <row r="170" spans="1:12" ht="15" thickBot="1" x14ac:dyDescent="0.35">
      <c r="A170" s="31" t="s">
        <v>19</v>
      </c>
      <c r="B170" s="349"/>
      <c r="C170" s="349"/>
      <c r="D170" s="350"/>
      <c r="E170" s="23"/>
      <c r="F170" s="24"/>
      <c r="G170" s="317"/>
      <c r="H170" s="24"/>
      <c r="I170" s="272"/>
      <c r="J170" s="190">
        <f>G170*H170</f>
        <v>0</v>
      </c>
      <c r="K170" s="168" t="s">
        <v>51</v>
      </c>
      <c r="L170" s="77"/>
    </row>
    <row r="171" spans="1:12" x14ac:dyDescent="0.3">
      <c r="A171" s="21" t="s">
        <v>20</v>
      </c>
      <c r="B171" s="363"/>
      <c r="C171" s="363"/>
      <c r="D171" s="364"/>
      <c r="E171" s="26"/>
      <c r="F171" s="49"/>
      <c r="G171" s="318"/>
      <c r="H171" s="27"/>
      <c r="I171" s="271"/>
      <c r="J171" s="266"/>
      <c r="K171" s="194">
        <f>G171*H171</f>
        <v>0</v>
      </c>
      <c r="L171" s="77"/>
    </row>
    <row r="172" spans="1:12" x14ac:dyDescent="0.3">
      <c r="A172" s="21" t="s">
        <v>20</v>
      </c>
      <c r="B172" s="346"/>
      <c r="C172" s="346"/>
      <c r="D172" s="347"/>
      <c r="E172" s="19"/>
      <c r="F172" s="48"/>
      <c r="G172" s="315"/>
      <c r="H172" s="20"/>
      <c r="I172" s="271"/>
      <c r="J172" s="266"/>
      <c r="K172" s="189">
        <f t="shared" ref="K172:K174" si="23">G172*H172</f>
        <v>0</v>
      </c>
      <c r="L172" s="77"/>
    </row>
    <row r="173" spans="1:12" x14ac:dyDescent="0.3">
      <c r="A173" s="21" t="s">
        <v>20</v>
      </c>
      <c r="B173" s="346"/>
      <c r="C173" s="346"/>
      <c r="D173" s="347"/>
      <c r="E173" s="19"/>
      <c r="F173" s="48"/>
      <c r="G173" s="315"/>
      <c r="H173" s="20"/>
      <c r="I173" s="271"/>
      <c r="J173" s="266"/>
      <c r="K173" s="189">
        <f>G173*H173</f>
        <v>0</v>
      </c>
      <c r="L173" s="77"/>
    </row>
    <row r="174" spans="1:12" x14ac:dyDescent="0.3">
      <c r="A174" s="21" t="s">
        <v>20</v>
      </c>
      <c r="B174" s="346"/>
      <c r="C174" s="346"/>
      <c r="D174" s="347"/>
      <c r="E174" s="19"/>
      <c r="F174" s="48"/>
      <c r="G174" s="315"/>
      <c r="H174" s="20"/>
      <c r="I174" s="271"/>
      <c r="J174" s="266"/>
      <c r="K174" s="188">
        <f t="shared" si="23"/>
        <v>0</v>
      </c>
      <c r="L174" s="77"/>
    </row>
    <row r="175" spans="1:12" x14ac:dyDescent="0.3">
      <c r="A175" s="21" t="s">
        <v>20</v>
      </c>
      <c r="B175" s="346"/>
      <c r="C175" s="346"/>
      <c r="D175" s="347"/>
      <c r="E175" s="247"/>
      <c r="F175" s="248"/>
      <c r="G175" s="319"/>
      <c r="H175" s="321"/>
      <c r="I175" s="271"/>
      <c r="J175" s="266"/>
      <c r="K175" s="189">
        <f>G175*H175</f>
        <v>0</v>
      </c>
      <c r="L175" s="77"/>
    </row>
    <row r="176" spans="1:12" ht="15" thickBot="1" x14ac:dyDescent="0.35">
      <c r="A176" s="31" t="s">
        <v>20</v>
      </c>
      <c r="B176" s="349"/>
      <c r="C176" s="349"/>
      <c r="D176" s="350"/>
      <c r="E176" s="23"/>
      <c r="F176" s="24"/>
      <c r="G176" s="317"/>
      <c r="H176" s="24"/>
      <c r="I176" s="273"/>
      <c r="J176" s="274"/>
      <c r="K176" s="190">
        <f t="shared" ref="K176" si="24">G176*H176</f>
        <v>0</v>
      </c>
      <c r="L176" s="81" t="s">
        <v>51</v>
      </c>
    </row>
    <row r="177" spans="1:12" ht="16.2" thickBot="1" x14ac:dyDescent="0.35">
      <c r="A177" s="84"/>
      <c r="B177" s="85"/>
      <c r="C177" s="85"/>
      <c r="D177" s="85"/>
      <c r="E177" s="85"/>
      <c r="F177" s="86"/>
      <c r="G177" s="86"/>
      <c r="H177" s="86"/>
      <c r="I177" s="112"/>
      <c r="J177" s="85"/>
      <c r="K177" s="90" t="s">
        <v>50</v>
      </c>
      <c r="L177" s="191">
        <f>SUM(I159:I164)+SUM(J165:J170)+SUM(K171:K176)</f>
        <v>0</v>
      </c>
    </row>
    <row r="178" spans="1:12" ht="15" thickBot="1" x14ac:dyDescent="0.35">
      <c r="A178" s="91"/>
      <c r="B178" s="92"/>
      <c r="C178" s="92"/>
      <c r="D178" s="92"/>
      <c r="E178" s="92"/>
      <c r="F178" s="92"/>
      <c r="G178" s="92"/>
      <c r="H178" s="92"/>
      <c r="I178" s="163"/>
      <c r="J178" s="92"/>
      <c r="K178" s="92"/>
      <c r="L178" s="95"/>
    </row>
    <row r="179" spans="1:12" ht="16.2" thickBot="1" x14ac:dyDescent="0.35">
      <c r="A179" s="150"/>
      <c r="B179" s="151"/>
      <c r="C179" s="152"/>
      <c r="D179" s="152"/>
      <c r="E179" s="152"/>
      <c r="F179" s="152"/>
      <c r="G179" s="152"/>
      <c r="H179" s="152"/>
      <c r="I179" s="169"/>
      <c r="J179" s="152"/>
      <c r="K179" s="170" t="s">
        <v>150</v>
      </c>
      <c r="L179" s="196">
        <f>L38+L54+L82+L107+L123+L139+L155+L177</f>
        <v>0</v>
      </c>
    </row>
  </sheetData>
  <sheetProtection algorithmName="SHA-512" hashValue="RvQQOmu3BdpXf+BDklWfBXR677Ajhy5pdHU9lYyu/zvA6qPPIjRNrNGxbhmG+HnzL/NeWrL8OEunWfqomMIU2Q==" saltValue="zWpobVgrqkuKsQV4dCssWg==" spinCount="100000" sheet="1" formatRows="0"/>
  <mergeCells count="109">
    <mergeCell ref="C53:H53"/>
    <mergeCell ref="C41:H41"/>
    <mergeCell ref="C42:H42"/>
    <mergeCell ref="C43:H43"/>
    <mergeCell ref="C44:H44"/>
    <mergeCell ref="C45:H45"/>
    <mergeCell ref="C46:H46"/>
    <mergeCell ref="C47:H47"/>
    <mergeCell ref="C48:H48"/>
    <mergeCell ref="C49:H49"/>
    <mergeCell ref="B175:D175"/>
    <mergeCell ref="C66:F66"/>
    <mergeCell ref="A1:L1"/>
    <mergeCell ref="C80:F80"/>
    <mergeCell ref="C57:F57"/>
    <mergeCell ref="C58:F58"/>
    <mergeCell ref="C63:F63"/>
    <mergeCell ref="B6:H6"/>
    <mergeCell ref="B22:H22"/>
    <mergeCell ref="C127:H127"/>
    <mergeCell ref="C128:H128"/>
    <mergeCell ref="B90:F90"/>
    <mergeCell ref="B91:F91"/>
    <mergeCell ref="C144:F144"/>
    <mergeCell ref="C145:F145"/>
    <mergeCell ref="C146:F146"/>
    <mergeCell ref="C147:F147"/>
    <mergeCell ref="B92:F92"/>
    <mergeCell ref="B93:F93"/>
    <mergeCell ref="B94:F94"/>
    <mergeCell ref="B96:F96"/>
    <mergeCell ref="C50:H50"/>
    <mergeCell ref="C51:H51"/>
    <mergeCell ref="C52:H52"/>
    <mergeCell ref="C73:F73"/>
    <mergeCell ref="C74:F74"/>
    <mergeCell ref="C79:F79"/>
    <mergeCell ref="C64:F64"/>
    <mergeCell ref="C71:F71"/>
    <mergeCell ref="C72:F72"/>
    <mergeCell ref="B172:D172"/>
    <mergeCell ref="B173:D173"/>
    <mergeCell ref="B174:D174"/>
    <mergeCell ref="C150:F150"/>
    <mergeCell ref="C151:F151"/>
    <mergeCell ref="C152:F152"/>
    <mergeCell ref="C153:F153"/>
    <mergeCell ref="B97:F97"/>
    <mergeCell ref="B98:F98"/>
    <mergeCell ref="B99:F99"/>
    <mergeCell ref="B100:F100"/>
    <mergeCell ref="B101:F101"/>
    <mergeCell ref="C132:H132"/>
    <mergeCell ref="C133:H133"/>
    <mergeCell ref="C134:H134"/>
    <mergeCell ref="C135:H135"/>
    <mergeCell ref="C136:H136"/>
    <mergeCell ref="C137:H137"/>
    <mergeCell ref="C138:H138"/>
    <mergeCell ref="C143:F143"/>
    <mergeCell ref="C149:F149"/>
    <mergeCell ref="B160:D160"/>
    <mergeCell ref="B161:D161"/>
    <mergeCell ref="B162:D162"/>
    <mergeCell ref="B163:D163"/>
    <mergeCell ref="C148:F148"/>
    <mergeCell ref="B111:F111"/>
    <mergeCell ref="B112:F112"/>
    <mergeCell ref="B113:F113"/>
    <mergeCell ref="B114:F114"/>
    <mergeCell ref="B115:F115"/>
    <mergeCell ref="C154:F154"/>
    <mergeCell ref="C129:H129"/>
    <mergeCell ref="C130:H130"/>
    <mergeCell ref="C131:H131"/>
    <mergeCell ref="C81:F81"/>
    <mergeCell ref="B86:F86"/>
    <mergeCell ref="B87:F87"/>
    <mergeCell ref="B88:F88"/>
    <mergeCell ref="B106:F106"/>
    <mergeCell ref="C109:L109"/>
    <mergeCell ref="B89:F89"/>
    <mergeCell ref="B95:F95"/>
    <mergeCell ref="B102:F102"/>
    <mergeCell ref="B103:F103"/>
    <mergeCell ref="B166:D166"/>
    <mergeCell ref="B167:D167"/>
    <mergeCell ref="B168:D168"/>
    <mergeCell ref="B169:D169"/>
    <mergeCell ref="C65:F65"/>
    <mergeCell ref="B171:D171"/>
    <mergeCell ref="B176:D176"/>
    <mergeCell ref="A2:L2"/>
    <mergeCell ref="B116:F116"/>
    <mergeCell ref="B117:F117"/>
    <mergeCell ref="B118:F118"/>
    <mergeCell ref="B119:F119"/>
    <mergeCell ref="B120:F120"/>
    <mergeCell ref="B121:F121"/>
    <mergeCell ref="B122:F122"/>
    <mergeCell ref="C125:L125"/>
    <mergeCell ref="C126:H126"/>
    <mergeCell ref="B104:F104"/>
    <mergeCell ref="B105:F105"/>
    <mergeCell ref="B158:C158"/>
    <mergeCell ref="B159:D159"/>
    <mergeCell ref="B164:D164"/>
    <mergeCell ref="B165:D165"/>
    <mergeCell ref="B170:D170"/>
  </mergeCells>
  <pageMargins left="0.5" right="0.5" top="0.5" bottom="0.5" header="0" footer="0"/>
  <pageSetup scale="49"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7DA2E-C98D-4873-BAD7-659C768D8C53}">
  <sheetPr codeName="Sheet3">
    <tabColor rgb="FFFFFF00"/>
    <pageSetUpPr fitToPage="1"/>
  </sheetPr>
  <dimension ref="A1:B58"/>
  <sheetViews>
    <sheetView workbookViewId="0">
      <selection activeCell="B28" sqref="B28"/>
    </sheetView>
  </sheetViews>
  <sheetFormatPr defaultRowHeight="14.4" x14ac:dyDescent="0.3"/>
  <cols>
    <col min="1" max="1" width="26.109375" bestFit="1" customWidth="1"/>
    <col min="2" max="2" width="90.77734375" customWidth="1"/>
  </cols>
  <sheetData>
    <row r="1" spans="1:2" ht="18" x14ac:dyDescent="0.35">
      <c r="A1" s="401" t="s">
        <v>142</v>
      </c>
      <c r="B1" s="401"/>
    </row>
    <row r="2" spans="1:2" ht="6.6" customHeight="1" x14ac:dyDescent="0.35">
      <c r="A2" s="200"/>
      <c r="B2" s="200"/>
    </row>
    <row r="3" spans="1:2" ht="45" customHeight="1" x14ac:dyDescent="0.3">
      <c r="A3" s="400" t="s">
        <v>178</v>
      </c>
      <c r="B3" s="400"/>
    </row>
    <row r="4" spans="1:2" ht="73.8" customHeight="1" x14ac:dyDescent="0.3">
      <c r="A4" s="2" t="s">
        <v>101</v>
      </c>
      <c r="B4" s="1" t="s">
        <v>190</v>
      </c>
    </row>
    <row r="5" spans="1:2" ht="7.05" customHeight="1" x14ac:dyDescent="0.3">
      <c r="A5" s="2"/>
      <c r="B5" s="1"/>
    </row>
    <row r="6" spans="1:2" ht="28.8" x14ac:dyDescent="0.3">
      <c r="A6" s="5" t="s">
        <v>1</v>
      </c>
      <c r="B6" s="1" t="s">
        <v>100</v>
      </c>
    </row>
    <row r="7" spans="1:2" ht="7.05" customHeight="1" x14ac:dyDescent="0.3">
      <c r="A7" s="5"/>
      <c r="B7" s="1"/>
    </row>
    <row r="8" spans="1:2" ht="187.2" x14ac:dyDescent="0.3">
      <c r="A8" s="5" t="s">
        <v>152</v>
      </c>
      <c r="B8" s="1" t="s">
        <v>160</v>
      </c>
    </row>
    <row r="9" spans="1:2" ht="102.6" customHeight="1" x14ac:dyDescent="0.3">
      <c r="A9" s="5"/>
      <c r="B9" s="1" t="s">
        <v>185</v>
      </c>
    </row>
    <row r="10" spans="1:2" ht="7.05" customHeight="1" x14ac:dyDescent="0.3">
      <c r="A10" s="5"/>
      <c r="B10" s="1"/>
    </row>
    <row r="11" spans="1:2" ht="244.8" x14ac:dyDescent="0.3">
      <c r="A11" s="5" t="s">
        <v>2</v>
      </c>
      <c r="B11" s="7" t="s">
        <v>104</v>
      </c>
    </row>
    <row r="12" spans="1:2" ht="7.05" customHeight="1" x14ac:dyDescent="0.3">
      <c r="A12" s="5"/>
      <c r="B12" s="7"/>
    </row>
    <row r="13" spans="1:2" ht="144.6" customHeight="1" x14ac:dyDescent="0.3">
      <c r="A13" s="5" t="s">
        <v>3</v>
      </c>
      <c r="B13" s="1" t="s">
        <v>184</v>
      </c>
    </row>
    <row r="14" spans="1:2" ht="115.2" customHeight="1" x14ac:dyDescent="0.3">
      <c r="A14" s="5"/>
      <c r="B14" s="62" t="s">
        <v>170</v>
      </c>
    </row>
    <row r="15" spans="1:2" ht="7.05" customHeight="1" x14ac:dyDescent="0.3">
      <c r="A15" s="5"/>
      <c r="B15" s="1"/>
    </row>
    <row r="16" spans="1:2" ht="58.8" customHeight="1" x14ac:dyDescent="0.3">
      <c r="A16" s="5" t="s">
        <v>4</v>
      </c>
      <c r="B16" s="1" t="s">
        <v>105</v>
      </c>
    </row>
    <row r="17" spans="1:2" ht="7.05" customHeight="1" x14ac:dyDescent="0.3">
      <c r="A17" s="5"/>
      <c r="B17" s="1"/>
    </row>
    <row r="18" spans="1:2" ht="86.4" customHeight="1" x14ac:dyDescent="0.3">
      <c r="A18" s="5" t="s">
        <v>5</v>
      </c>
      <c r="B18" s="1" t="s">
        <v>167</v>
      </c>
    </row>
    <row r="19" spans="1:2" ht="16.2" customHeight="1" x14ac:dyDescent="0.3">
      <c r="A19" s="5"/>
      <c r="B19" s="255" t="s">
        <v>166</v>
      </c>
    </row>
    <row r="20" spans="1:2" ht="101.4" customHeight="1" x14ac:dyDescent="0.3">
      <c r="A20" s="5"/>
      <c r="B20" s="408" t="s">
        <v>189</v>
      </c>
    </row>
    <row r="21" spans="1:2" ht="7.05" customHeight="1" x14ac:dyDescent="0.3">
      <c r="A21" s="5"/>
      <c r="B21" s="1"/>
    </row>
    <row r="22" spans="1:2" ht="28.8" x14ac:dyDescent="0.3">
      <c r="A22" s="4" t="s">
        <v>6</v>
      </c>
      <c r="B22" s="1" t="s">
        <v>192</v>
      </c>
    </row>
    <row r="23" spans="1:2" ht="7.05" customHeight="1" x14ac:dyDescent="0.3">
      <c r="A23" s="4"/>
      <c r="B23" s="1"/>
    </row>
    <row r="24" spans="1:2" ht="188.4" customHeight="1" x14ac:dyDescent="0.3">
      <c r="A24" s="8" t="s">
        <v>118</v>
      </c>
      <c r="B24" s="63" t="s">
        <v>177</v>
      </c>
    </row>
    <row r="25" spans="1:2" ht="7.05" customHeight="1" x14ac:dyDescent="0.3">
      <c r="A25" s="8"/>
      <c r="B25" s="6"/>
    </row>
    <row r="26" spans="1:2" ht="72" x14ac:dyDescent="0.3">
      <c r="A26" s="8" t="s">
        <v>155</v>
      </c>
      <c r="B26" s="62" t="s">
        <v>174</v>
      </c>
    </row>
    <row r="27" spans="1:2" ht="7.05" customHeight="1" x14ac:dyDescent="0.3">
      <c r="A27" s="8"/>
      <c r="B27" s="62"/>
    </row>
    <row r="28" spans="1:2" ht="100.2" customHeight="1" x14ac:dyDescent="0.3">
      <c r="A28" s="3" t="s">
        <v>16</v>
      </c>
      <c r="B28" s="8" t="s">
        <v>193</v>
      </c>
    </row>
    <row r="29" spans="1:2" ht="7.05" customHeight="1" x14ac:dyDescent="0.3">
      <c r="A29" s="8"/>
      <c r="B29" s="62"/>
    </row>
    <row r="30" spans="1:2" ht="28.8" x14ac:dyDescent="0.3">
      <c r="A30" s="3" t="s">
        <v>16</v>
      </c>
      <c r="B30" s="14" t="s">
        <v>176</v>
      </c>
    </row>
    <row r="31" spans="1:2" ht="6.6" customHeight="1" thickBot="1" x14ac:dyDescent="0.35"/>
    <row r="32" spans="1:2" ht="18" x14ac:dyDescent="0.35">
      <c r="A32" s="402" t="s">
        <v>122</v>
      </c>
      <c r="B32" s="403"/>
    </row>
    <row r="33" spans="1:2" ht="44.4" customHeight="1" x14ac:dyDescent="0.3">
      <c r="A33" s="404" t="s">
        <v>163</v>
      </c>
      <c r="B33" s="405"/>
    </row>
    <row r="34" spans="1:2" ht="15" customHeight="1" x14ac:dyDescent="0.3">
      <c r="A34" s="406" t="s">
        <v>162</v>
      </c>
      <c r="B34" s="407"/>
    </row>
    <row r="35" spans="1:2" x14ac:dyDescent="0.3">
      <c r="A35" s="226" t="s">
        <v>132</v>
      </c>
      <c r="B35" s="227" t="s">
        <v>133</v>
      </c>
    </row>
    <row r="36" spans="1:2" x14ac:dyDescent="0.3">
      <c r="A36" s="228" t="s">
        <v>123</v>
      </c>
      <c r="B36" s="229" t="s">
        <v>125</v>
      </c>
    </row>
    <row r="37" spans="1:2" x14ac:dyDescent="0.3">
      <c r="A37" s="228" t="s">
        <v>143</v>
      </c>
      <c r="B37" s="229" t="s">
        <v>124</v>
      </c>
    </row>
    <row r="38" spans="1:2" ht="43.2" x14ac:dyDescent="0.3">
      <c r="A38" s="230" t="s">
        <v>126</v>
      </c>
      <c r="B38" s="231" t="s">
        <v>127</v>
      </c>
    </row>
    <row r="39" spans="1:2" x14ac:dyDescent="0.3">
      <c r="A39" s="228" t="s">
        <v>128</v>
      </c>
      <c r="B39" s="229" t="s">
        <v>129</v>
      </c>
    </row>
    <row r="40" spans="1:2" ht="28.8" x14ac:dyDescent="0.3">
      <c r="A40" s="232" t="s">
        <v>130</v>
      </c>
      <c r="B40" s="231" t="s">
        <v>131</v>
      </c>
    </row>
    <row r="41" spans="1:2" ht="115.2" x14ac:dyDescent="0.3">
      <c r="A41" s="232" t="s">
        <v>134</v>
      </c>
      <c r="B41" s="233" t="s">
        <v>135</v>
      </c>
    </row>
    <row r="42" spans="1:2" x14ac:dyDescent="0.3">
      <c r="A42" s="228" t="s">
        <v>136</v>
      </c>
      <c r="B42" s="229" t="s">
        <v>137</v>
      </c>
    </row>
    <row r="43" spans="1:2" x14ac:dyDescent="0.3">
      <c r="A43" s="228" t="s">
        <v>138</v>
      </c>
      <c r="B43" s="229" t="s">
        <v>145</v>
      </c>
    </row>
    <row r="44" spans="1:2" ht="28.8" x14ac:dyDescent="0.3">
      <c r="A44" s="234" t="s">
        <v>139</v>
      </c>
      <c r="B44" s="235" t="s">
        <v>140</v>
      </c>
    </row>
    <row r="45" spans="1:2" ht="28.8" x14ac:dyDescent="0.3">
      <c r="A45" s="236" t="s">
        <v>141</v>
      </c>
      <c r="B45" s="231" t="s">
        <v>144</v>
      </c>
    </row>
    <row r="46" spans="1:2" x14ac:dyDescent="0.3">
      <c r="A46" s="242"/>
      <c r="B46" s="243"/>
    </row>
    <row r="47" spans="1:2" x14ac:dyDescent="0.3">
      <c r="A47" s="244" t="s">
        <v>147</v>
      </c>
      <c r="B47" s="243"/>
    </row>
    <row r="48" spans="1:2" x14ac:dyDescent="0.3">
      <c r="A48" s="242" t="s">
        <v>171</v>
      </c>
      <c r="B48" s="243"/>
    </row>
    <row r="49" spans="1:2" x14ac:dyDescent="0.3">
      <c r="A49" s="242" t="s">
        <v>186</v>
      </c>
      <c r="B49" s="243"/>
    </row>
    <row r="50" spans="1:2" x14ac:dyDescent="0.3">
      <c r="A50" s="242" t="s">
        <v>148</v>
      </c>
      <c r="B50" s="243"/>
    </row>
    <row r="51" spans="1:2" x14ac:dyDescent="0.3">
      <c r="A51" s="242" t="s">
        <v>187</v>
      </c>
      <c r="B51" s="243"/>
    </row>
    <row r="52" spans="1:2" x14ac:dyDescent="0.3">
      <c r="A52" s="242" t="s">
        <v>161</v>
      </c>
      <c r="B52" s="243"/>
    </row>
    <row r="53" spans="1:2" x14ac:dyDescent="0.3">
      <c r="A53" s="242" t="s">
        <v>149</v>
      </c>
      <c r="B53" s="243"/>
    </row>
    <row r="54" spans="1:2" x14ac:dyDescent="0.3">
      <c r="A54" s="242" t="s">
        <v>156</v>
      </c>
      <c r="B54" s="243"/>
    </row>
    <row r="55" spans="1:2" ht="6.6" customHeight="1" thickBot="1" x14ac:dyDescent="0.35">
      <c r="A55" s="237"/>
      <c r="B55" s="238"/>
    </row>
    <row r="56" spans="1:2" ht="15" thickBot="1" x14ac:dyDescent="0.35">
      <c r="A56" s="263"/>
      <c r="B56" s="263"/>
    </row>
    <row r="57" spans="1:2" ht="15.6" x14ac:dyDescent="0.3">
      <c r="A57" s="396" t="s">
        <v>172</v>
      </c>
      <c r="B57" s="397"/>
    </row>
    <row r="58" spans="1:2" ht="207" customHeight="1" thickBot="1" x14ac:dyDescent="0.35">
      <c r="A58" s="398" t="s">
        <v>173</v>
      </c>
      <c r="B58" s="399"/>
    </row>
  </sheetData>
  <sheetProtection algorithmName="SHA-512" hashValue="p4ZMHYA9uzaHvk6bLGIQCK7YrVRHe2blzfNNccScHiIjNUh6B58nAc9dLVaCQThWBv0/7NIK8yMF3UqJEec75A==" saltValue="h+qG+hAcdsXOe8B1blZsgw==" spinCount="100000" sheet="1" objects="1" scenarios="1"/>
  <mergeCells count="7">
    <mergeCell ref="A57:B57"/>
    <mergeCell ref="A58:B58"/>
    <mergeCell ref="A3:B3"/>
    <mergeCell ref="A1:B1"/>
    <mergeCell ref="A32:B32"/>
    <mergeCell ref="A33:B33"/>
    <mergeCell ref="A34:B34"/>
  </mergeCells>
  <hyperlinks>
    <hyperlink ref="A34:B34" r:id="rId1" display="Link to NIFA Federal Assistance Policy Guide [https://www.nifa.usda.gov/nifa-federal-assistance-policy-guide]" xr:uid="{90362E7C-2EAF-4216-B127-61073A95A7A3}"/>
    <hyperlink ref="B19" r:id="rId2" xr:uid="{7F940768-DC13-45DD-9140-426270C8CC99}"/>
  </hyperlinks>
  <pageMargins left="0.25" right="0.25" top="0.75" bottom="0.75" header="0.3" footer="0.3"/>
  <pageSetup scale="87" fitToHeight="0" orientation="portrait" r:id="rId3"/>
  <headerFooter>
    <oddHeader>&amp;CWestern SARE 
Budget Categories</oddHeader>
  </headerFooter>
  <rowBreaks count="3" manualBreakCount="3">
    <brk id="24" max="16383" man="1"/>
    <brk id="30" max="1" man="1"/>
    <brk id="55"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8F498-9F4F-451E-BEDB-04C864D1DBAA}">
  <sheetPr codeName="Sheet4"/>
  <dimension ref="A1:E33"/>
  <sheetViews>
    <sheetView workbookViewId="0">
      <selection activeCell="D34" sqref="D34"/>
    </sheetView>
  </sheetViews>
  <sheetFormatPr defaultRowHeight="14.4" x14ac:dyDescent="0.3"/>
  <cols>
    <col min="1" max="1" width="22.88671875" customWidth="1"/>
  </cols>
  <sheetData>
    <row r="1" spans="1:5" x14ac:dyDescent="0.3">
      <c r="A1" t="s">
        <v>69</v>
      </c>
    </row>
    <row r="2" spans="1:5" x14ac:dyDescent="0.3">
      <c r="A2" t="s">
        <v>61</v>
      </c>
      <c r="D2" s="13"/>
      <c r="E2" s="13"/>
    </row>
    <row r="3" spans="1:5" x14ac:dyDescent="0.3">
      <c r="A3" t="s">
        <v>62</v>
      </c>
      <c r="D3" s="13"/>
      <c r="E3" s="13"/>
    </row>
    <row r="4" spans="1:5" x14ac:dyDescent="0.3">
      <c r="A4" t="s">
        <v>63</v>
      </c>
    </row>
    <row r="5" spans="1:5" x14ac:dyDescent="0.3">
      <c r="A5" t="s">
        <v>64</v>
      </c>
    </row>
    <row r="6" spans="1:5" x14ac:dyDescent="0.3">
      <c r="A6" t="s">
        <v>65</v>
      </c>
    </row>
    <row r="7" spans="1:5" x14ac:dyDescent="0.3">
      <c r="A7" t="s">
        <v>66</v>
      </c>
    </row>
    <row r="8" spans="1:5" x14ac:dyDescent="0.3">
      <c r="A8" t="s">
        <v>67</v>
      </c>
    </row>
    <row r="9" spans="1:5" x14ac:dyDescent="0.3">
      <c r="A9" t="s">
        <v>68</v>
      </c>
    </row>
    <row r="15" spans="1:5" x14ac:dyDescent="0.3">
      <c r="A15" t="s">
        <v>87</v>
      </c>
    </row>
    <row r="16" spans="1:5" x14ac:dyDescent="0.3">
      <c r="A16" t="s">
        <v>70</v>
      </c>
    </row>
    <row r="17" spans="1:1" x14ac:dyDescent="0.3">
      <c r="A17" t="s">
        <v>71</v>
      </c>
    </row>
    <row r="18" spans="1:1" x14ac:dyDescent="0.3">
      <c r="A18" t="s">
        <v>72</v>
      </c>
    </row>
    <row r="19" spans="1:1" ht="16.8" customHeight="1" x14ac:dyDescent="0.3">
      <c r="A19" t="s">
        <v>73</v>
      </c>
    </row>
    <row r="20" spans="1:1" x14ac:dyDescent="0.3">
      <c r="A20" t="s">
        <v>74</v>
      </c>
    </row>
    <row r="21" spans="1:1" x14ac:dyDescent="0.3">
      <c r="A21" t="s">
        <v>75</v>
      </c>
    </row>
    <row r="22" spans="1:1" x14ac:dyDescent="0.3">
      <c r="A22" t="s">
        <v>76</v>
      </c>
    </row>
    <row r="23" spans="1:1" x14ac:dyDescent="0.3">
      <c r="A23" t="s">
        <v>77</v>
      </c>
    </row>
    <row r="24" spans="1:1" x14ac:dyDescent="0.3">
      <c r="A24" t="s">
        <v>78</v>
      </c>
    </row>
    <row r="25" spans="1:1" x14ac:dyDescent="0.3">
      <c r="A25" t="s">
        <v>79</v>
      </c>
    </row>
    <row r="26" spans="1:1" x14ac:dyDescent="0.3">
      <c r="A26" t="s">
        <v>80</v>
      </c>
    </row>
    <row r="27" spans="1:1" x14ac:dyDescent="0.3">
      <c r="A27" t="s">
        <v>82</v>
      </c>
    </row>
    <row r="28" spans="1:1" x14ac:dyDescent="0.3">
      <c r="A28" t="s">
        <v>81</v>
      </c>
    </row>
    <row r="29" spans="1:1" x14ac:dyDescent="0.3">
      <c r="A29" t="s">
        <v>83</v>
      </c>
    </row>
    <row r="30" spans="1:1" x14ac:dyDescent="0.3">
      <c r="A30" t="s">
        <v>84</v>
      </c>
    </row>
    <row r="31" spans="1:1" x14ac:dyDescent="0.3">
      <c r="A31" t="s">
        <v>85</v>
      </c>
    </row>
    <row r="32" spans="1:1" x14ac:dyDescent="0.3">
      <c r="A32" t="s">
        <v>86</v>
      </c>
    </row>
    <row r="33" spans="1:1" x14ac:dyDescent="0.3">
      <c r="A33" t="s">
        <v>94</v>
      </c>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7</vt:i4>
      </vt:variant>
    </vt:vector>
  </HeadingPairs>
  <TitlesOfParts>
    <vt:vector size="11" baseType="lpstr">
      <vt:lpstr> Budget Worksheet-REQUIRED</vt:lpstr>
      <vt:lpstr>Budget Cont.</vt:lpstr>
      <vt:lpstr>Budget Categories and Guidance</vt:lpstr>
      <vt:lpstr>Data</vt:lpstr>
      <vt:lpstr>' Budget Worksheet-REQUIRED'!Print_Area</vt:lpstr>
      <vt:lpstr>'Budget Categories and Guidance'!Print_Area</vt:lpstr>
      <vt:lpstr>'Budget Cont.'!Print_Area</vt:lpstr>
      <vt:lpstr>'Budget Cont.'!Program</vt:lpstr>
      <vt:lpstr>Program</vt:lpstr>
      <vt:lpstr>'Budget Cont.'!State</vt:lpstr>
      <vt:lpstr>State</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Sue McCormick</dc:creator>
  <cp:lastModifiedBy>von Sehlen, Jennifer</cp:lastModifiedBy>
  <cp:lastPrinted>2023-04-18T22:30:16Z</cp:lastPrinted>
  <dcterms:created xsi:type="dcterms:W3CDTF">2016-05-11T16:43:14Z</dcterms:created>
  <dcterms:modified xsi:type="dcterms:W3CDTF">2024-01-25T00:25:05Z</dcterms:modified>
</cp:coreProperties>
</file>