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mastesolar-my.sharepoint.com/personal/blake_jones_namastesolar_com/Documents/Desktop/Blake's Desktop Files/TO SAVE/"/>
    </mc:Choice>
  </mc:AlternateContent>
  <xr:revisionPtr revIDLastSave="6" documentId="13_ncr:1_{43B06F83-20DB-4F5B-91C9-A21951EF199A}" xr6:coauthVersionLast="47" xr6:coauthVersionMax="47" xr10:uidLastSave="{6902D4DC-7854-4CB4-A1CE-A281E4FFCF5E}"/>
  <bookViews>
    <workbookView xWindow="-120" yWindow="-120" windowWidth="29040" windowHeight="15525" xr2:uid="{48412406-6048-47DE-83D3-0E4C86660B0C}"/>
  </bookViews>
  <sheets>
    <sheet name="Calculator" sheetId="1" r:id="rId1"/>
    <sheet name="LT loan amortization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1" l="1"/>
  <c r="C13" i="1"/>
  <c r="C18" i="1" l="1"/>
  <c r="C11" i="1"/>
  <c r="D8" i="1" l="1"/>
  <c r="D18" i="1"/>
  <c r="D17" i="1"/>
  <c r="D10" i="1"/>
  <c r="C8" i="1"/>
  <c r="R6" i="2"/>
  <c r="S6" i="2"/>
  <c r="R7" i="2"/>
  <c r="S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R20" i="2"/>
  <c r="S20" i="2"/>
  <c r="R21" i="2"/>
  <c r="S21" i="2"/>
  <c r="R22" i="2"/>
  <c r="S22" i="2"/>
  <c r="R23" i="2"/>
  <c r="S23" i="2"/>
  <c r="R24" i="2"/>
  <c r="S24" i="2"/>
  <c r="R25" i="2"/>
  <c r="S25" i="2"/>
  <c r="R26" i="2"/>
  <c r="S26" i="2"/>
  <c r="R27" i="2"/>
  <c r="S27" i="2"/>
  <c r="R28" i="2"/>
  <c r="S28" i="2"/>
  <c r="R29" i="2"/>
  <c r="S29" i="2"/>
  <c r="R30" i="2"/>
  <c r="S30" i="2"/>
  <c r="R31" i="2"/>
  <c r="S31" i="2"/>
  <c r="R32" i="2"/>
  <c r="S32" i="2"/>
  <c r="R33" i="2"/>
  <c r="S33" i="2"/>
  <c r="R34" i="2"/>
  <c r="S34" i="2"/>
  <c r="R35" i="2"/>
  <c r="S35" i="2"/>
  <c r="R36" i="2"/>
  <c r="S36" i="2"/>
  <c r="R37" i="2"/>
  <c r="S37" i="2"/>
  <c r="R38" i="2"/>
  <c r="S38" i="2"/>
  <c r="R39" i="2"/>
  <c r="S39" i="2"/>
  <c r="R40" i="2"/>
  <c r="S40" i="2"/>
  <c r="R41" i="2"/>
  <c r="S41" i="2"/>
  <c r="R42" i="2"/>
  <c r="S42" i="2"/>
  <c r="R43" i="2"/>
  <c r="S43" i="2"/>
  <c r="R44" i="2"/>
  <c r="S44" i="2"/>
  <c r="R45" i="2"/>
  <c r="S45" i="2"/>
  <c r="R46" i="2"/>
  <c r="S46" i="2"/>
  <c r="R47" i="2"/>
  <c r="S47" i="2"/>
  <c r="R48" i="2"/>
  <c r="S48" i="2"/>
  <c r="R49" i="2"/>
  <c r="S49" i="2"/>
  <c r="R50" i="2"/>
  <c r="S50" i="2"/>
  <c r="R51" i="2"/>
  <c r="S51" i="2"/>
  <c r="R52" i="2"/>
  <c r="S52" i="2"/>
  <c r="R53" i="2"/>
  <c r="S53" i="2"/>
  <c r="R54" i="2"/>
  <c r="S54" i="2"/>
  <c r="R55" i="2"/>
  <c r="S55" i="2"/>
  <c r="R56" i="2"/>
  <c r="S56" i="2"/>
  <c r="R57" i="2"/>
  <c r="S57" i="2"/>
  <c r="R58" i="2"/>
  <c r="S58" i="2"/>
  <c r="R59" i="2"/>
  <c r="S59" i="2"/>
  <c r="R60" i="2"/>
  <c r="S60" i="2"/>
  <c r="R61" i="2"/>
  <c r="S61" i="2"/>
  <c r="R62" i="2"/>
  <c r="S62" i="2"/>
  <c r="R63" i="2"/>
  <c r="S63" i="2"/>
  <c r="R64" i="2"/>
  <c r="S64" i="2"/>
  <c r="R65" i="2"/>
  <c r="S65" i="2"/>
  <c r="R66" i="2"/>
  <c r="S66" i="2"/>
  <c r="R67" i="2"/>
  <c r="S67" i="2"/>
  <c r="R68" i="2"/>
  <c r="S68" i="2"/>
  <c r="R69" i="2"/>
  <c r="S69" i="2"/>
  <c r="R70" i="2"/>
  <c r="S70" i="2"/>
  <c r="R71" i="2"/>
  <c r="S71" i="2"/>
  <c r="R72" i="2"/>
  <c r="S72" i="2"/>
  <c r="R73" i="2"/>
  <c r="S73" i="2"/>
  <c r="R74" i="2"/>
  <c r="S74" i="2"/>
  <c r="R75" i="2"/>
  <c r="S75" i="2"/>
  <c r="R76" i="2"/>
  <c r="S76" i="2"/>
  <c r="R77" i="2"/>
  <c r="S77" i="2"/>
  <c r="R78" i="2"/>
  <c r="S78" i="2"/>
  <c r="R79" i="2"/>
  <c r="S79" i="2"/>
  <c r="R80" i="2"/>
  <c r="S80" i="2"/>
  <c r="R81" i="2"/>
  <c r="S81" i="2"/>
  <c r="R82" i="2"/>
  <c r="S82" i="2"/>
  <c r="R83" i="2"/>
  <c r="S83" i="2"/>
  <c r="R84" i="2"/>
  <c r="S84" i="2"/>
  <c r="R85" i="2"/>
  <c r="S85" i="2"/>
  <c r="R86" i="2"/>
  <c r="S86" i="2"/>
  <c r="R87" i="2"/>
  <c r="S87" i="2"/>
  <c r="R88" i="2"/>
  <c r="S88" i="2"/>
  <c r="R89" i="2"/>
  <c r="S89" i="2"/>
  <c r="R90" i="2"/>
  <c r="S90" i="2"/>
  <c r="R91" i="2"/>
  <c r="S91" i="2"/>
  <c r="R92" i="2"/>
  <c r="S92" i="2"/>
  <c r="R93" i="2"/>
  <c r="S93" i="2"/>
  <c r="R94" i="2"/>
  <c r="S94" i="2"/>
  <c r="R95" i="2"/>
  <c r="S95" i="2"/>
  <c r="R96" i="2"/>
  <c r="S96" i="2"/>
  <c r="R97" i="2"/>
  <c r="S97" i="2"/>
  <c r="R98" i="2"/>
  <c r="S98" i="2"/>
  <c r="R99" i="2"/>
  <c r="S99" i="2"/>
  <c r="R100" i="2"/>
  <c r="S100" i="2"/>
  <c r="R101" i="2"/>
  <c r="S101" i="2"/>
  <c r="R102" i="2"/>
  <c r="S102" i="2"/>
  <c r="R103" i="2"/>
  <c r="S103" i="2"/>
  <c r="R104" i="2"/>
  <c r="S104" i="2"/>
  <c r="R105" i="2"/>
  <c r="S105" i="2"/>
  <c r="R106" i="2"/>
  <c r="S106" i="2"/>
  <c r="R107" i="2"/>
  <c r="S107" i="2"/>
  <c r="R108" i="2"/>
  <c r="S108" i="2"/>
  <c r="R109" i="2"/>
  <c r="S109" i="2"/>
  <c r="R110" i="2"/>
  <c r="S110" i="2"/>
  <c r="R111" i="2"/>
  <c r="S111" i="2"/>
  <c r="R112" i="2"/>
  <c r="S112" i="2"/>
  <c r="R113" i="2"/>
  <c r="S113" i="2"/>
  <c r="R114" i="2"/>
  <c r="S114" i="2"/>
  <c r="R115" i="2"/>
  <c r="S115" i="2"/>
  <c r="R116" i="2"/>
  <c r="S116" i="2"/>
  <c r="R117" i="2"/>
  <c r="S117" i="2"/>
  <c r="R118" i="2"/>
  <c r="S118" i="2"/>
  <c r="R119" i="2"/>
  <c r="S119" i="2"/>
  <c r="R120" i="2"/>
  <c r="S120" i="2"/>
  <c r="R121" i="2"/>
  <c r="S121" i="2"/>
  <c r="R122" i="2"/>
  <c r="S122" i="2"/>
  <c r="R123" i="2"/>
  <c r="S123" i="2"/>
  <c r="R124" i="2"/>
  <c r="S124" i="2"/>
  <c r="R125" i="2"/>
  <c r="S125" i="2"/>
  <c r="R126" i="2"/>
  <c r="S126" i="2"/>
  <c r="R127" i="2"/>
  <c r="S127" i="2"/>
  <c r="R128" i="2"/>
  <c r="S128" i="2"/>
  <c r="R129" i="2"/>
  <c r="S129" i="2"/>
  <c r="R130" i="2"/>
  <c r="S130" i="2"/>
  <c r="R131" i="2"/>
  <c r="S131" i="2"/>
  <c r="R132" i="2"/>
  <c r="S132" i="2"/>
  <c r="R133" i="2"/>
  <c r="S133" i="2"/>
  <c r="R134" i="2"/>
  <c r="S134" i="2"/>
  <c r="R135" i="2"/>
  <c r="S135" i="2"/>
  <c r="R136" i="2"/>
  <c r="S136" i="2"/>
  <c r="R137" i="2"/>
  <c r="S137" i="2"/>
  <c r="R138" i="2"/>
  <c r="S138" i="2"/>
  <c r="R139" i="2"/>
  <c r="S139" i="2"/>
  <c r="R140" i="2"/>
  <c r="S140" i="2"/>
  <c r="R141" i="2"/>
  <c r="S141" i="2"/>
  <c r="R142" i="2"/>
  <c r="S142" i="2"/>
  <c r="R143" i="2"/>
  <c r="S143" i="2"/>
  <c r="R144" i="2"/>
  <c r="S144" i="2"/>
  <c r="R145" i="2"/>
  <c r="S145" i="2"/>
  <c r="R146" i="2"/>
  <c r="S146" i="2"/>
  <c r="R147" i="2"/>
  <c r="S147" i="2"/>
  <c r="R148" i="2"/>
  <c r="S148" i="2"/>
  <c r="R149" i="2"/>
  <c r="S149" i="2"/>
  <c r="R150" i="2"/>
  <c r="S150" i="2"/>
  <c r="R151" i="2"/>
  <c r="S151" i="2"/>
  <c r="R152" i="2"/>
  <c r="S152" i="2"/>
  <c r="R153" i="2"/>
  <c r="S153" i="2"/>
  <c r="R154" i="2"/>
  <c r="S154" i="2"/>
  <c r="R155" i="2"/>
  <c r="S155" i="2"/>
  <c r="R156" i="2"/>
  <c r="S156" i="2"/>
  <c r="R157" i="2"/>
  <c r="S157" i="2"/>
  <c r="R158" i="2"/>
  <c r="S158" i="2"/>
  <c r="R159" i="2"/>
  <c r="S159" i="2"/>
  <c r="R160" i="2"/>
  <c r="S160" i="2"/>
  <c r="R161" i="2"/>
  <c r="S161" i="2"/>
  <c r="R162" i="2"/>
  <c r="S162" i="2"/>
  <c r="R163" i="2"/>
  <c r="S163" i="2"/>
  <c r="R164" i="2"/>
  <c r="S164" i="2"/>
  <c r="R165" i="2"/>
  <c r="S165" i="2"/>
  <c r="R166" i="2"/>
  <c r="S166" i="2"/>
  <c r="R167" i="2"/>
  <c r="S167" i="2"/>
  <c r="R168" i="2"/>
  <c r="S168" i="2"/>
  <c r="R169" i="2"/>
  <c r="S169" i="2"/>
  <c r="R170" i="2"/>
  <c r="S170" i="2"/>
  <c r="R171" i="2"/>
  <c r="S171" i="2"/>
  <c r="R172" i="2"/>
  <c r="S172" i="2"/>
  <c r="R173" i="2"/>
  <c r="S173" i="2"/>
  <c r="R174" i="2"/>
  <c r="S174" i="2"/>
  <c r="R175" i="2"/>
  <c r="S175" i="2"/>
  <c r="R176" i="2"/>
  <c r="S176" i="2"/>
  <c r="R177" i="2"/>
  <c r="S177" i="2"/>
  <c r="R178" i="2"/>
  <c r="S178" i="2"/>
  <c r="R179" i="2"/>
  <c r="S179" i="2"/>
  <c r="R180" i="2"/>
  <c r="S180" i="2"/>
  <c r="R181" i="2"/>
  <c r="S181" i="2"/>
  <c r="R182" i="2"/>
  <c r="S182" i="2"/>
  <c r="R183" i="2"/>
  <c r="S183" i="2"/>
  <c r="R184" i="2"/>
  <c r="S184" i="2"/>
  <c r="R185" i="2"/>
  <c r="S185" i="2"/>
  <c r="R186" i="2"/>
  <c r="S186" i="2"/>
  <c r="R187" i="2"/>
  <c r="S187" i="2"/>
  <c r="R188" i="2"/>
  <c r="S188" i="2"/>
  <c r="R189" i="2"/>
  <c r="S189" i="2"/>
  <c r="R190" i="2"/>
  <c r="S190" i="2"/>
  <c r="R191" i="2"/>
  <c r="S191" i="2"/>
  <c r="R192" i="2"/>
  <c r="S192" i="2"/>
  <c r="R193" i="2"/>
  <c r="S193" i="2"/>
  <c r="R194" i="2"/>
  <c r="S194" i="2"/>
  <c r="R195" i="2"/>
  <c r="S195" i="2"/>
  <c r="R196" i="2"/>
  <c r="S196" i="2"/>
  <c r="R197" i="2"/>
  <c r="S197" i="2"/>
  <c r="R198" i="2"/>
  <c r="S198" i="2"/>
  <c r="R199" i="2"/>
  <c r="S199" i="2"/>
  <c r="R200" i="2"/>
  <c r="S200" i="2"/>
  <c r="R201" i="2"/>
  <c r="S201" i="2"/>
  <c r="R202" i="2"/>
  <c r="S202" i="2"/>
  <c r="R203" i="2"/>
  <c r="S203" i="2"/>
  <c r="R204" i="2"/>
  <c r="S204" i="2"/>
  <c r="R205" i="2"/>
  <c r="S205" i="2"/>
  <c r="R206" i="2"/>
  <c r="S206" i="2"/>
  <c r="R207" i="2"/>
  <c r="S207" i="2"/>
  <c r="R208" i="2"/>
  <c r="S208" i="2"/>
  <c r="R209" i="2"/>
  <c r="S209" i="2"/>
  <c r="R210" i="2"/>
  <c r="S210" i="2"/>
  <c r="R211" i="2"/>
  <c r="S211" i="2"/>
  <c r="R212" i="2"/>
  <c r="S212" i="2"/>
  <c r="R213" i="2"/>
  <c r="S213" i="2"/>
  <c r="R214" i="2"/>
  <c r="S214" i="2"/>
  <c r="R215" i="2"/>
  <c r="S215" i="2"/>
  <c r="R216" i="2"/>
  <c r="S216" i="2"/>
  <c r="R217" i="2"/>
  <c r="S217" i="2"/>
  <c r="R218" i="2"/>
  <c r="S218" i="2"/>
  <c r="R219" i="2"/>
  <c r="S219" i="2"/>
  <c r="R220" i="2"/>
  <c r="S220" i="2"/>
  <c r="R221" i="2"/>
  <c r="S221" i="2"/>
  <c r="R222" i="2"/>
  <c r="S222" i="2"/>
  <c r="R223" i="2"/>
  <c r="S223" i="2"/>
  <c r="R224" i="2"/>
  <c r="S224" i="2"/>
  <c r="R225" i="2"/>
  <c r="S225" i="2"/>
  <c r="R226" i="2"/>
  <c r="S226" i="2"/>
  <c r="R227" i="2"/>
  <c r="S227" i="2"/>
  <c r="R228" i="2"/>
  <c r="S228" i="2"/>
  <c r="R229" i="2"/>
  <c r="S229" i="2"/>
  <c r="R230" i="2"/>
  <c r="S230" i="2"/>
  <c r="R231" i="2"/>
  <c r="S231" i="2"/>
  <c r="R232" i="2"/>
  <c r="S232" i="2"/>
  <c r="R233" i="2"/>
  <c r="S233" i="2"/>
  <c r="R234" i="2"/>
  <c r="S234" i="2"/>
  <c r="R235" i="2"/>
  <c r="S235" i="2"/>
  <c r="R236" i="2"/>
  <c r="S236" i="2"/>
  <c r="R237" i="2"/>
  <c r="S237" i="2"/>
  <c r="R238" i="2"/>
  <c r="S238" i="2"/>
  <c r="R239" i="2"/>
  <c r="S239" i="2"/>
  <c r="R240" i="2"/>
  <c r="S240" i="2"/>
  <c r="R241" i="2"/>
  <c r="S241" i="2"/>
  <c r="R242" i="2"/>
  <c r="S242" i="2"/>
  <c r="R243" i="2"/>
  <c r="S243" i="2"/>
  <c r="R244" i="2"/>
  <c r="S244" i="2"/>
  <c r="S5" i="2"/>
  <c r="R5" i="2"/>
  <c r="Q5" i="2"/>
  <c r="T5" i="2" l="1"/>
  <c r="Q6" i="2" s="1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L5" i="2"/>
  <c r="K5" i="2"/>
  <c r="J5" i="2"/>
  <c r="T6" i="2" l="1"/>
  <c r="Q7" i="2" s="1"/>
  <c r="T7" i="2" s="1"/>
  <c r="Q8" i="2" s="1"/>
  <c r="T8" i="2" s="1"/>
  <c r="Q9" i="2" s="1"/>
  <c r="T9" i="2" s="1"/>
  <c r="Q10" i="2" s="1"/>
  <c r="T10" i="2" s="1"/>
  <c r="Q11" i="2" s="1"/>
  <c r="T11" i="2" s="1"/>
  <c r="Q12" i="2" s="1"/>
  <c r="T12" i="2" s="1"/>
  <c r="Q13" i="2" s="1"/>
  <c r="T13" i="2" s="1"/>
  <c r="Q14" i="2" s="1"/>
  <c r="T14" i="2" s="1"/>
  <c r="Q15" i="2" s="1"/>
  <c r="T15" i="2" s="1"/>
  <c r="Q16" i="2" s="1"/>
  <c r="T16" i="2" s="1"/>
  <c r="Q17" i="2" s="1"/>
  <c r="T17" i="2" s="1"/>
  <c r="Q18" i="2" s="1"/>
  <c r="T18" i="2" s="1"/>
  <c r="Q19" i="2" s="1"/>
  <c r="T19" i="2" s="1"/>
  <c r="Q20" i="2" s="1"/>
  <c r="T20" i="2" s="1"/>
  <c r="Q21" i="2" s="1"/>
  <c r="T21" i="2" s="1"/>
  <c r="Q22" i="2" s="1"/>
  <c r="T22" i="2" s="1"/>
  <c r="Q23" i="2" s="1"/>
  <c r="T23" i="2" s="1"/>
  <c r="Q24" i="2" s="1"/>
  <c r="T24" i="2" s="1"/>
  <c r="Q25" i="2" s="1"/>
  <c r="T25" i="2" s="1"/>
  <c r="Q26" i="2" s="1"/>
  <c r="T26" i="2" s="1"/>
  <c r="Q27" i="2" s="1"/>
  <c r="T27" i="2" s="1"/>
  <c r="Q28" i="2" s="1"/>
  <c r="T28" i="2" s="1"/>
  <c r="Q29" i="2" s="1"/>
  <c r="T29" i="2" s="1"/>
  <c r="Q30" i="2" s="1"/>
  <c r="T30" i="2" s="1"/>
  <c r="Q31" i="2" s="1"/>
  <c r="T31" i="2" s="1"/>
  <c r="Q32" i="2" s="1"/>
  <c r="T32" i="2" s="1"/>
  <c r="Q33" i="2" s="1"/>
  <c r="T33" i="2" s="1"/>
  <c r="Q34" i="2" s="1"/>
  <c r="T34" i="2" s="1"/>
  <c r="Q35" i="2" s="1"/>
  <c r="T35" i="2" s="1"/>
  <c r="Q36" i="2" s="1"/>
  <c r="T36" i="2" s="1"/>
  <c r="Q37" i="2" s="1"/>
  <c r="T37" i="2" s="1"/>
  <c r="Q38" i="2" s="1"/>
  <c r="T38" i="2" s="1"/>
  <c r="Q39" i="2" s="1"/>
  <c r="T39" i="2" s="1"/>
  <c r="Q40" i="2" s="1"/>
  <c r="T40" i="2" s="1"/>
  <c r="Q41" i="2" s="1"/>
  <c r="T41" i="2" s="1"/>
  <c r="Q42" i="2" s="1"/>
  <c r="T42" i="2" s="1"/>
  <c r="Q43" i="2" s="1"/>
  <c r="T43" i="2" s="1"/>
  <c r="Q44" i="2" s="1"/>
  <c r="T44" i="2" s="1"/>
  <c r="Q45" i="2" s="1"/>
  <c r="T45" i="2" s="1"/>
  <c r="Q46" i="2" s="1"/>
  <c r="T46" i="2" s="1"/>
  <c r="Q47" i="2" s="1"/>
  <c r="T47" i="2" s="1"/>
  <c r="Q48" i="2" s="1"/>
  <c r="T48" i="2" s="1"/>
  <c r="Q49" i="2" s="1"/>
  <c r="T49" i="2" s="1"/>
  <c r="Q50" i="2" s="1"/>
  <c r="T50" i="2" s="1"/>
  <c r="Q51" i="2" s="1"/>
  <c r="T51" i="2" s="1"/>
  <c r="Q52" i="2" s="1"/>
  <c r="T52" i="2" s="1"/>
  <c r="Q53" i="2" s="1"/>
  <c r="T53" i="2" s="1"/>
  <c r="Q54" i="2" s="1"/>
  <c r="T54" i="2" s="1"/>
  <c r="Q55" i="2" s="1"/>
  <c r="T55" i="2" s="1"/>
  <c r="Q56" i="2" s="1"/>
  <c r="T56" i="2" s="1"/>
  <c r="Q57" i="2" s="1"/>
  <c r="T57" i="2" s="1"/>
  <c r="Q58" i="2" s="1"/>
  <c r="T58" i="2" s="1"/>
  <c r="Q59" i="2" s="1"/>
  <c r="T59" i="2" s="1"/>
  <c r="Q60" i="2" s="1"/>
  <c r="T60" i="2" s="1"/>
  <c r="Q61" i="2" s="1"/>
  <c r="T61" i="2" s="1"/>
  <c r="Q62" i="2" s="1"/>
  <c r="T62" i="2" s="1"/>
  <c r="Q63" i="2" s="1"/>
  <c r="T63" i="2" s="1"/>
  <c r="Q64" i="2" s="1"/>
  <c r="T64" i="2" s="1"/>
  <c r="Q65" i="2" s="1"/>
  <c r="T65" i="2" s="1"/>
  <c r="Q66" i="2" s="1"/>
  <c r="T66" i="2" s="1"/>
  <c r="Q67" i="2" s="1"/>
  <c r="T67" i="2" s="1"/>
  <c r="Q68" i="2" s="1"/>
  <c r="T68" i="2" s="1"/>
  <c r="Q69" i="2" s="1"/>
  <c r="T69" i="2" s="1"/>
  <c r="Q70" i="2" s="1"/>
  <c r="T70" i="2" s="1"/>
  <c r="Q71" i="2" s="1"/>
  <c r="T71" i="2" s="1"/>
  <c r="Q72" i="2" s="1"/>
  <c r="T72" i="2" s="1"/>
  <c r="Q73" i="2" s="1"/>
  <c r="T73" i="2" s="1"/>
  <c r="Q74" i="2" s="1"/>
  <c r="T74" i="2" s="1"/>
  <c r="Q75" i="2" s="1"/>
  <c r="T75" i="2" s="1"/>
  <c r="Q76" i="2" s="1"/>
  <c r="T76" i="2" s="1"/>
  <c r="Q77" i="2" s="1"/>
  <c r="T77" i="2" s="1"/>
  <c r="Q78" i="2" s="1"/>
  <c r="T78" i="2" s="1"/>
  <c r="Q79" i="2" s="1"/>
  <c r="T79" i="2" s="1"/>
  <c r="Q80" i="2" s="1"/>
  <c r="T80" i="2" s="1"/>
  <c r="Q81" i="2" s="1"/>
  <c r="T81" i="2" s="1"/>
  <c r="Q82" i="2" s="1"/>
  <c r="T82" i="2" s="1"/>
  <c r="Q83" i="2" s="1"/>
  <c r="T83" i="2" s="1"/>
  <c r="Q84" i="2" s="1"/>
  <c r="T84" i="2" s="1"/>
  <c r="Q85" i="2" s="1"/>
  <c r="T85" i="2" s="1"/>
  <c r="Q86" i="2" s="1"/>
  <c r="T86" i="2" s="1"/>
  <c r="Q87" i="2" s="1"/>
  <c r="T87" i="2" s="1"/>
  <c r="Q88" i="2" s="1"/>
  <c r="T88" i="2" s="1"/>
  <c r="Q89" i="2" s="1"/>
  <c r="T89" i="2" s="1"/>
  <c r="Q90" i="2" s="1"/>
  <c r="T90" i="2" s="1"/>
  <c r="Q91" i="2" s="1"/>
  <c r="T91" i="2" s="1"/>
  <c r="Q92" i="2" s="1"/>
  <c r="T92" i="2" s="1"/>
  <c r="Q93" i="2" s="1"/>
  <c r="T93" i="2" s="1"/>
  <c r="Q94" i="2" s="1"/>
  <c r="T94" i="2" s="1"/>
  <c r="Q95" i="2" s="1"/>
  <c r="T95" i="2" s="1"/>
  <c r="Q96" i="2" s="1"/>
  <c r="T96" i="2" s="1"/>
  <c r="Q97" i="2" s="1"/>
  <c r="T97" i="2" s="1"/>
  <c r="Q98" i="2" s="1"/>
  <c r="T98" i="2" s="1"/>
  <c r="Q99" i="2" s="1"/>
  <c r="T99" i="2" s="1"/>
  <c r="Q100" i="2" s="1"/>
  <c r="T100" i="2" s="1"/>
  <c r="Q101" i="2" s="1"/>
  <c r="T101" i="2" s="1"/>
  <c r="Q102" i="2" s="1"/>
  <c r="T102" i="2" s="1"/>
  <c r="Q103" i="2" s="1"/>
  <c r="T103" i="2" s="1"/>
  <c r="Q104" i="2" s="1"/>
  <c r="T104" i="2" s="1"/>
  <c r="Q105" i="2" s="1"/>
  <c r="T105" i="2" s="1"/>
  <c r="Q106" i="2" s="1"/>
  <c r="T106" i="2" s="1"/>
  <c r="Q107" i="2" s="1"/>
  <c r="T107" i="2" s="1"/>
  <c r="Q108" i="2" s="1"/>
  <c r="T108" i="2" s="1"/>
  <c r="Q109" i="2" s="1"/>
  <c r="T109" i="2" s="1"/>
  <c r="Q110" i="2" s="1"/>
  <c r="T110" i="2" s="1"/>
  <c r="Q111" i="2" s="1"/>
  <c r="T111" i="2" s="1"/>
  <c r="Q112" i="2" s="1"/>
  <c r="T112" i="2" s="1"/>
  <c r="Q113" i="2" s="1"/>
  <c r="T113" i="2" s="1"/>
  <c r="Q114" i="2" s="1"/>
  <c r="T114" i="2" s="1"/>
  <c r="Q115" i="2" s="1"/>
  <c r="T115" i="2" s="1"/>
  <c r="Q116" i="2" s="1"/>
  <c r="T116" i="2" s="1"/>
  <c r="Q117" i="2" s="1"/>
  <c r="T117" i="2" s="1"/>
  <c r="Q118" i="2" s="1"/>
  <c r="T118" i="2" s="1"/>
  <c r="Q119" i="2" s="1"/>
  <c r="T119" i="2" s="1"/>
  <c r="Q120" i="2" s="1"/>
  <c r="T120" i="2" s="1"/>
  <c r="Q121" i="2" s="1"/>
  <c r="T121" i="2" s="1"/>
  <c r="Q122" i="2" s="1"/>
  <c r="T122" i="2" s="1"/>
  <c r="Q123" i="2" s="1"/>
  <c r="T123" i="2" s="1"/>
  <c r="Q124" i="2" s="1"/>
  <c r="T124" i="2" s="1"/>
  <c r="Q125" i="2" s="1"/>
  <c r="T125" i="2" s="1"/>
  <c r="Q126" i="2" s="1"/>
  <c r="T126" i="2" s="1"/>
  <c r="Q127" i="2" s="1"/>
  <c r="T127" i="2" s="1"/>
  <c r="Q128" i="2" s="1"/>
  <c r="T128" i="2" s="1"/>
  <c r="Q129" i="2" s="1"/>
  <c r="T129" i="2" s="1"/>
  <c r="Q130" i="2" s="1"/>
  <c r="T130" i="2" s="1"/>
  <c r="Q131" i="2" s="1"/>
  <c r="T131" i="2" s="1"/>
  <c r="Q132" i="2" s="1"/>
  <c r="T132" i="2" s="1"/>
  <c r="Q133" i="2" s="1"/>
  <c r="T133" i="2" s="1"/>
  <c r="Q134" i="2" s="1"/>
  <c r="T134" i="2" s="1"/>
  <c r="Q135" i="2" s="1"/>
  <c r="T135" i="2" s="1"/>
  <c r="Q136" i="2" s="1"/>
  <c r="T136" i="2" s="1"/>
  <c r="Q137" i="2" s="1"/>
  <c r="T137" i="2" s="1"/>
  <c r="Q138" i="2" s="1"/>
  <c r="T138" i="2" s="1"/>
  <c r="Q139" i="2" s="1"/>
  <c r="T139" i="2" s="1"/>
  <c r="Q140" i="2" s="1"/>
  <c r="T140" i="2" s="1"/>
  <c r="Q141" i="2" s="1"/>
  <c r="T141" i="2" s="1"/>
  <c r="Q142" i="2" s="1"/>
  <c r="T142" i="2" s="1"/>
  <c r="Q143" i="2" s="1"/>
  <c r="T143" i="2" s="1"/>
  <c r="Q144" i="2" s="1"/>
  <c r="T144" i="2" s="1"/>
  <c r="Q145" i="2" s="1"/>
  <c r="T145" i="2" s="1"/>
  <c r="Q146" i="2" s="1"/>
  <c r="T146" i="2" s="1"/>
  <c r="Q147" i="2" s="1"/>
  <c r="T147" i="2" s="1"/>
  <c r="Q148" i="2" s="1"/>
  <c r="T148" i="2" s="1"/>
  <c r="Q149" i="2" s="1"/>
  <c r="T149" i="2" s="1"/>
  <c r="Q150" i="2" s="1"/>
  <c r="T150" i="2" s="1"/>
  <c r="Q151" i="2" s="1"/>
  <c r="T151" i="2" s="1"/>
  <c r="Q152" i="2" s="1"/>
  <c r="T152" i="2" s="1"/>
  <c r="Q153" i="2" s="1"/>
  <c r="T153" i="2" s="1"/>
  <c r="Q154" i="2" s="1"/>
  <c r="T154" i="2" s="1"/>
  <c r="Q155" i="2" s="1"/>
  <c r="T155" i="2" s="1"/>
  <c r="Q156" i="2" s="1"/>
  <c r="T156" i="2" s="1"/>
  <c r="Q157" i="2" s="1"/>
  <c r="T157" i="2" s="1"/>
  <c r="Q158" i="2" s="1"/>
  <c r="T158" i="2" s="1"/>
  <c r="Q159" i="2" s="1"/>
  <c r="T159" i="2" s="1"/>
  <c r="Q160" i="2" s="1"/>
  <c r="T160" i="2" s="1"/>
  <c r="Q161" i="2" s="1"/>
  <c r="T161" i="2" s="1"/>
  <c r="Q162" i="2" s="1"/>
  <c r="T162" i="2" s="1"/>
  <c r="Q163" i="2" s="1"/>
  <c r="T163" i="2" s="1"/>
  <c r="Q164" i="2" s="1"/>
  <c r="T164" i="2" s="1"/>
  <c r="Q165" i="2" s="1"/>
  <c r="T165" i="2" s="1"/>
  <c r="Q166" i="2" s="1"/>
  <c r="T166" i="2" s="1"/>
  <c r="Q167" i="2" s="1"/>
  <c r="T167" i="2" s="1"/>
  <c r="Q168" i="2" s="1"/>
  <c r="T168" i="2" s="1"/>
  <c r="Q169" i="2" s="1"/>
  <c r="T169" i="2" s="1"/>
  <c r="Q170" i="2" s="1"/>
  <c r="T170" i="2" s="1"/>
  <c r="Q171" i="2" s="1"/>
  <c r="T171" i="2" s="1"/>
  <c r="Q172" i="2" s="1"/>
  <c r="T172" i="2" s="1"/>
  <c r="Q173" i="2" s="1"/>
  <c r="T173" i="2" s="1"/>
  <c r="Q174" i="2" s="1"/>
  <c r="T174" i="2" s="1"/>
  <c r="Q175" i="2" s="1"/>
  <c r="T175" i="2" s="1"/>
  <c r="Q176" i="2" s="1"/>
  <c r="T176" i="2" s="1"/>
  <c r="Q177" i="2" s="1"/>
  <c r="T177" i="2" s="1"/>
  <c r="Q178" i="2" s="1"/>
  <c r="T178" i="2" s="1"/>
  <c r="Q179" i="2" s="1"/>
  <c r="T179" i="2" s="1"/>
  <c r="Q180" i="2" s="1"/>
  <c r="T180" i="2" s="1"/>
  <c r="Q181" i="2" s="1"/>
  <c r="T181" i="2" s="1"/>
  <c r="Q182" i="2" s="1"/>
  <c r="T182" i="2" s="1"/>
  <c r="Q183" i="2" s="1"/>
  <c r="T183" i="2" s="1"/>
  <c r="Q184" i="2" s="1"/>
  <c r="T184" i="2" s="1"/>
  <c r="Q185" i="2" s="1"/>
  <c r="T185" i="2" s="1"/>
  <c r="Q186" i="2" s="1"/>
  <c r="T186" i="2" s="1"/>
  <c r="Q187" i="2" s="1"/>
  <c r="T187" i="2" s="1"/>
  <c r="Q188" i="2" s="1"/>
  <c r="T188" i="2" s="1"/>
  <c r="Q189" i="2" s="1"/>
  <c r="T189" i="2" s="1"/>
  <c r="Q190" i="2" s="1"/>
  <c r="T190" i="2" s="1"/>
  <c r="Q191" i="2" s="1"/>
  <c r="T191" i="2" s="1"/>
  <c r="Q192" i="2" s="1"/>
  <c r="T192" i="2" s="1"/>
  <c r="Q193" i="2" s="1"/>
  <c r="T193" i="2" s="1"/>
  <c r="Q194" i="2" s="1"/>
  <c r="T194" i="2" s="1"/>
  <c r="Q195" i="2" s="1"/>
  <c r="T195" i="2" s="1"/>
  <c r="Q196" i="2" s="1"/>
  <c r="T196" i="2" s="1"/>
  <c r="Q197" i="2" s="1"/>
  <c r="T197" i="2" s="1"/>
  <c r="Q198" i="2" s="1"/>
  <c r="T198" i="2" s="1"/>
  <c r="Q199" i="2" s="1"/>
  <c r="T199" i="2" s="1"/>
  <c r="Q200" i="2" s="1"/>
  <c r="T200" i="2" s="1"/>
  <c r="Q201" i="2" s="1"/>
  <c r="T201" i="2" s="1"/>
  <c r="Q202" i="2" s="1"/>
  <c r="T202" i="2" s="1"/>
  <c r="Q203" i="2" s="1"/>
  <c r="T203" i="2" s="1"/>
  <c r="Q204" i="2" s="1"/>
  <c r="T204" i="2" s="1"/>
  <c r="Q205" i="2" s="1"/>
  <c r="T205" i="2" s="1"/>
  <c r="Q206" i="2" s="1"/>
  <c r="T206" i="2" s="1"/>
  <c r="Q207" i="2" s="1"/>
  <c r="T207" i="2" s="1"/>
  <c r="Q208" i="2" s="1"/>
  <c r="T208" i="2" s="1"/>
  <c r="Q209" i="2" s="1"/>
  <c r="T209" i="2" s="1"/>
  <c r="Q210" i="2" s="1"/>
  <c r="T210" i="2" s="1"/>
  <c r="Q211" i="2" s="1"/>
  <c r="T211" i="2" s="1"/>
  <c r="Q212" i="2" s="1"/>
  <c r="T212" i="2" s="1"/>
  <c r="Q213" i="2" s="1"/>
  <c r="T213" i="2" s="1"/>
  <c r="Q214" i="2" s="1"/>
  <c r="T214" i="2" s="1"/>
  <c r="Q215" i="2" s="1"/>
  <c r="T215" i="2" s="1"/>
  <c r="Q216" i="2" s="1"/>
  <c r="T216" i="2" s="1"/>
  <c r="Q217" i="2" s="1"/>
  <c r="T217" i="2" s="1"/>
  <c r="Q218" i="2" s="1"/>
  <c r="T218" i="2" s="1"/>
  <c r="Q219" i="2" s="1"/>
  <c r="T219" i="2" s="1"/>
  <c r="Q220" i="2" s="1"/>
  <c r="T220" i="2" s="1"/>
  <c r="Q221" i="2" s="1"/>
  <c r="T221" i="2" s="1"/>
  <c r="Q222" i="2" s="1"/>
  <c r="T222" i="2" s="1"/>
  <c r="Q223" i="2" s="1"/>
  <c r="T223" i="2" s="1"/>
  <c r="Q224" i="2" s="1"/>
  <c r="T224" i="2" s="1"/>
  <c r="Q225" i="2" s="1"/>
  <c r="T225" i="2" s="1"/>
  <c r="Q226" i="2" s="1"/>
  <c r="T226" i="2" s="1"/>
  <c r="Q227" i="2" s="1"/>
  <c r="T227" i="2" s="1"/>
  <c r="Q228" i="2" s="1"/>
  <c r="T228" i="2" s="1"/>
  <c r="Q229" i="2" s="1"/>
  <c r="T229" i="2" s="1"/>
  <c r="Q230" i="2" s="1"/>
  <c r="T230" i="2" s="1"/>
  <c r="Q231" i="2" s="1"/>
  <c r="T231" i="2" s="1"/>
  <c r="Q232" i="2" s="1"/>
  <c r="T232" i="2" s="1"/>
  <c r="Q233" i="2" s="1"/>
  <c r="T233" i="2" s="1"/>
  <c r="Q234" i="2" s="1"/>
  <c r="T234" i="2" s="1"/>
  <c r="Q235" i="2" s="1"/>
  <c r="T235" i="2" s="1"/>
  <c r="Q236" i="2" s="1"/>
  <c r="T236" i="2" s="1"/>
  <c r="Q237" i="2" s="1"/>
  <c r="T237" i="2" s="1"/>
  <c r="Q238" i="2" s="1"/>
  <c r="T238" i="2" s="1"/>
  <c r="Q239" i="2" s="1"/>
  <c r="T239" i="2" s="1"/>
  <c r="Q240" i="2" s="1"/>
  <c r="T240" i="2" s="1"/>
  <c r="Q241" i="2" s="1"/>
  <c r="T241" i="2" s="1"/>
  <c r="Q242" i="2" s="1"/>
  <c r="T242" i="2" s="1"/>
  <c r="Q243" i="2" s="1"/>
  <c r="T243" i="2" s="1"/>
  <c r="Q244" i="2" s="1"/>
  <c r="T244" i="2" l="1"/>
  <c r="P244" i="2"/>
  <c r="C14" i="1"/>
  <c r="C5" i="2" l="1"/>
  <c r="E7" i="2"/>
  <c r="E11" i="2"/>
  <c r="E15" i="2"/>
  <c r="E19" i="2"/>
  <c r="E23" i="2"/>
  <c r="E27" i="2"/>
  <c r="E31" i="2"/>
  <c r="E35" i="2"/>
  <c r="E39" i="2"/>
  <c r="E43" i="2"/>
  <c r="E47" i="2"/>
  <c r="E8" i="2"/>
  <c r="E12" i="2"/>
  <c r="E16" i="2"/>
  <c r="E20" i="2"/>
  <c r="E24" i="2"/>
  <c r="E28" i="2"/>
  <c r="E32" i="2"/>
  <c r="E9" i="2"/>
  <c r="E13" i="2"/>
  <c r="E17" i="2"/>
  <c r="E21" i="2"/>
  <c r="E25" i="2"/>
  <c r="E29" i="2"/>
  <c r="E6" i="2"/>
  <c r="E22" i="2"/>
  <c r="E34" i="2"/>
  <c r="E40" i="2"/>
  <c r="E45" i="2"/>
  <c r="E50" i="2"/>
  <c r="E54" i="2"/>
  <c r="E58" i="2"/>
  <c r="E62" i="2"/>
  <c r="E66" i="2"/>
  <c r="E70" i="2"/>
  <c r="E74" i="2"/>
  <c r="E78" i="2"/>
  <c r="E82" i="2"/>
  <c r="E86" i="2"/>
  <c r="E90" i="2"/>
  <c r="E94" i="2"/>
  <c r="E98" i="2"/>
  <c r="E102" i="2"/>
  <c r="E106" i="2"/>
  <c r="E110" i="2"/>
  <c r="E114" i="2"/>
  <c r="E118" i="2"/>
  <c r="E122" i="2"/>
  <c r="E126" i="2"/>
  <c r="E130" i="2"/>
  <c r="E134" i="2"/>
  <c r="E138" i="2"/>
  <c r="E142" i="2"/>
  <c r="E146" i="2"/>
  <c r="D7" i="2"/>
  <c r="D11" i="2"/>
  <c r="D15" i="2"/>
  <c r="D19" i="2"/>
  <c r="D23" i="2"/>
  <c r="D27" i="2"/>
  <c r="D31" i="2"/>
  <c r="D35" i="2"/>
  <c r="D39" i="2"/>
  <c r="D43" i="2"/>
  <c r="D47" i="2"/>
  <c r="D51" i="2"/>
  <c r="D55" i="2"/>
  <c r="D59" i="2"/>
  <c r="D63" i="2"/>
  <c r="D67" i="2"/>
  <c r="D71" i="2"/>
  <c r="D75" i="2"/>
  <c r="D79" i="2"/>
  <c r="D83" i="2"/>
  <c r="D87" i="2"/>
  <c r="D91" i="2"/>
  <c r="D95" i="2"/>
  <c r="D99" i="2"/>
  <c r="D103" i="2"/>
  <c r="D107" i="2"/>
  <c r="D111" i="2"/>
  <c r="D115" i="2"/>
  <c r="D119" i="2"/>
  <c r="D123" i="2"/>
  <c r="D127" i="2"/>
  <c r="D131" i="2"/>
  <c r="D135" i="2"/>
  <c r="D139" i="2"/>
  <c r="D143" i="2"/>
  <c r="D147" i="2"/>
  <c r="E14" i="2"/>
  <c r="E30" i="2"/>
  <c r="E37" i="2"/>
  <c r="E42" i="2"/>
  <c r="E48" i="2"/>
  <c r="E52" i="2"/>
  <c r="E56" i="2"/>
  <c r="E60" i="2"/>
  <c r="E64" i="2"/>
  <c r="E68" i="2"/>
  <c r="E72" i="2"/>
  <c r="E76" i="2"/>
  <c r="E80" i="2"/>
  <c r="E84" i="2"/>
  <c r="E88" i="2"/>
  <c r="E92" i="2"/>
  <c r="E96" i="2"/>
  <c r="E100" i="2"/>
  <c r="E104" i="2"/>
  <c r="E108" i="2"/>
  <c r="E112" i="2"/>
  <c r="E116" i="2"/>
  <c r="E120" i="2"/>
  <c r="E124" i="2"/>
  <c r="E128" i="2"/>
  <c r="E132" i="2"/>
  <c r="E136" i="2"/>
  <c r="E140" i="2"/>
  <c r="E144" i="2"/>
  <c r="E5" i="2"/>
  <c r="D9" i="2"/>
  <c r="D13" i="2"/>
  <c r="D17" i="2"/>
  <c r="D21" i="2"/>
  <c r="D25" i="2"/>
  <c r="D29" i="2"/>
  <c r="D33" i="2"/>
  <c r="D37" i="2"/>
  <c r="D41" i="2"/>
  <c r="D45" i="2"/>
  <c r="D49" i="2"/>
  <c r="D53" i="2"/>
  <c r="D57" i="2"/>
  <c r="D61" i="2"/>
  <c r="D65" i="2"/>
  <c r="D69" i="2"/>
  <c r="D73" i="2"/>
  <c r="D77" i="2"/>
  <c r="D81" i="2"/>
  <c r="D85" i="2"/>
  <c r="D89" i="2"/>
  <c r="D93" i="2"/>
  <c r="D97" i="2"/>
  <c r="D101" i="2"/>
  <c r="D105" i="2"/>
  <c r="D109" i="2"/>
  <c r="D113" i="2"/>
  <c r="D117" i="2"/>
  <c r="D121" i="2"/>
  <c r="D125" i="2"/>
  <c r="D129" i="2"/>
  <c r="D133" i="2"/>
  <c r="D137" i="2"/>
  <c r="D141" i="2"/>
  <c r="D145" i="2"/>
  <c r="E33" i="2"/>
  <c r="E44" i="2"/>
  <c r="E53" i="2"/>
  <c r="E61" i="2"/>
  <c r="E69" i="2"/>
  <c r="E77" i="2"/>
  <c r="E85" i="2"/>
  <c r="E93" i="2"/>
  <c r="E101" i="2"/>
  <c r="E109" i="2"/>
  <c r="E117" i="2"/>
  <c r="E125" i="2"/>
  <c r="E133" i="2"/>
  <c r="D14" i="2"/>
  <c r="D38" i="2"/>
  <c r="D62" i="2"/>
  <c r="D86" i="2"/>
  <c r="D126" i="2"/>
  <c r="E10" i="2"/>
  <c r="E36" i="2"/>
  <c r="E46" i="2"/>
  <c r="E55" i="2"/>
  <c r="E63" i="2"/>
  <c r="E71" i="2"/>
  <c r="E79" i="2"/>
  <c r="E87" i="2"/>
  <c r="E95" i="2"/>
  <c r="E103" i="2"/>
  <c r="E111" i="2"/>
  <c r="E119" i="2"/>
  <c r="E127" i="2"/>
  <c r="E135" i="2"/>
  <c r="E143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E51" i="2"/>
  <c r="E67" i="2"/>
  <c r="E83" i="2"/>
  <c r="E99" i="2"/>
  <c r="E115" i="2"/>
  <c r="E131" i="2"/>
  <c r="E147" i="2"/>
  <c r="D20" i="2"/>
  <c r="D36" i="2"/>
  <c r="D52" i="2"/>
  <c r="D68" i="2"/>
  <c r="D84" i="2"/>
  <c r="D100" i="2"/>
  <c r="D116" i="2"/>
  <c r="D132" i="2"/>
  <c r="D5" i="2"/>
  <c r="D6" i="2"/>
  <c r="D30" i="2"/>
  <c r="D54" i="2"/>
  <c r="D70" i="2"/>
  <c r="D94" i="2"/>
  <c r="D110" i="2"/>
  <c r="D134" i="2"/>
  <c r="E18" i="2"/>
  <c r="E38" i="2"/>
  <c r="E49" i="2"/>
  <c r="E57" i="2"/>
  <c r="E65" i="2"/>
  <c r="E73" i="2"/>
  <c r="E81" i="2"/>
  <c r="E89" i="2"/>
  <c r="E97" i="2"/>
  <c r="E105" i="2"/>
  <c r="E113" i="2"/>
  <c r="E121" i="2"/>
  <c r="E129" i="2"/>
  <c r="E137" i="2"/>
  <c r="E145" i="2"/>
  <c r="D10" i="2"/>
  <c r="D18" i="2"/>
  <c r="D26" i="2"/>
  <c r="D34" i="2"/>
  <c r="D42" i="2"/>
  <c r="D50" i="2"/>
  <c r="D58" i="2"/>
  <c r="D66" i="2"/>
  <c r="D74" i="2"/>
  <c r="D82" i="2"/>
  <c r="D90" i="2"/>
  <c r="D98" i="2"/>
  <c r="D106" i="2"/>
  <c r="D114" i="2"/>
  <c r="D122" i="2"/>
  <c r="D130" i="2"/>
  <c r="D138" i="2"/>
  <c r="D146" i="2"/>
  <c r="E26" i="2"/>
  <c r="E41" i="2"/>
  <c r="E59" i="2"/>
  <c r="E75" i="2"/>
  <c r="E91" i="2"/>
  <c r="E107" i="2"/>
  <c r="E123" i="2"/>
  <c r="E139" i="2"/>
  <c r="D12" i="2"/>
  <c r="D28" i="2"/>
  <c r="D44" i="2"/>
  <c r="D60" i="2"/>
  <c r="D76" i="2"/>
  <c r="D92" i="2"/>
  <c r="D108" i="2"/>
  <c r="D124" i="2"/>
  <c r="D140" i="2"/>
  <c r="E141" i="2"/>
  <c r="D22" i="2"/>
  <c r="D46" i="2"/>
  <c r="D78" i="2"/>
  <c r="D102" i="2"/>
  <c r="D118" i="2"/>
  <c r="D142" i="2"/>
  <c r="M5" i="2"/>
  <c r="J6" i="2" s="1"/>
  <c r="C22" i="1"/>
  <c r="C23" i="1"/>
  <c r="F5" i="2" l="1"/>
  <c r="C6" i="2" s="1"/>
  <c r="P243" i="2"/>
  <c r="P223" i="2"/>
  <c r="P224" i="2"/>
  <c r="P234" i="2"/>
  <c r="P235" i="2"/>
  <c r="P236" i="2"/>
  <c r="P237" i="2"/>
  <c r="P238" i="2"/>
  <c r="P239" i="2"/>
  <c r="P240" i="2"/>
  <c r="P214" i="2"/>
  <c r="P215" i="2"/>
  <c r="P216" i="2"/>
  <c r="P217" i="2"/>
  <c r="P218" i="2"/>
  <c r="P188" i="2"/>
  <c r="P189" i="2"/>
  <c r="P190" i="2"/>
  <c r="P191" i="2"/>
  <c r="P192" i="2"/>
  <c r="P193" i="2"/>
  <c r="P194" i="2"/>
  <c r="P204" i="2"/>
  <c r="P205" i="2"/>
  <c r="P206" i="2"/>
  <c r="P207" i="2"/>
  <c r="P7" i="2"/>
  <c r="P8" i="2"/>
  <c r="P23" i="2"/>
  <c r="P24" i="2"/>
  <c r="P25" i="2"/>
  <c r="P225" i="2"/>
  <c r="P241" i="2"/>
  <c r="P219" i="2"/>
  <c r="P220" i="2"/>
  <c r="P221" i="2"/>
  <c r="P195" i="2"/>
  <c r="P9" i="2"/>
  <c r="P226" i="2"/>
  <c r="P227" i="2"/>
  <c r="P228" i="2"/>
  <c r="P229" i="2"/>
  <c r="P230" i="2"/>
  <c r="P231" i="2"/>
  <c r="P232" i="2"/>
  <c r="P242" i="2"/>
  <c r="P208" i="2"/>
  <c r="P209" i="2"/>
  <c r="P210" i="2"/>
  <c r="P222" i="2"/>
  <c r="P185" i="2"/>
  <c r="P186" i="2"/>
  <c r="P196" i="2"/>
  <c r="P197" i="2"/>
  <c r="P198" i="2"/>
  <c r="P199" i="2"/>
  <c r="P200" i="2"/>
  <c r="P201" i="2"/>
  <c r="P202" i="2"/>
  <c r="P15" i="2"/>
  <c r="P16" i="2"/>
  <c r="P17" i="2"/>
  <c r="P187" i="2"/>
  <c r="P11" i="2"/>
  <c r="P13" i="2"/>
  <c r="P26" i="2"/>
  <c r="P34" i="2"/>
  <c r="P35" i="2"/>
  <c r="P36" i="2"/>
  <c r="P37" i="2"/>
  <c r="P38" i="2"/>
  <c r="P50" i="2"/>
  <c r="P51" i="2"/>
  <c r="P52" i="2"/>
  <c r="P53" i="2"/>
  <c r="P54" i="2"/>
  <c r="P66" i="2"/>
  <c r="P67" i="2"/>
  <c r="P68" i="2"/>
  <c r="P69" i="2"/>
  <c r="P70" i="2"/>
  <c r="P82" i="2"/>
  <c r="P83" i="2"/>
  <c r="P84" i="2"/>
  <c r="P211" i="2"/>
  <c r="P203" i="2"/>
  <c r="P19" i="2"/>
  <c r="P21" i="2"/>
  <c r="P39" i="2"/>
  <c r="P40" i="2"/>
  <c r="P41" i="2"/>
  <c r="P55" i="2"/>
  <c r="P56" i="2"/>
  <c r="P57" i="2"/>
  <c r="P71" i="2"/>
  <c r="P72" i="2"/>
  <c r="P73" i="2"/>
  <c r="P212" i="2"/>
  <c r="P10" i="2"/>
  <c r="P12" i="2"/>
  <c r="P14" i="2"/>
  <c r="P27" i="2"/>
  <c r="P28" i="2"/>
  <c r="P29" i="2"/>
  <c r="P30" i="2"/>
  <c r="P42" i="2"/>
  <c r="P43" i="2"/>
  <c r="P44" i="2"/>
  <c r="P45" i="2"/>
  <c r="P46" i="2"/>
  <c r="P58" i="2"/>
  <c r="P59" i="2"/>
  <c r="P60" i="2"/>
  <c r="P61" i="2"/>
  <c r="P62" i="2"/>
  <c r="P74" i="2"/>
  <c r="P75" i="2"/>
  <c r="P76" i="2"/>
  <c r="P77" i="2"/>
  <c r="P78" i="2"/>
  <c r="P18" i="2"/>
  <c r="P49" i="2"/>
  <c r="P64" i="2"/>
  <c r="P90" i="2"/>
  <c r="P91" i="2"/>
  <c r="P92" i="2"/>
  <c r="P93" i="2"/>
  <c r="P94" i="2"/>
  <c r="P106" i="2"/>
  <c r="P107" i="2"/>
  <c r="P108" i="2"/>
  <c r="P109" i="2"/>
  <c r="P110" i="2"/>
  <c r="P122" i="2"/>
  <c r="P123" i="2"/>
  <c r="P124" i="2"/>
  <c r="P125" i="2"/>
  <c r="P126" i="2"/>
  <c r="P138" i="2"/>
  <c r="P139" i="2"/>
  <c r="P140" i="2"/>
  <c r="P141" i="2"/>
  <c r="P142" i="2"/>
  <c r="P20" i="2"/>
  <c r="P31" i="2"/>
  <c r="P65" i="2"/>
  <c r="P80" i="2"/>
  <c r="P95" i="2"/>
  <c r="P96" i="2"/>
  <c r="P97" i="2"/>
  <c r="P111" i="2"/>
  <c r="P112" i="2"/>
  <c r="P113" i="2"/>
  <c r="P127" i="2"/>
  <c r="P128" i="2"/>
  <c r="P129" i="2"/>
  <c r="P233" i="2"/>
  <c r="P213" i="2"/>
  <c r="P22" i="2"/>
  <c r="P32" i="2"/>
  <c r="P47" i="2"/>
  <c r="P85" i="2"/>
  <c r="P86" i="2"/>
  <c r="P98" i="2"/>
  <c r="P99" i="2"/>
  <c r="P100" i="2"/>
  <c r="P101" i="2"/>
  <c r="P102" i="2"/>
  <c r="P114" i="2"/>
  <c r="P115" i="2"/>
  <c r="P116" i="2"/>
  <c r="P117" i="2"/>
  <c r="P118" i="2"/>
  <c r="P130" i="2"/>
  <c r="P131" i="2"/>
  <c r="P132" i="2"/>
  <c r="P133" i="2"/>
  <c r="P134" i="2"/>
  <c r="P146" i="2"/>
  <c r="P147" i="2"/>
  <c r="P148" i="2"/>
  <c r="P149" i="2"/>
  <c r="P150" i="2"/>
  <c r="P79" i="2"/>
  <c r="P89" i="2"/>
  <c r="P104" i="2"/>
  <c r="P119" i="2"/>
  <c r="P151" i="2"/>
  <c r="P159" i="2"/>
  <c r="P160" i="2"/>
  <c r="P161" i="2"/>
  <c r="P175" i="2"/>
  <c r="P176" i="2"/>
  <c r="P177" i="2"/>
  <c r="P181" i="2"/>
  <c r="P143" i="2"/>
  <c r="P154" i="2"/>
  <c r="P157" i="2"/>
  <c r="P170" i="2"/>
  <c r="P173" i="2"/>
  <c r="P81" i="2"/>
  <c r="P105" i="2"/>
  <c r="P120" i="2"/>
  <c r="P135" i="2"/>
  <c r="P144" i="2"/>
  <c r="P162" i="2"/>
  <c r="P163" i="2"/>
  <c r="P164" i="2"/>
  <c r="P165" i="2"/>
  <c r="P166" i="2"/>
  <c r="P178" i="2"/>
  <c r="P179" i="2"/>
  <c r="P180" i="2"/>
  <c r="P182" i="2"/>
  <c r="P6" i="2"/>
  <c r="P63" i="2"/>
  <c r="P137" i="2"/>
  <c r="P152" i="2"/>
  <c r="P156" i="2"/>
  <c r="P172" i="2"/>
  <c r="P87" i="2"/>
  <c r="P121" i="2"/>
  <c r="P136" i="2"/>
  <c r="P153" i="2"/>
  <c r="P167" i="2"/>
  <c r="P168" i="2"/>
  <c r="P169" i="2"/>
  <c r="P183" i="2"/>
  <c r="P184" i="2"/>
  <c r="P5" i="2"/>
  <c r="P33" i="2"/>
  <c r="P48" i="2"/>
  <c r="P88" i="2"/>
  <c r="P103" i="2"/>
  <c r="P145" i="2"/>
  <c r="P155" i="2"/>
  <c r="P158" i="2"/>
  <c r="P171" i="2"/>
  <c r="P174" i="2"/>
  <c r="F6" i="2"/>
  <c r="C7" i="2" s="1"/>
  <c r="F7" i="2" s="1"/>
  <c r="C8" i="2" s="1"/>
  <c r="F8" i="2" s="1"/>
  <c r="C9" i="2" s="1"/>
  <c r="F9" i="2" s="1"/>
  <c r="C10" i="2" s="1"/>
  <c r="F10" i="2" s="1"/>
  <c r="B7" i="2"/>
  <c r="B11" i="2"/>
  <c r="B15" i="2"/>
  <c r="B19" i="2"/>
  <c r="B23" i="2"/>
  <c r="B27" i="2"/>
  <c r="B31" i="2"/>
  <c r="B35" i="2"/>
  <c r="B39" i="2"/>
  <c r="B43" i="2"/>
  <c r="B47" i="2"/>
  <c r="B51" i="2"/>
  <c r="B55" i="2"/>
  <c r="B59" i="2"/>
  <c r="B63" i="2"/>
  <c r="B67" i="2"/>
  <c r="B71" i="2"/>
  <c r="B75" i="2"/>
  <c r="B79" i="2"/>
  <c r="B83" i="2"/>
  <c r="B87" i="2"/>
  <c r="B91" i="2"/>
  <c r="B95" i="2"/>
  <c r="B99" i="2"/>
  <c r="B103" i="2"/>
  <c r="B107" i="2"/>
  <c r="B111" i="2"/>
  <c r="B115" i="2"/>
  <c r="B119" i="2"/>
  <c r="B123" i="2"/>
  <c r="B127" i="2"/>
  <c r="B131" i="2"/>
  <c r="B135" i="2"/>
  <c r="B139" i="2"/>
  <c r="B143" i="2"/>
  <c r="B147" i="2"/>
  <c r="B8" i="2"/>
  <c r="B12" i="2"/>
  <c r="B16" i="2"/>
  <c r="B20" i="2"/>
  <c r="B24" i="2"/>
  <c r="B28" i="2"/>
  <c r="B32" i="2"/>
  <c r="B36" i="2"/>
  <c r="B40" i="2"/>
  <c r="B44" i="2"/>
  <c r="B48" i="2"/>
  <c r="B52" i="2"/>
  <c r="B56" i="2"/>
  <c r="B60" i="2"/>
  <c r="B64" i="2"/>
  <c r="B68" i="2"/>
  <c r="B72" i="2"/>
  <c r="B76" i="2"/>
  <c r="B80" i="2"/>
  <c r="B84" i="2"/>
  <c r="B88" i="2"/>
  <c r="B92" i="2"/>
  <c r="B96" i="2"/>
  <c r="B100" i="2"/>
  <c r="B104" i="2"/>
  <c r="B108" i="2"/>
  <c r="B112" i="2"/>
  <c r="B116" i="2"/>
  <c r="B120" i="2"/>
  <c r="B124" i="2"/>
  <c r="B128" i="2"/>
  <c r="B132" i="2"/>
  <c r="B136" i="2"/>
  <c r="B140" i="2"/>
  <c r="B144" i="2"/>
  <c r="B9" i="2"/>
  <c r="B13" i="2"/>
  <c r="B17" i="2"/>
  <c r="B21" i="2"/>
  <c r="B25" i="2"/>
  <c r="B29" i="2"/>
  <c r="B33" i="2"/>
  <c r="B37" i="2"/>
  <c r="B41" i="2"/>
  <c r="B45" i="2"/>
  <c r="B49" i="2"/>
  <c r="B53" i="2"/>
  <c r="B57" i="2"/>
  <c r="B61" i="2"/>
  <c r="B65" i="2"/>
  <c r="B69" i="2"/>
  <c r="B73" i="2"/>
  <c r="B77" i="2"/>
  <c r="B81" i="2"/>
  <c r="B85" i="2"/>
  <c r="B89" i="2"/>
  <c r="B93" i="2"/>
  <c r="B97" i="2"/>
  <c r="B101" i="2"/>
  <c r="B105" i="2"/>
  <c r="B109" i="2"/>
  <c r="B113" i="2"/>
  <c r="B117" i="2"/>
  <c r="B121" i="2"/>
  <c r="B125" i="2"/>
  <c r="B129" i="2"/>
  <c r="B133" i="2"/>
  <c r="B137" i="2"/>
  <c r="B141" i="2"/>
  <c r="B145" i="2"/>
  <c r="B5" i="2"/>
  <c r="B10" i="2"/>
  <c r="B26" i="2"/>
  <c r="B42" i="2"/>
  <c r="B58" i="2"/>
  <c r="B74" i="2"/>
  <c r="B90" i="2"/>
  <c r="B106" i="2"/>
  <c r="B122" i="2"/>
  <c r="B138" i="2"/>
  <c r="B18" i="2"/>
  <c r="B34" i="2"/>
  <c r="B50" i="2"/>
  <c r="B66" i="2"/>
  <c r="B82" i="2"/>
  <c r="B98" i="2"/>
  <c r="B114" i="2"/>
  <c r="B130" i="2"/>
  <c r="B146" i="2"/>
  <c r="B22" i="2"/>
  <c r="B54" i="2"/>
  <c r="B86" i="2"/>
  <c r="B118" i="2"/>
  <c r="B30" i="2"/>
  <c r="B62" i="2"/>
  <c r="B94" i="2"/>
  <c r="B126" i="2"/>
  <c r="B46" i="2"/>
  <c r="B78" i="2"/>
  <c r="B142" i="2"/>
  <c r="B6" i="2"/>
  <c r="B38" i="2"/>
  <c r="B70" i="2"/>
  <c r="B102" i="2"/>
  <c r="B134" i="2"/>
  <c r="B14" i="2"/>
  <c r="B110" i="2"/>
  <c r="M6" i="2"/>
  <c r="J7" i="2" s="1"/>
  <c r="C15" i="1"/>
  <c r="I8" i="2"/>
  <c r="I12" i="2"/>
  <c r="I16" i="2"/>
  <c r="I20" i="2"/>
  <c r="I24" i="2"/>
  <c r="I28" i="2"/>
  <c r="I32" i="2"/>
  <c r="I36" i="2"/>
  <c r="I40" i="2"/>
  <c r="I44" i="2"/>
  <c r="I48" i="2"/>
  <c r="I52" i="2"/>
  <c r="I9" i="2"/>
  <c r="I13" i="2"/>
  <c r="I17" i="2"/>
  <c r="I21" i="2"/>
  <c r="I25" i="2"/>
  <c r="I29" i="2"/>
  <c r="I33" i="2"/>
  <c r="I37" i="2"/>
  <c r="I41" i="2"/>
  <c r="I45" i="2"/>
  <c r="I49" i="2"/>
  <c r="I53" i="2"/>
  <c r="I57" i="2"/>
  <c r="I5" i="2"/>
  <c r="I6" i="2"/>
  <c r="I10" i="2"/>
  <c r="I14" i="2"/>
  <c r="I18" i="2"/>
  <c r="I22" i="2"/>
  <c r="I26" i="2"/>
  <c r="I30" i="2"/>
  <c r="I34" i="2"/>
  <c r="I38" i="2"/>
  <c r="I42" i="2"/>
  <c r="I46" i="2"/>
  <c r="I50" i="2"/>
  <c r="I54" i="2"/>
  <c r="I58" i="2"/>
  <c r="I19" i="2"/>
  <c r="I35" i="2"/>
  <c r="I51" i="2"/>
  <c r="I60" i="2"/>
  <c r="I64" i="2"/>
  <c r="I68" i="2"/>
  <c r="I72" i="2"/>
  <c r="I76" i="2"/>
  <c r="I80" i="2"/>
  <c r="I84" i="2"/>
  <c r="I88" i="2"/>
  <c r="I92" i="2"/>
  <c r="I96" i="2"/>
  <c r="I100" i="2"/>
  <c r="I104" i="2"/>
  <c r="I108" i="2"/>
  <c r="I112" i="2"/>
  <c r="I116" i="2"/>
  <c r="I120" i="2"/>
  <c r="I124" i="2"/>
  <c r="I128" i="2"/>
  <c r="I132" i="2"/>
  <c r="I136" i="2"/>
  <c r="I140" i="2"/>
  <c r="I144" i="2"/>
  <c r="I148" i="2"/>
  <c r="I152" i="2"/>
  <c r="I156" i="2"/>
  <c r="I160" i="2"/>
  <c r="I164" i="2"/>
  <c r="I168" i="2"/>
  <c r="I172" i="2"/>
  <c r="I176" i="2"/>
  <c r="I180" i="2"/>
  <c r="I181" i="2"/>
  <c r="I11" i="2"/>
  <c r="I56" i="2"/>
  <c r="I66" i="2"/>
  <c r="I78" i="2"/>
  <c r="I86" i="2"/>
  <c r="I98" i="2"/>
  <c r="I110" i="2"/>
  <c r="I118" i="2"/>
  <c r="I130" i="2"/>
  <c r="I142" i="2"/>
  <c r="I154" i="2"/>
  <c r="I162" i="2"/>
  <c r="I174" i="2"/>
  <c r="I15" i="2"/>
  <c r="I59" i="2"/>
  <c r="I71" i="2"/>
  <c r="I83" i="2"/>
  <c r="I95" i="2"/>
  <c r="I103" i="2"/>
  <c r="I111" i="2"/>
  <c r="I123" i="2"/>
  <c r="I135" i="2"/>
  <c r="I143" i="2"/>
  <c r="I155" i="2"/>
  <c r="I163" i="2"/>
  <c r="I175" i="2"/>
  <c r="I7" i="2"/>
  <c r="I23" i="2"/>
  <c r="I39" i="2"/>
  <c r="I55" i="2"/>
  <c r="I61" i="2"/>
  <c r="I65" i="2"/>
  <c r="I69" i="2"/>
  <c r="I73" i="2"/>
  <c r="I77" i="2"/>
  <c r="I81" i="2"/>
  <c r="I85" i="2"/>
  <c r="I89" i="2"/>
  <c r="I93" i="2"/>
  <c r="I97" i="2"/>
  <c r="I101" i="2"/>
  <c r="I105" i="2"/>
  <c r="I109" i="2"/>
  <c r="I113" i="2"/>
  <c r="I117" i="2"/>
  <c r="I121" i="2"/>
  <c r="I125" i="2"/>
  <c r="I129" i="2"/>
  <c r="I133" i="2"/>
  <c r="I137" i="2"/>
  <c r="I141" i="2"/>
  <c r="I145" i="2"/>
  <c r="I149" i="2"/>
  <c r="I153" i="2"/>
  <c r="I157" i="2"/>
  <c r="I161" i="2"/>
  <c r="I165" i="2"/>
  <c r="I169" i="2"/>
  <c r="I173" i="2"/>
  <c r="I177" i="2"/>
  <c r="I27" i="2"/>
  <c r="I62" i="2"/>
  <c r="I70" i="2"/>
  <c r="I82" i="2"/>
  <c r="I90" i="2"/>
  <c r="I102" i="2"/>
  <c r="I114" i="2"/>
  <c r="I126" i="2"/>
  <c r="I134" i="2"/>
  <c r="I146" i="2"/>
  <c r="I158" i="2"/>
  <c r="I170" i="2"/>
  <c r="I182" i="2"/>
  <c r="I47" i="2"/>
  <c r="I67" i="2"/>
  <c r="I79" i="2"/>
  <c r="I91" i="2"/>
  <c r="I107" i="2"/>
  <c r="I119" i="2"/>
  <c r="I131" i="2"/>
  <c r="I147" i="2"/>
  <c r="I159" i="2"/>
  <c r="I171" i="2"/>
  <c r="I183" i="2"/>
  <c r="I43" i="2"/>
  <c r="I74" i="2"/>
  <c r="I94" i="2"/>
  <c r="I106" i="2"/>
  <c r="I122" i="2"/>
  <c r="I138" i="2"/>
  <c r="I150" i="2"/>
  <c r="I166" i="2"/>
  <c r="I178" i="2"/>
  <c r="I31" i="2"/>
  <c r="I63" i="2"/>
  <c r="I75" i="2"/>
  <c r="I87" i="2"/>
  <c r="I99" i="2"/>
  <c r="I115" i="2"/>
  <c r="I127" i="2"/>
  <c r="I139" i="2"/>
  <c r="I151" i="2"/>
  <c r="I167" i="2"/>
  <c r="I179" i="2"/>
  <c r="M7" i="2" l="1"/>
  <c r="J8" i="2" s="1"/>
  <c r="M8" i="2" s="1"/>
  <c r="J9" i="2" s="1"/>
  <c r="C11" i="2"/>
  <c r="F11" i="2" s="1"/>
  <c r="M9" i="2" l="1"/>
  <c r="J10" i="2" s="1"/>
  <c r="C12" i="2"/>
  <c r="F12" i="2" s="1"/>
  <c r="M10" i="2" l="1"/>
  <c r="J11" i="2" s="1"/>
  <c r="C13" i="2"/>
  <c r="F13" i="2" s="1"/>
  <c r="M11" i="2" l="1"/>
  <c r="J12" i="2" s="1"/>
  <c r="C14" i="2"/>
  <c r="F14" i="2" s="1"/>
  <c r="M12" i="2" l="1"/>
  <c r="J13" i="2" s="1"/>
  <c r="C15" i="2"/>
  <c r="F15" i="2" s="1"/>
  <c r="M13" i="2" l="1"/>
  <c r="J14" i="2" s="1"/>
  <c r="C16" i="2"/>
  <c r="F16" i="2" s="1"/>
  <c r="M14" i="2" l="1"/>
  <c r="J15" i="2" s="1"/>
  <c r="C17" i="2"/>
  <c r="F17" i="2" s="1"/>
  <c r="M15" i="2" l="1"/>
  <c r="J16" i="2" s="1"/>
  <c r="C18" i="2"/>
  <c r="F18" i="2" s="1"/>
  <c r="M16" i="2" l="1"/>
  <c r="J17" i="2" s="1"/>
  <c r="C19" i="2"/>
  <c r="F19" i="2" s="1"/>
  <c r="M17" i="2" l="1"/>
  <c r="J18" i="2" s="1"/>
  <c r="C20" i="2"/>
  <c r="F20" i="2" s="1"/>
  <c r="M18" i="2" l="1"/>
  <c r="J19" i="2" s="1"/>
  <c r="C21" i="2"/>
  <c r="F21" i="2" s="1"/>
  <c r="M19" i="2" l="1"/>
  <c r="J20" i="2" s="1"/>
  <c r="C22" i="2"/>
  <c r="F22" i="2" s="1"/>
  <c r="M20" i="2" l="1"/>
  <c r="J21" i="2" s="1"/>
  <c r="C23" i="2"/>
  <c r="F23" i="2" s="1"/>
  <c r="M21" i="2" l="1"/>
  <c r="J22" i="2" s="1"/>
  <c r="C24" i="2"/>
  <c r="F24" i="2" s="1"/>
  <c r="M22" i="2" l="1"/>
  <c r="J23" i="2" s="1"/>
  <c r="C25" i="2"/>
  <c r="F25" i="2" s="1"/>
  <c r="M23" i="2" l="1"/>
  <c r="J24" i="2" s="1"/>
  <c r="C26" i="2"/>
  <c r="F26" i="2" s="1"/>
  <c r="M24" i="2" l="1"/>
  <c r="J25" i="2" s="1"/>
  <c r="C27" i="2"/>
  <c r="F27" i="2" s="1"/>
  <c r="M25" i="2" l="1"/>
  <c r="J26" i="2" s="1"/>
  <c r="C28" i="2"/>
  <c r="F28" i="2" s="1"/>
  <c r="M26" i="2" l="1"/>
  <c r="J27" i="2" s="1"/>
  <c r="C29" i="2"/>
  <c r="F29" i="2" s="1"/>
  <c r="M27" i="2" l="1"/>
  <c r="J28" i="2" s="1"/>
  <c r="C30" i="2"/>
  <c r="F30" i="2" s="1"/>
  <c r="M28" i="2" l="1"/>
  <c r="J29" i="2" s="1"/>
  <c r="C31" i="2"/>
  <c r="F31" i="2" s="1"/>
  <c r="M29" i="2" l="1"/>
  <c r="J30" i="2" s="1"/>
  <c r="C32" i="2"/>
  <c r="F32" i="2" s="1"/>
  <c r="M30" i="2" l="1"/>
  <c r="J31" i="2" s="1"/>
  <c r="C33" i="2"/>
  <c r="F33" i="2" s="1"/>
  <c r="M31" i="2" l="1"/>
  <c r="J32" i="2" s="1"/>
  <c r="C34" i="2"/>
  <c r="F34" i="2" s="1"/>
  <c r="M32" i="2" l="1"/>
  <c r="J33" i="2" s="1"/>
  <c r="C35" i="2"/>
  <c r="F35" i="2" s="1"/>
  <c r="M33" i="2" l="1"/>
  <c r="J34" i="2" s="1"/>
  <c r="C36" i="2"/>
  <c r="F36" i="2" s="1"/>
  <c r="M34" i="2" l="1"/>
  <c r="J35" i="2" s="1"/>
  <c r="C37" i="2"/>
  <c r="F37" i="2" s="1"/>
  <c r="M35" i="2" l="1"/>
  <c r="J36" i="2" s="1"/>
  <c r="C38" i="2"/>
  <c r="F38" i="2" s="1"/>
  <c r="M36" i="2" l="1"/>
  <c r="J37" i="2" s="1"/>
  <c r="C39" i="2"/>
  <c r="F39" i="2" s="1"/>
  <c r="M37" i="2" l="1"/>
  <c r="J38" i="2" s="1"/>
  <c r="C40" i="2"/>
  <c r="F40" i="2" s="1"/>
  <c r="M38" i="2" l="1"/>
  <c r="J39" i="2" s="1"/>
  <c r="C41" i="2"/>
  <c r="F41" i="2" s="1"/>
  <c r="M39" i="2" l="1"/>
  <c r="J40" i="2" s="1"/>
  <c r="C42" i="2"/>
  <c r="F42" i="2" s="1"/>
  <c r="M40" i="2" l="1"/>
  <c r="J41" i="2" s="1"/>
  <c r="C43" i="2"/>
  <c r="F43" i="2" s="1"/>
  <c r="M41" i="2" l="1"/>
  <c r="J42" i="2" s="1"/>
  <c r="C44" i="2"/>
  <c r="F44" i="2" s="1"/>
  <c r="M42" i="2" l="1"/>
  <c r="J43" i="2" s="1"/>
  <c r="C45" i="2"/>
  <c r="F45" i="2" s="1"/>
  <c r="M43" i="2" l="1"/>
  <c r="J44" i="2" s="1"/>
  <c r="C46" i="2"/>
  <c r="F46" i="2" s="1"/>
  <c r="M44" i="2" l="1"/>
  <c r="J45" i="2" s="1"/>
  <c r="C47" i="2"/>
  <c r="F47" i="2" s="1"/>
  <c r="M45" i="2" l="1"/>
  <c r="J46" i="2" s="1"/>
  <c r="C48" i="2"/>
  <c r="F48" i="2" s="1"/>
  <c r="M46" i="2" l="1"/>
  <c r="J47" i="2" s="1"/>
  <c r="C49" i="2"/>
  <c r="F49" i="2" s="1"/>
  <c r="M47" i="2" l="1"/>
  <c r="J48" i="2" s="1"/>
  <c r="C50" i="2"/>
  <c r="F50" i="2" s="1"/>
  <c r="M48" i="2" l="1"/>
  <c r="J49" i="2" s="1"/>
  <c r="C51" i="2"/>
  <c r="F51" i="2" s="1"/>
  <c r="M49" i="2" l="1"/>
  <c r="J50" i="2" s="1"/>
  <c r="C52" i="2"/>
  <c r="F52" i="2" s="1"/>
  <c r="M50" i="2" l="1"/>
  <c r="J51" i="2" s="1"/>
  <c r="C53" i="2"/>
  <c r="F53" i="2" s="1"/>
  <c r="M51" i="2" l="1"/>
  <c r="J52" i="2" s="1"/>
  <c r="C54" i="2"/>
  <c r="F54" i="2" s="1"/>
  <c r="M52" i="2" l="1"/>
  <c r="J53" i="2" s="1"/>
  <c r="C55" i="2"/>
  <c r="F55" i="2" s="1"/>
  <c r="M53" i="2" l="1"/>
  <c r="J54" i="2" s="1"/>
  <c r="C56" i="2"/>
  <c r="F56" i="2" s="1"/>
  <c r="M54" i="2" l="1"/>
  <c r="J55" i="2" s="1"/>
  <c r="C57" i="2"/>
  <c r="F57" i="2" s="1"/>
  <c r="M55" i="2" l="1"/>
  <c r="J56" i="2" s="1"/>
  <c r="C58" i="2"/>
  <c r="F58" i="2" s="1"/>
  <c r="M56" i="2" l="1"/>
  <c r="J57" i="2" s="1"/>
  <c r="C59" i="2"/>
  <c r="F59" i="2" s="1"/>
  <c r="M57" i="2" l="1"/>
  <c r="J58" i="2" s="1"/>
  <c r="C60" i="2"/>
  <c r="F60" i="2" s="1"/>
  <c r="M58" i="2" l="1"/>
  <c r="J59" i="2" s="1"/>
  <c r="C61" i="2"/>
  <c r="F61" i="2" s="1"/>
  <c r="M59" i="2" l="1"/>
  <c r="J60" i="2" s="1"/>
  <c r="C62" i="2"/>
  <c r="F62" i="2" s="1"/>
  <c r="M60" i="2" l="1"/>
  <c r="J61" i="2" s="1"/>
  <c r="C63" i="2"/>
  <c r="F63" i="2" s="1"/>
  <c r="M61" i="2" l="1"/>
  <c r="J62" i="2" s="1"/>
  <c r="C64" i="2"/>
  <c r="F64" i="2" s="1"/>
  <c r="M62" i="2" l="1"/>
  <c r="J63" i="2" s="1"/>
  <c r="C65" i="2"/>
  <c r="F65" i="2" s="1"/>
  <c r="M63" i="2" l="1"/>
  <c r="J64" i="2" s="1"/>
  <c r="C66" i="2"/>
  <c r="F66" i="2" s="1"/>
  <c r="M64" i="2" l="1"/>
  <c r="J65" i="2" s="1"/>
  <c r="C67" i="2"/>
  <c r="F67" i="2" s="1"/>
  <c r="M65" i="2" l="1"/>
  <c r="J66" i="2" s="1"/>
  <c r="C68" i="2"/>
  <c r="F68" i="2" s="1"/>
  <c r="M66" i="2" l="1"/>
  <c r="J67" i="2" s="1"/>
  <c r="C69" i="2"/>
  <c r="F69" i="2" s="1"/>
  <c r="M67" i="2" l="1"/>
  <c r="J68" i="2" s="1"/>
  <c r="C70" i="2"/>
  <c r="F70" i="2" s="1"/>
  <c r="M68" i="2" l="1"/>
  <c r="J69" i="2" s="1"/>
  <c r="C71" i="2"/>
  <c r="F71" i="2" s="1"/>
  <c r="M69" i="2" l="1"/>
  <c r="J70" i="2" s="1"/>
  <c r="C72" i="2"/>
  <c r="F72" i="2" s="1"/>
  <c r="M70" i="2" l="1"/>
  <c r="J71" i="2" s="1"/>
  <c r="C73" i="2"/>
  <c r="F73" i="2" s="1"/>
  <c r="M71" i="2" l="1"/>
  <c r="J72" i="2" s="1"/>
  <c r="C74" i="2"/>
  <c r="F74" i="2" s="1"/>
  <c r="M72" i="2" l="1"/>
  <c r="J73" i="2" s="1"/>
  <c r="C75" i="2"/>
  <c r="F75" i="2" s="1"/>
  <c r="M73" i="2" l="1"/>
  <c r="J74" i="2" s="1"/>
  <c r="C76" i="2"/>
  <c r="F76" i="2" s="1"/>
  <c r="M74" i="2" l="1"/>
  <c r="J75" i="2" s="1"/>
  <c r="C77" i="2"/>
  <c r="F77" i="2" s="1"/>
  <c r="M75" i="2" l="1"/>
  <c r="J76" i="2" s="1"/>
  <c r="C78" i="2"/>
  <c r="F78" i="2" s="1"/>
  <c r="M76" i="2" l="1"/>
  <c r="J77" i="2" s="1"/>
  <c r="C79" i="2"/>
  <c r="F79" i="2" s="1"/>
  <c r="M77" i="2" l="1"/>
  <c r="J78" i="2" s="1"/>
  <c r="C80" i="2"/>
  <c r="F80" i="2" s="1"/>
  <c r="M78" i="2" l="1"/>
  <c r="J79" i="2" s="1"/>
  <c r="C81" i="2"/>
  <c r="F81" i="2" s="1"/>
  <c r="M79" i="2" l="1"/>
  <c r="J80" i="2" s="1"/>
  <c r="C82" i="2"/>
  <c r="F82" i="2" s="1"/>
  <c r="M80" i="2" l="1"/>
  <c r="J81" i="2" s="1"/>
  <c r="C83" i="2"/>
  <c r="F83" i="2" s="1"/>
  <c r="M81" i="2" l="1"/>
  <c r="J82" i="2" s="1"/>
  <c r="C84" i="2"/>
  <c r="F84" i="2" s="1"/>
  <c r="M82" i="2" l="1"/>
  <c r="J83" i="2" s="1"/>
  <c r="C85" i="2"/>
  <c r="F85" i="2" s="1"/>
  <c r="M83" i="2" l="1"/>
  <c r="J84" i="2" s="1"/>
  <c r="C86" i="2"/>
  <c r="F86" i="2" s="1"/>
  <c r="M84" i="2" l="1"/>
  <c r="J85" i="2" s="1"/>
  <c r="C87" i="2"/>
  <c r="F87" i="2" s="1"/>
  <c r="M85" i="2" l="1"/>
  <c r="J86" i="2" s="1"/>
  <c r="C88" i="2"/>
  <c r="F88" i="2" s="1"/>
  <c r="M86" i="2" l="1"/>
  <c r="J87" i="2" s="1"/>
  <c r="C89" i="2"/>
  <c r="F89" i="2" s="1"/>
  <c r="M87" i="2" l="1"/>
  <c r="J88" i="2" s="1"/>
  <c r="C90" i="2"/>
  <c r="F90" i="2" s="1"/>
  <c r="M88" i="2" l="1"/>
  <c r="J89" i="2" s="1"/>
  <c r="C91" i="2"/>
  <c r="F91" i="2" s="1"/>
  <c r="M89" i="2" l="1"/>
  <c r="J90" i="2" s="1"/>
  <c r="C92" i="2"/>
  <c r="F92" i="2" s="1"/>
  <c r="M90" i="2" l="1"/>
  <c r="J91" i="2" s="1"/>
  <c r="C93" i="2"/>
  <c r="F93" i="2" s="1"/>
  <c r="M91" i="2" l="1"/>
  <c r="J92" i="2" s="1"/>
  <c r="C94" i="2"/>
  <c r="F94" i="2" s="1"/>
  <c r="M92" i="2" l="1"/>
  <c r="J93" i="2" s="1"/>
  <c r="C95" i="2"/>
  <c r="F95" i="2" s="1"/>
  <c r="M93" i="2" l="1"/>
  <c r="J94" i="2" s="1"/>
  <c r="C96" i="2"/>
  <c r="F96" i="2" s="1"/>
  <c r="M94" i="2" l="1"/>
  <c r="J95" i="2" s="1"/>
  <c r="C97" i="2"/>
  <c r="F97" i="2" s="1"/>
  <c r="M95" i="2" l="1"/>
  <c r="J96" i="2" s="1"/>
  <c r="C98" i="2"/>
  <c r="F98" i="2" s="1"/>
  <c r="M96" i="2" l="1"/>
  <c r="J97" i="2" s="1"/>
  <c r="C99" i="2"/>
  <c r="F99" i="2" s="1"/>
  <c r="M97" i="2" l="1"/>
  <c r="J98" i="2" s="1"/>
  <c r="C100" i="2"/>
  <c r="F100" i="2" s="1"/>
  <c r="M98" i="2" l="1"/>
  <c r="J99" i="2" s="1"/>
  <c r="C101" i="2"/>
  <c r="F101" i="2" s="1"/>
  <c r="M99" i="2" l="1"/>
  <c r="J100" i="2" s="1"/>
  <c r="C102" i="2"/>
  <c r="F102" i="2" s="1"/>
  <c r="M100" i="2" l="1"/>
  <c r="J101" i="2" s="1"/>
  <c r="C103" i="2"/>
  <c r="F103" i="2" s="1"/>
  <c r="M101" i="2" l="1"/>
  <c r="J102" i="2" s="1"/>
  <c r="C104" i="2"/>
  <c r="F104" i="2" s="1"/>
  <c r="M102" i="2" l="1"/>
  <c r="J103" i="2" s="1"/>
  <c r="C105" i="2"/>
  <c r="F105" i="2" s="1"/>
  <c r="M103" i="2" l="1"/>
  <c r="J104" i="2" s="1"/>
  <c r="C106" i="2"/>
  <c r="F106" i="2" s="1"/>
  <c r="M104" i="2" l="1"/>
  <c r="J105" i="2" s="1"/>
  <c r="C107" i="2"/>
  <c r="F107" i="2" s="1"/>
  <c r="M105" i="2" l="1"/>
  <c r="J106" i="2" s="1"/>
  <c r="C108" i="2"/>
  <c r="F108" i="2" s="1"/>
  <c r="M106" i="2" l="1"/>
  <c r="J107" i="2" s="1"/>
  <c r="C109" i="2"/>
  <c r="F109" i="2" s="1"/>
  <c r="M107" i="2" l="1"/>
  <c r="J108" i="2" s="1"/>
  <c r="C110" i="2"/>
  <c r="F110" i="2" s="1"/>
  <c r="M108" i="2" l="1"/>
  <c r="J109" i="2" s="1"/>
  <c r="C111" i="2"/>
  <c r="F111" i="2" s="1"/>
  <c r="M109" i="2" l="1"/>
  <c r="J110" i="2" s="1"/>
  <c r="C112" i="2"/>
  <c r="F112" i="2" s="1"/>
  <c r="M110" i="2" l="1"/>
  <c r="J111" i="2" s="1"/>
  <c r="C113" i="2"/>
  <c r="F113" i="2" s="1"/>
  <c r="M111" i="2" l="1"/>
  <c r="J112" i="2" s="1"/>
  <c r="C114" i="2"/>
  <c r="F114" i="2" s="1"/>
  <c r="M112" i="2" l="1"/>
  <c r="J113" i="2" s="1"/>
  <c r="C115" i="2"/>
  <c r="F115" i="2" s="1"/>
  <c r="M113" i="2" l="1"/>
  <c r="J114" i="2" s="1"/>
  <c r="C116" i="2"/>
  <c r="F116" i="2" s="1"/>
  <c r="M114" i="2" l="1"/>
  <c r="J115" i="2" s="1"/>
  <c r="C117" i="2"/>
  <c r="F117" i="2" s="1"/>
  <c r="M115" i="2" l="1"/>
  <c r="J116" i="2" s="1"/>
  <c r="C118" i="2"/>
  <c r="F118" i="2" s="1"/>
  <c r="M116" i="2" l="1"/>
  <c r="J117" i="2" s="1"/>
  <c r="C119" i="2"/>
  <c r="F119" i="2" s="1"/>
  <c r="M117" i="2" l="1"/>
  <c r="J118" i="2" s="1"/>
  <c r="C120" i="2"/>
  <c r="F120" i="2" s="1"/>
  <c r="M118" i="2" l="1"/>
  <c r="J119" i="2" s="1"/>
  <c r="C121" i="2"/>
  <c r="F121" i="2" s="1"/>
  <c r="M119" i="2" l="1"/>
  <c r="J120" i="2" s="1"/>
  <c r="C122" i="2"/>
  <c r="F122" i="2" s="1"/>
  <c r="M120" i="2" l="1"/>
  <c r="J121" i="2" s="1"/>
  <c r="C123" i="2"/>
  <c r="F123" i="2" s="1"/>
  <c r="M121" i="2" l="1"/>
  <c r="J122" i="2" s="1"/>
  <c r="C124" i="2"/>
  <c r="F124" i="2" s="1"/>
  <c r="M122" i="2" l="1"/>
  <c r="J123" i="2" s="1"/>
  <c r="C125" i="2"/>
  <c r="F125" i="2" s="1"/>
  <c r="M123" i="2" l="1"/>
  <c r="J124" i="2" s="1"/>
  <c r="C126" i="2"/>
  <c r="F126" i="2" s="1"/>
  <c r="M124" i="2" l="1"/>
  <c r="J125" i="2" s="1"/>
  <c r="C127" i="2"/>
  <c r="F127" i="2" s="1"/>
  <c r="M125" i="2" l="1"/>
  <c r="J126" i="2" s="1"/>
  <c r="C128" i="2"/>
  <c r="F128" i="2" s="1"/>
  <c r="M126" i="2" l="1"/>
  <c r="J127" i="2" s="1"/>
  <c r="C129" i="2"/>
  <c r="F129" i="2" s="1"/>
  <c r="M127" i="2" l="1"/>
  <c r="J128" i="2" s="1"/>
  <c r="C130" i="2"/>
  <c r="F130" i="2" s="1"/>
  <c r="M128" i="2" l="1"/>
  <c r="J129" i="2" s="1"/>
  <c r="C131" i="2"/>
  <c r="F131" i="2" s="1"/>
  <c r="M129" i="2" l="1"/>
  <c r="J130" i="2" s="1"/>
  <c r="C132" i="2"/>
  <c r="F132" i="2" s="1"/>
  <c r="M130" i="2" l="1"/>
  <c r="J131" i="2" s="1"/>
  <c r="C133" i="2"/>
  <c r="F133" i="2" s="1"/>
  <c r="M131" i="2" l="1"/>
  <c r="J132" i="2" s="1"/>
  <c r="C134" i="2"/>
  <c r="F134" i="2" s="1"/>
  <c r="M132" i="2" l="1"/>
  <c r="J133" i="2" s="1"/>
  <c r="C135" i="2"/>
  <c r="F135" i="2" s="1"/>
  <c r="M133" i="2" l="1"/>
  <c r="J134" i="2" s="1"/>
  <c r="C136" i="2"/>
  <c r="F136" i="2" s="1"/>
  <c r="M134" i="2" l="1"/>
  <c r="J135" i="2" s="1"/>
  <c r="C137" i="2"/>
  <c r="F137" i="2" s="1"/>
  <c r="M135" i="2" l="1"/>
  <c r="J136" i="2" s="1"/>
  <c r="C138" i="2"/>
  <c r="F138" i="2" s="1"/>
  <c r="M136" i="2" l="1"/>
  <c r="J137" i="2" s="1"/>
  <c r="C139" i="2"/>
  <c r="F139" i="2" s="1"/>
  <c r="M137" i="2" l="1"/>
  <c r="J138" i="2" s="1"/>
  <c r="C140" i="2"/>
  <c r="F140" i="2" s="1"/>
  <c r="M138" i="2" l="1"/>
  <c r="J139" i="2" s="1"/>
  <c r="C141" i="2"/>
  <c r="F141" i="2" s="1"/>
  <c r="M139" i="2" l="1"/>
  <c r="J140" i="2" s="1"/>
  <c r="C142" i="2"/>
  <c r="F142" i="2" s="1"/>
  <c r="M140" i="2" l="1"/>
  <c r="J141" i="2" s="1"/>
  <c r="C143" i="2"/>
  <c r="F143" i="2" s="1"/>
  <c r="M141" i="2" l="1"/>
  <c r="J142" i="2" s="1"/>
  <c r="C144" i="2"/>
  <c r="F144" i="2" s="1"/>
  <c r="M142" i="2" l="1"/>
  <c r="J143" i="2" s="1"/>
  <c r="C145" i="2"/>
  <c r="F145" i="2" s="1"/>
  <c r="M143" i="2" l="1"/>
  <c r="J144" i="2" s="1"/>
  <c r="C146" i="2"/>
  <c r="F146" i="2" s="1"/>
  <c r="M144" i="2" l="1"/>
  <c r="J145" i="2" s="1"/>
  <c r="C147" i="2"/>
  <c r="F147" i="2" s="1"/>
  <c r="M145" i="2" l="1"/>
  <c r="J146" i="2" s="1"/>
  <c r="M146" i="2" l="1"/>
  <c r="J147" i="2" s="1"/>
  <c r="C148" i="2"/>
  <c r="E148" i="2"/>
  <c r="D148" i="2" l="1"/>
  <c r="F148" i="2" s="1"/>
  <c r="M147" i="2"/>
  <c r="J148" i="2" s="1"/>
  <c r="B148" i="2" l="1"/>
  <c r="M148" i="2"/>
  <c r="J149" i="2" s="1"/>
  <c r="M149" i="2" l="1"/>
  <c r="J150" i="2" s="1"/>
  <c r="M150" i="2" l="1"/>
  <c r="J151" i="2" s="1"/>
  <c r="M151" i="2" l="1"/>
  <c r="J152" i="2" s="1"/>
  <c r="M152" i="2" l="1"/>
  <c r="J153" i="2" s="1"/>
  <c r="M153" i="2" l="1"/>
  <c r="J154" i="2" s="1"/>
  <c r="M154" i="2" l="1"/>
  <c r="J155" i="2" s="1"/>
  <c r="M155" i="2" l="1"/>
  <c r="J156" i="2" s="1"/>
  <c r="M156" i="2" l="1"/>
  <c r="J157" i="2" s="1"/>
  <c r="M157" i="2" l="1"/>
  <c r="J158" i="2" s="1"/>
  <c r="M158" i="2" l="1"/>
  <c r="J159" i="2" s="1"/>
  <c r="M159" i="2" l="1"/>
  <c r="J160" i="2" s="1"/>
  <c r="M160" i="2" l="1"/>
  <c r="J161" i="2" s="1"/>
  <c r="M161" i="2" l="1"/>
  <c r="J162" i="2" s="1"/>
  <c r="M162" i="2" l="1"/>
  <c r="J163" i="2" s="1"/>
  <c r="M163" i="2" l="1"/>
  <c r="J164" i="2" s="1"/>
  <c r="M164" i="2" l="1"/>
  <c r="J165" i="2" s="1"/>
  <c r="M165" i="2" l="1"/>
  <c r="J166" i="2" s="1"/>
  <c r="M166" i="2" l="1"/>
  <c r="J167" i="2" s="1"/>
  <c r="M167" i="2" l="1"/>
  <c r="J168" i="2" s="1"/>
  <c r="M168" i="2" l="1"/>
  <c r="J169" i="2" s="1"/>
  <c r="M169" i="2" l="1"/>
  <c r="J170" i="2" s="1"/>
  <c r="M170" i="2" l="1"/>
  <c r="J171" i="2" s="1"/>
  <c r="M171" i="2" l="1"/>
  <c r="J172" i="2" s="1"/>
  <c r="M172" i="2" l="1"/>
  <c r="J173" i="2" s="1"/>
  <c r="M173" i="2" l="1"/>
  <c r="J174" i="2" s="1"/>
  <c r="M174" i="2" l="1"/>
  <c r="J175" i="2" s="1"/>
  <c r="M175" i="2" l="1"/>
  <c r="J176" i="2" s="1"/>
  <c r="M176" i="2" l="1"/>
  <c r="J177" i="2" s="1"/>
  <c r="M177" i="2" l="1"/>
  <c r="J178" i="2" s="1"/>
  <c r="M178" i="2" l="1"/>
  <c r="J179" i="2" s="1"/>
  <c r="M179" i="2" l="1"/>
  <c r="J180" i="2" s="1"/>
  <c r="M180" i="2" l="1"/>
  <c r="J181" i="2" s="1"/>
  <c r="M181" i="2" l="1"/>
  <c r="J182" i="2" s="1"/>
  <c r="M182" i="2" l="1"/>
  <c r="J183" i="2" s="1"/>
  <c r="M183" i="2" l="1"/>
  <c r="J184" i="2" l="1"/>
  <c r="L184" i="2"/>
  <c r="K184" i="2" l="1"/>
  <c r="I184" i="2" s="1"/>
  <c r="M184" i="2" l="1"/>
</calcChain>
</file>

<file path=xl/sharedStrings.xml><?xml version="1.0" encoding="utf-8"?>
<sst xmlns="http://schemas.openxmlformats.org/spreadsheetml/2006/main" count="54" uniqueCount="40">
  <si>
    <t>Long-Term Loan Info:</t>
  </si>
  <si>
    <t>Short-Term Loan Info:</t>
  </si>
  <si>
    <t>Estimated Monthly Payment</t>
  </si>
  <si>
    <t>years</t>
  </si>
  <si>
    <t>per month</t>
  </si>
  <si>
    <t>months</t>
  </si>
  <si>
    <t>short-term loan term</t>
  </si>
  <si>
    <t>Actual Interest Rate</t>
  </si>
  <si>
    <r>
      <t xml:space="preserve">Estimated Balloon Payment (if loan is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fully repaid by maturity date)</t>
    </r>
  </si>
  <si>
    <t>Promotional Estimated Balloon Payment (if loan is fully repaid by maturity date)</t>
  </si>
  <si>
    <t>due by maturity date</t>
  </si>
  <si>
    <r>
      <t xml:space="preserve">due upon maturity date at end of loan term </t>
    </r>
    <r>
      <rPr>
        <u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loan is </t>
    </r>
    <r>
      <rPr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paid by maturity date</t>
    </r>
  </si>
  <si>
    <t>Basic Info:</t>
  </si>
  <si>
    <t>long-term loan term</t>
  </si>
  <si>
    <t>Loan amount</t>
  </si>
  <si>
    <t>Enter loan-to-value (LTV) up to max 100%</t>
  </si>
  <si>
    <t>Enter loan-to-value (LTV) up to max 80%</t>
  </si>
  <si>
    <t>Choose interest Rate</t>
  </si>
  <si>
    <t>Choose promotional Interest Rate (if loan is fully repaid on or before maturity date)</t>
  </si>
  <si>
    <t>Enter total contract price</t>
  </si>
  <si>
    <t>Choose loan term (12 or 18 months)</t>
  </si>
  <si>
    <t>Payment Factor</t>
  </si>
  <si>
    <t>per $1,000 financed</t>
  </si>
  <si>
    <t>Month</t>
  </si>
  <si>
    <t>Principal</t>
  </si>
  <si>
    <t>Interest</t>
  </si>
  <si>
    <t>Beginning Balance</t>
  </si>
  <si>
    <t>Ending Balance</t>
  </si>
  <si>
    <t>12-Year Loan Amortization Table</t>
  </si>
  <si>
    <t>15-Year Loan Amortization Table</t>
  </si>
  <si>
    <t>* Shaded cells require user input</t>
  </si>
  <si>
    <t>20-Year Loan Amortization Table</t>
  </si>
  <si>
    <t>Maximum limit for a short-term, long-term, or "combo" solar PV system loan is $90,000</t>
  </si>
  <si>
    <t>* Please note this is for estimating and illustrative purposes only, and may not exactly match the approved loan and payment amounts</t>
  </si>
  <si>
    <t>Choose loan term (12, 15, or 20 years)</t>
  </si>
  <si>
    <t>Cash/Down payment(s)</t>
  </si>
  <si>
    <t>Amount financed</t>
  </si>
  <si>
    <t>Use 7.75% as default rate (NOTE:  rates vary by FICO score)</t>
  </si>
  <si>
    <t>Revised: 01-Sep-2023</t>
  </si>
  <si>
    <t>CLEAN ENERGY CREDIT UNION SOLAR PV SYSTEM "COMBO LOAN" PAYMENT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</si>
</sst>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44" fontId="0" fillId="0" borderId="0" xfId="1" applyFont="1" applyAlignment="1">
      <alignment vertical="center"/>
    </xf>
    <xf numFmtId="10" fontId="0" fillId="0" borderId="0" xfId="0" applyNumberFormat="1"/>
    <xf numFmtId="10" fontId="0" fillId="2" borderId="0" xfId="2" applyNumberFormat="1" applyFont="1" applyFill="1" applyAlignment="1">
      <alignment vertical="center"/>
    </xf>
    <xf numFmtId="9" fontId="0" fillId="2" borderId="0" xfId="1" applyNumberFormat="1" applyFont="1" applyFill="1"/>
    <xf numFmtId="44" fontId="0" fillId="0" borderId="0" xfId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44" fontId="0" fillId="0" borderId="1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1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0E5F-2350-4805-A35B-A29B0F97DCB4}">
  <dimension ref="A1:D35"/>
  <sheetViews>
    <sheetView tabSelected="1" workbookViewId="0"/>
  </sheetViews>
  <sheetFormatPr defaultRowHeight="15" x14ac:dyDescent="0.25"/>
  <cols>
    <col min="1" max="1" width="4" customWidth="1"/>
    <col min="2" max="2" width="48.28515625" customWidth="1"/>
    <col min="3" max="3" width="12.28515625" customWidth="1"/>
    <col min="4" max="4" width="88.42578125" bestFit="1" customWidth="1"/>
  </cols>
  <sheetData>
    <row r="1" spans="1:4" ht="18.75" x14ac:dyDescent="0.3">
      <c r="A1" s="17" t="s">
        <v>39</v>
      </c>
    </row>
    <row r="2" spans="1:4" x14ac:dyDescent="0.25">
      <c r="A2" s="19" t="s">
        <v>33</v>
      </c>
      <c r="D2" s="18"/>
    </row>
    <row r="3" spans="1:4" x14ac:dyDescent="0.25">
      <c r="A3" s="19" t="s">
        <v>30</v>
      </c>
      <c r="D3" s="18" t="s">
        <v>38</v>
      </c>
    </row>
    <row r="5" spans="1:4" x14ac:dyDescent="0.25">
      <c r="A5" s="6" t="s">
        <v>12</v>
      </c>
    </row>
    <row r="6" spans="1:4" x14ac:dyDescent="0.25">
      <c r="B6" t="s">
        <v>19</v>
      </c>
      <c r="C6" s="2">
        <v>20000</v>
      </c>
    </row>
    <row r="7" spans="1:4" x14ac:dyDescent="0.25">
      <c r="B7" s="5" t="s">
        <v>35</v>
      </c>
      <c r="C7" s="2">
        <v>0</v>
      </c>
    </row>
    <row r="8" spans="1:4" x14ac:dyDescent="0.25">
      <c r="B8" s="5" t="s">
        <v>36</v>
      </c>
      <c r="C8" s="20">
        <f>C6-C7</f>
        <v>20000</v>
      </c>
      <c r="D8" t="str">
        <f>IF(C8&gt;90000,"ERROR:  amount financed cannot exceed $90,000","Maximum amount for a short-term, long-term, or combo solar PV system loan is $90,000")</f>
        <v>Maximum amount for a short-term, long-term, or combo solar PV system loan is $90,000</v>
      </c>
    </row>
    <row r="9" spans="1:4" x14ac:dyDescent="0.25">
      <c r="A9" s="6" t="s">
        <v>0</v>
      </c>
      <c r="C9" s="1"/>
    </row>
    <row r="10" spans="1:4" x14ac:dyDescent="0.25">
      <c r="B10" t="s">
        <v>16</v>
      </c>
      <c r="C10" s="10">
        <v>0.7</v>
      </c>
      <c r="D10" t="str">
        <f>IF(SUM($C$10,$C$17)&gt;1,"ERROR:  total LTV of both loans cannot exceed 100%",IF($C$10&gt;80%,"ERROR:  LTV must be &lt; 80%","Must be &lt;= 80%"))</f>
        <v>Must be &lt;= 80%</v>
      </c>
    </row>
    <row r="11" spans="1:4" s="4" customFormat="1" x14ac:dyDescent="0.25">
      <c r="B11" s="5" t="s">
        <v>14</v>
      </c>
      <c r="C11" s="11">
        <f>C10*C8</f>
        <v>14000</v>
      </c>
      <c r="D11" t="s">
        <v>32</v>
      </c>
    </row>
    <row r="12" spans="1:4" x14ac:dyDescent="0.25">
      <c r="B12" t="s">
        <v>34</v>
      </c>
      <c r="C12" s="3">
        <v>12</v>
      </c>
      <c r="D12" t="s">
        <v>3</v>
      </c>
    </row>
    <row r="13" spans="1:4" s="4" customFormat="1" x14ac:dyDescent="0.25">
      <c r="B13" s="5" t="s">
        <v>17</v>
      </c>
      <c r="C13" s="9">
        <f>IF($C$12=12,8.75%,IF($C$12=15,9.25%,IF($C$12=20,9.5%,9.5%)))</f>
        <v>8.7499999999999994E-2</v>
      </c>
      <c r="D13" s="4" t="str">
        <f>IF($C$12=12,"For 12-year loans, use 8.75% as the default rate (NOTE: rates vary by FICO score)",IF(C$12=15,"For 15-year loans, use 9.25% as default rate (NOTE: rates vary by FICO score)",IF(C$12=20,"For 20-year loans, use 9.50% as default rate (NOTE: rates vary by FICO score)","ERROR")))</f>
        <v>For 12-year loans, use 8.75% as the default rate (NOTE: rates vary by FICO score)</v>
      </c>
    </row>
    <row r="14" spans="1:4" s="4" customFormat="1" x14ac:dyDescent="0.25">
      <c r="B14" s="5" t="s">
        <v>2</v>
      </c>
      <c r="C14" s="7">
        <f>IF($C$12=12,ROUNDUP(-PMT($C$13/12,144,$C$11,0,),0),IF($C$12=15,ROUNDUP(-PMT($C$13/12,180,$C$11,0,),0),IF($C$12=20,ROUNDUP(-PMT($C$13/12,240,$C$11,0,),0),"ERROR")))</f>
        <v>158</v>
      </c>
      <c r="D14" s="4" t="s">
        <v>4</v>
      </c>
    </row>
    <row r="15" spans="1:4" s="4" customFormat="1" x14ac:dyDescent="0.25">
      <c r="B15" s="5" t="s">
        <v>21</v>
      </c>
      <c r="C15" s="7">
        <f>1000*C14/C11</f>
        <v>11.285714285714286</v>
      </c>
      <c r="D15" s="4" t="s">
        <v>22</v>
      </c>
    </row>
    <row r="16" spans="1:4" x14ac:dyDescent="0.25">
      <c r="A16" s="6" t="s">
        <v>1</v>
      </c>
      <c r="C16" s="1"/>
    </row>
    <row r="17" spans="2:4" x14ac:dyDescent="0.25">
      <c r="B17" t="s">
        <v>15</v>
      </c>
      <c r="C17" s="10">
        <v>0.3</v>
      </c>
      <c r="D17" t="str">
        <f>IF(SUM($C$10,$C$17)&gt;1,"ERROR:  total LTV of both loans cannot exceed 100%","total LTV of both loans must be &lt;= 100%")</f>
        <v>total LTV of both loans must be &lt;= 100%</v>
      </c>
    </row>
    <row r="18" spans="2:4" s="4" customFormat="1" x14ac:dyDescent="0.25">
      <c r="B18" s="5" t="s">
        <v>14</v>
      </c>
      <c r="C18" s="11">
        <f>C8*C17</f>
        <v>6000</v>
      </c>
      <c r="D18" t="str">
        <f>IF(C18&gt;90000,"ERROR:  amount financed cannot exceed $90,000","Maximum amount for a short-term, long-term, or combo solar PV system loan is $90,000")</f>
        <v>Maximum amount for a short-term, long-term, or combo solar PV system loan is $90,000</v>
      </c>
    </row>
    <row r="19" spans="2:4" x14ac:dyDescent="0.25">
      <c r="B19" t="s">
        <v>20</v>
      </c>
      <c r="C19" s="3">
        <v>12</v>
      </c>
      <c r="D19" t="s">
        <v>5</v>
      </c>
    </row>
    <row r="20" spans="2:4" ht="30" x14ac:dyDescent="0.25">
      <c r="B20" s="5" t="s">
        <v>18</v>
      </c>
      <c r="C20" s="9">
        <v>7.7499999999999999E-2</v>
      </c>
      <c r="D20" s="4" t="s">
        <v>37</v>
      </c>
    </row>
    <row r="21" spans="2:4" x14ac:dyDescent="0.25">
      <c r="B21" s="5" t="s">
        <v>7</v>
      </c>
      <c r="C21" s="8">
        <v>0.1799</v>
      </c>
      <c r="D21" s="4"/>
    </row>
    <row r="22" spans="2:4" s="4" customFormat="1" ht="30" x14ac:dyDescent="0.25">
      <c r="B22" s="5" t="s">
        <v>9</v>
      </c>
      <c r="C22" s="7">
        <f>ROUNDUP(C18*(1+C20/12)^C19,2)</f>
        <v>6481.88</v>
      </c>
      <c r="D22" s="4" t="s">
        <v>10</v>
      </c>
    </row>
    <row r="23" spans="2:4" s="4" customFormat="1" ht="30" x14ac:dyDescent="0.25">
      <c r="B23" s="5" t="s">
        <v>8</v>
      </c>
      <c r="C23" s="7">
        <f>ROUNDUP(C18*(1+C21/12)^C19,2)</f>
        <v>7173.01</v>
      </c>
      <c r="D23" s="4" t="s">
        <v>11</v>
      </c>
    </row>
    <row r="30" spans="2:4" hidden="1" x14ac:dyDescent="0.25">
      <c r="B30" t="s">
        <v>13</v>
      </c>
      <c r="C30">
        <v>12</v>
      </c>
    </row>
    <row r="31" spans="2:4" hidden="1" x14ac:dyDescent="0.25">
      <c r="C31">
        <v>15</v>
      </c>
    </row>
    <row r="32" spans="2:4" hidden="1" x14ac:dyDescent="0.25">
      <c r="C32">
        <v>20</v>
      </c>
    </row>
    <row r="33" spans="2:3" hidden="1" x14ac:dyDescent="0.25"/>
    <row r="34" spans="2:3" hidden="1" x14ac:dyDescent="0.25">
      <c r="B34" t="s">
        <v>6</v>
      </c>
      <c r="C34">
        <v>12</v>
      </c>
    </row>
    <row r="35" spans="2:3" hidden="1" x14ac:dyDescent="0.25">
      <c r="C35">
        <v>18</v>
      </c>
    </row>
  </sheetData>
  <conditionalFormatting sqref="D8">
    <cfRule type="cellIs" dxfId="9" priority="21" operator="equal">
      <formula>"ERROR:  amount financed cannot exceed $90,000"</formula>
    </cfRule>
  </conditionalFormatting>
  <conditionalFormatting sqref="D10">
    <cfRule type="cellIs" dxfId="8" priority="7" operator="equal">
      <formula>"ERROR:  LTV must be &lt; 80%"</formula>
    </cfRule>
    <cfRule type="cellIs" dxfId="7" priority="8" operator="equal">
      <formula>"ERROR:  total LTV of both loans cannot exceed 100%"</formula>
    </cfRule>
  </conditionalFormatting>
  <conditionalFormatting sqref="D12 D14:D15">
    <cfRule type="cellIs" dxfId="6" priority="3" operator="equal">
      <formula>"ERROR: long-term loan amount cannot be &gt; 70% of total contract price"</formula>
    </cfRule>
  </conditionalFormatting>
  <conditionalFormatting sqref="D17">
    <cfRule type="cellIs" dxfId="5" priority="5" operator="equal">
      <formula>"ERROR:  LTV must be &lt; 80%"</formula>
    </cfRule>
    <cfRule type="cellIs" dxfId="4" priority="6" operator="equal">
      <formula>"ERROR:  total LTV of both loans cannot exceed 100%"</formula>
    </cfRule>
  </conditionalFormatting>
  <conditionalFormatting sqref="D18">
    <cfRule type="cellIs" dxfId="3" priority="4" operator="equal">
      <formula>"ERROR:  amount financed cannot exceed $90,000"</formula>
    </cfRule>
  </conditionalFormatting>
  <conditionalFormatting sqref="D19">
    <cfRule type="cellIs" dxfId="2" priority="30" operator="equal">
      <formula>"ERROR: short-term loan amount cannot be &gt; 30% of total contract price"</formula>
    </cfRule>
  </conditionalFormatting>
  <conditionalFormatting sqref="D20:D23">
    <cfRule type="cellIs" dxfId="1" priority="2" operator="equal">
      <formula>"ERROR: long-term loan amount cannot be &gt; 70% of total contract price"</formula>
    </cfRule>
  </conditionalFormatting>
  <conditionalFormatting sqref="D13">
    <cfRule type="cellIs" dxfId="0" priority="1" operator="equal">
      <formula>"ERROR: long-term loan amount cannot be &gt; 70% of total contract price"</formula>
    </cfRule>
  </conditionalFormatting>
  <dataValidations count="2">
    <dataValidation type="list" allowBlank="1" showInputMessage="1" showErrorMessage="1" sqref="C19" xr:uid="{664252FB-67F0-40B0-846A-7A580620636B}">
      <formula1>$C$34:$C$35</formula1>
    </dataValidation>
    <dataValidation type="list" showInputMessage="1" showErrorMessage="1" sqref="C12" xr:uid="{CD21F95B-C3AB-4AF0-9838-ED15734E9A26}">
      <formula1>$C$30:$C$32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4596-AE4C-4DE3-B2E1-E550D3C69A29}">
  <dimension ref="A2:T244"/>
  <sheetViews>
    <sheetView zoomScale="85" zoomScaleNormal="85" workbookViewId="0">
      <pane ySplit="4" topLeftCell="A5" activePane="bottomLeft" state="frozen"/>
      <selection pane="bottomLeft" activeCell="C5" sqref="C5"/>
    </sheetView>
  </sheetViews>
  <sheetFormatPr defaultColWidth="8.85546875" defaultRowHeight="15" x14ac:dyDescent="0.25"/>
  <cols>
    <col min="1" max="1" width="8.85546875" style="13"/>
    <col min="2" max="2" width="11.28515625" style="4" customWidth="1"/>
    <col min="3" max="3" width="14.140625" style="4" customWidth="1"/>
    <col min="4" max="5" width="10.5703125" style="4" customWidth="1"/>
    <col min="6" max="6" width="12" style="4" customWidth="1"/>
    <col min="7" max="7" width="8.85546875" style="4"/>
    <col min="8" max="8" width="8.85546875" style="13"/>
    <col min="9" max="9" width="11.28515625" style="4" customWidth="1"/>
    <col min="10" max="10" width="14.140625" style="4" customWidth="1"/>
    <col min="11" max="12" width="10.5703125" style="4" customWidth="1"/>
    <col min="13" max="13" width="12" style="4" customWidth="1"/>
    <col min="14" max="14" width="8.85546875" style="4"/>
    <col min="15" max="15" width="8.85546875" style="13"/>
    <col min="16" max="16" width="11.28515625" style="4" customWidth="1"/>
    <col min="17" max="17" width="14.140625" style="4" customWidth="1"/>
    <col min="18" max="19" width="10.5703125" style="4" customWidth="1"/>
    <col min="20" max="20" width="12" style="4" customWidth="1"/>
    <col min="21" max="16384" width="8.85546875" style="4"/>
  </cols>
  <sheetData>
    <row r="2" spans="1:20" ht="18.75" x14ac:dyDescent="0.25">
      <c r="C2" s="16" t="s">
        <v>28</v>
      </c>
      <c r="J2" s="16" t="s">
        <v>29</v>
      </c>
      <c r="Q2" s="16" t="s">
        <v>31</v>
      </c>
    </row>
    <row r="4" spans="1:20" s="12" customFormat="1" ht="45" x14ac:dyDescent="0.25">
      <c r="A4" s="12" t="s">
        <v>23</v>
      </c>
      <c r="B4" s="15" t="s">
        <v>2</v>
      </c>
      <c r="C4" s="15" t="s">
        <v>26</v>
      </c>
      <c r="D4" s="12" t="s">
        <v>24</v>
      </c>
      <c r="E4" s="12" t="s">
        <v>25</v>
      </c>
      <c r="F4" s="15" t="s">
        <v>27</v>
      </c>
      <c r="H4" s="12" t="s">
        <v>23</v>
      </c>
      <c r="I4" s="15" t="s">
        <v>2</v>
      </c>
      <c r="J4" s="15" t="s">
        <v>26</v>
      </c>
      <c r="K4" s="12" t="s">
        <v>24</v>
      </c>
      <c r="L4" s="12" t="s">
        <v>25</v>
      </c>
      <c r="M4" s="15" t="s">
        <v>27</v>
      </c>
      <c r="O4" s="12" t="s">
        <v>23</v>
      </c>
      <c r="P4" s="15" t="s">
        <v>2</v>
      </c>
      <c r="Q4" s="15" t="s">
        <v>26</v>
      </c>
      <c r="R4" s="12" t="s">
        <v>24</v>
      </c>
      <c r="S4" s="12" t="s">
        <v>25</v>
      </c>
      <c r="T4" s="15" t="s">
        <v>27</v>
      </c>
    </row>
    <row r="5" spans="1:20" x14ac:dyDescent="0.25">
      <c r="A5" s="13">
        <v>1</v>
      </c>
      <c r="B5" s="14">
        <f>IF(Calculator!$C$12=12,Calculator!$C$14,"")</f>
        <v>158</v>
      </c>
      <c r="C5" s="14">
        <f>IF(Calculator!$C$12=12,Calculator!$C$11,"")</f>
        <v>14000</v>
      </c>
      <c r="D5" s="14">
        <f>IF(Calculator!$C$12=12,ROUNDUP(-PPMT(Calculator!$C$13/12,$A5,144,Calculator!$C$11,0,),0),"")</f>
        <v>56</v>
      </c>
      <c r="E5" s="14">
        <f>IF(Calculator!$C$12=12,ROUNDUP(-IPMT(Calculator!$C$13/12,$A5,144,Calculator!$C$11,0,),0),"")</f>
        <v>103</v>
      </c>
      <c r="F5" s="14">
        <f>IF(Calculator!$C$12=12,C5-D5,"")</f>
        <v>13944</v>
      </c>
      <c r="H5" s="13">
        <v>1</v>
      </c>
      <c r="I5" s="14" t="str">
        <f>IF(Calculator!$C$12=15,Calculator!$C$14,"")</f>
        <v/>
      </c>
      <c r="J5" s="14" t="str">
        <f>IF(Calculator!$C$12=15,Calculator!$C$11,"")</f>
        <v/>
      </c>
      <c r="K5" s="14" t="str">
        <f>IF(Calculator!$C$12=15,ROUNDUP(-PPMT(Calculator!$C$13/12,$H5,180,Calculator!$C$11,0,),0),"")</f>
        <v/>
      </c>
      <c r="L5" s="14" t="str">
        <f>IF(Calculator!$C$12=15,ROUNDUP(-IPMT(Calculator!$C$13/12,$H5,180,Calculator!$C$11,0,),0),"")</f>
        <v/>
      </c>
      <c r="M5" s="14" t="str">
        <f>IF(Calculator!$C$12=15,J5-K5,"")</f>
        <v/>
      </c>
      <c r="O5" s="13">
        <v>1</v>
      </c>
      <c r="P5" s="14" t="str">
        <f>IF(Calculator!$C$12=20,Calculator!$C$14,"")</f>
        <v/>
      </c>
      <c r="Q5" s="14" t="str">
        <f>IF(Calculator!$C$12=20,Calculator!$C$11,"")</f>
        <v/>
      </c>
      <c r="R5" s="14" t="str">
        <f>IF(Calculator!$C$12=20,ROUNDUP(-PPMT(Calculator!$C$13/12,$O5,240,Calculator!$C$11,0,),0),"")</f>
        <v/>
      </c>
      <c r="S5" s="14" t="str">
        <f>IF(Calculator!$C$12=20,ROUNDUP(-IPMT(Calculator!$C$13/12,$O5,240,Calculator!$C$11,0,),0),"")</f>
        <v/>
      </c>
      <c r="T5" s="14" t="str">
        <f>IF(Calculator!$C$12=20,Q5-R5,"")</f>
        <v/>
      </c>
    </row>
    <row r="6" spans="1:20" x14ac:dyDescent="0.25">
      <c r="A6" s="13">
        <v>2</v>
      </c>
      <c r="B6" s="14">
        <f>IF(Calculator!$C$12=12,Calculator!$C$14,"")</f>
        <v>158</v>
      </c>
      <c r="C6" s="14">
        <f>F5</f>
        <v>13944</v>
      </c>
      <c r="D6" s="14">
        <f>IF(Calculator!$C$12=12,ROUNDUP(-PPMT(Calculator!$C$13/12,$A6,144,Calculator!$C$11,0,),0),"")</f>
        <v>56</v>
      </c>
      <c r="E6" s="14">
        <f>IF(Calculator!$C$12=12,ROUNDUP(-IPMT(Calculator!$C$13/12,$A6,144,Calculator!$C$11,0,),0),"")</f>
        <v>102</v>
      </c>
      <c r="F6" s="14">
        <f>IF(Calculator!$C$12=12,C6-D6,"")</f>
        <v>13888</v>
      </c>
      <c r="H6" s="13">
        <v>2</v>
      </c>
      <c r="I6" s="14" t="str">
        <f>IF(Calculator!$C$12=12,"",Calculator!$C$14)</f>
        <v/>
      </c>
      <c r="J6" s="14" t="str">
        <f>M5</f>
        <v/>
      </c>
      <c r="K6" s="14" t="str">
        <f>IF(Calculator!$C$12=15,ROUNDUP(-PPMT(Calculator!$C$13/12,$H6,180,Calculator!$C$11,0,),0),"")</f>
        <v/>
      </c>
      <c r="L6" s="14" t="str">
        <f>IF(Calculator!$C$12=15,ROUNDUP(-IPMT(Calculator!$C$13/12,$H6,180,Calculator!$C$11,0,),0),"")</f>
        <v/>
      </c>
      <c r="M6" s="14" t="str">
        <f>IF(Calculator!$C$12=15,J6-K6,"")</f>
        <v/>
      </c>
      <c r="O6" s="13">
        <v>2</v>
      </c>
      <c r="P6" s="14" t="str">
        <f>IF(Calculator!$C$12=20,Calculator!$C$14,"")</f>
        <v/>
      </c>
      <c r="Q6" s="14" t="str">
        <f>T5</f>
        <v/>
      </c>
      <c r="R6" s="14" t="str">
        <f>IF(Calculator!$C$12=20,ROUNDUP(-PPMT(Calculator!$C$13/12,$O6,240,Calculator!$C$11,0,),0),"")</f>
        <v/>
      </c>
      <c r="S6" s="14" t="str">
        <f>IF(Calculator!$C$12=20,ROUNDUP(-IPMT(Calculator!$C$13/12,$O6,240,Calculator!$C$11,0,),0),"")</f>
        <v/>
      </c>
      <c r="T6" s="14" t="str">
        <f>IF(Calculator!$C$12=20,Q6-R6,"")</f>
        <v/>
      </c>
    </row>
    <row r="7" spans="1:20" x14ac:dyDescent="0.25">
      <c r="A7" s="13">
        <v>3</v>
      </c>
      <c r="B7" s="14">
        <f>IF(Calculator!$C$12=12,Calculator!$C$14,"")</f>
        <v>158</v>
      </c>
      <c r="C7" s="14">
        <f t="shared" ref="C7:C70" si="0">F6</f>
        <v>13888</v>
      </c>
      <c r="D7" s="14">
        <f>IF(Calculator!$C$12=12,ROUNDUP(-PPMT(Calculator!$C$13/12,$A7,144,Calculator!$C$11,0,),0),"")</f>
        <v>57</v>
      </c>
      <c r="E7" s="14">
        <f>IF(Calculator!$C$12=12,ROUNDUP(-IPMT(Calculator!$C$13/12,$A7,144,Calculator!$C$11,0,),0),"")</f>
        <v>102</v>
      </c>
      <c r="F7" s="14">
        <f>IF(Calculator!$C$12=12,C7-D7,"")</f>
        <v>13831</v>
      </c>
      <c r="H7" s="13">
        <v>3</v>
      </c>
      <c r="I7" s="14" t="str">
        <f>IF(Calculator!$C$12=12,"",Calculator!$C$14)</f>
        <v/>
      </c>
      <c r="J7" s="14" t="str">
        <f t="shared" ref="J7:J70" si="1">M6</f>
        <v/>
      </c>
      <c r="K7" s="14" t="str">
        <f>IF(Calculator!$C$12=15,ROUNDUP(-PPMT(Calculator!$C$13/12,$H7,180,Calculator!$C$11,0,),0),"")</f>
        <v/>
      </c>
      <c r="L7" s="14" t="str">
        <f>IF(Calculator!$C$12=15,ROUNDUP(-IPMT(Calculator!$C$13/12,$H7,180,Calculator!$C$11,0,),0),"")</f>
        <v/>
      </c>
      <c r="M7" s="14" t="str">
        <f>IF(Calculator!$C$12=15,J7-K7,"")</f>
        <v/>
      </c>
      <c r="O7" s="13">
        <v>3</v>
      </c>
      <c r="P7" s="14" t="str">
        <f>IF(Calculator!$C$12=20,Calculator!$C$14,"")</f>
        <v/>
      </c>
      <c r="Q7" s="14" t="str">
        <f t="shared" ref="Q7:Q70" si="2">T6</f>
        <v/>
      </c>
      <c r="R7" s="14" t="str">
        <f>IF(Calculator!$C$12=20,ROUNDUP(-PPMT(Calculator!$C$13/12,$O7,240,Calculator!$C$11,0,),0),"")</f>
        <v/>
      </c>
      <c r="S7" s="14" t="str">
        <f>IF(Calculator!$C$12=20,ROUNDUP(-IPMT(Calculator!$C$13/12,$O7,240,Calculator!$C$11,0,),0),"")</f>
        <v/>
      </c>
      <c r="T7" s="14" t="str">
        <f>IF(Calculator!$C$12=20,Q7-R7,"")</f>
        <v/>
      </c>
    </row>
    <row r="8" spans="1:20" x14ac:dyDescent="0.25">
      <c r="A8" s="13">
        <v>4</v>
      </c>
      <c r="B8" s="14">
        <f>IF(Calculator!$C$12=12,Calculator!$C$14,"")</f>
        <v>158</v>
      </c>
      <c r="C8" s="14">
        <f t="shared" si="0"/>
        <v>13831</v>
      </c>
      <c r="D8" s="14">
        <f>IF(Calculator!$C$12=12,ROUNDUP(-PPMT(Calculator!$C$13/12,$A8,144,Calculator!$C$11,0,),0),"")</f>
        <v>57</v>
      </c>
      <c r="E8" s="14">
        <f>IF(Calculator!$C$12=12,ROUNDUP(-IPMT(Calculator!$C$13/12,$A8,144,Calculator!$C$11,0,),0),"")</f>
        <v>101</v>
      </c>
      <c r="F8" s="14">
        <f>IF(Calculator!$C$12=12,C8-D8,"")</f>
        <v>13774</v>
      </c>
      <c r="H8" s="13">
        <v>4</v>
      </c>
      <c r="I8" s="14" t="str">
        <f>IF(Calculator!$C$12=12,"",Calculator!$C$14)</f>
        <v/>
      </c>
      <c r="J8" s="14" t="str">
        <f t="shared" si="1"/>
        <v/>
      </c>
      <c r="K8" s="14" t="str">
        <f>IF(Calculator!$C$12=15,ROUNDUP(-PPMT(Calculator!$C$13/12,$H8,180,Calculator!$C$11,0,),0),"")</f>
        <v/>
      </c>
      <c r="L8" s="14" t="str">
        <f>IF(Calculator!$C$12=15,ROUNDUP(-IPMT(Calculator!$C$13/12,$H8,180,Calculator!$C$11,0,),0),"")</f>
        <v/>
      </c>
      <c r="M8" s="14" t="str">
        <f>IF(Calculator!$C$12=15,J8-K8,"")</f>
        <v/>
      </c>
      <c r="O8" s="13">
        <v>4</v>
      </c>
      <c r="P8" s="14" t="str">
        <f>IF(Calculator!$C$12=20,Calculator!$C$14,"")</f>
        <v/>
      </c>
      <c r="Q8" s="14" t="str">
        <f t="shared" si="2"/>
        <v/>
      </c>
      <c r="R8" s="14" t="str">
        <f>IF(Calculator!$C$12=20,ROUNDUP(-PPMT(Calculator!$C$13/12,$O8,240,Calculator!$C$11,0,),0),"")</f>
        <v/>
      </c>
      <c r="S8" s="14" t="str">
        <f>IF(Calculator!$C$12=20,ROUNDUP(-IPMT(Calculator!$C$13/12,$O8,240,Calculator!$C$11,0,),0),"")</f>
        <v/>
      </c>
      <c r="T8" s="14" t="str">
        <f>IF(Calculator!$C$12=20,Q8-R8,"")</f>
        <v/>
      </c>
    </row>
    <row r="9" spans="1:20" x14ac:dyDescent="0.25">
      <c r="A9" s="13">
        <v>5</v>
      </c>
      <c r="B9" s="14">
        <f>IF(Calculator!$C$12=12,Calculator!$C$14,"")</f>
        <v>158</v>
      </c>
      <c r="C9" s="14">
        <f t="shared" si="0"/>
        <v>13774</v>
      </c>
      <c r="D9" s="14">
        <f>IF(Calculator!$C$12=12,ROUNDUP(-PPMT(Calculator!$C$13/12,$A9,144,Calculator!$C$11,0,),0),"")</f>
        <v>57</v>
      </c>
      <c r="E9" s="14">
        <f>IF(Calculator!$C$12=12,ROUNDUP(-IPMT(Calculator!$C$13/12,$A9,144,Calculator!$C$11,0,),0),"")</f>
        <v>101</v>
      </c>
      <c r="F9" s="14">
        <f>IF(Calculator!$C$12=12,C9-D9,"")</f>
        <v>13717</v>
      </c>
      <c r="H9" s="13">
        <v>5</v>
      </c>
      <c r="I9" s="14" t="str">
        <f>IF(Calculator!$C$12=12,"",Calculator!$C$14)</f>
        <v/>
      </c>
      <c r="J9" s="14" t="str">
        <f t="shared" si="1"/>
        <v/>
      </c>
      <c r="K9" s="14" t="str">
        <f>IF(Calculator!$C$12=15,ROUNDUP(-PPMT(Calculator!$C$13/12,$H9,180,Calculator!$C$11,0,),0),"")</f>
        <v/>
      </c>
      <c r="L9" s="14" t="str">
        <f>IF(Calculator!$C$12=15,ROUNDUP(-IPMT(Calculator!$C$13/12,$H9,180,Calculator!$C$11,0,),0),"")</f>
        <v/>
      </c>
      <c r="M9" s="14" t="str">
        <f>IF(Calculator!$C$12=15,J9-K9,"")</f>
        <v/>
      </c>
      <c r="O9" s="13">
        <v>5</v>
      </c>
      <c r="P9" s="14" t="str">
        <f>IF(Calculator!$C$12=20,Calculator!$C$14,"")</f>
        <v/>
      </c>
      <c r="Q9" s="14" t="str">
        <f t="shared" si="2"/>
        <v/>
      </c>
      <c r="R9" s="14" t="str">
        <f>IF(Calculator!$C$12=20,ROUNDUP(-PPMT(Calculator!$C$13/12,$O9,240,Calculator!$C$11,0,),0),"")</f>
        <v/>
      </c>
      <c r="S9" s="14" t="str">
        <f>IF(Calculator!$C$12=20,ROUNDUP(-IPMT(Calculator!$C$13/12,$O9,240,Calculator!$C$11,0,),0),"")</f>
        <v/>
      </c>
      <c r="T9" s="14" t="str">
        <f>IF(Calculator!$C$12=20,Q9-R9,"")</f>
        <v/>
      </c>
    </row>
    <row r="10" spans="1:20" x14ac:dyDescent="0.25">
      <c r="A10" s="13">
        <v>6</v>
      </c>
      <c r="B10" s="14">
        <f>IF(Calculator!$C$12=12,Calculator!$C$14,"")</f>
        <v>158</v>
      </c>
      <c r="C10" s="14">
        <f t="shared" si="0"/>
        <v>13717</v>
      </c>
      <c r="D10" s="14">
        <f>IF(Calculator!$C$12=12,ROUNDUP(-PPMT(Calculator!$C$13/12,$A10,144,Calculator!$C$11,0,),0),"")</f>
        <v>58</v>
      </c>
      <c r="E10" s="14">
        <f>IF(Calculator!$C$12=12,ROUNDUP(-IPMT(Calculator!$C$13/12,$A10,144,Calculator!$C$11,0,),0),"")</f>
        <v>101</v>
      </c>
      <c r="F10" s="14">
        <f>IF(Calculator!$C$12=12,C10-D10,"")</f>
        <v>13659</v>
      </c>
      <c r="H10" s="13">
        <v>6</v>
      </c>
      <c r="I10" s="14" t="str">
        <f>IF(Calculator!$C$12=12,"",Calculator!$C$14)</f>
        <v/>
      </c>
      <c r="J10" s="14" t="str">
        <f t="shared" si="1"/>
        <v/>
      </c>
      <c r="K10" s="14" t="str">
        <f>IF(Calculator!$C$12=15,ROUNDUP(-PPMT(Calculator!$C$13/12,$H10,180,Calculator!$C$11,0,),0),"")</f>
        <v/>
      </c>
      <c r="L10" s="14" t="str">
        <f>IF(Calculator!$C$12=15,ROUNDUP(-IPMT(Calculator!$C$13/12,$H10,180,Calculator!$C$11,0,),0),"")</f>
        <v/>
      </c>
      <c r="M10" s="14" t="str">
        <f>IF(Calculator!$C$12=15,J10-K10,"")</f>
        <v/>
      </c>
      <c r="O10" s="13">
        <v>6</v>
      </c>
      <c r="P10" s="14" t="str">
        <f>IF(Calculator!$C$12=20,Calculator!$C$14,"")</f>
        <v/>
      </c>
      <c r="Q10" s="14" t="str">
        <f t="shared" si="2"/>
        <v/>
      </c>
      <c r="R10" s="14" t="str">
        <f>IF(Calculator!$C$12=20,ROUNDUP(-PPMT(Calculator!$C$13/12,$O10,240,Calculator!$C$11,0,),0),"")</f>
        <v/>
      </c>
      <c r="S10" s="14" t="str">
        <f>IF(Calculator!$C$12=20,ROUNDUP(-IPMT(Calculator!$C$13/12,$O10,240,Calculator!$C$11,0,),0),"")</f>
        <v/>
      </c>
      <c r="T10" s="14" t="str">
        <f>IF(Calculator!$C$12=20,Q10-R10,"")</f>
        <v/>
      </c>
    </row>
    <row r="11" spans="1:20" x14ac:dyDescent="0.25">
      <c r="A11" s="13">
        <v>7</v>
      </c>
      <c r="B11" s="14">
        <f>IF(Calculator!$C$12=12,Calculator!$C$14,"")</f>
        <v>158</v>
      </c>
      <c r="C11" s="14">
        <f t="shared" si="0"/>
        <v>13659</v>
      </c>
      <c r="D11" s="14">
        <f>IF(Calculator!$C$12=12,ROUNDUP(-PPMT(Calculator!$C$13/12,$A11,144,Calculator!$C$11,0,),0),"")</f>
        <v>58</v>
      </c>
      <c r="E11" s="14">
        <f>IF(Calculator!$C$12=12,ROUNDUP(-IPMT(Calculator!$C$13/12,$A11,144,Calculator!$C$11,0,),0),"")</f>
        <v>100</v>
      </c>
      <c r="F11" s="14">
        <f>IF(Calculator!$C$12=12,C11-D11,"")</f>
        <v>13601</v>
      </c>
      <c r="H11" s="13">
        <v>7</v>
      </c>
      <c r="I11" s="14" t="str">
        <f>IF(Calculator!$C$12=12,"",Calculator!$C$14)</f>
        <v/>
      </c>
      <c r="J11" s="14" t="str">
        <f t="shared" si="1"/>
        <v/>
      </c>
      <c r="K11" s="14" t="str">
        <f>IF(Calculator!$C$12=15,ROUNDUP(-PPMT(Calculator!$C$13/12,$H11,180,Calculator!$C$11,0,),0),"")</f>
        <v/>
      </c>
      <c r="L11" s="14" t="str">
        <f>IF(Calculator!$C$12=15,ROUNDUP(-IPMT(Calculator!$C$13/12,$H11,180,Calculator!$C$11,0,),0),"")</f>
        <v/>
      </c>
      <c r="M11" s="14" t="str">
        <f>IF(Calculator!$C$12=15,J11-K11,"")</f>
        <v/>
      </c>
      <c r="O11" s="13">
        <v>7</v>
      </c>
      <c r="P11" s="14" t="str">
        <f>IF(Calculator!$C$12=20,Calculator!$C$14,"")</f>
        <v/>
      </c>
      <c r="Q11" s="14" t="str">
        <f t="shared" si="2"/>
        <v/>
      </c>
      <c r="R11" s="14" t="str">
        <f>IF(Calculator!$C$12=20,ROUNDUP(-PPMT(Calculator!$C$13/12,$O11,240,Calculator!$C$11,0,),0),"")</f>
        <v/>
      </c>
      <c r="S11" s="14" t="str">
        <f>IF(Calculator!$C$12=20,ROUNDUP(-IPMT(Calculator!$C$13/12,$O11,240,Calculator!$C$11,0,),0),"")</f>
        <v/>
      </c>
      <c r="T11" s="14" t="str">
        <f>IF(Calculator!$C$12=20,Q11-R11,"")</f>
        <v/>
      </c>
    </row>
    <row r="12" spans="1:20" x14ac:dyDescent="0.25">
      <c r="A12" s="13">
        <v>8</v>
      </c>
      <c r="B12" s="14">
        <f>IF(Calculator!$C$12=12,Calculator!$C$14,"")</f>
        <v>158</v>
      </c>
      <c r="C12" s="14">
        <f t="shared" si="0"/>
        <v>13601</v>
      </c>
      <c r="D12" s="14">
        <f>IF(Calculator!$C$12=12,ROUNDUP(-PPMT(Calculator!$C$13/12,$A12,144,Calculator!$C$11,0,),0),"")</f>
        <v>59</v>
      </c>
      <c r="E12" s="14">
        <f>IF(Calculator!$C$12=12,ROUNDUP(-IPMT(Calculator!$C$13/12,$A12,144,Calculator!$C$11,0,),0),"")</f>
        <v>100</v>
      </c>
      <c r="F12" s="14">
        <f>IF(Calculator!$C$12=12,C12-D12,"")</f>
        <v>13542</v>
      </c>
      <c r="H12" s="13">
        <v>8</v>
      </c>
      <c r="I12" s="14" t="str">
        <f>IF(Calculator!$C$12=12,"",Calculator!$C$14)</f>
        <v/>
      </c>
      <c r="J12" s="14" t="str">
        <f t="shared" si="1"/>
        <v/>
      </c>
      <c r="K12" s="14" t="str">
        <f>IF(Calculator!$C$12=15,ROUNDUP(-PPMT(Calculator!$C$13/12,$H12,180,Calculator!$C$11,0,),0),"")</f>
        <v/>
      </c>
      <c r="L12" s="14" t="str">
        <f>IF(Calculator!$C$12=15,ROUNDUP(-IPMT(Calculator!$C$13/12,$H12,180,Calculator!$C$11,0,),0),"")</f>
        <v/>
      </c>
      <c r="M12" s="14" t="str">
        <f>IF(Calculator!$C$12=15,J12-K12,"")</f>
        <v/>
      </c>
      <c r="O12" s="13">
        <v>8</v>
      </c>
      <c r="P12" s="14" t="str">
        <f>IF(Calculator!$C$12=20,Calculator!$C$14,"")</f>
        <v/>
      </c>
      <c r="Q12" s="14" t="str">
        <f t="shared" si="2"/>
        <v/>
      </c>
      <c r="R12" s="14" t="str">
        <f>IF(Calculator!$C$12=20,ROUNDUP(-PPMT(Calculator!$C$13/12,$O12,240,Calculator!$C$11,0,),0),"")</f>
        <v/>
      </c>
      <c r="S12" s="14" t="str">
        <f>IF(Calculator!$C$12=20,ROUNDUP(-IPMT(Calculator!$C$13/12,$O12,240,Calculator!$C$11,0,),0),"")</f>
        <v/>
      </c>
      <c r="T12" s="14" t="str">
        <f>IF(Calculator!$C$12=20,Q12-R12,"")</f>
        <v/>
      </c>
    </row>
    <row r="13" spans="1:20" x14ac:dyDescent="0.25">
      <c r="A13" s="13">
        <v>9</v>
      </c>
      <c r="B13" s="14">
        <f>IF(Calculator!$C$12=12,Calculator!$C$14,"")</f>
        <v>158</v>
      </c>
      <c r="C13" s="14">
        <f t="shared" si="0"/>
        <v>13542</v>
      </c>
      <c r="D13" s="14">
        <f>IF(Calculator!$C$12=12,ROUNDUP(-PPMT(Calculator!$C$13/12,$A13,144,Calculator!$C$11,0,),0),"")</f>
        <v>59</v>
      </c>
      <c r="E13" s="14">
        <f>IF(Calculator!$C$12=12,ROUNDUP(-IPMT(Calculator!$C$13/12,$A13,144,Calculator!$C$11,0,),0),"")</f>
        <v>99</v>
      </c>
      <c r="F13" s="14">
        <f>IF(Calculator!$C$12=12,C13-D13,"")</f>
        <v>13483</v>
      </c>
      <c r="H13" s="13">
        <v>9</v>
      </c>
      <c r="I13" s="14" t="str">
        <f>IF(Calculator!$C$12=12,"",Calculator!$C$14)</f>
        <v/>
      </c>
      <c r="J13" s="14" t="str">
        <f t="shared" si="1"/>
        <v/>
      </c>
      <c r="K13" s="14" t="str">
        <f>IF(Calculator!$C$12=15,ROUNDUP(-PPMT(Calculator!$C$13/12,$H13,180,Calculator!$C$11,0,),0),"")</f>
        <v/>
      </c>
      <c r="L13" s="14" t="str">
        <f>IF(Calculator!$C$12=15,ROUNDUP(-IPMT(Calculator!$C$13/12,$H13,180,Calculator!$C$11,0,),0),"")</f>
        <v/>
      </c>
      <c r="M13" s="14" t="str">
        <f>IF(Calculator!$C$12=15,J13-K13,"")</f>
        <v/>
      </c>
      <c r="O13" s="13">
        <v>9</v>
      </c>
      <c r="P13" s="14" t="str">
        <f>IF(Calculator!$C$12=20,Calculator!$C$14,"")</f>
        <v/>
      </c>
      <c r="Q13" s="14" t="str">
        <f t="shared" si="2"/>
        <v/>
      </c>
      <c r="R13" s="14" t="str">
        <f>IF(Calculator!$C$12=20,ROUNDUP(-PPMT(Calculator!$C$13/12,$O13,240,Calculator!$C$11,0,),0),"")</f>
        <v/>
      </c>
      <c r="S13" s="14" t="str">
        <f>IF(Calculator!$C$12=20,ROUNDUP(-IPMT(Calculator!$C$13/12,$O13,240,Calculator!$C$11,0,),0),"")</f>
        <v/>
      </c>
      <c r="T13" s="14" t="str">
        <f>IF(Calculator!$C$12=20,Q13-R13,"")</f>
        <v/>
      </c>
    </row>
    <row r="14" spans="1:20" x14ac:dyDescent="0.25">
      <c r="A14" s="13">
        <v>10</v>
      </c>
      <c r="B14" s="14">
        <f>IF(Calculator!$C$12=12,Calculator!$C$14,"")</f>
        <v>158</v>
      </c>
      <c r="C14" s="14">
        <f t="shared" si="0"/>
        <v>13483</v>
      </c>
      <c r="D14" s="14">
        <f>IF(Calculator!$C$12=12,ROUNDUP(-PPMT(Calculator!$C$13/12,$A14,144,Calculator!$C$11,0,),0),"")</f>
        <v>60</v>
      </c>
      <c r="E14" s="14">
        <f>IF(Calculator!$C$12=12,ROUNDUP(-IPMT(Calculator!$C$13/12,$A14,144,Calculator!$C$11,0,),0),"")</f>
        <v>99</v>
      </c>
      <c r="F14" s="14">
        <f>IF(Calculator!$C$12=12,C14-D14,"")</f>
        <v>13423</v>
      </c>
      <c r="H14" s="13">
        <v>10</v>
      </c>
      <c r="I14" s="14" t="str">
        <f>IF(Calculator!$C$12=12,"",Calculator!$C$14)</f>
        <v/>
      </c>
      <c r="J14" s="14" t="str">
        <f t="shared" si="1"/>
        <v/>
      </c>
      <c r="K14" s="14" t="str">
        <f>IF(Calculator!$C$12=15,ROUNDUP(-PPMT(Calculator!$C$13/12,$H14,180,Calculator!$C$11,0,),0),"")</f>
        <v/>
      </c>
      <c r="L14" s="14" t="str">
        <f>IF(Calculator!$C$12=15,ROUNDUP(-IPMT(Calculator!$C$13/12,$H14,180,Calculator!$C$11,0,),0),"")</f>
        <v/>
      </c>
      <c r="M14" s="14" t="str">
        <f>IF(Calculator!$C$12=15,J14-K14,"")</f>
        <v/>
      </c>
      <c r="O14" s="13">
        <v>10</v>
      </c>
      <c r="P14" s="14" t="str">
        <f>IF(Calculator!$C$12=20,Calculator!$C$14,"")</f>
        <v/>
      </c>
      <c r="Q14" s="14" t="str">
        <f t="shared" si="2"/>
        <v/>
      </c>
      <c r="R14" s="14" t="str">
        <f>IF(Calculator!$C$12=20,ROUNDUP(-PPMT(Calculator!$C$13/12,$O14,240,Calculator!$C$11,0,),0),"")</f>
        <v/>
      </c>
      <c r="S14" s="14" t="str">
        <f>IF(Calculator!$C$12=20,ROUNDUP(-IPMT(Calculator!$C$13/12,$O14,240,Calculator!$C$11,0,),0),"")</f>
        <v/>
      </c>
      <c r="T14" s="14" t="str">
        <f>IF(Calculator!$C$12=20,Q14-R14,"")</f>
        <v/>
      </c>
    </row>
    <row r="15" spans="1:20" x14ac:dyDescent="0.25">
      <c r="A15" s="13">
        <v>11</v>
      </c>
      <c r="B15" s="14">
        <f>IF(Calculator!$C$12=12,Calculator!$C$14,"")</f>
        <v>158</v>
      </c>
      <c r="C15" s="14">
        <f t="shared" si="0"/>
        <v>13423</v>
      </c>
      <c r="D15" s="14">
        <f>IF(Calculator!$C$12=12,ROUNDUP(-PPMT(Calculator!$C$13/12,$A15,144,Calculator!$C$11,0,),0),"")</f>
        <v>60</v>
      </c>
      <c r="E15" s="14">
        <f>IF(Calculator!$C$12=12,ROUNDUP(-IPMT(Calculator!$C$13/12,$A15,144,Calculator!$C$11,0,),0),"")</f>
        <v>98</v>
      </c>
      <c r="F15" s="14">
        <f>IF(Calculator!$C$12=12,C15-D15,"")</f>
        <v>13363</v>
      </c>
      <c r="H15" s="13">
        <v>11</v>
      </c>
      <c r="I15" s="14" t="str">
        <f>IF(Calculator!$C$12=12,"",Calculator!$C$14)</f>
        <v/>
      </c>
      <c r="J15" s="14" t="str">
        <f t="shared" si="1"/>
        <v/>
      </c>
      <c r="K15" s="14" t="str">
        <f>IF(Calculator!$C$12=15,ROUNDUP(-PPMT(Calculator!$C$13/12,$H15,180,Calculator!$C$11,0,),0),"")</f>
        <v/>
      </c>
      <c r="L15" s="14" t="str">
        <f>IF(Calculator!$C$12=15,ROUNDUP(-IPMT(Calculator!$C$13/12,$H15,180,Calculator!$C$11,0,),0),"")</f>
        <v/>
      </c>
      <c r="M15" s="14" t="str">
        <f>IF(Calculator!$C$12=15,J15-K15,"")</f>
        <v/>
      </c>
      <c r="O15" s="13">
        <v>11</v>
      </c>
      <c r="P15" s="14" t="str">
        <f>IF(Calculator!$C$12=20,Calculator!$C$14,"")</f>
        <v/>
      </c>
      <c r="Q15" s="14" t="str">
        <f t="shared" si="2"/>
        <v/>
      </c>
      <c r="R15" s="14" t="str">
        <f>IF(Calculator!$C$12=20,ROUNDUP(-PPMT(Calculator!$C$13/12,$O15,240,Calculator!$C$11,0,),0),"")</f>
        <v/>
      </c>
      <c r="S15" s="14" t="str">
        <f>IF(Calculator!$C$12=20,ROUNDUP(-IPMT(Calculator!$C$13/12,$O15,240,Calculator!$C$11,0,),0),"")</f>
        <v/>
      </c>
      <c r="T15" s="14" t="str">
        <f>IF(Calculator!$C$12=20,Q15-R15,"")</f>
        <v/>
      </c>
    </row>
    <row r="16" spans="1:20" x14ac:dyDescent="0.25">
      <c r="A16" s="13">
        <v>12</v>
      </c>
      <c r="B16" s="14">
        <f>IF(Calculator!$C$12=12,Calculator!$C$14,"")</f>
        <v>158</v>
      </c>
      <c r="C16" s="14">
        <f t="shared" si="0"/>
        <v>13363</v>
      </c>
      <c r="D16" s="14">
        <f>IF(Calculator!$C$12=12,ROUNDUP(-PPMT(Calculator!$C$13/12,$A16,144,Calculator!$C$11,0,),0),"")</f>
        <v>60</v>
      </c>
      <c r="E16" s="14">
        <f>IF(Calculator!$C$12=12,ROUNDUP(-IPMT(Calculator!$C$13/12,$A16,144,Calculator!$C$11,0,),0),"")</f>
        <v>98</v>
      </c>
      <c r="F16" s="14">
        <f>IF(Calculator!$C$12=12,C16-D16,"")</f>
        <v>13303</v>
      </c>
      <c r="H16" s="13">
        <v>12</v>
      </c>
      <c r="I16" s="14" t="str">
        <f>IF(Calculator!$C$12=12,"",Calculator!$C$14)</f>
        <v/>
      </c>
      <c r="J16" s="14" t="str">
        <f t="shared" si="1"/>
        <v/>
      </c>
      <c r="K16" s="14" t="str">
        <f>IF(Calculator!$C$12=15,ROUNDUP(-PPMT(Calculator!$C$13/12,$H16,180,Calculator!$C$11,0,),0),"")</f>
        <v/>
      </c>
      <c r="L16" s="14" t="str">
        <f>IF(Calculator!$C$12=15,ROUNDUP(-IPMT(Calculator!$C$13/12,$H16,180,Calculator!$C$11,0,),0),"")</f>
        <v/>
      </c>
      <c r="M16" s="14" t="str">
        <f>IF(Calculator!$C$12=15,J16-K16,"")</f>
        <v/>
      </c>
      <c r="O16" s="13">
        <v>12</v>
      </c>
      <c r="P16" s="14" t="str">
        <f>IF(Calculator!$C$12=20,Calculator!$C$14,"")</f>
        <v/>
      </c>
      <c r="Q16" s="14" t="str">
        <f t="shared" si="2"/>
        <v/>
      </c>
      <c r="R16" s="14" t="str">
        <f>IF(Calculator!$C$12=20,ROUNDUP(-PPMT(Calculator!$C$13/12,$O16,240,Calculator!$C$11,0,),0),"")</f>
        <v/>
      </c>
      <c r="S16" s="14" t="str">
        <f>IF(Calculator!$C$12=20,ROUNDUP(-IPMT(Calculator!$C$13/12,$O16,240,Calculator!$C$11,0,),0),"")</f>
        <v/>
      </c>
      <c r="T16" s="14" t="str">
        <f>IF(Calculator!$C$12=20,Q16-R16,"")</f>
        <v/>
      </c>
    </row>
    <row r="17" spans="1:20" x14ac:dyDescent="0.25">
      <c r="A17" s="13">
        <v>13</v>
      </c>
      <c r="B17" s="14">
        <f>IF(Calculator!$C$12=12,Calculator!$C$14,"")</f>
        <v>158</v>
      </c>
      <c r="C17" s="14">
        <f t="shared" si="0"/>
        <v>13303</v>
      </c>
      <c r="D17" s="14">
        <f>IF(Calculator!$C$12=12,ROUNDUP(-PPMT(Calculator!$C$13/12,$A17,144,Calculator!$C$11,0,),0),"")</f>
        <v>61</v>
      </c>
      <c r="E17" s="14">
        <f>IF(Calculator!$C$12=12,ROUNDUP(-IPMT(Calculator!$C$13/12,$A17,144,Calculator!$C$11,0,),0),"")</f>
        <v>98</v>
      </c>
      <c r="F17" s="14">
        <f>IF(Calculator!$C$12=12,C17-D17,"")</f>
        <v>13242</v>
      </c>
      <c r="H17" s="13">
        <v>13</v>
      </c>
      <c r="I17" s="14" t="str">
        <f>IF(Calculator!$C$12=12,"",Calculator!$C$14)</f>
        <v/>
      </c>
      <c r="J17" s="14" t="str">
        <f t="shared" si="1"/>
        <v/>
      </c>
      <c r="K17" s="14" t="str">
        <f>IF(Calculator!$C$12=15,ROUNDUP(-PPMT(Calculator!$C$13/12,$H17,180,Calculator!$C$11,0,),0),"")</f>
        <v/>
      </c>
      <c r="L17" s="14" t="str">
        <f>IF(Calculator!$C$12=15,ROUNDUP(-IPMT(Calculator!$C$13/12,$H17,180,Calculator!$C$11,0,),0),"")</f>
        <v/>
      </c>
      <c r="M17" s="14" t="str">
        <f>IF(Calculator!$C$12=15,J17-K17,"")</f>
        <v/>
      </c>
      <c r="O17" s="13">
        <v>13</v>
      </c>
      <c r="P17" s="14" t="str">
        <f>IF(Calculator!$C$12=20,Calculator!$C$14,"")</f>
        <v/>
      </c>
      <c r="Q17" s="14" t="str">
        <f t="shared" si="2"/>
        <v/>
      </c>
      <c r="R17" s="14" t="str">
        <f>IF(Calculator!$C$12=20,ROUNDUP(-PPMT(Calculator!$C$13/12,$O17,240,Calculator!$C$11,0,),0),"")</f>
        <v/>
      </c>
      <c r="S17" s="14" t="str">
        <f>IF(Calculator!$C$12=20,ROUNDUP(-IPMT(Calculator!$C$13/12,$O17,240,Calculator!$C$11,0,),0),"")</f>
        <v/>
      </c>
      <c r="T17" s="14" t="str">
        <f>IF(Calculator!$C$12=20,Q17-R17,"")</f>
        <v/>
      </c>
    </row>
    <row r="18" spans="1:20" x14ac:dyDescent="0.25">
      <c r="A18" s="13">
        <v>14</v>
      </c>
      <c r="B18" s="14">
        <f>IF(Calculator!$C$12=12,Calculator!$C$14,"")</f>
        <v>158</v>
      </c>
      <c r="C18" s="14">
        <f t="shared" si="0"/>
        <v>13242</v>
      </c>
      <c r="D18" s="14">
        <f>IF(Calculator!$C$12=12,ROUNDUP(-PPMT(Calculator!$C$13/12,$A18,144,Calculator!$C$11,0,),0),"")</f>
        <v>61</v>
      </c>
      <c r="E18" s="14">
        <f>IF(Calculator!$C$12=12,ROUNDUP(-IPMT(Calculator!$C$13/12,$A18,144,Calculator!$C$11,0,),0),"")</f>
        <v>97</v>
      </c>
      <c r="F18" s="14">
        <f>IF(Calculator!$C$12=12,C18-D18,"")</f>
        <v>13181</v>
      </c>
      <c r="H18" s="13">
        <v>14</v>
      </c>
      <c r="I18" s="14" t="str">
        <f>IF(Calculator!$C$12=12,"",Calculator!$C$14)</f>
        <v/>
      </c>
      <c r="J18" s="14" t="str">
        <f t="shared" si="1"/>
        <v/>
      </c>
      <c r="K18" s="14" t="str">
        <f>IF(Calculator!$C$12=15,ROUNDUP(-PPMT(Calculator!$C$13/12,$H18,180,Calculator!$C$11,0,),0),"")</f>
        <v/>
      </c>
      <c r="L18" s="14" t="str">
        <f>IF(Calculator!$C$12=15,ROUNDUP(-IPMT(Calculator!$C$13/12,$H18,180,Calculator!$C$11,0,),0),"")</f>
        <v/>
      </c>
      <c r="M18" s="14" t="str">
        <f>IF(Calculator!$C$12=15,J18-K18,"")</f>
        <v/>
      </c>
      <c r="O18" s="13">
        <v>14</v>
      </c>
      <c r="P18" s="14" t="str">
        <f>IF(Calculator!$C$12=20,Calculator!$C$14,"")</f>
        <v/>
      </c>
      <c r="Q18" s="14" t="str">
        <f t="shared" si="2"/>
        <v/>
      </c>
      <c r="R18" s="14" t="str">
        <f>IF(Calculator!$C$12=20,ROUNDUP(-PPMT(Calculator!$C$13/12,$O18,240,Calculator!$C$11,0,),0),"")</f>
        <v/>
      </c>
      <c r="S18" s="14" t="str">
        <f>IF(Calculator!$C$12=20,ROUNDUP(-IPMT(Calculator!$C$13/12,$O18,240,Calculator!$C$11,0,),0),"")</f>
        <v/>
      </c>
      <c r="T18" s="14" t="str">
        <f>IF(Calculator!$C$12=20,Q18-R18,"")</f>
        <v/>
      </c>
    </row>
    <row r="19" spans="1:20" x14ac:dyDescent="0.25">
      <c r="A19" s="13">
        <v>15</v>
      </c>
      <c r="B19" s="14">
        <f>IF(Calculator!$C$12=12,Calculator!$C$14,"")</f>
        <v>158</v>
      </c>
      <c r="C19" s="14">
        <f t="shared" si="0"/>
        <v>13181</v>
      </c>
      <c r="D19" s="14">
        <f>IF(Calculator!$C$12=12,ROUNDUP(-PPMT(Calculator!$C$13/12,$A19,144,Calculator!$C$11,0,),0),"")</f>
        <v>62</v>
      </c>
      <c r="E19" s="14">
        <f>IF(Calculator!$C$12=12,ROUNDUP(-IPMT(Calculator!$C$13/12,$A19,144,Calculator!$C$11,0,),0),"")</f>
        <v>97</v>
      </c>
      <c r="F19" s="14">
        <f>IF(Calculator!$C$12=12,C19-D19,"")</f>
        <v>13119</v>
      </c>
      <c r="H19" s="13">
        <v>15</v>
      </c>
      <c r="I19" s="14" t="str">
        <f>IF(Calculator!$C$12=12,"",Calculator!$C$14)</f>
        <v/>
      </c>
      <c r="J19" s="14" t="str">
        <f t="shared" si="1"/>
        <v/>
      </c>
      <c r="K19" s="14" t="str">
        <f>IF(Calculator!$C$12=15,ROUNDUP(-PPMT(Calculator!$C$13/12,$H19,180,Calculator!$C$11,0,),0),"")</f>
        <v/>
      </c>
      <c r="L19" s="14" t="str">
        <f>IF(Calculator!$C$12=15,ROUNDUP(-IPMT(Calculator!$C$13/12,$H19,180,Calculator!$C$11,0,),0),"")</f>
        <v/>
      </c>
      <c r="M19" s="14" t="str">
        <f>IF(Calculator!$C$12=15,J19-K19,"")</f>
        <v/>
      </c>
      <c r="O19" s="13">
        <v>15</v>
      </c>
      <c r="P19" s="14" t="str">
        <f>IF(Calculator!$C$12=20,Calculator!$C$14,"")</f>
        <v/>
      </c>
      <c r="Q19" s="14" t="str">
        <f t="shared" si="2"/>
        <v/>
      </c>
      <c r="R19" s="14" t="str">
        <f>IF(Calculator!$C$12=20,ROUNDUP(-PPMT(Calculator!$C$13/12,$O19,240,Calculator!$C$11,0,),0),"")</f>
        <v/>
      </c>
      <c r="S19" s="14" t="str">
        <f>IF(Calculator!$C$12=20,ROUNDUP(-IPMT(Calculator!$C$13/12,$O19,240,Calculator!$C$11,0,),0),"")</f>
        <v/>
      </c>
      <c r="T19" s="14" t="str">
        <f>IF(Calculator!$C$12=20,Q19-R19,"")</f>
        <v/>
      </c>
    </row>
    <row r="20" spans="1:20" x14ac:dyDescent="0.25">
      <c r="A20" s="13">
        <v>16</v>
      </c>
      <c r="B20" s="14">
        <f>IF(Calculator!$C$12=12,Calculator!$C$14,"")</f>
        <v>158</v>
      </c>
      <c r="C20" s="14">
        <f t="shared" si="0"/>
        <v>13119</v>
      </c>
      <c r="D20" s="14">
        <f>IF(Calculator!$C$12=12,ROUNDUP(-PPMT(Calculator!$C$13/12,$A20,144,Calculator!$C$11,0,),0),"")</f>
        <v>62</v>
      </c>
      <c r="E20" s="14">
        <f>IF(Calculator!$C$12=12,ROUNDUP(-IPMT(Calculator!$C$13/12,$A20,144,Calculator!$C$11,0,),0),"")</f>
        <v>96</v>
      </c>
      <c r="F20" s="14">
        <f>IF(Calculator!$C$12=12,C20-D20,"")</f>
        <v>13057</v>
      </c>
      <c r="H20" s="13">
        <v>16</v>
      </c>
      <c r="I20" s="14" t="str">
        <f>IF(Calculator!$C$12=12,"",Calculator!$C$14)</f>
        <v/>
      </c>
      <c r="J20" s="14" t="str">
        <f t="shared" si="1"/>
        <v/>
      </c>
      <c r="K20" s="14" t="str">
        <f>IF(Calculator!$C$12=15,ROUNDUP(-PPMT(Calculator!$C$13/12,$H20,180,Calculator!$C$11,0,),0),"")</f>
        <v/>
      </c>
      <c r="L20" s="14" t="str">
        <f>IF(Calculator!$C$12=15,ROUNDUP(-IPMT(Calculator!$C$13/12,$H20,180,Calculator!$C$11,0,),0),"")</f>
        <v/>
      </c>
      <c r="M20" s="14" t="str">
        <f>IF(Calculator!$C$12=15,J20-K20,"")</f>
        <v/>
      </c>
      <c r="O20" s="13">
        <v>16</v>
      </c>
      <c r="P20" s="14" t="str">
        <f>IF(Calculator!$C$12=20,Calculator!$C$14,"")</f>
        <v/>
      </c>
      <c r="Q20" s="14" t="str">
        <f t="shared" si="2"/>
        <v/>
      </c>
      <c r="R20" s="14" t="str">
        <f>IF(Calculator!$C$12=20,ROUNDUP(-PPMT(Calculator!$C$13/12,$O20,240,Calculator!$C$11,0,),0),"")</f>
        <v/>
      </c>
      <c r="S20" s="14" t="str">
        <f>IF(Calculator!$C$12=20,ROUNDUP(-IPMT(Calculator!$C$13/12,$O20,240,Calculator!$C$11,0,),0),"")</f>
        <v/>
      </c>
      <c r="T20" s="14" t="str">
        <f>IF(Calculator!$C$12=20,Q20-R20,"")</f>
        <v/>
      </c>
    </row>
    <row r="21" spans="1:20" x14ac:dyDescent="0.25">
      <c r="A21" s="13">
        <v>17</v>
      </c>
      <c r="B21" s="14">
        <f>IF(Calculator!$C$12=12,Calculator!$C$14,"")</f>
        <v>158</v>
      </c>
      <c r="C21" s="14">
        <f t="shared" si="0"/>
        <v>13057</v>
      </c>
      <c r="D21" s="14">
        <f>IF(Calculator!$C$12=12,ROUNDUP(-PPMT(Calculator!$C$13/12,$A21,144,Calculator!$C$11,0,),0),"")</f>
        <v>63</v>
      </c>
      <c r="E21" s="14">
        <f>IF(Calculator!$C$12=12,ROUNDUP(-IPMT(Calculator!$C$13/12,$A21,144,Calculator!$C$11,0,),0),"")</f>
        <v>96</v>
      </c>
      <c r="F21" s="14">
        <f>IF(Calculator!$C$12=12,C21-D21,"")</f>
        <v>12994</v>
      </c>
      <c r="H21" s="13">
        <v>17</v>
      </c>
      <c r="I21" s="14" t="str">
        <f>IF(Calculator!$C$12=12,"",Calculator!$C$14)</f>
        <v/>
      </c>
      <c r="J21" s="14" t="str">
        <f t="shared" si="1"/>
        <v/>
      </c>
      <c r="K21" s="14" t="str">
        <f>IF(Calculator!$C$12=15,ROUNDUP(-PPMT(Calculator!$C$13/12,$H21,180,Calculator!$C$11,0,),0),"")</f>
        <v/>
      </c>
      <c r="L21" s="14" t="str">
        <f>IF(Calculator!$C$12=15,ROUNDUP(-IPMT(Calculator!$C$13/12,$H21,180,Calculator!$C$11,0,),0),"")</f>
        <v/>
      </c>
      <c r="M21" s="14" t="str">
        <f>IF(Calculator!$C$12=15,J21-K21,"")</f>
        <v/>
      </c>
      <c r="O21" s="13">
        <v>17</v>
      </c>
      <c r="P21" s="14" t="str">
        <f>IF(Calculator!$C$12=20,Calculator!$C$14,"")</f>
        <v/>
      </c>
      <c r="Q21" s="14" t="str">
        <f t="shared" si="2"/>
        <v/>
      </c>
      <c r="R21" s="14" t="str">
        <f>IF(Calculator!$C$12=20,ROUNDUP(-PPMT(Calculator!$C$13/12,$O21,240,Calculator!$C$11,0,),0),"")</f>
        <v/>
      </c>
      <c r="S21" s="14" t="str">
        <f>IF(Calculator!$C$12=20,ROUNDUP(-IPMT(Calculator!$C$13/12,$O21,240,Calculator!$C$11,0,),0),"")</f>
        <v/>
      </c>
      <c r="T21" s="14" t="str">
        <f>IF(Calculator!$C$12=20,Q21-R21,"")</f>
        <v/>
      </c>
    </row>
    <row r="22" spans="1:20" x14ac:dyDescent="0.25">
      <c r="A22" s="13">
        <v>18</v>
      </c>
      <c r="B22" s="14">
        <f>IF(Calculator!$C$12=12,Calculator!$C$14,"")</f>
        <v>158</v>
      </c>
      <c r="C22" s="14">
        <f t="shared" si="0"/>
        <v>12994</v>
      </c>
      <c r="D22" s="14">
        <f>IF(Calculator!$C$12=12,ROUNDUP(-PPMT(Calculator!$C$13/12,$A22,144,Calculator!$C$11,0,),0),"")</f>
        <v>63</v>
      </c>
      <c r="E22" s="14">
        <f>IF(Calculator!$C$12=12,ROUNDUP(-IPMT(Calculator!$C$13/12,$A22,144,Calculator!$C$11,0,),0),"")</f>
        <v>95</v>
      </c>
      <c r="F22" s="14">
        <f>IF(Calculator!$C$12=12,C22-D22,"")</f>
        <v>12931</v>
      </c>
      <c r="H22" s="13">
        <v>18</v>
      </c>
      <c r="I22" s="14" t="str">
        <f>IF(Calculator!$C$12=12,"",Calculator!$C$14)</f>
        <v/>
      </c>
      <c r="J22" s="14" t="str">
        <f t="shared" si="1"/>
        <v/>
      </c>
      <c r="K22" s="14" t="str">
        <f>IF(Calculator!$C$12=15,ROUNDUP(-PPMT(Calculator!$C$13/12,$H22,180,Calculator!$C$11,0,),0),"")</f>
        <v/>
      </c>
      <c r="L22" s="14" t="str">
        <f>IF(Calculator!$C$12=15,ROUNDUP(-IPMT(Calculator!$C$13/12,$H22,180,Calculator!$C$11,0,),0),"")</f>
        <v/>
      </c>
      <c r="M22" s="14" t="str">
        <f>IF(Calculator!$C$12=15,J22-K22,"")</f>
        <v/>
      </c>
      <c r="O22" s="13">
        <v>18</v>
      </c>
      <c r="P22" s="14" t="str">
        <f>IF(Calculator!$C$12=20,Calculator!$C$14,"")</f>
        <v/>
      </c>
      <c r="Q22" s="14" t="str">
        <f t="shared" si="2"/>
        <v/>
      </c>
      <c r="R22" s="14" t="str">
        <f>IF(Calculator!$C$12=20,ROUNDUP(-PPMT(Calculator!$C$13/12,$O22,240,Calculator!$C$11,0,),0),"")</f>
        <v/>
      </c>
      <c r="S22" s="14" t="str">
        <f>IF(Calculator!$C$12=20,ROUNDUP(-IPMT(Calculator!$C$13/12,$O22,240,Calculator!$C$11,0,),0),"")</f>
        <v/>
      </c>
      <c r="T22" s="14" t="str">
        <f>IF(Calculator!$C$12=20,Q22-R22,"")</f>
        <v/>
      </c>
    </row>
    <row r="23" spans="1:20" x14ac:dyDescent="0.25">
      <c r="A23" s="13">
        <v>19</v>
      </c>
      <c r="B23" s="14">
        <f>IF(Calculator!$C$12=12,Calculator!$C$14,"")</f>
        <v>158</v>
      </c>
      <c r="C23" s="14">
        <f t="shared" si="0"/>
        <v>12931</v>
      </c>
      <c r="D23" s="14">
        <f>IF(Calculator!$C$12=12,ROUNDUP(-PPMT(Calculator!$C$13/12,$A23,144,Calculator!$C$11,0,),0),"")</f>
        <v>63</v>
      </c>
      <c r="E23" s="14">
        <f>IF(Calculator!$C$12=12,ROUNDUP(-IPMT(Calculator!$C$13/12,$A23,144,Calculator!$C$11,0,),0),"")</f>
        <v>95</v>
      </c>
      <c r="F23" s="14">
        <f>IF(Calculator!$C$12=12,C23-D23,"")</f>
        <v>12868</v>
      </c>
      <c r="H23" s="13">
        <v>19</v>
      </c>
      <c r="I23" s="14" t="str">
        <f>IF(Calculator!$C$12=12,"",Calculator!$C$14)</f>
        <v/>
      </c>
      <c r="J23" s="14" t="str">
        <f t="shared" si="1"/>
        <v/>
      </c>
      <c r="K23" s="14" t="str">
        <f>IF(Calculator!$C$12=15,ROUNDUP(-PPMT(Calculator!$C$13/12,$H23,180,Calculator!$C$11,0,),0),"")</f>
        <v/>
      </c>
      <c r="L23" s="14" t="str">
        <f>IF(Calculator!$C$12=15,ROUNDUP(-IPMT(Calculator!$C$13/12,$H23,180,Calculator!$C$11,0,),0),"")</f>
        <v/>
      </c>
      <c r="M23" s="14" t="str">
        <f>IF(Calculator!$C$12=15,J23-K23,"")</f>
        <v/>
      </c>
      <c r="O23" s="13">
        <v>19</v>
      </c>
      <c r="P23" s="14" t="str">
        <f>IF(Calculator!$C$12=20,Calculator!$C$14,"")</f>
        <v/>
      </c>
      <c r="Q23" s="14" t="str">
        <f t="shared" si="2"/>
        <v/>
      </c>
      <c r="R23" s="14" t="str">
        <f>IF(Calculator!$C$12=20,ROUNDUP(-PPMT(Calculator!$C$13/12,$O23,240,Calculator!$C$11,0,),0),"")</f>
        <v/>
      </c>
      <c r="S23" s="14" t="str">
        <f>IF(Calculator!$C$12=20,ROUNDUP(-IPMT(Calculator!$C$13/12,$O23,240,Calculator!$C$11,0,),0),"")</f>
        <v/>
      </c>
      <c r="T23" s="14" t="str">
        <f>IF(Calculator!$C$12=20,Q23-R23,"")</f>
        <v/>
      </c>
    </row>
    <row r="24" spans="1:20" x14ac:dyDescent="0.25">
      <c r="A24" s="13">
        <v>20</v>
      </c>
      <c r="B24" s="14">
        <f>IF(Calculator!$C$12=12,Calculator!$C$14,"")</f>
        <v>158</v>
      </c>
      <c r="C24" s="14">
        <f t="shared" si="0"/>
        <v>12868</v>
      </c>
      <c r="D24" s="14">
        <f>IF(Calculator!$C$12=12,ROUNDUP(-PPMT(Calculator!$C$13/12,$A24,144,Calculator!$C$11,0,),0),"")</f>
        <v>64</v>
      </c>
      <c r="E24" s="14">
        <f>IF(Calculator!$C$12=12,ROUNDUP(-IPMT(Calculator!$C$13/12,$A24,144,Calculator!$C$11,0,),0),"")</f>
        <v>94</v>
      </c>
      <c r="F24" s="14">
        <f>IF(Calculator!$C$12=12,C24-D24,"")</f>
        <v>12804</v>
      </c>
      <c r="H24" s="13">
        <v>20</v>
      </c>
      <c r="I24" s="14" t="str">
        <f>IF(Calculator!$C$12=12,"",Calculator!$C$14)</f>
        <v/>
      </c>
      <c r="J24" s="14" t="str">
        <f t="shared" si="1"/>
        <v/>
      </c>
      <c r="K24" s="14" t="str">
        <f>IF(Calculator!$C$12=15,ROUNDUP(-PPMT(Calculator!$C$13/12,$H24,180,Calculator!$C$11,0,),0),"")</f>
        <v/>
      </c>
      <c r="L24" s="14" t="str">
        <f>IF(Calculator!$C$12=15,ROUNDUP(-IPMT(Calculator!$C$13/12,$H24,180,Calculator!$C$11,0,),0),"")</f>
        <v/>
      </c>
      <c r="M24" s="14" t="str">
        <f>IF(Calculator!$C$12=15,J24-K24,"")</f>
        <v/>
      </c>
      <c r="O24" s="13">
        <v>20</v>
      </c>
      <c r="P24" s="14" t="str">
        <f>IF(Calculator!$C$12=20,Calculator!$C$14,"")</f>
        <v/>
      </c>
      <c r="Q24" s="14" t="str">
        <f t="shared" si="2"/>
        <v/>
      </c>
      <c r="R24" s="14" t="str">
        <f>IF(Calculator!$C$12=20,ROUNDUP(-PPMT(Calculator!$C$13/12,$O24,240,Calculator!$C$11,0,),0),"")</f>
        <v/>
      </c>
      <c r="S24" s="14" t="str">
        <f>IF(Calculator!$C$12=20,ROUNDUP(-IPMT(Calculator!$C$13/12,$O24,240,Calculator!$C$11,0,),0),"")</f>
        <v/>
      </c>
      <c r="T24" s="14" t="str">
        <f>IF(Calculator!$C$12=20,Q24-R24,"")</f>
        <v/>
      </c>
    </row>
    <row r="25" spans="1:20" x14ac:dyDescent="0.25">
      <c r="A25" s="13">
        <v>21</v>
      </c>
      <c r="B25" s="14">
        <f>IF(Calculator!$C$12=12,Calculator!$C$14,"")</f>
        <v>158</v>
      </c>
      <c r="C25" s="14">
        <f t="shared" si="0"/>
        <v>12804</v>
      </c>
      <c r="D25" s="14">
        <f>IF(Calculator!$C$12=12,ROUNDUP(-PPMT(Calculator!$C$13/12,$A25,144,Calculator!$C$11,0,),0),"")</f>
        <v>64</v>
      </c>
      <c r="E25" s="14">
        <f>IF(Calculator!$C$12=12,ROUNDUP(-IPMT(Calculator!$C$13/12,$A25,144,Calculator!$C$11,0,),0),"")</f>
        <v>94</v>
      </c>
      <c r="F25" s="14">
        <f>IF(Calculator!$C$12=12,C25-D25,"")</f>
        <v>12740</v>
      </c>
      <c r="H25" s="13">
        <v>21</v>
      </c>
      <c r="I25" s="14" t="str">
        <f>IF(Calculator!$C$12=12,"",Calculator!$C$14)</f>
        <v/>
      </c>
      <c r="J25" s="14" t="str">
        <f t="shared" si="1"/>
        <v/>
      </c>
      <c r="K25" s="14" t="str">
        <f>IF(Calculator!$C$12=15,ROUNDUP(-PPMT(Calculator!$C$13/12,$H25,180,Calculator!$C$11,0,),0),"")</f>
        <v/>
      </c>
      <c r="L25" s="14" t="str">
        <f>IF(Calculator!$C$12=15,ROUNDUP(-IPMT(Calculator!$C$13/12,$H25,180,Calculator!$C$11,0,),0),"")</f>
        <v/>
      </c>
      <c r="M25" s="14" t="str">
        <f>IF(Calculator!$C$12=15,J25-K25,"")</f>
        <v/>
      </c>
      <c r="O25" s="13">
        <v>21</v>
      </c>
      <c r="P25" s="14" t="str">
        <f>IF(Calculator!$C$12=20,Calculator!$C$14,"")</f>
        <v/>
      </c>
      <c r="Q25" s="14" t="str">
        <f t="shared" si="2"/>
        <v/>
      </c>
      <c r="R25" s="14" t="str">
        <f>IF(Calculator!$C$12=20,ROUNDUP(-PPMT(Calculator!$C$13/12,$O25,240,Calculator!$C$11,0,),0),"")</f>
        <v/>
      </c>
      <c r="S25" s="14" t="str">
        <f>IF(Calculator!$C$12=20,ROUNDUP(-IPMT(Calculator!$C$13/12,$O25,240,Calculator!$C$11,0,),0),"")</f>
        <v/>
      </c>
      <c r="T25" s="14" t="str">
        <f>IF(Calculator!$C$12=20,Q25-R25,"")</f>
        <v/>
      </c>
    </row>
    <row r="26" spans="1:20" x14ac:dyDescent="0.25">
      <c r="A26" s="13">
        <v>22</v>
      </c>
      <c r="B26" s="14">
        <f>IF(Calculator!$C$12=12,Calculator!$C$14,"")</f>
        <v>158</v>
      </c>
      <c r="C26" s="14">
        <f t="shared" si="0"/>
        <v>12740</v>
      </c>
      <c r="D26" s="14">
        <f>IF(Calculator!$C$12=12,ROUNDUP(-PPMT(Calculator!$C$13/12,$A26,144,Calculator!$C$11,0,),0),"")</f>
        <v>65</v>
      </c>
      <c r="E26" s="14">
        <f>IF(Calculator!$C$12=12,ROUNDUP(-IPMT(Calculator!$C$13/12,$A26,144,Calculator!$C$11,0,),0),"")</f>
        <v>93</v>
      </c>
      <c r="F26" s="14">
        <f>IF(Calculator!$C$12=12,C26-D26,"")</f>
        <v>12675</v>
      </c>
      <c r="H26" s="13">
        <v>22</v>
      </c>
      <c r="I26" s="14" t="str">
        <f>IF(Calculator!$C$12=12,"",Calculator!$C$14)</f>
        <v/>
      </c>
      <c r="J26" s="14" t="str">
        <f t="shared" si="1"/>
        <v/>
      </c>
      <c r="K26" s="14" t="str">
        <f>IF(Calculator!$C$12=15,ROUNDUP(-PPMT(Calculator!$C$13/12,$H26,180,Calculator!$C$11,0,),0),"")</f>
        <v/>
      </c>
      <c r="L26" s="14" t="str">
        <f>IF(Calculator!$C$12=15,ROUNDUP(-IPMT(Calculator!$C$13/12,$H26,180,Calculator!$C$11,0,),0),"")</f>
        <v/>
      </c>
      <c r="M26" s="14" t="str">
        <f>IF(Calculator!$C$12=15,J26-K26,"")</f>
        <v/>
      </c>
      <c r="O26" s="13">
        <v>22</v>
      </c>
      <c r="P26" s="14" t="str">
        <f>IF(Calculator!$C$12=20,Calculator!$C$14,"")</f>
        <v/>
      </c>
      <c r="Q26" s="14" t="str">
        <f t="shared" si="2"/>
        <v/>
      </c>
      <c r="R26" s="14" t="str">
        <f>IF(Calculator!$C$12=20,ROUNDUP(-PPMT(Calculator!$C$13/12,$O26,240,Calculator!$C$11,0,),0),"")</f>
        <v/>
      </c>
      <c r="S26" s="14" t="str">
        <f>IF(Calculator!$C$12=20,ROUNDUP(-IPMT(Calculator!$C$13/12,$O26,240,Calculator!$C$11,0,),0),"")</f>
        <v/>
      </c>
      <c r="T26" s="14" t="str">
        <f>IF(Calculator!$C$12=20,Q26-R26,"")</f>
        <v/>
      </c>
    </row>
    <row r="27" spans="1:20" x14ac:dyDescent="0.25">
      <c r="A27" s="13">
        <v>23</v>
      </c>
      <c r="B27" s="14">
        <f>IF(Calculator!$C$12=12,Calculator!$C$14,"")</f>
        <v>158</v>
      </c>
      <c r="C27" s="14">
        <f t="shared" si="0"/>
        <v>12675</v>
      </c>
      <c r="D27" s="14">
        <f>IF(Calculator!$C$12=12,ROUNDUP(-PPMT(Calculator!$C$13/12,$A27,144,Calculator!$C$11,0,),0),"")</f>
        <v>65</v>
      </c>
      <c r="E27" s="14">
        <f>IF(Calculator!$C$12=12,ROUNDUP(-IPMT(Calculator!$C$13/12,$A27,144,Calculator!$C$11,0,),0),"")</f>
        <v>93</v>
      </c>
      <c r="F27" s="14">
        <f>IF(Calculator!$C$12=12,C27-D27,"")</f>
        <v>12610</v>
      </c>
      <c r="H27" s="13">
        <v>23</v>
      </c>
      <c r="I27" s="14" t="str">
        <f>IF(Calculator!$C$12=12,"",Calculator!$C$14)</f>
        <v/>
      </c>
      <c r="J27" s="14" t="str">
        <f t="shared" si="1"/>
        <v/>
      </c>
      <c r="K27" s="14" t="str">
        <f>IF(Calculator!$C$12=15,ROUNDUP(-PPMT(Calculator!$C$13/12,$H27,180,Calculator!$C$11,0,),0),"")</f>
        <v/>
      </c>
      <c r="L27" s="14" t="str">
        <f>IF(Calculator!$C$12=15,ROUNDUP(-IPMT(Calculator!$C$13/12,$H27,180,Calculator!$C$11,0,),0),"")</f>
        <v/>
      </c>
      <c r="M27" s="14" t="str">
        <f>IF(Calculator!$C$12=15,J27-K27,"")</f>
        <v/>
      </c>
      <c r="O27" s="13">
        <v>23</v>
      </c>
      <c r="P27" s="14" t="str">
        <f>IF(Calculator!$C$12=20,Calculator!$C$14,"")</f>
        <v/>
      </c>
      <c r="Q27" s="14" t="str">
        <f t="shared" si="2"/>
        <v/>
      </c>
      <c r="R27" s="14" t="str">
        <f>IF(Calculator!$C$12=20,ROUNDUP(-PPMT(Calculator!$C$13/12,$O27,240,Calculator!$C$11,0,),0),"")</f>
        <v/>
      </c>
      <c r="S27" s="14" t="str">
        <f>IF(Calculator!$C$12=20,ROUNDUP(-IPMT(Calculator!$C$13/12,$O27,240,Calculator!$C$11,0,),0),"")</f>
        <v/>
      </c>
      <c r="T27" s="14" t="str">
        <f>IF(Calculator!$C$12=20,Q27-R27,"")</f>
        <v/>
      </c>
    </row>
    <row r="28" spans="1:20" x14ac:dyDescent="0.25">
      <c r="A28" s="13">
        <v>24</v>
      </c>
      <c r="B28" s="14">
        <f>IF(Calculator!$C$12=12,Calculator!$C$14,"")</f>
        <v>158</v>
      </c>
      <c r="C28" s="14">
        <f t="shared" si="0"/>
        <v>12610</v>
      </c>
      <c r="D28" s="14">
        <f>IF(Calculator!$C$12=12,ROUNDUP(-PPMT(Calculator!$C$13/12,$A28,144,Calculator!$C$11,0,),0),"")</f>
        <v>66</v>
      </c>
      <c r="E28" s="14">
        <f>IF(Calculator!$C$12=12,ROUNDUP(-IPMT(Calculator!$C$13/12,$A28,144,Calculator!$C$11,0,),0),"")</f>
        <v>93</v>
      </c>
      <c r="F28" s="14">
        <f>IF(Calculator!$C$12=12,C28-D28,"")</f>
        <v>12544</v>
      </c>
      <c r="H28" s="13">
        <v>24</v>
      </c>
      <c r="I28" s="14" t="str">
        <f>IF(Calculator!$C$12=12,"",Calculator!$C$14)</f>
        <v/>
      </c>
      <c r="J28" s="14" t="str">
        <f t="shared" si="1"/>
        <v/>
      </c>
      <c r="K28" s="14" t="str">
        <f>IF(Calculator!$C$12=15,ROUNDUP(-PPMT(Calculator!$C$13/12,$H28,180,Calculator!$C$11,0,),0),"")</f>
        <v/>
      </c>
      <c r="L28" s="14" t="str">
        <f>IF(Calculator!$C$12=15,ROUNDUP(-IPMT(Calculator!$C$13/12,$H28,180,Calculator!$C$11,0,),0),"")</f>
        <v/>
      </c>
      <c r="M28" s="14" t="str">
        <f>IF(Calculator!$C$12=15,J28-K28,"")</f>
        <v/>
      </c>
      <c r="O28" s="13">
        <v>24</v>
      </c>
      <c r="P28" s="14" t="str">
        <f>IF(Calculator!$C$12=20,Calculator!$C$14,"")</f>
        <v/>
      </c>
      <c r="Q28" s="14" t="str">
        <f t="shared" si="2"/>
        <v/>
      </c>
      <c r="R28" s="14" t="str">
        <f>IF(Calculator!$C$12=20,ROUNDUP(-PPMT(Calculator!$C$13/12,$O28,240,Calculator!$C$11,0,),0),"")</f>
        <v/>
      </c>
      <c r="S28" s="14" t="str">
        <f>IF(Calculator!$C$12=20,ROUNDUP(-IPMT(Calculator!$C$13/12,$O28,240,Calculator!$C$11,0,),0),"")</f>
        <v/>
      </c>
      <c r="T28" s="14" t="str">
        <f>IF(Calculator!$C$12=20,Q28-R28,"")</f>
        <v/>
      </c>
    </row>
    <row r="29" spans="1:20" x14ac:dyDescent="0.25">
      <c r="A29" s="13">
        <v>25</v>
      </c>
      <c r="B29" s="14">
        <f>IF(Calculator!$C$12=12,Calculator!$C$14,"")</f>
        <v>158</v>
      </c>
      <c r="C29" s="14">
        <f t="shared" si="0"/>
        <v>12544</v>
      </c>
      <c r="D29" s="14">
        <f>IF(Calculator!$C$12=12,ROUNDUP(-PPMT(Calculator!$C$13/12,$A29,144,Calculator!$C$11,0,),0),"")</f>
        <v>66</v>
      </c>
      <c r="E29" s="14">
        <f>IF(Calculator!$C$12=12,ROUNDUP(-IPMT(Calculator!$C$13/12,$A29,144,Calculator!$C$11,0,),0),"")</f>
        <v>92</v>
      </c>
      <c r="F29" s="14">
        <f>IF(Calculator!$C$12=12,C29-D29,"")</f>
        <v>12478</v>
      </c>
      <c r="H29" s="13">
        <v>25</v>
      </c>
      <c r="I29" s="14" t="str">
        <f>IF(Calculator!$C$12=12,"",Calculator!$C$14)</f>
        <v/>
      </c>
      <c r="J29" s="14" t="str">
        <f t="shared" si="1"/>
        <v/>
      </c>
      <c r="K29" s="14" t="str">
        <f>IF(Calculator!$C$12=15,ROUNDUP(-PPMT(Calculator!$C$13/12,$H29,180,Calculator!$C$11,0,),0),"")</f>
        <v/>
      </c>
      <c r="L29" s="14" t="str">
        <f>IF(Calculator!$C$12=15,ROUNDUP(-IPMT(Calculator!$C$13/12,$H29,180,Calculator!$C$11,0,),0),"")</f>
        <v/>
      </c>
      <c r="M29" s="14" t="str">
        <f>IF(Calculator!$C$12=15,J29-K29,"")</f>
        <v/>
      </c>
      <c r="O29" s="13">
        <v>25</v>
      </c>
      <c r="P29" s="14" t="str">
        <f>IF(Calculator!$C$12=20,Calculator!$C$14,"")</f>
        <v/>
      </c>
      <c r="Q29" s="14" t="str">
        <f t="shared" si="2"/>
        <v/>
      </c>
      <c r="R29" s="14" t="str">
        <f>IF(Calculator!$C$12=20,ROUNDUP(-PPMT(Calculator!$C$13/12,$O29,240,Calculator!$C$11,0,),0),"")</f>
        <v/>
      </c>
      <c r="S29" s="14" t="str">
        <f>IF(Calculator!$C$12=20,ROUNDUP(-IPMT(Calculator!$C$13/12,$O29,240,Calculator!$C$11,0,),0),"")</f>
        <v/>
      </c>
      <c r="T29" s="14" t="str">
        <f>IF(Calculator!$C$12=20,Q29-R29,"")</f>
        <v/>
      </c>
    </row>
    <row r="30" spans="1:20" x14ac:dyDescent="0.25">
      <c r="A30" s="13">
        <v>26</v>
      </c>
      <c r="B30" s="14">
        <f>IF(Calculator!$C$12=12,Calculator!$C$14,"")</f>
        <v>158</v>
      </c>
      <c r="C30" s="14">
        <f t="shared" si="0"/>
        <v>12478</v>
      </c>
      <c r="D30" s="14">
        <f>IF(Calculator!$C$12=12,ROUNDUP(-PPMT(Calculator!$C$13/12,$A30,144,Calculator!$C$11,0,),0),"")</f>
        <v>67</v>
      </c>
      <c r="E30" s="14">
        <f>IF(Calculator!$C$12=12,ROUNDUP(-IPMT(Calculator!$C$13/12,$A30,144,Calculator!$C$11,0,),0),"")</f>
        <v>92</v>
      </c>
      <c r="F30" s="14">
        <f>IF(Calculator!$C$12=12,C30-D30,"")</f>
        <v>12411</v>
      </c>
      <c r="H30" s="13">
        <v>26</v>
      </c>
      <c r="I30" s="14" t="str">
        <f>IF(Calculator!$C$12=12,"",Calculator!$C$14)</f>
        <v/>
      </c>
      <c r="J30" s="14" t="str">
        <f t="shared" si="1"/>
        <v/>
      </c>
      <c r="K30" s="14" t="str">
        <f>IF(Calculator!$C$12=15,ROUNDUP(-PPMT(Calculator!$C$13/12,$H30,180,Calculator!$C$11,0,),0),"")</f>
        <v/>
      </c>
      <c r="L30" s="14" t="str">
        <f>IF(Calculator!$C$12=15,ROUNDUP(-IPMT(Calculator!$C$13/12,$H30,180,Calculator!$C$11,0,),0),"")</f>
        <v/>
      </c>
      <c r="M30" s="14" t="str">
        <f>IF(Calculator!$C$12=15,J30-K30,"")</f>
        <v/>
      </c>
      <c r="O30" s="13">
        <v>26</v>
      </c>
      <c r="P30" s="14" t="str">
        <f>IF(Calculator!$C$12=20,Calculator!$C$14,"")</f>
        <v/>
      </c>
      <c r="Q30" s="14" t="str">
        <f t="shared" si="2"/>
        <v/>
      </c>
      <c r="R30" s="14" t="str">
        <f>IF(Calculator!$C$12=20,ROUNDUP(-PPMT(Calculator!$C$13/12,$O30,240,Calculator!$C$11,0,),0),"")</f>
        <v/>
      </c>
      <c r="S30" s="14" t="str">
        <f>IF(Calculator!$C$12=20,ROUNDUP(-IPMT(Calculator!$C$13/12,$O30,240,Calculator!$C$11,0,),0),"")</f>
        <v/>
      </c>
      <c r="T30" s="14" t="str">
        <f>IF(Calculator!$C$12=20,Q30-R30,"")</f>
        <v/>
      </c>
    </row>
    <row r="31" spans="1:20" x14ac:dyDescent="0.25">
      <c r="A31" s="13">
        <v>27</v>
      </c>
      <c r="B31" s="14">
        <f>IF(Calculator!$C$12=12,Calculator!$C$14,"")</f>
        <v>158</v>
      </c>
      <c r="C31" s="14">
        <f t="shared" si="0"/>
        <v>12411</v>
      </c>
      <c r="D31" s="14">
        <f>IF(Calculator!$C$12=12,ROUNDUP(-PPMT(Calculator!$C$13/12,$A31,144,Calculator!$C$11,0,),0),"")</f>
        <v>67</v>
      </c>
      <c r="E31" s="14">
        <f>IF(Calculator!$C$12=12,ROUNDUP(-IPMT(Calculator!$C$13/12,$A31,144,Calculator!$C$11,0,),0),"")</f>
        <v>91</v>
      </c>
      <c r="F31" s="14">
        <f>IF(Calculator!$C$12=12,C31-D31,"")</f>
        <v>12344</v>
      </c>
      <c r="H31" s="13">
        <v>27</v>
      </c>
      <c r="I31" s="14" t="str">
        <f>IF(Calculator!$C$12=12,"",Calculator!$C$14)</f>
        <v/>
      </c>
      <c r="J31" s="14" t="str">
        <f t="shared" si="1"/>
        <v/>
      </c>
      <c r="K31" s="14" t="str">
        <f>IF(Calculator!$C$12=15,ROUNDUP(-PPMT(Calculator!$C$13/12,$H31,180,Calculator!$C$11,0,),0),"")</f>
        <v/>
      </c>
      <c r="L31" s="14" t="str">
        <f>IF(Calculator!$C$12=15,ROUNDUP(-IPMT(Calculator!$C$13/12,$H31,180,Calculator!$C$11,0,),0),"")</f>
        <v/>
      </c>
      <c r="M31" s="14" t="str">
        <f>IF(Calculator!$C$12=15,J31-K31,"")</f>
        <v/>
      </c>
      <c r="O31" s="13">
        <v>27</v>
      </c>
      <c r="P31" s="14" t="str">
        <f>IF(Calculator!$C$12=20,Calculator!$C$14,"")</f>
        <v/>
      </c>
      <c r="Q31" s="14" t="str">
        <f t="shared" si="2"/>
        <v/>
      </c>
      <c r="R31" s="14" t="str">
        <f>IF(Calculator!$C$12=20,ROUNDUP(-PPMT(Calculator!$C$13/12,$O31,240,Calculator!$C$11,0,),0),"")</f>
        <v/>
      </c>
      <c r="S31" s="14" t="str">
        <f>IF(Calculator!$C$12=20,ROUNDUP(-IPMT(Calculator!$C$13/12,$O31,240,Calculator!$C$11,0,),0),"")</f>
        <v/>
      </c>
      <c r="T31" s="14" t="str">
        <f>IF(Calculator!$C$12=20,Q31-R31,"")</f>
        <v/>
      </c>
    </row>
    <row r="32" spans="1:20" x14ac:dyDescent="0.25">
      <c r="A32" s="13">
        <v>28</v>
      </c>
      <c r="B32" s="14">
        <f>IF(Calculator!$C$12=12,Calculator!$C$14,"")</f>
        <v>158</v>
      </c>
      <c r="C32" s="14">
        <f t="shared" si="0"/>
        <v>12344</v>
      </c>
      <c r="D32" s="14">
        <f>IF(Calculator!$C$12=12,ROUNDUP(-PPMT(Calculator!$C$13/12,$A32,144,Calculator!$C$11,0,),0),"")</f>
        <v>68</v>
      </c>
      <c r="E32" s="14">
        <f>IF(Calculator!$C$12=12,ROUNDUP(-IPMT(Calculator!$C$13/12,$A32,144,Calculator!$C$11,0,),0),"")</f>
        <v>91</v>
      </c>
      <c r="F32" s="14">
        <f>IF(Calculator!$C$12=12,C32-D32,"")</f>
        <v>12276</v>
      </c>
      <c r="H32" s="13">
        <v>28</v>
      </c>
      <c r="I32" s="14" t="str">
        <f>IF(Calculator!$C$12=12,"",Calculator!$C$14)</f>
        <v/>
      </c>
      <c r="J32" s="14" t="str">
        <f t="shared" si="1"/>
        <v/>
      </c>
      <c r="K32" s="14" t="str">
        <f>IF(Calculator!$C$12=15,ROUNDUP(-PPMT(Calculator!$C$13/12,$H32,180,Calculator!$C$11,0,),0),"")</f>
        <v/>
      </c>
      <c r="L32" s="14" t="str">
        <f>IF(Calculator!$C$12=15,ROUNDUP(-IPMT(Calculator!$C$13/12,$H32,180,Calculator!$C$11,0,),0),"")</f>
        <v/>
      </c>
      <c r="M32" s="14" t="str">
        <f>IF(Calculator!$C$12=15,J32-K32,"")</f>
        <v/>
      </c>
      <c r="O32" s="13">
        <v>28</v>
      </c>
      <c r="P32" s="14" t="str">
        <f>IF(Calculator!$C$12=20,Calculator!$C$14,"")</f>
        <v/>
      </c>
      <c r="Q32" s="14" t="str">
        <f t="shared" si="2"/>
        <v/>
      </c>
      <c r="R32" s="14" t="str">
        <f>IF(Calculator!$C$12=20,ROUNDUP(-PPMT(Calculator!$C$13/12,$O32,240,Calculator!$C$11,0,),0),"")</f>
        <v/>
      </c>
      <c r="S32" s="14" t="str">
        <f>IF(Calculator!$C$12=20,ROUNDUP(-IPMT(Calculator!$C$13/12,$O32,240,Calculator!$C$11,0,),0),"")</f>
        <v/>
      </c>
      <c r="T32" s="14" t="str">
        <f>IF(Calculator!$C$12=20,Q32-R32,"")</f>
        <v/>
      </c>
    </row>
    <row r="33" spans="1:20" x14ac:dyDescent="0.25">
      <c r="A33" s="13">
        <v>29</v>
      </c>
      <c r="B33" s="14">
        <f>IF(Calculator!$C$12=12,Calculator!$C$14,"")</f>
        <v>158</v>
      </c>
      <c r="C33" s="14">
        <f t="shared" si="0"/>
        <v>12276</v>
      </c>
      <c r="D33" s="14">
        <f>IF(Calculator!$C$12=12,ROUNDUP(-PPMT(Calculator!$C$13/12,$A33,144,Calculator!$C$11,0,),0),"")</f>
        <v>68</v>
      </c>
      <c r="E33" s="14">
        <f>IF(Calculator!$C$12=12,ROUNDUP(-IPMT(Calculator!$C$13/12,$A33,144,Calculator!$C$11,0,),0),"")</f>
        <v>90</v>
      </c>
      <c r="F33" s="14">
        <f>IF(Calculator!$C$12=12,C33-D33,"")</f>
        <v>12208</v>
      </c>
      <c r="H33" s="13">
        <v>29</v>
      </c>
      <c r="I33" s="14" t="str">
        <f>IF(Calculator!$C$12=12,"",Calculator!$C$14)</f>
        <v/>
      </c>
      <c r="J33" s="14" t="str">
        <f t="shared" si="1"/>
        <v/>
      </c>
      <c r="K33" s="14" t="str">
        <f>IF(Calculator!$C$12=15,ROUNDUP(-PPMT(Calculator!$C$13/12,$H33,180,Calculator!$C$11,0,),0),"")</f>
        <v/>
      </c>
      <c r="L33" s="14" t="str">
        <f>IF(Calculator!$C$12=15,ROUNDUP(-IPMT(Calculator!$C$13/12,$H33,180,Calculator!$C$11,0,),0),"")</f>
        <v/>
      </c>
      <c r="M33" s="14" t="str">
        <f>IF(Calculator!$C$12=15,J33-K33,"")</f>
        <v/>
      </c>
      <c r="O33" s="13">
        <v>29</v>
      </c>
      <c r="P33" s="14" t="str">
        <f>IF(Calculator!$C$12=20,Calculator!$C$14,"")</f>
        <v/>
      </c>
      <c r="Q33" s="14" t="str">
        <f t="shared" si="2"/>
        <v/>
      </c>
      <c r="R33" s="14" t="str">
        <f>IF(Calculator!$C$12=20,ROUNDUP(-PPMT(Calculator!$C$13/12,$O33,240,Calculator!$C$11,0,),0),"")</f>
        <v/>
      </c>
      <c r="S33" s="14" t="str">
        <f>IF(Calculator!$C$12=20,ROUNDUP(-IPMT(Calculator!$C$13/12,$O33,240,Calculator!$C$11,0,),0),"")</f>
        <v/>
      </c>
      <c r="T33" s="14" t="str">
        <f>IF(Calculator!$C$12=20,Q33-R33,"")</f>
        <v/>
      </c>
    </row>
    <row r="34" spans="1:20" x14ac:dyDescent="0.25">
      <c r="A34" s="13">
        <v>30</v>
      </c>
      <c r="B34" s="14">
        <f>IF(Calculator!$C$12=12,Calculator!$C$14,"")</f>
        <v>158</v>
      </c>
      <c r="C34" s="14">
        <f t="shared" si="0"/>
        <v>12208</v>
      </c>
      <c r="D34" s="14">
        <f>IF(Calculator!$C$12=12,ROUNDUP(-PPMT(Calculator!$C$13/12,$A34,144,Calculator!$C$11,0,),0),"")</f>
        <v>69</v>
      </c>
      <c r="E34" s="14">
        <f>IF(Calculator!$C$12=12,ROUNDUP(-IPMT(Calculator!$C$13/12,$A34,144,Calculator!$C$11,0,),0),"")</f>
        <v>90</v>
      </c>
      <c r="F34" s="14">
        <f>IF(Calculator!$C$12=12,C34-D34,"")</f>
        <v>12139</v>
      </c>
      <c r="H34" s="13">
        <v>30</v>
      </c>
      <c r="I34" s="14" t="str">
        <f>IF(Calculator!$C$12=12,"",Calculator!$C$14)</f>
        <v/>
      </c>
      <c r="J34" s="14" t="str">
        <f t="shared" si="1"/>
        <v/>
      </c>
      <c r="K34" s="14" t="str">
        <f>IF(Calculator!$C$12=15,ROUNDUP(-PPMT(Calculator!$C$13/12,$H34,180,Calculator!$C$11,0,),0),"")</f>
        <v/>
      </c>
      <c r="L34" s="14" t="str">
        <f>IF(Calculator!$C$12=15,ROUNDUP(-IPMT(Calculator!$C$13/12,$H34,180,Calculator!$C$11,0,),0),"")</f>
        <v/>
      </c>
      <c r="M34" s="14" t="str">
        <f>IF(Calculator!$C$12=15,J34-K34,"")</f>
        <v/>
      </c>
      <c r="O34" s="13">
        <v>30</v>
      </c>
      <c r="P34" s="14" t="str">
        <f>IF(Calculator!$C$12=20,Calculator!$C$14,"")</f>
        <v/>
      </c>
      <c r="Q34" s="14" t="str">
        <f t="shared" si="2"/>
        <v/>
      </c>
      <c r="R34" s="14" t="str">
        <f>IF(Calculator!$C$12=20,ROUNDUP(-PPMT(Calculator!$C$13/12,$O34,240,Calculator!$C$11,0,),0),"")</f>
        <v/>
      </c>
      <c r="S34" s="14" t="str">
        <f>IF(Calculator!$C$12=20,ROUNDUP(-IPMT(Calculator!$C$13/12,$O34,240,Calculator!$C$11,0,),0),"")</f>
        <v/>
      </c>
      <c r="T34" s="14" t="str">
        <f>IF(Calculator!$C$12=20,Q34-R34,"")</f>
        <v/>
      </c>
    </row>
    <row r="35" spans="1:20" x14ac:dyDescent="0.25">
      <c r="A35" s="13">
        <v>31</v>
      </c>
      <c r="B35" s="14">
        <f>IF(Calculator!$C$12=12,Calculator!$C$14,"")</f>
        <v>158</v>
      </c>
      <c r="C35" s="14">
        <f t="shared" si="0"/>
        <v>12139</v>
      </c>
      <c r="D35" s="14">
        <f>IF(Calculator!$C$12=12,ROUNDUP(-PPMT(Calculator!$C$13/12,$A35,144,Calculator!$C$11,0,),0),"")</f>
        <v>69</v>
      </c>
      <c r="E35" s="14">
        <f>IF(Calculator!$C$12=12,ROUNDUP(-IPMT(Calculator!$C$13/12,$A35,144,Calculator!$C$11,0,),0),"")</f>
        <v>89</v>
      </c>
      <c r="F35" s="14">
        <f>IF(Calculator!$C$12=12,C35-D35,"")</f>
        <v>12070</v>
      </c>
      <c r="H35" s="13">
        <v>31</v>
      </c>
      <c r="I35" s="14" t="str">
        <f>IF(Calculator!$C$12=12,"",Calculator!$C$14)</f>
        <v/>
      </c>
      <c r="J35" s="14" t="str">
        <f t="shared" si="1"/>
        <v/>
      </c>
      <c r="K35" s="14" t="str">
        <f>IF(Calculator!$C$12=15,ROUNDUP(-PPMT(Calculator!$C$13/12,$H35,180,Calculator!$C$11,0,),0),"")</f>
        <v/>
      </c>
      <c r="L35" s="14" t="str">
        <f>IF(Calculator!$C$12=15,ROUNDUP(-IPMT(Calculator!$C$13/12,$H35,180,Calculator!$C$11,0,),0),"")</f>
        <v/>
      </c>
      <c r="M35" s="14" t="str">
        <f>IF(Calculator!$C$12=15,J35-K35,"")</f>
        <v/>
      </c>
      <c r="O35" s="13">
        <v>31</v>
      </c>
      <c r="P35" s="14" t="str">
        <f>IF(Calculator!$C$12=20,Calculator!$C$14,"")</f>
        <v/>
      </c>
      <c r="Q35" s="14" t="str">
        <f t="shared" si="2"/>
        <v/>
      </c>
      <c r="R35" s="14" t="str">
        <f>IF(Calculator!$C$12=20,ROUNDUP(-PPMT(Calculator!$C$13/12,$O35,240,Calculator!$C$11,0,),0),"")</f>
        <v/>
      </c>
      <c r="S35" s="14" t="str">
        <f>IF(Calculator!$C$12=20,ROUNDUP(-IPMT(Calculator!$C$13/12,$O35,240,Calculator!$C$11,0,),0),"")</f>
        <v/>
      </c>
      <c r="T35" s="14" t="str">
        <f>IF(Calculator!$C$12=20,Q35-R35,"")</f>
        <v/>
      </c>
    </row>
    <row r="36" spans="1:20" x14ac:dyDescent="0.25">
      <c r="A36" s="13">
        <v>32</v>
      </c>
      <c r="B36" s="14">
        <f>IF(Calculator!$C$12=12,Calculator!$C$14,"")</f>
        <v>158</v>
      </c>
      <c r="C36" s="14">
        <f t="shared" si="0"/>
        <v>12070</v>
      </c>
      <c r="D36" s="14">
        <f>IF(Calculator!$C$12=12,ROUNDUP(-PPMT(Calculator!$C$13/12,$A36,144,Calculator!$C$11,0,),0),"")</f>
        <v>70</v>
      </c>
      <c r="E36" s="14">
        <f>IF(Calculator!$C$12=12,ROUNDUP(-IPMT(Calculator!$C$13/12,$A36,144,Calculator!$C$11,0,),0),"")</f>
        <v>89</v>
      </c>
      <c r="F36" s="14">
        <f>IF(Calculator!$C$12=12,C36-D36,"")</f>
        <v>12000</v>
      </c>
      <c r="H36" s="13">
        <v>32</v>
      </c>
      <c r="I36" s="14" t="str">
        <f>IF(Calculator!$C$12=12,"",Calculator!$C$14)</f>
        <v/>
      </c>
      <c r="J36" s="14" t="str">
        <f t="shared" si="1"/>
        <v/>
      </c>
      <c r="K36" s="14" t="str">
        <f>IF(Calculator!$C$12=15,ROUNDUP(-PPMT(Calculator!$C$13/12,$H36,180,Calculator!$C$11,0,),0),"")</f>
        <v/>
      </c>
      <c r="L36" s="14" t="str">
        <f>IF(Calculator!$C$12=15,ROUNDUP(-IPMT(Calculator!$C$13/12,$H36,180,Calculator!$C$11,0,),0),"")</f>
        <v/>
      </c>
      <c r="M36" s="14" t="str">
        <f>IF(Calculator!$C$12=15,J36-K36,"")</f>
        <v/>
      </c>
      <c r="O36" s="13">
        <v>32</v>
      </c>
      <c r="P36" s="14" t="str">
        <f>IF(Calculator!$C$12=20,Calculator!$C$14,"")</f>
        <v/>
      </c>
      <c r="Q36" s="14" t="str">
        <f t="shared" si="2"/>
        <v/>
      </c>
      <c r="R36" s="14" t="str">
        <f>IF(Calculator!$C$12=20,ROUNDUP(-PPMT(Calculator!$C$13/12,$O36,240,Calculator!$C$11,0,),0),"")</f>
        <v/>
      </c>
      <c r="S36" s="14" t="str">
        <f>IF(Calculator!$C$12=20,ROUNDUP(-IPMT(Calculator!$C$13/12,$O36,240,Calculator!$C$11,0,),0),"")</f>
        <v/>
      </c>
      <c r="T36" s="14" t="str">
        <f>IF(Calculator!$C$12=20,Q36-R36,"")</f>
        <v/>
      </c>
    </row>
    <row r="37" spans="1:20" x14ac:dyDescent="0.25">
      <c r="A37" s="13">
        <v>33</v>
      </c>
      <c r="B37" s="14">
        <f>IF(Calculator!$C$12=12,Calculator!$C$14,"")</f>
        <v>158</v>
      </c>
      <c r="C37" s="14">
        <f t="shared" si="0"/>
        <v>12000</v>
      </c>
      <c r="D37" s="14">
        <f>IF(Calculator!$C$12=12,ROUNDUP(-PPMT(Calculator!$C$13/12,$A37,144,Calculator!$C$11,0,),0),"")</f>
        <v>70</v>
      </c>
      <c r="E37" s="14">
        <f>IF(Calculator!$C$12=12,ROUNDUP(-IPMT(Calculator!$C$13/12,$A37,144,Calculator!$C$11,0,),0),"")</f>
        <v>88</v>
      </c>
      <c r="F37" s="14">
        <f>IF(Calculator!$C$12=12,C37-D37,"")</f>
        <v>11930</v>
      </c>
      <c r="H37" s="13">
        <v>33</v>
      </c>
      <c r="I37" s="14" t="str">
        <f>IF(Calculator!$C$12=12,"",Calculator!$C$14)</f>
        <v/>
      </c>
      <c r="J37" s="14" t="str">
        <f t="shared" si="1"/>
        <v/>
      </c>
      <c r="K37" s="14" t="str">
        <f>IF(Calculator!$C$12=15,ROUNDUP(-PPMT(Calculator!$C$13/12,$H37,180,Calculator!$C$11,0,),0),"")</f>
        <v/>
      </c>
      <c r="L37" s="14" t="str">
        <f>IF(Calculator!$C$12=15,ROUNDUP(-IPMT(Calculator!$C$13/12,$H37,180,Calculator!$C$11,0,),0),"")</f>
        <v/>
      </c>
      <c r="M37" s="14" t="str">
        <f>IF(Calculator!$C$12=15,J37-K37,"")</f>
        <v/>
      </c>
      <c r="O37" s="13">
        <v>33</v>
      </c>
      <c r="P37" s="14" t="str">
        <f>IF(Calculator!$C$12=20,Calculator!$C$14,"")</f>
        <v/>
      </c>
      <c r="Q37" s="14" t="str">
        <f t="shared" si="2"/>
        <v/>
      </c>
      <c r="R37" s="14" t="str">
        <f>IF(Calculator!$C$12=20,ROUNDUP(-PPMT(Calculator!$C$13/12,$O37,240,Calculator!$C$11,0,),0),"")</f>
        <v/>
      </c>
      <c r="S37" s="14" t="str">
        <f>IF(Calculator!$C$12=20,ROUNDUP(-IPMT(Calculator!$C$13/12,$O37,240,Calculator!$C$11,0,),0),"")</f>
        <v/>
      </c>
      <c r="T37" s="14" t="str">
        <f>IF(Calculator!$C$12=20,Q37-R37,"")</f>
        <v/>
      </c>
    </row>
    <row r="38" spans="1:20" x14ac:dyDescent="0.25">
      <c r="A38" s="13">
        <v>34</v>
      </c>
      <c r="B38" s="14">
        <f>IF(Calculator!$C$12=12,Calculator!$C$14,"")</f>
        <v>158</v>
      </c>
      <c r="C38" s="14">
        <f t="shared" si="0"/>
        <v>11930</v>
      </c>
      <c r="D38" s="14">
        <f>IF(Calculator!$C$12=12,ROUNDUP(-PPMT(Calculator!$C$13/12,$A38,144,Calculator!$C$11,0,),0),"")</f>
        <v>71</v>
      </c>
      <c r="E38" s="14">
        <f>IF(Calculator!$C$12=12,ROUNDUP(-IPMT(Calculator!$C$13/12,$A38,144,Calculator!$C$11,0,),0),"")</f>
        <v>88</v>
      </c>
      <c r="F38" s="14">
        <f>IF(Calculator!$C$12=12,C38-D38,"")</f>
        <v>11859</v>
      </c>
      <c r="H38" s="13">
        <v>34</v>
      </c>
      <c r="I38" s="14" t="str">
        <f>IF(Calculator!$C$12=12,"",Calculator!$C$14)</f>
        <v/>
      </c>
      <c r="J38" s="14" t="str">
        <f t="shared" si="1"/>
        <v/>
      </c>
      <c r="K38" s="14" t="str">
        <f>IF(Calculator!$C$12=15,ROUNDUP(-PPMT(Calculator!$C$13/12,$H38,180,Calculator!$C$11,0,),0),"")</f>
        <v/>
      </c>
      <c r="L38" s="14" t="str">
        <f>IF(Calculator!$C$12=15,ROUNDUP(-IPMT(Calculator!$C$13/12,$H38,180,Calculator!$C$11,0,),0),"")</f>
        <v/>
      </c>
      <c r="M38" s="14" t="str">
        <f>IF(Calculator!$C$12=15,J38-K38,"")</f>
        <v/>
      </c>
      <c r="O38" s="13">
        <v>34</v>
      </c>
      <c r="P38" s="14" t="str">
        <f>IF(Calculator!$C$12=20,Calculator!$C$14,"")</f>
        <v/>
      </c>
      <c r="Q38" s="14" t="str">
        <f t="shared" si="2"/>
        <v/>
      </c>
      <c r="R38" s="14" t="str">
        <f>IF(Calculator!$C$12=20,ROUNDUP(-PPMT(Calculator!$C$13/12,$O38,240,Calculator!$C$11,0,),0),"")</f>
        <v/>
      </c>
      <c r="S38" s="14" t="str">
        <f>IF(Calculator!$C$12=20,ROUNDUP(-IPMT(Calculator!$C$13/12,$O38,240,Calculator!$C$11,0,),0),"")</f>
        <v/>
      </c>
      <c r="T38" s="14" t="str">
        <f>IF(Calculator!$C$12=20,Q38-R38,"")</f>
        <v/>
      </c>
    </row>
    <row r="39" spans="1:20" x14ac:dyDescent="0.25">
      <c r="A39" s="13">
        <v>35</v>
      </c>
      <c r="B39" s="14">
        <f>IF(Calculator!$C$12=12,Calculator!$C$14,"")</f>
        <v>158</v>
      </c>
      <c r="C39" s="14">
        <f t="shared" si="0"/>
        <v>11859</v>
      </c>
      <c r="D39" s="14">
        <f>IF(Calculator!$C$12=12,ROUNDUP(-PPMT(Calculator!$C$13/12,$A39,144,Calculator!$C$11,0,),0),"")</f>
        <v>71</v>
      </c>
      <c r="E39" s="14">
        <f>IF(Calculator!$C$12=12,ROUNDUP(-IPMT(Calculator!$C$13/12,$A39,144,Calculator!$C$11,0,),0),"")</f>
        <v>87</v>
      </c>
      <c r="F39" s="14">
        <f>IF(Calculator!$C$12=12,C39-D39,"")</f>
        <v>11788</v>
      </c>
      <c r="H39" s="13">
        <v>35</v>
      </c>
      <c r="I39" s="14" t="str">
        <f>IF(Calculator!$C$12=12,"",Calculator!$C$14)</f>
        <v/>
      </c>
      <c r="J39" s="14" t="str">
        <f t="shared" si="1"/>
        <v/>
      </c>
      <c r="K39" s="14" t="str">
        <f>IF(Calculator!$C$12=15,ROUNDUP(-PPMT(Calculator!$C$13/12,$H39,180,Calculator!$C$11,0,),0),"")</f>
        <v/>
      </c>
      <c r="L39" s="14" t="str">
        <f>IF(Calculator!$C$12=15,ROUNDUP(-IPMT(Calculator!$C$13/12,$H39,180,Calculator!$C$11,0,),0),"")</f>
        <v/>
      </c>
      <c r="M39" s="14" t="str">
        <f>IF(Calculator!$C$12=15,J39-K39,"")</f>
        <v/>
      </c>
      <c r="O39" s="13">
        <v>35</v>
      </c>
      <c r="P39" s="14" t="str">
        <f>IF(Calculator!$C$12=20,Calculator!$C$14,"")</f>
        <v/>
      </c>
      <c r="Q39" s="14" t="str">
        <f t="shared" si="2"/>
        <v/>
      </c>
      <c r="R39" s="14" t="str">
        <f>IF(Calculator!$C$12=20,ROUNDUP(-PPMT(Calculator!$C$13/12,$O39,240,Calculator!$C$11,0,),0),"")</f>
        <v/>
      </c>
      <c r="S39" s="14" t="str">
        <f>IF(Calculator!$C$12=20,ROUNDUP(-IPMT(Calculator!$C$13/12,$O39,240,Calculator!$C$11,0,),0),"")</f>
        <v/>
      </c>
      <c r="T39" s="14" t="str">
        <f>IF(Calculator!$C$12=20,Q39-R39,"")</f>
        <v/>
      </c>
    </row>
    <row r="40" spans="1:20" x14ac:dyDescent="0.25">
      <c r="A40" s="13">
        <v>36</v>
      </c>
      <c r="B40" s="14">
        <f>IF(Calculator!$C$12=12,Calculator!$C$14,"")</f>
        <v>158</v>
      </c>
      <c r="C40" s="14">
        <f t="shared" si="0"/>
        <v>11788</v>
      </c>
      <c r="D40" s="14">
        <f>IF(Calculator!$C$12=12,ROUNDUP(-PPMT(Calculator!$C$13/12,$A40,144,Calculator!$C$11,0,),0),"")</f>
        <v>72</v>
      </c>
      <c r="E40" s="14">
        <f>IF(Calculator!$C$12=12,ROUNDUP(-IPMT(Calculator!$C$13/12,$A40,144,Calculator!$C$11,0,),0),"")</f>
        <v>87</v>
      </c>
      <c r="F40" s="14">
        <f>IF(Calculator!$C$12=12,C40-D40,"")</f>
        <v>11716</v>
      </c>
      <c r="H40" s="13">
        <v>36</v>
      </c>
      <c r="I40" s="14" t="str">
        <f>IF(Calculator!$C$12=12,"",Calculator!$C$14)</f>
        <v/>
      </c>
      <c r="J40" s="14" t="str">
        <f t="shared" si="1"/>
        <v/>
      </c>
      <c r="K40" s="14" t="str">
        <f>IF(Calculator!$C$12=15,ROUNDUP(-PPMT(Calculator!$C$13/12,$H40,180,Calculator!$C$11,0,),0),"")</f>
        <v/>
      </c>
      <c r="L40" s="14" t="str">
        <f>IF(Calculator!$C$12=15,ROUNDUP(-IPMT(Calculator!$C$13/12,$H40,180,Calculator!$C$11,0,),0),"")</f>
        <v/>
      </c>
      <c r="M40" s="14" t="str">
        <f>IF(Calculator!$C$12=15,J40-K40,"")</f>
        <v/>
      </c>
      <c r="O40" s="13">
        <v>36</v>
      </c>
      <c r="P40" s="14" t="str">
        <f>IF(Calculator!$C$12=20,Calculator!$C$14,"")</f>
        <v/>
      </c>
      <c r="Q40" s="14" t="str">
        <f t="shared" si="2"/>
        <v/>
      </c>
      <c r="R40" s="14" t="str">
        <f>IF(Calculator!$C$12=20,ROUNDUP(-PPMT(Calculator!$C$13/12,$O40,240,Calculator!$C$11,0,),0),"")</f>
        <v/>
      </c>
      <c r="S40" s="14" t="str">
        <f>IF(Calculator!$C$12=20,ROUNDUP(-IPMT(Calculator!$C$13/12,$O40,240,Calculator!$C$11,0,),0),"")</f>
        <v/>
      </c>
      <c r="T40" s="14" t="str">
        <f>IF(Calculator!$C$12=20,Q40-R40,"")</f>
        <v/>
      </c>
    </row>
    <row r="41" spans="1:20" x14ac:dyDescent="0.25">
      <c r="A41" s="13">
        <v>37</v>
      </c>
      <c r="B41" s="14">
        <f>IF(Calculator!$C$12=12,Calculator!$C$14,"")</f>
        <v>158</v>
      </c>
      <c r="C41" s="14">
        <f t="shared" si="0"/>
        <v>11716</v>
      </c>
      <c r="D41" s="14">
        <f>IF(Calculator!$C$12=12,ROUNDUP(-PPMT(Calculator!$C$13/12,$A41,144,Calculator!$C$11,0,),0),"")</f>
        <v>72</v>
      </c>
      <c r="E41" s="14">
        <f>IF(Calculator!$C$12=12,ROUNDUP(-IPMT(Calculator!$C$13/12,$A41,144,Calculator!$C$11,0,),0),"")</f>
        <v>86</v>
      </c>
      <c r="F41" s="14">
        <f>IF(Calculator!$C$12=12,C41-D41,"")</f>
        <v>11644</v>
      </c>
      <c r="H41" s="13">
        <v>37</v>
      </c>
      <c r="I41" s="14" t="str">
        <f>IF(Calculator!$C$12=12,"",Calculator!$C$14)</f>
        <v/>
      </c>
      <c r="J41" s="14" t="str">
        <f t="shared" si="1"/>
        <v/>
      </c>
      <c r="K41" s="14" t="str">
        <f>IF(Calculator!$C$12=15,ROUNDUP(-PPMT(Calculator!$C$13/12,$H41,180,Calculator!$C$11,0,),0),"")</f>
        <v/>
      </c>
      <c r="L41" s="14" t="str">
        <f>IF(Calculator!$C$12=15,ROUNDUP(-IPMT(Calculator!$C$13/12,$H41,180,Calculator!$C$11,0,),0),"")</f>
        <v/>
      </c>
      <c r="M41" s="14" t="str">
        <f>IF(Calculator!$C$12=15,J41-K41,"")</f>
        <v/>
      </c>
      <c r="O41" s="13">
        <v>37</v>
      </c>
      <c r="P41" s="14" t="str">
        <f>IF(Calculator!$C$12=20,Calculator!$C$14,"")</f>
        <v/>
      </c>
      <c r="Q41" s="14" t="str">
        <f t="shared" si="2"/>
        <v/>
      </c>
      <c r="R41" s="14" t="str">
        <f>IF(Calculator!$C$12=20,ROUNDUP(-PPMT(Calculator!$C$13/12,$O41,240,Calculator!$C$11,0,),0),"")</f>
        <v/>
      </c>
      <c r="S41" s="14" t="str">
        <f>IF(Calculator!$C$12=20,ROUNDUP(-IPMT(Calculator!$C$13/12,$O41,240,Calculator!$C$11,0,),0),"")</f>
        <v/>
      </c>
      <c r="T41" s="14" t="str">
        <f>IF(Calculator!$C$12=20,Q41-R41,"")</f>
        <v/>
      </c>
    </row>
    <row r="42" spans="1:20" x14ac:dyDescent="0.25">
      <c r="A42" s="13">
        <v>38</v>
      </c>
      <c r="B42" s="14">
        <f>IF(Calculator!$C$12=12,Calculator!$C$14,"")</f>
        <v>158</v>
      </c>
      <c r="C42" s="14">
        <f t="shared" si="0"/>
        <v>11644</v>
      </c>
      <c r="D42" s="14">
        <f>IF(Calculator!$C$12=12,ROUNDUP(-PPMT(Calculator!$C$13/12,$A42,144,Calculator!$C$11,0,),0),"")</f>
        <v>73</v>
      </c>
      <c r="E42" s="14">
        <f>IF(Calculator!$C$12=12,ROUNDUP(-IPMT(Calculator!$C$13/12,$A42,144,Calculator!$C$11,0,),0),"")</f>
        <v>86</v>
      </c>
      <c r="F42" s="14">
        <f>IF(Calculator!$C$12=12,C42-D42,"")</f>
        <v>11571</v>
      </c>
      <c r="H42" s="13">
        <v>38</v>
      </c>
      <c r="I42" s="14" t="str">
        <f>IF(Calculator!$C$12=12,"",Calculator!$C$14)</f>
        <v/>
      </c>
      <c r="J42" s="14" t="str">
        <f t="shared" si="1"/>
        <v/>
      </c>
      <c r="K42" s="14" t="str">
        <f>IF(Calculator!$C$12=15,ROUNDUP(-PPMT(Calculator!$C$13/12,$H42,180,Calculator!$C$11,0,),0),"")</f>
        <v/>
      </c>
      <c r="L42" s="14" t="str">
        <f>IF(Calculator!$C$12=15,ROUNDUP(-IPMT(Calculator!$C$13/12,$H42,180,Calculator!$C$11,0,),0),"")</f>
        <v/>
      </c>
      <c r="M42" s="14" t="str">
        <f>IF(Calculator!$C$12=15,J42-K42,"")</f>
        <v/>
      </c>
      <c r="O42" s="13">
        <v>38</v>
      </c>
      <c r="P42" s="14" t="str">
        <f>IF(Calculator!$C$12=20,Calculator!$C$14,"")</f>
        <v/>
      </c>
      <c r="Q42" s="14" t="str">
        <f t="shared" si="2"/>
        <v/>
      </c>
      <c r="R42" s="14" t="str">
        <f>IF(Calculator!$C$12=20,ROUNDUP(-PPMT(Calculator!$C$13/12,$O42,240,Calculator!$C$11,0,),0),"")</f>
        <v/>
      </c>
      <c r="S42" s="14" t="str">
        <f>IF(Calculator!$C$12=20,ROUNDUP(-IPMT(Calculator!$C$13/12,$O42,240,Calculator!$C$11,0,),0),"")</f>
        <v/>
      </c>
      <c r="T42" s="14" t="str">
        <f>IF(Calculator!$C$12=20,Q42-R42,"")</f>
        <v/>
      </c>
    </row>
    <row r="43" spans="1:20" x14ac:dyDescent="0.25">
      <c r="A43" s="13">
        <v>39</v>
      </c>
      <c r="B43" s="14">
        <f>IF(Calculator!$C$12=12,Calculator!$C$14,"")</f>
        <v>158</v>
      </c>
      <c r="C43" s="14">
        <f t="shared" si="0"/>
        <v>11571</v>
      </c>
      <c r="D43" s="14">
        <f>IF(Calculator!$C$12=12,ROUNDUP(-PPMT(Calculator!$C$13/12,$A43,144,Calculator!$C$11,0,),0),"")</f>
        <v>73</v>
      </c>
      <c r="E43" s="14">
        <f>IF(Calculator!$C$12=12,ROUNDUP(-IPMT(Calculator!$C$13/12,$A43,144,Calculator!$C$11,0,),0),"")</f>
        <v>85</v>
      </c>
      <c r="F43" s="14">
        <f>IF(Calculator!$C$12=12,C43-D43,"")</f>
        <v>11498</v>
      </c>
      <c r="H43" s="13">
        <v>39</v>
      </c>
      <c r="I43" s="14" t="str">
        <f>IF(Calculator!$C$12=12,"",Calculator!$C$14)</f>
        <v/>
      </c>
      <c r="J43" s="14" t="str">
        <f t="shared" si="1"/>
        <v/>
      </c>
      <c r="K43" s="14" t="str">
        <f>IF(Calculator!$C$12=15,ROUNDUP(-PPMT(Calculator!$C$13/12,$H43,180,Calculator!$C$11,0,),0),"")</f>
        <v/>
      </c>
      <c r="L43" s="14" t="str">
        <f>IF(Calculator!$C$12=15,ROUNDUP(-IPMT(Calculator!$C$13/12,$H43,180,Calculator!$C$11,0,),0),"")</f>
        <v/>
      </c>
      <c r="M43" s="14" t="str">
        <f>IF(Calculator!$C$12=15,J43-K43,"")</f>
        <v/>
      </c>
      <c r="O43" s="13">
        <v>39</v>
      </c>
      <c r="P43" s="14" t="str">
        <f>IF(Calculator!$C$12=20,Calculator!$C$14,"")</f>
        <v/>
      </c>
      <c r="Q43" s="14" t="str">
        <f t="shared" si="2"/>
        <v/>
      </c>
      <c r="R43" s="14" t="str">
        <f>IF(Calculator!$C$12=20,ROUNDUP(-PPMT(Calculator!$C$13/12,$O43,240,Calculator!$C$11,0,),0),"")</f>
        <v/>
      </c>
      <c r="S43" s="14" t="str">
        <f>IF(Calculator!$C$12=20,ROUNDUP(-IPMT(Calculator!$C$13/12,$O43,240,Calculator!$C$11,0,),0),"")</f>
        <v/>
      </c>
      <c r="T43" s="14" t="str">
        <f>IF(Calculator!$C$12=20,Q43-R43,"")</f>
        <v/>
      </c>
    </row>
    <row r="44" spans="1:20" x14ac:dyDescent="0.25">
      <c r="A44" s="13">
        <v>40</v>
      </c>
      <c r="B44" s="14">
        <f>IF(Calculator!$C$12=12,Calculator!$C$14,"")</f>
        <v>158</v>
      </c>
      <c r="C44" s="14">
        <f t="shared" si="0"/>
        <v>11498</v>
      </c>
      <c r="D44" s="14">
        <f>IF(Calculator!$C$12=12,ROUNDUP(-PPMT(Calculator!$C$13/12,$A44,144,Calculator!$C$11,0,),0),"")</f>
        <v>74</v>
      </c>
      <c r="E44" s="14">
        <f>IF(Calculator!$C$12=12,ROUNDUP(-IPMT(Calculator!$C$13/12,$A44,144,Calculator!$C$11,0,),0),"")</f>
        <v>84</v>
      </c>
      <c r="F44" s="14">
        <f>IF(Calculator!$C$12=12,C44-D44,"")</f>
        <v>11424</v>
      </c>
      <c r="H44" s="13">
        <v>40</v>
      </c>
      <c r="I44" s="14" t="str">
        <f>IF(Calculator!$C$12=12,"",Calculator!$C$14)</f>
        <v/>
      </c>
      <c r="J44" s="14" t="str">
        <f t="shared" si="1"/>
        <v/>
      </c>
      <c r="K44" s="14" t="str">
        <f>IF(Calculator!$C$12=15,ROUNDUP(-PPMT(Calculator!$C$13/12,$H44,180,Calculator!$C$11,0,),0),"")</f>
        <v/>
      </c>
      <c r="L44" s="14" t="str">
        <f>IF(Calculator!$C$12=15,ROUNDUP(-IPMT(Calculator!$C$13/12,$H44,180,Calculator!$C$11,0,),0),"")</f>
        <v/>
      </c>
      <c r="M44" s="14" t="str">
        <f>IF(Calculator!$C$12=15,J44-K44,"")</f>
        <v/>
      </c>
      <c r="O44" s="13">
        <v>40</v>
      </c>
      <c r="P44" s="14" t="str">
        <f>IF(Calculator!$C$12=20,Calculator!$C$14,"")</f>
        <v/>
      </c>
      <c r="Q44" s="14" t="str">
        <f t="shared" si="2"/>
        <v/>
      </c>
      <c r="R44" s="14" t="str">
        <f>IF(Calculator!$C$12=20,ROUNDUP(-PPMT(Calculator!$C$13/12,$O44,240,Calculator!$C$11,0,),0),"")</f>
        <v/>
      </c>
      <c r="S44" s="14" t="str">
        <f>IF(Calculator!$C$12=20,ROUNDUP(-IPMT(Calculator!$C$13/12,$O44,240,Calculator!$C$11,0,),0),"")</f>
        <v/>
      </c>
      <c r="T44" s="14" t="str">
        <f>IF(Calculator!$C$12=20,Q44-R44,"")</f>
        <v/>
      </c>
    </row>
    <row r="45" spans="1:20" x14ac:dyDescent="0.25">
      <c r="A45" s="13">
        <v>41</v>
      </c>
      <c r="B45" s="14">
        <f>IF(Calculator!$C$12=12,Calculator!$C$14,"")</f>
        <v>158</v>
      </c>
      <c r="C45" s="14">
        <f t="shared" si="0"/>
        <v>11424</v>
      </c>
      <c r="D45" s="14">
        <f>IF(Calculator!$C$12=12,ROUNDUP(-PPMT(Calculator!$C$13/12,$A45,144,Calculator!$C$11,0,),0),"")</f>
        <v>74</v>
      </c>
      <c r="E45" s="14">
        <f>IF(Calculator!$C$12=12,ROUNDUP(-IPMT(Calculator!$C$13/12,$A45,144,Calculator!$C$11,0,),0),"")</f>
        <v>84</v>
      </c>
      <c r="F45" s="14">
        <f>IF(Calculator!$C$12=12,C45-D45,"")</f>
        <v>11350</v>
      </c>
      <c r="H45" s="13">
        <v>41</v>
      </c>
      <c r="I45" s="14" t="str">
        <f>IF(Calculator!$C$12=12,"",Calculator!$C$14)</f>
        <v/>
      </c>
      <c r="J45" s="14" t="str">
        <f t="shared" si="1"/>
        <v/>
      </c>
      <c r="K45" s="14" t="str">
        <f>IF(Calculator!$C$12=15,ROUNDUP(-PPMT(Calculator!$C$13/12,$H45,180,Calculator!$C$11,0,),0),"")</f>
        <v/>
      </c>
      <c r="L45" s="14" t="str">
        <f>IF(Calculator!$C$12=15,ROUNDUP(-IPMT(Calculator!$C$13/12,$H45,180,Calculator!$C$11,0,),0),"")</f>
        <v/>
      </c>
      <c r="M45" s="14" t="str">
        <f>IF(Calculator!$C$12=15,J45-K45,"")</f>
        <v/>
      </c>
      <c r="O45" s="13">
        <v>41</v>
      </c>
      <c r="P45" s="14" t="str">
        <f>IF(Calculator!$C$12=20,Calculator!$C$14,"")</f>
        <v/>
      </c>
      <c r="Q45" s="14" t="str">
        <f t="shared" si="2"/>
        <v/>
      </c>
      <c r="R45" s="14" t="str">
        <f>IF(Calculator!$C$12=20,ROUNDUP(-PPMT(Calculator!$C$13/12,$O45,240,Calculator!$C$11,0,),0),"")</f>
        <v/>
      </c>
      <c r="S45" s="14" t="str">
        <f>IF(Calculator!$C$12=20,ROUNDUP(-IPMT(Calculator!$C$13/12,$O45,240,Calculator!$C$11,0,),0),"")</f>
        <v/>
      </c>
      <c r="T45" s="14" t="str">
        <f>IF(Calculator!$C$12=20,Q45-R45,"")</f>
        <v/>
      </c>
    </row>
    <row r="46" spans="1:20" x14ac:dyDescent="0.25">
      <c r="A46" s="13">
        <v>42</v>
      </c>
      <c r="B46" s="14">
        <f>IF(Calculator!$C$12=12,Calculator!$C$14,"")</f>
        <v>158</v>
      </c>
      <c r="C46" s="14">
        <f t="shared" si="0"/>
        <v>11350</v>
      </c>
      <c r="D46" s="14">
        <f>IF(Calculator!$C$12=12,ROUNDUP(-PPMT(Calculator!$C$13/12,$A46,144,Calculator!$C$11,0,),0),"")</f>
        <v>75</v>
      </c>
      <c r="E46" s="14">
        <f>IF(Calculator!$C$12=12,ROUNDUP(-IPMT(Calculator!$C$13/12,$A46,144,Calculator!$C$11,0,),0),"")</f>
        <v>83</v>
      </c>
      <c r="F46" s="14">
        <f>IF(Calculator!$C$12=12,C46-D46,"")</f>
        <v>11275</v>
      </c>
      <c r="H46" s="13">
        <v>42</v>
      </c>
      <c r="I46" s="14" t="str">
        <f>IF(Calculator!$C$12=12,"",Calculator!$C$14)</f>
        <v/>
      </c>
      <c r="J46" s="14" t="str">
        <f t="shared" si="1"/>
        <v/>
      </c>
      <c r="K46" s="14" t="str">
        <f>IF(Calculator!$C$12=15,ROUNDUP(-PPMT(Calculator!$C$13/12,$H46,180,Calculator!$C$11,0,),0),"")</f>
        <v/>
      </c>
      <c r="L46" s="14" t="str">
        <f>IF(Calculator!$C$12=15,ROUNDUP(-IPMT(Calculator!$C$13/12,$H46,180,Calculator!$C$11,0,),0),"")</f>
        <v/>
      </c>
      <c r="M46" s="14" t="str">
        <f>IF(Calculator!$C$12=15,J46-K46,"")</f>
        <v/>
      </c>
      <c r="O46" s="13">
        <v>42</v>
      </c>
      <c r="P46" s="14" t="str">
        <f>IF(Calculator!$C$12=20,Calculator!$C$14,"")</f>
        <v/>
      </c>
      <c r="Q46" s="14" t="str">
        <f t="shared" si="2"/>
        <v/>
      </c>
      <c r="R46" s="14" t="str">
        <f>IF(Calculator!$C$12=20,ROUNDUP(-PPMT(Calculator!$C$13/12,$O46,240,Calculator!$C$11,0,),0),"")</f>
        <v/>
      </c>
      <c r="S46" s="14" t="str">
        <f>IF(Calculator!$C$12=20,ROUNDUP(-IPMT(Calculator!$C$13/12,$O46,240,Calculator!$C$11,0,),0),"")</f>
        <v/>
      </c>
      <c r="T46" s="14" t="str">
        <f>IF(Calculator!$C$12=20,Q46-R46,"")</f>
        <v/>
      </c>
    </row>
    <row r="47" spans="1:20" x14ac:dyDescent="0.25">
      <c r="A47" s="13">
        <v>43</v>
      </c>
      <c r="B47" s="14">
        <f>IF(Calculator!$C$12=12,Calculator!$C$14,"")</f>
        <v>158</v>
      </c>
      <c r="C47" s="14">
        <f t="shared" si="0"/>
        <v>11275</v>
      </c>
      <c r="D47" s="14">
        <f>IF(Calculator!$C$12=12,ROUNDUP(-PPMT(Calculator!$C$13/12,$A47,144,Calculator!$C$11,0,),0),"")</f>
        <v>75</v>
      </c>
      <c r="E47" s="14">
        <f>IF(Calculator!$C$12=12,ROUNDUP(-IPMT(Calculator!$C$13/12,$A47,144,Calculator!$C$11,0,),0),"")</f>
        <v>83</v>
      </c>
      <c r="F47" s="14">
        <f>IF(Calculator!$C$12=12,C47-D47,"")</f>
        <v>11200</v>
      </c>
      <c r="H47" s="13">
        <v>43</v>
      </c>
      <c r="I47" s="14" t="str">
        <f>IF(Calculator!$C$12=12,"",Calculator!$C$14)</f>
        <v/>
      </c>
      <c r="J47" s="14" t="str">
        <f t="shared" si="1"/>
        <v/>
      </c>
      <c r="K47" s="14" t="str">
        <f>IF(Calculator!$C$12=15,ROUNDUP(-PPMT(Calculator!$C$13/12,$H47,180,Calculator!$C$11,0,),0),"")</f>
        <v/>
      </c>
      <c r="L47" s="14" t="str">
        <f>IF(Calculator!$C$12=15,ROUNDUP(-IPMT(Calculator!$C$13/12,$H47,180,Calculator!$C$11,0,),0),"")</f>
        <v/>
      </c>
      <c r="M47" s="14" t="str">
        <f>IF(Calculator!$C$12=15,J47-K47,"")</f>
        <v/>
      </c>
      <c r="O47" s="13">
        <v>43</v>
      </c>
      <c r="P47" s="14" t="str">
        <f>IF(Calculator!$C$12=20,Calculator!$C$14,"")</f>
        <v/>
      </c>
      <c r="Q47" s="14" t="str">
        <f t="shared" si="2"/>
        <v/>
      </c>
      <c r="R47" s="14" t="str">
        <f>IF(Calculator!$C$12=20,ROUNDUP(-PPMT(Calculator!$C$13/12,$O47,240,Calculator!$C$11,0,),0),"")</f>
        <v/>
      </c>
      <c r="S47" s="14" t="str">
        <f>IF(Calculator!$C$12=20,ROUNDUP(-IPMT(Calculator!$C$13/12,$O47,240,Calculator!$C$11,0,),0),"")</f>
        <v/>
      </c>
      <c r="T47" s="14" t="str">
        <f>IF(Calculator!$C$12=20,Q47-R47,"")</f>
        <v/>
      </c>
    </row>
    <row r="48" spans="1:20" x14ac:dyDescent="0.25">
      <c r="A48" s="13">
        <v>44</v>
      </c>
      <c r="B48" s="14">
        <f>IF(Calculator!$C$12=12,Calculator!$C$14,"")</f>
        <v>158</v>
      </c>
      <c r="C48" s="14">
        <f t="shared" si="0"/>
        <v>11200</v>
      </c>
      <c r="D48" s="14">
        <f>IF(Calculator!$C$12=12,ROUNDUP(-PPMT(Calculator!$C$13/12,$A48,144,Calculator!$C$11,0,),0),"")</f>
        <v>76</v>
      </c>
      <c r="E48" s="14">
        <f>IF(Calculator!$C$12=12,ROUNDUP(-IPMT(Calculator!$C$13/12,$A48,144,Calculator!$C$11,0,),0),"")</f>
        <v>82</v>
      </c>
      <c r="F48" s="14">
        <f>IF(Calculator!$C$12=12,C48-D48,"")</f>
        <v>11124</v>
      </c>
      <c r="H48" s="13">
        <v>44</v>
      </c>
      <c r="I48" s="14" t="str">
        <f>IF(Calculator!$C$12=12,"",Calculator!$C$14)</f>
        <v/>
      </c>
      <c r="J48" s="14" t="str">
        <f t="shared" si="1"/>
        <v/>
      </c>
      <c r="K48" s="14" t="str">
        <f>IF(Calculator!$C$12=15,ROUNDUP(-PPMT(Calculator!$C$13/12,$H48,180,Calculator!$C$11,0,),0),"")</f>
        <v/>
      </c>
      <c r="L48" s="14" t="str">
        <f>IF(Calculator!$C$12=15,ROUNDUP(-IPMT(Calculator!$C$13/12,$H48,180,Calculator!$C$11,0,),0),"")</f>
        <v/>
      </c>
      <c r="M48" s="14" t="str">
        <f>IF(Calculator!$C$12=15,J48-K48,"")</f>
        <v/>
      </c>
      <c r="O48" s="13">
        <v>44</v>
      </c>
      <c r="P48" s="14" t="str">
        <f>IF(Calculator!$C$12=20,Calculator!$C$14,"")</f>
        <v/>
      </c>
      <c r="Q48" s="14" t="str">
        <f t="shared" si="2"/>
        <v/>
      </c>
      <c r="R48" s="14" t="str">
        <f>IF(Calculator!$C$12=20,ROUNDUP(-PPMT(Calculator!$C$13/12,$O48,240,Calculator!$C$11,0,),0),"")</f>
        <v/>
      </c>
      <c r="S48" s="14" t="str">
        <f>IF(Calculator!$C$12=20,ROUNDUP(-IPMT(Calculator!$C$13/12,$O48,240,Calculator!$C$11,0,),0),"")</f>
        <v/>
      </c>
      <c r="T48" s="14" t="str">
        <f>IF(Calculator!$C$12=20,Q48-R48,"")</f>
        <v/>
      </c>
    </row>
    <row r="49" spans="1:20" x14ac:dyDescent="0.25">
      <c r="A49" s="13">
        <v>45</v>
      </c>
      <c r="B49" s="14">
        <f>IF(Calculator!$C$12=12,Calculator!$C$14,"")</f>
        <v>158</v>
      </c>
      <c r="C49" s="14">
        <f t="shared" si="0"/>
        <v>11124</v>
      </c>
      <c r="D49" s="14">
        <f>IF(Calculator!$C$12=12,ROUNDUP(-PPMT(Calculator!$C$13/12,$A49,144,Calculator!$C$11,0,),0),"")</f>
        <v>77</v>
      </c>
      <c r="E49" s="14">
        <f>IF(Calculator!$C$12=12,ROUNDUP(-IPMT(Calculator!$C$13/12,$A49,144,Calculator!$C$11,0,),0),"")</f>
        <v>82</v>
      </c>
      <c r="F49" s="14">
        <f>IF(Calculator!$C$12=12,C49-D49,"")</f>
        <v>11047</v>
      </c>
      <c r="H49" s="13">
        <v>45</v>
      </c>
      <c r="I49" s="14" t="str">
        <f>IF(Calculator!$C$12=12,"",Calculator!$C$14)</f>
        <v/>
      </c>
      <c r="J49" s="14" t="str">
        <f t="shared" si="1"/>
        <v/>
      </c>
      <c r="K49" s="14" t="str">
        <f>IF(Calculator!$C$12=15,ROUNDUP(-PPMT(Calculator!$C$13/12,$H49,180,Calculator!$C$11,0,),0),"")</f>
        <v/>
      </c>
      <c r="L49" s="14" t="str">
        <f>IF(Calculator!$C$12=15,ROUNDUP(-IPMT(Calculator!$C$13/12,$H49,180,Calculator!$C$11,0,),0),"")</f>
        <v/>
      </c>
      <c r="M49" s="14" t="str">
        <f>IF(Calculator!$C$12=15,J49-K49,"")</f>
        <v/>
      </c>
      <c r="O49" s="13">
        <v>45</v>
      </c>
      <c r="P49" s="14" t="str">
        <f>IF(Calculator!$C$12=20,Calculator!$C$14,"")</f>
        <v/>
      </c>
      <c r="Q49" s="14" t="str">
        <f t="shared" si="2"/>
        <v/>
      </c>
      <c r="R49" s="14" t="str">
        <f>IF(Calculator!$C$12=20,ROUNDUP(-PPMT(Calculator!$C$13/12,$O49,240,Calculator!$C$11,0,),0),"")</f>
        <v/>
      </c>
      <c r="S49" s="14" t="str">
        <f>IF(Calculator!$C$12=20,ROUNDUP(-IPMT(Calculator!$C$13/12,$O49,240,Calculator!$C$11,0,),0),"")</f>
        <v/>
      </c>
      <c r="T49" s="14" t="str">
        <f>IF(Calculator!$C$12=20,Q49-R49,"")</f>
        <v/>
      </c>
    </row>
    <row r="50" spans="1:20" x14ac:dyDescent="0.25">
      <c r="A50" s="13">
        <v>46</v>
      </c>
      <c r="B50" s="14">
        <f>IF(Calculator!$C$12=12,Calculator!$C$14,"")</f>
        <v>158</v>
      </c>
      <c r="C50" s="14">
        <f t="shared" si="0"/>
        <v>11047</v>
      </c>
      <c r="D50" s="14">
        <f>IF(Calculator!$C$12=12,ROUNDUP(-PPMT(Calculator!$C$13/12,$A50,144,Calculator!$C$11,0,),0),"")</f>
        <v>77</v>
      </c>
      <c r="E50" s="14">
        <f>IF(Calculator!$C$12=12,ROUNDUP(-IPMT(Calculator!$C$13/12,$A50,144,Calculator!$C$11,0,),0),"")</f>
        <v>81</v>
      </c>
      <c r="F50" s="14">
        <f>IF(Calculator!$C$12=12,C50-D50,"")</f>
        <v>10970</v>
      </c>
      <c r="H50" s="13">
        <v>46</v>
      </c>
      <c r="I50" s="14" t="str">
        <f>IF(Calculator!$C$12=12,"",Calculator!$C$14)</f>
        <v/>
      </c>
      <c r="J50" s="14" t="str">
        <f t="shared" si="1"/>
        <v/>
      </c>
      <c r="K50" s="14" t="str">
        <f>IF(Calculator!$C$12=15,ROUNDUP(-PPMT(Calculator!$C$13/12,$H50,180,Calculator!$C$11,0,),0),"")</f>
        <v/>
      </c>
      <c r="L50" s="14" t="str">
        <f>IF(Calculator!$C$12=15,ROUNDUP(-IPMT(Calculator!$C$13/12,$H50,180,Calculator!$C$11,0,),0),"")</f>
        <v/>
      </c>
      <c r="M50" s="14" t="str">
        <f>IF(Calculator!$C$12=15,J50-K50,"")</f>
        <v/>
      </c>
      <c r="O50" s="13">
        <v>46</v>
      </c>
      <c r="P50" s="14" t="str">
        <f>IF(Calculator!$C$12=20,Calculator!$C$14,"")</f>
        <v/>
      </c>
      <c r="Q50" s="14" t="str">
        <f t="shared" si="2"/>
        <v/>
      </c>
      <c r="R50" s="14" t="str">
        <f>IF(Calculator!$C$12=20,ROUNDUP(-PPMT(Calculator!$C$13/12,$O50,240,Calculator!$C$11,0,),0),"")</f>
        <v/>
      </c>
      <c r="S50" s="14" t="str">
        <f>IF(Calculator!$C$12=20,ROUNDUP(-IPMT(Calculator!$C$13/12,$O50,240,Calculator!$C$11,0,),0),"")</f>
        <v/>
      </c>
      <c r="T50" s="14" t="str">
        <f>IF(Calculator!$C$12=20,Q50-R50,"")</f>
        <v/>
      </c>
    </row>
    <row r="51" spans="1:20" x14ac:dyDescent="0.25">
      <c r="A51" s="13">
        <v>47</v>
      </c>
      <c r="B51" s="14">
        <f>IF(Calculator!$C$12=12,Calculator!$C$14,"")</f>
        <v>158</v>
      </c>
      <c r="C51" s="14">
        <f t="shared" si="0"/>
        <v>10970</v>
      </c>
      <c r="D51" s="14">
        <f>IF(Calculator!$C$12=12,ROUNDUP(-PPMT(Calculator!$C$13/12,$A51,144,Calculator!$C$11,0,),0),"")</f>
        <v>78</v>
      </c>
      <c r="E51" s="14">
        <f>IF(Calculator!$C$12=12,ROUNDUP(-IPMT(Calculator!$C$13/12,$A51,144,Calculator!$C$11,0,),0),"")</f>
        <v>81</v>
      </c>
      <c r="F51" s="14">
        <f>IF(Calculator!$C$12=12,C51-D51,"")</f>
        <v>10892</v>
      </c>
      <c r="H51" s="13">
        <v>47</v>
      </c>
      <c r="I51" s="14" t="str">
        <f>IF(Calculator!$C$12=12,"",Calculator!$C$14)</f>
        <v/>
      </c>
      <c r="J51" s="14" t="str">
        <f t="shared" si="1"/>
        <v/>
      </c>
      <c r="K51" s="14" t="str">
        <f>IF(Calculator!$C$12=15,ROUNDUP(-PPMT(Calculator!$C$13/12,$H51,180,Calculator!$C$11,0,),0),"")</f>
        <v/>
      </c>
      <c r="L51" s="14" t="str">
        <f>IF(Calculator!$C$12=15,ROUNDUP(-IPMT(Calculator!$C$13/12,$H51,180,Calculator!$C$11,0,),0),"")</f>
        <v/>
      </c>
      <c r="M51" s="14" t="str">
        <f>IF(Calculator!$C$12=15,J51-K51,"")</f>
        <v/>
      </c>
      <c r="O51" s="13">
        <v>47</v>
      </c>
      <c r="P51" s="14" t="str">
        <f>IF(Calculator!$C$12=20,Calculator!$C$14,"")</f>
        <v/>
      </c>
      <c r="Q51" s="14" t="str">
        <f t="shared" si="2"/>
        <v/>
      </c>
      <c r="R51" s="14" t="str">
        <f>IF(Calculator!$C$12=20,ROUNDUP(-PPMT(Calculator!$C$13/12,$O51,240,Calculator!$C$11,0,),0),"")</f>
        <v/>
      </c>
      <c r="S51" s="14" t="str">
        <f>IF(Calculator!$C$12=20,ROUNDUP(-IPMT(Calculator!$C$13/12,$O51,240,Calculator!$C$11,0,),0),"")</f>
        <v/>
      </c>
      <c r="T51" s="14" t="str">
        <f>IF(Calculator!$C$12=20,Q51-R51,"")</f>
        <v/>
      </c>
    </row>
    <row r="52" spans="1:20" x14ac:dyDescent="0.25">
      <c r="A52" s="13">
        <v>48</v>
      </c>
      <c r="B52" s="14">
        <f>IF(Calculator!$C$12=12,Calculator!$C$14,"")</f>
        <v>158</v>
      </c>
      <c r="C52" s="14">
        <f t="shared" si="0"/>
        <v>10892</v>
      </c>
      <c r="D52" s="14">
        <f>IF(Calculator!$C$12=12,ROUNDUP(-PPMT(Calculator!$C$13/12,$A52,144,Calculator!$C$11,0,),0),"")</f>
        <v>78</v>
      </c>
      <c r="E52" s="14">
        <f>IF(Calculator!$C$12=12,ROUNDUP(-IPMT(Calculator!$C$13/12,$A52,144,Calculator!$C$11,0,),0),"")</f>
        <v>80</v>
      </c>
      <c r="F52" s="14">
        <f>IF(Calculator!$C$12=12,C52-D52,"")</f>
        <v>10814</v>
      </c>
      <c r="H52" s="13">
        <v>48</v>
      </c>
      <c r="I52" s="14" t="str">
        <f>IF(Calculator!$C$12=12,"",Calculator!$C$14)</f>
        <v/>
      </c>
      <c r="J52" s="14" t="str">
        <f t="shared" si="1"/>
        <v/>
      </c>
      <c r="K52" s="14" t="str">
        <f>IF(Calculator!$C$12=15,ROUNDUP(-PPMT(Calculator!$C$13/12,$H52,180,Calculator!$C$11,0,),0),"")</f>
        <v/>
      </c>
      <c r="L52" s="14" t="str">
        <f>IF(Calculator!$C$12=15,ROUNDUP(-IPMT(Calculator!$C$13/12,$H52,180,Calculator!$C$11,0,),0),"")</f>
        <v/>
      </c>
      <c r="M52" s="14" t="str">
        <f>IF(Calculator!$C$12=15,J52-K52,"")</f>
        <v/>
      </c>
      <c r="O52" s="13">
        <v>48</v>
      </c>
      <c r="P52" s="14" t="str">
        <f>IF(Calculator!$C$12=20,Calculator!$C$14,"")</f>
        <v/>
      </c>
      <c r="Q52" s="14" t="str">
        <f t="shared" si="2"/>
        <v/>
      </c>
      <c r="R52" s="14" t="str">
        <f>IF(Calculator!$C$12=20,ROUNDUP(-PPMT(Calculator!$C$13/12,$O52,240,Calculator!$C$11,0,),0),"")</f>
        <v/>
      </c>
      <c r="S52" s="14" t="str">
        <f>IF(Calculator!$C$12=20,ROUNDUP(-IPMT(Calculator!$C$13/12,$O52,240,Calculator!$C$11,0,),0),"")</f>
        <v/>
      </c>
      <c r="T52" s="14" t="str">
        <f>IF(Calculator!$C$12=20,Q52-R52,"")</f>
        <v/>
      </c>
    </row>
    <row r="53" spans="1:20" x14ac:dyDescent="0.25">
      <c r="A53" s="13">
        <v>49</v>
      </c>
      <c r="B53" s="14">
        <f>IF(Calculator!$C$12=12,Calculator!$C$14,"")</f>
        <v>158</v>
      </c>
      <c r="C53" s="14">
        <f t="shared" si="0"/>
        <v>10814</v>
      </c>
      <c r="D53" s="14">
        <f>IF(Calculator!$C$12=12,ROUNDUP(-PPMT(Calculator!$C$13/12,$A53,144,Calculator!$C$11,0,),0),"")</f>
        <v>79</v>
      </c>
      <c r="E53" s="14">
        <f>IF(Calculator!$C$12=12,ROUNDUP(-IPMT(Calculator!$C$13/12,$A53,144,Calculator!$C$11,0,),0),"")</f>
        <v>80</v>
      </c>
      <c r="F53" s="14">
        <f>IF(Calculator!$C$12=12,C53-D53,"")</f>
        <v>10735</v>
      </c>
      <c r="H53" s="13">
        <v>49</v>
      </c>
      <c r="I53" s="14" t="str">
        <f>IF(Calculator!$C$12=12,"",Calculator!$C$14)</f>
        <v/>
      </c>
      <c r="J53" s="14" t="str">
        <f t="shared" si="1"/>
        <v/>
      </c>
      <c r="K53" s="14" t="str">
        <f>IF(Calculator!$C$12=15,ROUNDUP(-PPMT(Calculator!$C$13/12,$H53,180,Calculator!$C$11,0,),0),"")</f>
        <v/>
      </c>
      <c r="L53" s="14" t="str">
        <f>IF(Calculator!$C$12=15,ROUNDUP(-IPMT(Calculator!$C$13/12,$H53,180,Calculator!$C$11,0,),0),"")</f>
        <v/>
      </c>
      <c r="M53" s="14" t="str">
        <f>IF(Calculator!$C$12=15,J53-K53,"")</f>
        <v/>
      </c>
      <c r="O53" s="13">
        <v>49</v>
      </c>
      <c r="P53" s="14" t="str">
        <f>IF(Calculator!$C$12=20,Calculator!$C$14,"")</f>
        <v/>
      </c>
      <c r="Q53" s="14" t="str">
        <f t="shared" si="2"/>
        <v/>
      </c>
      <c r="R53" s="14" t="str">
        <f>IF(Calculator!$C$12=20,ROUNDUP(-PPMT(Calculator!$C$13/12,$O53,240,Calculator!$C$11,0,),0),"")</f>
        <v/>
      </c>
      <c r="S53" s="14" t="str">
        <f>IF(Calculator!$C$12=20,ROUNDUP(-IPMT(Calculator!$C$13/12,$O53,240,Calculator!$C$11,0,),0),"")</f>
        <v/>
      </c>
      <c r="T53" s="14" t="str">
        <f>IF(Calculator!$C$12=20,Q53-R53,"")</f>
        <v/>
      </c>
    </row>
    <row r="54" spans="1:20" x14ac:dyDescent="0.25">
      <c r="A54" s="13">
        <v>50</v>
      </c>
      <c r="B54" s="14">
        <f>IF(Calculator!$C$12=12,Calculator!$C$14,"")</f>
        <v>158</v>
      </c>
      <c r="C54" s="14">
        <f t="shared" si="0"/>
        <v>10735</v>
      </c>
      <c r="D54" s="14">
        <f>IF(Calculator!$C$12=12,ROUNDUP(-PPMT(Calculator!$C$13/12,$A54,144,Calculator!$C$11,0,),0),"")</f>
        <v>79</v>
      </c>
      <c r="E54" s="14">
        <f>IF(Calculator!$C$12=12,ROUNDUP(-IPMT(Calculator!$C$13/12,$A54,144,Calculator!$C$11,0,),0),"")</f>
        <v>79</v>
      </c>
      <c r="F54" s="14">
        <f>IF(Calculator!$C$12=12,C54-D54,"")</f>
        <v>10656</v>
      </c>
      <c r="H54" s="13">
        <v>50</v>
      </c>
      <c r="I54" s="14" t="str">
        <f>IF(Calculator!$C$12=12,"",Calculator!$C$14)</f>
        <v/>
      </c>
      <c r="J54" s="14" t="str">
        <f t="shared" si="1"/>
        <v/>
      </c>
      <c r="K54" s="14" t="str">
        <f>IF(Calculator!$C$12=15,ROUNDUP(-PPMT(Calculator!$C$13/12,$H54,180,Calculator!$C$11,0,),0),"")</f>
        <v/>
      </c>
      <c r="L54" s="14" t="str">
        <f>IF(Calculator!$C$12=15,ROUNDUP(-IPMT(Calculator!$C$13/12,$H54,180,Calculator!$C$11,0,),0),"")</f>
        <v/>
      </c>
      <c r="M54" s="14" t="str">
        <f>IF(Calculator!$C$12=15,J54-K54,"")</f>
        <v/>
      </c>
      <c r="O54" s="13">
        <v>50</v>
      </c>
      <c r="P54" s="14" t="str">
        <f>IF(Calculator!$C$12=20,Calculator!$C$14,"")</f>
        <v/>
      </c>
      <c r="Q54" s="14" t="str">
        <f t="shared" si="2"/>
        <v/>
      </c>
      <c r="R54" s="14" t="str">
        <f>IF(Calculator!$C$12=20,ROUNDUP(-PPMT(Calculator!$C$13/12,$O54,240,Calculator!$C$11,0,),0),"")</f>
        <v/>
      </c>
      <c r="S54" s="14" t="str">
        <f>IF(Calculator!$C$12=20,ROUNDUP(-IPMT(Calculator!$C$13/12,$O54,240,Calculator!$C$11,0,),0),"")</f>
        <v/>
      </c>
      <c r="T54" s="14" t="str">
        <f>IF(Calculator!$C$12=20,Q54-R54,"")</f>
        <v/>
      </c>
    </row>
    <row r="55" spans="1:20" x14ac:dyDescent="0.25">
      <c r="A55" s="13">
        <v>51</v>
      </c>
      <c r="B55" s="14">
        <f>IF(Calculator!$C$12=12,Calculator!$C$14,"")</f>
        <v>158</v>
      </c>
      <c r="C55" s="14">
        <f t="shared" si="0"/>
        <v>10656</v>
      </c>
      <c r="D55" s="14">
        <f>IF(Calculator!$C$12=12,ROUNDUP(-PPMT(Calculator!$C$13/12,$A55,144,Calculator!$C$11,0,),0),"")</f>
        <v>80</v>
      </c>
      <c r="E55" s="14">
        <f>IF(Calculator!$C$12=12,ROUNDUP(-IPMT(Calculator!$C$13/12,$A55,144,Calculator!$C$11,0,),0),"")</f>
        <v>78</v>
      </c>
      <c r="F55" s="14">
        <f>IF(Calculator!$C$12=12,C55-D55,"")</f>
        <v>10576</v>
      </c>
      <c r="H55" s="13">
        <v>51</v>
      </c>
      <c r="I55" s="14" t="str">
        <f>IF(Calculator!$C$12=12,"",Calculator!$C$14)</f>
        <v/>
      </c>
      <c r="J55" s="14" t="str">
        <f t="shared" si="1"/>
        <v/>
      </c>
      <c r="K55" s="14" t="str">
        <f>IF(Calculator!$C$12=15,ROUNDUP(-PPMT(Calculator!$C$13/12,$H55,180,Calculator!$C$11,0,),0),"")</f>
        <v/>
      </c>
      <c r="L55" s="14" t="str">
        <f>IF(Calculator!$C$12=15,ROUNDUP(-IPMT(Calculator!$C$13/12,$H55,180,Calculator!$C$11,0,),0),"")</f>
        <v/>
      </c>
      <c r="M55" s="14" t="str">
        <f>IF(Calculator!$C$12=15,J55-K55,"")</f>
        <v/>
      </c>
      <c r="O55" s="13">
        <v>51</v>
      </c>
      <c r="P55" s="14" t="str">
        <f>IF(Calculator!$C$12=20,Calculator!$C$14,"")</f>
        <v/>
      </c>
      <c r="Q55" s="14" t="str">
        <f t="shared" si="2"/>
        <v/>
      </c>
      <c r="R55" s="14" t="str">
        <f>IF(Calculator!$C$12=20,ROUNDUP(-PPMT(Calculator!$C$13/12,$O55,240,Calculator!$C$11,0,),0),"")</f>
        <v/>
      </c>
      <c r="S55" s="14" t="str">
        <f>IF(Calculator!$C$12=20,ROUNDUP(-IPMT(Calculator!$C$13/12,$O55,240,Calculator!$C$11,0,),0),"")</f>
        <v/>
      </c>
      <c r="T55" s="14" t="str">
        <f>IF(Calculator!$C$12=20,Q55-R55,"")</f>
        <v/>
      </c>
    </row>
    <row r="56" spans="1:20" x14ac:dyDescent="0.25">
      <c r="A56" s="13">
        <v>52</v>
      </c>
      <c r="B56" s="14">
        <f>IF(Calculator!$C$12=12,Calculator!$C$14,"")</f>
        <v>158</v>
      </c>
      <c r="C56" s="14">
        <f t="shared" si="0"/>
        <v>10576</v>
      </c>
      <c r="D56" s="14">
        <f>IF(Calculator!$C$12=12,ROUNDUP(-PPMT(Calculator!$C$13/12,$A56,144,Calculator!$C$11,0,),0),"")</f>
        <v>81</v>
      </c>
      <c r="E56" s="14">
        <f>IF(Calculator!$C$12=12,ROUNDUP(-IPMT(Calculator!$C$13/12,$A56,144,Calculator!$C$11,0,),0),"")</f>
        <v>78</v>
      </c>
      <c r="F56" s="14">
        <f>IF(Calculator!$C$12=12,C56-D56,"")</f>
        <v>10495</v>
      </c>
      <c r="H56" s="13">
        <v>52</v>
      </c>
      <c r="I56" s="14" t="str">
        <f>IF(Calculator!$C$12=12,"",Calculator!$C$14)</f>
        <v/>
      </c>
      <c r="J56" s="14" t="str">
        <f t="shared" si="1"/>
        <v/>
      </c>
      <c r="K56" s="14" t="str">
        <f>IF(Calculator!$C$12=15,ROUNDUP(-PPMT(Calculator!$C$13/12,$H56,180,Calculator!$C$11,0,),0),"")</f>
        <v/>
      </c>
      <c r="L56" s="14" t="str">
        <f>IF(Calculator!$C$12=15,ROUNDUP(-IPMT(Calculator!$C$13/12,$H56,180,Calculator!$C$11,0,),0),"")</f>
        <v/>
      </c>
      <c r="M56" s="14" t="str">
        <f>IF(Calculator!$C$12=15,J56-K56,"")</f>
        <v/>
      </c>
      <c r="O56" s="13">
        <v>52</v>
      </c>
      <c r="P56" s="14" t="str">
        <f>IF(Calculator!$C$12=20,Calculator!$C$14,"")</f>
        <v/>
      </c>
      <c r="Q56" s="14" t="str">
        <f t="shared" si="2"/>
        <v/>
      </c>
      <c r="R56" s="14" t="str">
        <f>IF(Calculator!$C$12=20,ROUNDUP(-PPMT(Calculator!$C$13/12,$O56,240,Calculator!$C$11,0,),0),"")</f>
        <v/>
      </c>
      <c r="S56" s="14" t="str">
        <f>IF(Calculator!$C$12=20,ROUNDUP(-IPMT(Calculator!$C$13/12,$O56,240,Calculator!$C$11,0,),0),"")</f>
        <v/>
      </c>
      <c r="T56" s="14" t="str">
        <f>IF(Calculator!$C$12=20,Q56-R56,"")</f>
        <v/>
      </c>
    </row>
    <row r="57" spans="1:20" x14ac:dyDescent="0.25">
      <c r="A57" s="13">
        <v>53</v>
      </c>
      <c r="B57" s="14">
        <f>IF(Calculator!$C$12=12,Calculator!$C$14,"")</f>
        <v>158</v>
      </c>
      <c r="C57" s="14">
        <f t="shared" si="0"/>
        <v>10495</v>
      </c>
      <c r="D57" s="14">
        <f>IF(Calculator!$C$12=12,ROUNDUP(-PPMT(Calculator!$C$13/12,$A57,144,Calculator!$C$11,0,),0),"")</f>
        <v>81</v>
      </c>
      <c r="E57" s="14">
        <f>IF(Calculator!$C$12=12,ROUNDUP(-IPMT(Calculator!$C$13/12,$A57,144,Calculator!$C$11,0,),0),"")</f>
        <v>77</v>
      </c>
      <c r="F57" s="14">
        <f>IF(Calculator!$C$12=12,C57-D57,"")</f>
        <v>10414</v>
      </c>
      <c r="H57" s="13">
        <v>53</v>
      </c>
      <c r="I57" s="14" t="str">
        <f>IF(Calculator!$C$12=12,"",Calculator!$C$14)</f>
        <v/>
      </c>
      <c r="J57" s="14" t="str">
        <f t="shared" si="1"/>
        <v/>
      </c>
      <c r="K57" s="14" t="str">
        <f>IF(Calculator!$C$12=15,ROUNDUP(-PPMT(Calculator!$C$13/12,$H57,180,Calculator!$C$11,0,),0),"")</f>
        <v/>
      </c>
      <c r="L57" s="14" t="str">
        <f>IF(Calculator!$C$12=15,ROUNDUP(-IPMT(Calculator!$C$13/12,$H57,180,Calculator!$C$11,0,),0),"")</f>
        <v/>
      </c>
      <c r="M57" s="14" t="str">
        <f>IF(Calculator!$C$12=15,J57-K57,"")</f>
        <v/>
      </c>
      <c r="O57" s="13">
        <v>53</v>
      </c>
      <c r="P57" s="14" t="str">
        <f>IF(Calculator!$C$12=20,Calculator!$C$14,"")</f>
        <v/>
      </c>
      <c r="Q57" s="14" t="str">
        <f t="shared" si="2"/>
        <v/>
      </c>
      <c r="R57" s="14" t="str">
        <f>IF(Calculator!$C$12=20,ROUNDUP(-PPMT(Calculator!$C$13/12,$O57,240,Calculator!$C$11,0,),0),"")</f>
        <v/>
      </c>
      <c r="S57" s="14" t="str">
        <f>IF(Calculator!$C$12=20,ROUNDUP(-IPMT(Calculator!$C$13/12,$O57,240,Calculator!$C$11,0,),0),"")</f>
        <v/>
      </c>
      <c r="T57" s="14" t="str">
        <f>IF(Calculator!$C$12=20,Q57-R57,"")</f>
        <v/>
      </c>
    </row>
    <row r="58" spans="1:20" x14ac:dyDescent="0.25">
      <c r="A58" s="13">
        <v>54</v>
      </c>
      <c r="B58" s="14">
        <f>IF(Calculator!$C$12=12,Calculator!$C$14,"")</f>
        <v>158</v>
      </c>
      <c r="C58" s="14">
        <f t="shared" si="0"/>
        <v>10414</v>
      </c>
      <c r="D58" s="14">
        <f>IF(Calculator!$C$12=12,ROUNDUP(-PPMT(Calculator!$C$13/12,$A58,144,Calculator!$C$11,0,),0),"")</f>
        <v>82</v>
      </c>
      <c r="E58" s="14">
        <f>IF(Calculator!$C$12=12,ROUNDUP(-IPMT(Calculator!$C$13/12,$A58,144,Calculator!$C$11,0,),0),"")</f>
        <v>77</v>
      </c>
      <c r="F58" s="14">
        <f>IF(Calculator!$C$12=12,C58-D58,"")</f>
        <v>10332</v>
      </c>
      <c r="H58" s="13">
        <v>54</v>
      </c>
      <c r="I58" s="14" t="str">
        <f>IF(Calculator!$C$12=12,"",Calculator!$C$14)</f>
        <v/>
      </c>
      <c r="J58" s="14" t="str">
        <f t="shared" si="1"/>
        <v/>
      </c>
      <c r="K58" s="14" t="str">
        <f>IF(Calculator!$C$12=15,ROUNDUP(-PPMT(Calculator!$C$13/12,$H58,180,Calculator!$C$11,0,),0),"")</f>
        <v/>
      </c>
      <c r="L58" s="14" t="str">
        <f>IF(Calculator!$C$12=15,ROUNDUP(-IPMT(Calculator!$C$13/12,$H58,180,Calculator!$C$11,0,),0),"")</f>
        <v/>
      </c>
      <c r="M58" s="14" t="str">
        <f>IF(Calculator!$C$12=15,J58-K58,"")</f>
        <v/>
      </c>
      <c r="O58" s="13">
        <v>54</v>
      </c>
      <c r="P58" s="14" t="str">
        <f>IF(Calculator!$C$12=20,Calculator!$C$14,"")</f>
        <v/>
      </c>
      <c r="Q58" s="14" t="str">
        <f t="shared" si="2"/>
        <v/>
      </c>
      <c r="R58" s="14" t="str">
        <f>IF(Calculator!$C$12=20,ROUNDUP(-PPMT(Calculator!$C$13/12,$O58,240,Calculator!$C$11,0,),0),"")</f>
        <v/>
      </c>
      <c r="S58" s="14" t="str">
        <f>IF(Calculator!$C$12=20,ROUNDUP(-IPMT(Calculator!$C$13/12,$O58,240,Calculator!$C$11,0,),0),"")</f>
        <v/>
      </c>
      <c r="T58" s="14" t="str">
        <f>IF(Calculator!$C$12=20,Q58-R58,"")</f>
        <v/>
      </c>
    </row>
    <row r="59" spans="1:20" x14ac:dyDescent="0.25">
      <c r="A59" s="13">
        <v>55</v>
      </c>
      <c r="B59" s="14">
        <f>IF(Calculator!$C$12=12,Calculator!$C$14,"")</f>
        <v>158</v>
      </c>
      <c r="C59" s="14">
        <f t="shared" si="0"/>
        <v>10332</v>
      </c>
      <c r="D59" s="14">
        <f>IF(Calculator!$C$12=12,ROUNDUP(-PPMT(Calculator!$C$13/12,$A59,144,Calculator!$C$11,0,),0),"")</f>
        <v>82</v>
      </c>
      <c r="E59" s="14">
        <f>IF(Calculator!$C$12=12,ROUNDUP(-IPMT(Calculator!$C$13/12,$A59,144,Calculator!$C$11,0,),0),"")</f>
        <v>76</v>
      </c>
      <c r="F59" s="14">
        <f>IF(Calculator!$C$12=12,C59-D59,"")</f>
        <v>10250</v>
      </c>
      <c r="H59" s="13">
        <v>55</v>
      </c>
      <c r="I59" s="14" t="str">
        <f>IF(Calculator!$C$12=12,"",Calculator!$C$14)</f>
        <v/>
      </c>
      <c r="J59" s="14" t="str">
        <f t="shared" si="1"/>
        <v/>
      </c>
      <c r="K59" s="14" t="str">
        <f>IF(Calculator!$C$12=15,ROUNDUP(-PPMT(Calculator!$C$13/12,$H59,180,Calculator!$C$11,0,),0),"")</f>
        <v/>
      </c>
      <c r="L59" s="14" t="str">
        <f>IF(Calculator!$C$12=15,ROUNDUP(-IPMT(Calculator!$C$13/12,$H59,180,Calculator!$C$11,0,),0),"")</f>
        <v/>
      </c>
      <c r="M59" s="14" t="str">
        <f>IF(Calculator!$C$12=15,J59-K59,"")</f>
        <v/>
      </c>
      <c r="O59" s="13">
        <v>55</v>
      </c>
      <c r="P59" s="14" t="str">
        <f>IF(Calculator!$C$12=20,Calculator!$C$14,"")</f>
        <v/>
      </c>
      <c r="Q59" s="14" t="str">
        <f t="shared" si="2"/>
        <v/>
      </c>
      <c r="R59" s="14" t="str">
        <f>IF(Calculator!$C$12=20,ROUNDUP(-PPMT(Calculator!$C$13/12,$O59,240,Calculator!$C$11,0,),0),"")</f>
        <v/>
      </c>
      <c r="S59" s="14" t="str">
        <f>IF(Calculator!$C$12=20,ROUNDUP(-IPMT(Calculator!$C$13/12,$O59,240,Calculator!$C$11,0,),0),"")</f>
        <v/>
      </c>
      <c r="T59" s="14" t="str">
        <f>IF(Calculator!$C$12=20,Q59-R59,"")</f>
        <v/>
      </c>
    </row>
    <row r="60" spans="1:20" x14ac:dyDescent="0.25">
      <c r="A60" s="13">
        <v>56</v>
      </c>
      <c r="B60" s="14">
        <f>IF(Calculator!$C$12=12,Calculator!$C$14,"")</f>
        <v>158</v>
      </c>
      <c r="C60" s="14">
        <f t="shared" si="0"/>
        <v>10250</v>
      </c>
      <c r="D60" s="14">
        <f>IF(Calculator!$C$12=12,ROUNDUP(-PPMT(Calculator!$C$13/12,$A60,144,Calculator!$C$11,0,),0),"")</f>
        <v>83</v>
      </c>
      <c r="E60" s="14">
        <f>IF(Calculator!$C$12=12,ROUNDUP(-IPMT(Calculator!$C$13/12,$A60,144,Calculator!$C$11,0,),0),"")</f>
        <v>75</v>
      </c>
      <c r="F60" s="14">
        <f>IF(Calculator!$C$12=12,C60-D60,"")</f>
        <v>10167</v>
      </c>
      <c r="H60" s="13">
        <v>56</v>
      </c>
      <c r="I60" s="14" t="str">
        <f>IF(Calculator!$C$12=12,"",Calculator!$C$14)</f>
        <v/>
      </c>
      <c r="J60" s="14" t="str">
        <f t="shared" si="1"/>
        <v/>
      </c>
      <c r="K60" s="14" t="str">
        <f>IF(Calculator!$C$12=15,ROUNDUP(-PPMT(Calculator!$C$13/12,$H60,180,Calculator!$C$11,0,),0),"")</f>
        <v/>
      </c>
      <c r="L60" s="14" t="str">
        <f>IF(Calculator!$C$12=15,ROUNDUP(-IPMT(Calculator!$C$13/12,$H60,180,Calculator!$C$11,0,),0),"")</f>
        <v/>
      </c>
      <c r="M60" s="14" t="str">
        <f>IF(Calculator!$C$12=15,J60-K60,"")</f>
        <v/>
      </c>
      <c r="O60" s="13">
        <v>56</v>
      </c>
      <c r="P60" s="14" t="str">
        <f>IF(Calculator!$C$12=20,Calculator!$C$14,"")</f>
        <v/>
      </c>
      <c r="Q60" s="14" t="str">
        <f t="shared" si="2"/>
        <v/>
      </c>
      <c r="R60" s="14" t="str">
        <f>IF(Calculator!$C$12=20,ROUNDUP(-PPMT(Calculator!$C$13/12,$O60,240,Calculator!$C$11,0,),0),"")</f>
        <v/>
      </c>
      <c r="S60" s="14" t="str">
        <f>IF(Calculator!$C$12=20,ROUNDUP(-IPMT(Calculator!$C$13/12,$O60,240,Calculator!$C$11,0,),0),"")</f>
        <v/>
      </c>
      <c r="T60" s="14" t="str">
        <f>IF(Calculator!$C$12=20,Q60-R60,"")</f>
        <v/>
      </c>
    </row>
    <row r="61" spans="1:20" x14ac:dyDescent="0.25">
      <c r="A61" s="13">
        <v>57</v>
      </c>
      <c r="B61" s="14">
        <f>IF(Calculator!$C$12=12,Calculator!$C$14,"")</f>
        <v>158</v>
      </c>
      <c r="C61" s="14">
        <f t="shared" si="0"/>
        <v>10167</v>
      </c>
      <c r="D61" s="14">
        <f>IF(Calculator!$C$12=12,ROUNDUP(-PPMT(Calculator!$C$13/12,$A61,144,Calculator!$C$11,0,),0),"")</f>
        <v>84</v>
      </c>
      <c r="E61" s="14">
        <f>IF(Calculator!$C$12=12,ROUNDUP(-IPMT(Calculator!$C$13/12,$A61,144,Calculator!$C$11,0,),0),"")</f>
        <v>75</v>
      </c>
      <c r="F61" s="14">
        <f>IF(Calculator!$C$12=12,C61-D61,"")</f>
        <v>10083</v>
      </c>
      <c r="H61" s="13">
        <v>57</v>
      </c>
      <c r="I61" s="14" t="str">
        <f>IF(Calculator!$C$12=12,"",Calculator!$C$14)</f>
        <v/>
      </c>
      <c r="J61" s="14" t="str">
        <f t="shared" si="1"/>
        <v/>
      </c>
      <c r="K61" s="14" t="str">
        <f>IF(Calculator!$C$12=15,ROUNDUP(-PPMT(Calculator!$C$13/12,$H61,180,Calculator!$C$11,0,),0),"")</f>
        <v/>
      </c>
      <c r="L61" s="14" t="str">
        <f>IF(Calculator!$C$12=15,ROUNDUP(-IPMT(Calculator!$C$13/12,$H61,180,Calculator!$C$11,0,),0),"")</f>
        <v/>
      </c>
      <c r="M61" s="14" t="str">
        <f>IF(Calculator!$C$12=15,J61-K61,"")</f>
        <v/>
      </c>
      <c r="O61" s="13">
        <v>57</v>
      </c>
      <c r="P61" s="14" t="str">
        <f>IF(Calculator!$C$12=20,Calculator!$C$14,"")</f>
        <v/>
      </c>
      <c r="Q61" s="14" t="str">
        <f t="shared" si="2"/>
        <v/>
      </c>
      <c r="R61" s="14" t="str">
        <f>IF(Calculator!$C$12=20,ROUNDUP(-PPMT(Calculator!$C$13/12,$O61,240,Calculator!$C$11,0,),0),"")</f>
        <v/>
      </c>
      <c r="S61" s="14" t="str">
        <f>IF(Calculator!$C$12=20,ROUNDUP(-IPMT(Calculator!$C$13/12,$O61,240,Calculator!$C$11,0,),0),"")</f>
        <v/>
      </c>
      <c r="T61" s="14" t="str">
        <f>IF(Calculator!$C$12=20,Q61-R61,"")</f>
        <v/>
      </c>
    </row>
    <row r="62" spans="1:20" x14ac:dyDescent="0.25">
      <c r="A62" s="13">
        <v>58</v>
      </c>
      <c r="B62" s="14">
        <f>IF(Calculator!$C$12=12,Calculator!$C$14,"")</f>
        <v>158</v>
      </c>
      <c r="C62" s="14">
        <f t="shared" si="0"/>
        <v>10083</v>
      </c>
      <c r="D62" s="14">
        <f>IF(Calculator!$C$12=12,ROUNDUP(-PPMT(Calculator!$C$13/12,$A62,144,Calculator!$C$11,0,),0),"")</f>
        <v>84</v>
      </c>
      <c r="E62" s="14">
        <f>IF(Calculator!$C$12=12,ROUNDUP(-IPMT(Calculator!$C$13/12,$A62,144,Calculator!$C$11,0,),0),"")</f>
        <v>74</v>
      </c>
      <c r="F62" s="14">
        <f>IF(Calculator!$C$12=12,C62-D62,"")</f>
        <v>9999</v>
      </c>
      <c r="H62" s="13">
        <v>58</v>
      </c>
      <c r="I62" s="14" t="str">
        <f>IF(Calculator!$C$12=12,"",Calculator!$C$14)</f>
        <v/>
      </c>
      <c r="J62" s="14" t="str">
        <f t="shared" si="1"/>
        <v/>
      </c>
      <c r="K62" s="14" t="str">
        <f>IF(Calculator!$C$12=15,ROUNDUP(-PPMT(Calculator!$C$13/12,$H62,180,Calculator!$C$11,0,),0),"")</f>
        <v/>
      </c>
      <c r="L62" s="14" t="str">
        <f>IF(Calculator!$C$12=15,ROUNDUP(-IPMT(Calculator!$C$13/12,$H62,180,Calculator!$C$11,0,),0),"")</f>
        <v/>
      </c>
      <c r="M62" s="14" t="str">
        <f>IF(Calculator!$C$12=15,J62-K62,"")</f>
        <v/>
      </c>
      <c r="O62" s="13">
        <v>58</v>
      </c>
      <c r="P62" s="14" t="str">
        <f>IF(Calculator!$C$12=20,Calculator!$C$14,"")</f>
        <v/>
      </c>
      <c r="Q62" s="14" t="str">
        <f t="shared" si="2"/>
        <v/>
      </c>
      <c r="R62" s="14" t="str">
        <f>IF(Calculator!$C$12=20,ROUNDUP(-PPMT(Calculator!$C$13/12,$O62,240,Calculator!$C$11,0,),0),"")</f>
        <v/>
      </c>
      <c r="S62" s="14" t="str">
        <f>IF(Calculator!$C$12=20,ROUNDUP(-IPMT(Calculator!$C$13/12,$O62,240,Calculator!$C$11,0,),0),"")</f>
        <v/>
      </c>
      <c r="T62" s="14" t="str">
        <f>IF(Calculator!$C$12=20,Q62-R62,"")</f>
        <v/>
      </c>
    </row>
    <row r="63" spans="1:20" x14ac:dyDescent="0.25">
      <c r="A63" s="13">
        <v>59</v>
      </c>
      <c r="B63" s="14">
        <f>IF(Calculator!$C$12=12,Calculator!$C$14,"")</f>
        <v>158</v>
      </c>
      <c r="C63" s="14">
        <f t="shared" si="0"/>
        <v>9999</v>
      </c>
      <c r="D63" s="14">
        <f>IF(Calculator!$C$12=12,ROUNDUP(-PPMT(Calculator!$C$13/12,$A63,144,Calculator!$C$11,0,),0),"")</f>
        <v>85</v>
      </c>
      <c r="E63" s="14">
        <f>IF(Calculator!$C$12=12,ROUNDUP(-IPMT(Calculator!$C$13/12,$A63,144,Calculator!$C$11,0,),0),"")</f>
        <v>74</v>
      </c>
      <c r="F63" s="14">
        <f>IF(Calculator!$C$12=12,C63-D63,"")</f>
        <v>9914</v>
      </c>
      <c r="H63" s="13">
        <v>59</v>
      </c>
      <c r="I63" s="14" t="str">
        <f>IF(Calculator!$C$12=12,"",Calculator!$C$14)</f>
        <v/>
      </c>
      <c r="J63" s="14" t="str">
        <f t="shared" si="1"/>
        <v/>
      </c>
      <c r="K63" s="14" t="str">
        <f>IF(Calculator!$C$12=15,ROUNDUP(-PPMT(Calculator!$C$13/12,$H63,180,Calculator!$C$11,0,),0),"")</f>
        <v/>
      </c>
      <c r="L63" s="14" t="str">
        <f>IF(Calculator!$C$12=15,ROUNDUP(-IPMT(Calculator!$C$13/12,$H63,180,Calculator!$C$11,0,),0),"")</f>
        <v/>
      </c>
      <c r="M63" s="14" t="str">
        <f>IF(Calculator!$C$12=15,J63-K63,"")</f>
        <v/>
      </c>
      <c r="O63" s="13">
        <v>59</v>
      </c>
      <c r="P63" s="14" t="str">
        <f>IF(Calculator!$C$12=20,Calculator!$C$14,"")</f>
        <v/>
      </c>
      <c r="Q63" s="14" t="str">
        <f t="shared" si="2"/>
        <v/>
      </c>
      <c r="R63" s="14" t="str">
        <f>IF(Calculator!$C$12=20,ROUNDUP(-PPMT(Calculator!$C$13/12,$O63,240,Calculator!$C$11,0,),0),"")</f>
        <v/>
      </c>
      <c r="S63" s="14" t="str">
        <f>IF(Calculator!$C$12=20,ROUNDUP(-IPMT(Calculator!$C$13/12,$O63,240,Calculator!$C$11,0,),0),"")</f>
        <v/>
      </c>
      <c r="T63" s="14" t="str">
        <f>IF(Calculator!$C$12=20,Q63-R63,"")</f>
        <v/>
      </c>
    </row>
    <row r="64" spans="1:20" x14ac:dyDescent="0.25">
      <c r="A64" s="13">
        <v>60</v>
      </c>
      <c r="B64" s="14">
        <f>IF(Calculator!$C$12=12,Calculator!$C$14,"")</f>
        <v>158</v>
      </c>
      <c r="C64" s="14">
        <f t="shared" si="0"/>
        <v>9914</v>
      </c>
      <c r="D64" s="14">
        <f>IF(Calculator!$C$12=12,ROUNDUP(-PPMT(Calculator!$C$13/12,$A64,144,Calculator!$C$11,0,),0),"")</f>
        <v>85</v>
      </c>
      <c r="E64" s="14">
        <f>IF(Calculator!$C$12=12,ROUNDUP(-IPMT(Calculator!$C$13/12,$A64,144,Calculator!$C$11,0,),0),"")</f>
        <v>73</v>
      </c>
      <c r="F64" s="14">
        <f>IF(Calculator!$C$12=12,C64-D64,"")</f>
        <v>9829</v>
      </c>
      <c r="H64" s="13">
        <v>60</v>
      </c>
      <c r="I64" s="14" t="str">
        <f>IF(Calculator!$C$12=12,"",Calculator!$C$14)</f>
        <v/>
      </c>
      <c r="J64" s="14" t="str">
        <f t="shared" si="1"/>
        <v/>
      </c>
      <c r="K64" s="14" t="str">
        <f>IF(Calculator!$C$12=15,ROUNDUP(-PPMT(Calculator!$C$13/12,$H64,180,Calculator!$C$11,0,),0),"")</f>
        <v/>
      </c>
      <c r="L64" s="14" t="str">
        <f>IF(Calculator!$C$12=15,ROUNDUP(-IPMT(Calculator!$C$13/12,$H64,180,Calculator!$C$11,0,),0),"")</f>
        <v/>
      </c>
      <c r="M64" s="14" t="str">
        <f>IF(Calculator!$C$12=15,J64-K64,"")</f>
        <v/>
      </c>
      <c r="O64" s="13">
        <v>60</v>
      </c>
      <c r="P64" s="14" t="str">
        <f>IF(Calculator!$C$12=20,Calculator!$C$14,"")</f>
        <v/>
      </c>
      <c r="Q64" s="14" t="str">
        <f t="shared" si="2"/>
        <v/>
      </c>
      <c r="R64" s="14" t="str">
        <f>IF(Calculator!$C$12=20,ROUNDUP(-PPMT(Calculator!$C$13/12,$O64,240,Calculator!$C$11,0,),0),"")</f>
        <v/>
      </c>
      <c r="S64" s="14" t="str">
        <f>IF(Calculator!$C$12=20,ROUNDUP(-IPMT(Calculator!$C$13/12,$O64,240,Calculator!$C$11,0,),0),"")</f>
        <v/>
      </c>
      <c r="T64" s="14" t="str">
        <f>IF(Calculator!$C$12=20,Q64-R64,"")</f>
        <v/>
      </c>
    </row>
    <row r="65" spans="1:20" x14ac:dyDescent="0.25">
      <c r="A65" s="13">
        <v>61</v>
      </c>
      <c r="B65" s="14">
        <f>IF(Calculator!$C$12=12,Calculator!$C$14,"")</f>
        <v>158</v>
      </c>
      <c r="C65" s="14">
        <f t="shared" si="0"/>
        <v>9829</v>
      </c>
      <c r="D65" s="14">
        <f>IF(Calculator!$C$12=12,ROUNDUP(-PPMT(Calculator!$C$13/12,$A65,144,Calculator!$C$11,0,),0),"")</f>
        <v>86</v>
      </c>
      <c r="E65" s="14">
        <f>IF(Calculator!$C$12=12,ROUNDUP(-IPMT(Calculator!$C$13/12,$A65,144,Calculator!$C$11,0,),0),"")</f>
        <v>72</v>
      </c>
      <c r="F65" s="14">
        <f>IF(Calculator!$C$12=12,C65-D65,"")</f>
        <v>9743</v>
      </c>
      <c r="H65" s="13">
        <v>61</v>
      </c>
      <c r="I65" s="14" t="str">
        <f>IF(Calculator!$C$12=12,"",Calculator!$C$14)</f>
        <v/>
      </c>
      <c r="J65" s="14" t="str">
        <f t="shared" si="1"/>
        <v/>
      </c>
      <c r="K65" s="14" t="str">
        <f>IF(Calculator!$C$12=15,ROUNDUP(-PPMT(Calculator!$C$13/12,$H65,180,Calculator!$C$11,0,),0),"")</f>
        <v/>
      </c>
      <c r="L65" s="14" t="str">
        <f>IF(Calculator!$C$12=15,ROUNDUP(-IPMT(Calculator!$C$13/12,$H65,180,Calculator!$C$11,0,),0),"")</f>
        <v/>
      </c>
      <c r="M65" s="14" t="str">
        <f>IF(Calculator!$C$12=15,J65-K65,"")</f>
        <v/>
      </c>
      <c r="O65" s="13">
        <v>61</v>
      </c>
      <c r="P65" s="14" t="str">
        <f>IF(Calculator!$C$12=20,Calculator!$C$14,"")</f>
        <v/>
      </c>
      <c r="Q65" s="14" t="str">
        <f t="shared" si="2"/>
        <v/>
      </c>
      <c r="R65" s="14" t="str">
        <f>IF(Calculator!$C$12=20,ROUNDUP(-PPMT(Calculator!$C$13/12,$O65,240,Calculator!$C$11,0,),0),"")</f>
        <v/>
      </c>
      <c r="S65" s="14" t="str">
        <f>IF(Calculator!$C$12=20,ROUNDUP(-IPMT(Calculator!$C$13/12,$O65,240,Calculator!$C$11,0,),0),"")</f>
        <v/>
      </c>
      <c r="T65" s="14" t="str">
        <f>IF(Calculator!$C$12=20,Q65-R65,"")</f>
        <v/>
      </c>
    </row>
    <row r="66" spans="1:20" x14ac:dyDescent="0.25">
      <c r="A66" s="13">
        <v>62</v>
      </c>
      <c r="B66" s="14">
        <f>IF(Calculator!$C$12=12,Calculator!$C$14,"")</f>
        <v>158</v>
      </c>
      <c r="C66" s="14">
        <f t="shared" si="0"/>
        <v>9743</v>
      </c>
      <c r="D66" s="14">
        <f>IF(Calculator!$C$12=12,ROUNDUP(-PPMT(Calculator!$C$13/12,$A66,144,Calculator!$C$11,0,),0),"")</f>
        <v>87</v>
      </c>
      <c r="E66" s="14">
        <f>IF(Calculator!$C$12=12,ROUNDUP(-IPMT(Calculator!$C$13/12,$A66,144,Calculator!$C$11,0,),0),"")</f>
        <v>72</v>
      </c>
      <c r="F66" s="14">
        <f>IF(Calculator!$C$12=12,C66-D66,"")</f>
        <v>9656</v>
      </c>
      <c r="H66" s="13">
        <v>62</v>
      </c>
      <c r="I66" s="14" t="str">
        <f>IF(Calculator!$C$12=12,"",Calculator!$C$14)</f>
        <v/>
      </c>
      <c r="J66" s="14" t="str">
        <f t="shared" si="1"/>
        <v/>
      </c>
      <c r="K66" s="14" t="str">
        <f>IF(Calculator!$C$12=15,ROUNDUP(-PPMT(Calculator!$C$13/12,$H66,180,Calculator!$C$11,0,),0),"")</f>
        <v/>
      </c>
      <c r="L66" s="14" t="str">
        <f>IF(Calculator!$C$12=15,ROUNDUP(-IPMT(Calculator!$C$13/12,$H66,180,Calculator!$C$11,0,),0),"")</f>
        <v/>
      </c>
      <c r="M66" s="14" t="str">
        <f>IF(Calculator!$C$12=15,J66-K66,"")</f>
        <v/>
      </c>
      <c r="O66" s="13">
        <v>62</v>
      </c>
      <c r="P66" s="14" t="str">
        <f>IF(Calculator!$C$12=20,Calculator!$C$14,"")</f>
        <v/>
      </c>
      <c r="Q66" s="14" t="str">
        <f t="shared" si="2"/>
        <v/>
      </c>
      <c r="R66" s="14" t="str">
        <f>IF(Calculator!$C$12=20,ROUNDUP(-PPMT(Calculator!$C$13/12,$O66,240,Calculator!$C$11,0,),0),"")</f>
        <v/>
      </c>
      <c r="S66" s="14" t="str">
        <f>IF(Calculator!$C$12=20,ROUNDUP(-IPMT(Calculator!$C$13/12,$O66,240,Calculator!$C$11,0,),0),"")</f>
        <v/>
      </c>
      <c r="T66" s="14" t="str">
        <f>IF(Calculator!$C$12=20,Q66-R66,"")</f>
        <v/>
      </c>
    </row>
    <row r="67" spans="1:20" x14ac:dyDescent="0.25">
      <c r="A67" s="13">
        <v>63</v>
      </c>
      <c r="B67" s="14">
        <f>IF(Calculator!$C$12=12,Calculator!$C$14,"")</f>
        <v>158</v>
      </c>
      <c r="C67" s="14">
        <f t="shared" si="0"/>
        <v>9656</v>
      </c>
      <c r="D67" s="14">
        <f>IF(Calculator!$C$12=12,ROUNDUP(-PPMT(Calculator!$C$13/12,$A67,144,Calculator!$C$11,0,),0),"")</f>
        <v>87</v>
      </c>
      <c r="E67" s="14">
        <f>IF(Calculator!$C$12=12,ROUNDUP(-IPMT(Calculator!$C$13/12,$A67,144,Calculator!$C$11,0,),0),"")</f>
        <v>71</v>
      </c>
      <c r="F67" s="14">
        <f>IF(Calculator!$C$12=12,C67-D67,"")</f>
        <v>9569</v>
      </c>
      <c r="H67" s="13">
        <v>63</v>
      </c>
      <c r="I67" s="14" t="str">
        <f>IF(Calculator!$C$12=12,"",Calculator!$C$14)</f>
        <v/>
      </c>
      <c r="J67" s="14" t="str">
        <f t="shared" si="1"/>
        <v/>
      </c>
      <c r="K67" s="14" t="str">
        <f>IF(Calculator!$C$12=15,ROUNDUP(-PPMT(Calculator!$C$13/12,$H67,180,Calculator!$C$11,0,),0),"")</f>
        <v/>
      </c>
      <c r="L67" s="14" t="str">
        <f>IF(Calculator!$C$12=15,ROUNDUP(-IPMT(Calculator!$C$13/12,$H67,180,Calculator!$C$11,0,),0),"")</f>
        <v/>
      </c>
      <c r="M67" s="14" t="str">
        <f>IF(Calculator!$C$12=15,J67-K67,"")</f>
        <v/>
      </c>
      <c r="O67" s="13">
        <v>63</v>
      </c>
      <c r="P67" s="14" t="str">
        <f>IF(Calculator!$C$12=20,Calculator!$C$14,"")</f>
        <v/>
      </c>
      <c r="Q67" s="14" t="str">
        <f t="shared" si="2"/>
        <v/>
      </c>
      <c r="R67" s="14" t="str">
        <f>IF(Calculator!$C$12=20,ROUNDUP(-PPMT(Calculator!$C$13/12,$O67,240,Calculator!$C$11,0,),0),"")</f>
        <v/>
      </c>
      <c r="S67" s="14" t="str">
        <f>IF(Calculator!$C$12=20,ROUNDUP(-IPMT(Calculator!$C$13/12,$O67,240,Calculator!$C$11,0,),0),"")</f>
        <v/>
      </c>
      <c r="T67" s="14" t="str">
        <f>IF(Calculator!$C$12=20,Q67-R67,"")</f>
        <v/>
      </c>
    </row>
    <row r="68" spans="1:20" x14ac:dyDescent="0.25">
      <c r="A68" s="13">
        <v>64</v>
      </c>
      <c r="B68" s="14">
        <f>IF(Calculator!$C$12=12,Calculator!$C$14,"")</f>
        <v>158</v>
      </c>
      <c r="C68" s="14">
        <f t="shared" si="0"/>
        <v>9569</v>
      </c>
      <c r="D68" s="14">
        <f>IF(Calculator!$C$12=12,ROUNDUP(-PPMT(Calculator!$C$13/12,$A68,144,Calculator!$C$11,0,),0),"")</f>
        <v>88</v>
      </c>
      <c r="E68" s="14">
        <f>IF(Calculator!$C$12=12,ROUNDUP(-IPMT(Calculator!$C$13/12,$A68,144,Calculator!$C$11,0,),0),"")</f>
        <v>70</v>
      </c>
      <c r="F68" s="14">
        <f>IF(Calculator!$C$12=12,C68-D68,"")</f>
        <v>9481</v>
      </c>
      <c r="H68" s="13">
        <v>64</v>
      </c>
      <c r="I68" s="14" t="str">
        <f>IF(Calculator!$C$12=12,"",Calculator!$C$14)</f>
        <v/>
      </c>
      <c r="J68" s="14" t="str">
        <f t="shared" si="1"/>
        <v/>
      </c>
      <c r="K68" s="14" t="str">
        <f>IF(Calculator!$C$12=15,ROUNDUP(-PPMT(Calculator!$C$13/12,$H68,180,Calculator!$C$11,0,),0),"")</f>
        <v/>
      </c>
      <c r="L68" s="14" t="str">
        <f>IF(Calculator!$C$12=15,ROUNDUP(-IPMT(Calculator!$C$13/12,$H68,180,Calculator!$C$11,0,),0),"")</f>
        <v/>
      </c>
      <c r="M68" s="14" t="str">
        <f>IF(Calculator!$C$12=15,J68-K68,"")</f>
        <v/>
      </c>
      <c r="O68" s="13">
        <v>64</v>
      </c>
      <c r="P68" s="14" t="str">
        <f>IF(Calculator!$C$12=20,Calculator!$C$14,"")</f>
        <v/>
      </c>
      <c r="Q68" s="14" t="str">
        <f t="shared" si="2"/>
        <v/>
      </c>
      <c r="R68" s="14" t="str">
        <f>IF(Calculator!$C$12=20,ROUNDUP(-PPMT(Calculator!$C$13/12,$O68,240,Calculator!$C$11,0,),0),"")</f>
        <v/>
      </c>
      <c r="S68" s="14" t="str">
        <f>IF(Calculator!$C$12=20,ROUNDUP(-IPMT(Calculator!$C$13/12,$O68,240,Calculator!$C$11,0,),0),"")</f>
        <v/>
      </c>
      <c r="T68" s="14" t="str">
        <f>IF(Calculator!$C$12=20,Q68-R68,"")</f>
        <v/>
      </c>
    </row>
    <row r="69" spans="1:20" x14ac:dyDescent="0.25">
      <c r="A69" s="13">
        <v>65</v>
      </c>
      <c r="B69" s="14">
        <f>IF(Calculator!$C$12=12,Calculator!$C$14,"")</f>
        <v>158</v>
      </c>
      <c r="C69" s="14">
        <f t="shared" si="0"/>
        <v>9481</v>
      </c>
      <c r="D69" s="14">
        <f>IF(Calculator!$C$12=12,ROUNDUP(-PPMT(Calculator!$C$13/12,$A69,144,Calculator!$C$11,0,),0),"")</f>
        <v>88</v>
      </c>
      <c r="E69" s="14">
        <f>IF(Calculator!$C$12=12,ROUNDUP(-IPMT(Calculator!$C$13/12,$A69,144,Calculator!$C$11,0,),0),"")</f>
        <v>70</v>
      </c>
      <c r="F69" s="14">
        <f>IF(Calculator!$C$12=12,C69-D69,"")</f>
        <v>9393</v>
      </c>
      <c r="H69" s="13">
        <v>65</v>
      </c>
      <c r="I69" s="14" t="str">
        <f>IF(Calculator!$C$12=12,"",Calculator!$C$14)</f>
        <v/>
      </c>
      <c r="J69" s="14" t="str">
        <f t="shared" si="1"/>
        <v/>
      </c>
      <c r="K69" s="14" t="str">
        <f>IF(Calculator!$C$12=15,ROUNDUP(-PPMT(Calculator!$C$13/12,$H69,180,Calculator!$C$11,0,),0),"")</f>
        <v/>
      </c>
      <c r="L69" s="14" t="str">
        <f>IF(Calculator!$C$12=15,ROUNDUP(-IPMT(Calculator!$C$13/12,$H69,180,Calculator!$C$11,0,),0),"")</f>
        <v/>
      </c>
      <c r="M69" s="14" t="str">
        <f>IF(Calculator!$C$12=15,J69-K69,"")</f>
        <v/>
      </c>
      <c r="O69" s="13">
        <v>65</v>
      </c>
      <c r="P69" s="14" t="str">
        <f>IF(Calculator!$C$12=20,Calculator!$C$14,"")</f>
        <v/>
      </c>
      <c r="Q69" s="14" t="str">
        <f t="shared" si="2"/>
        <v/>
      </c>
      <c r="R69" s="14" t="str">
        <f>IF(Calculator!$C$12=20,ROUNDUP(-PPMT(Calculator!$C$13/12,$O69,240,Calculator!$C$11,0,),0),"")</f>
        <v/>
      </c>
      <c r="S69" s="14" t="str">
        <f>IF(Calculator!$C$12=20,ROUNDUP(-IPMT(Calculator!$C$13/12,$O69,240,Calculator!$C$11,0,),0),"")</f>
        <v/>
      </c>
      <c r="T69" s="14" t="str">
        <f>IF(Calculator!$C$12=20,Q69-R69,"")</f>
        <v/>
      </c>
    </row>
    <row r="70" spans="1:20" x14ac:dyDescent="0.25">
      <c r="A70" s="13">
        <v>66</v>
      </c>
      <c r="B70" s="14">
        <f>IF(Calculator!$C$12=12,Calculator!$C$14,"")</f>
        <v>158</v>
      </c>
      <c r="C70" s="14">
        <f t="shared" si="0"/>
        <v>9393</v>
      </c>
      <c r="D70" s="14">
        <f>IF(Calculator!$C$12=12,ROUNDUP(-PPMT(Calculator!$C$13/12,$A70,144,Calculator!$C$11,0,),0),"")</f>
        <v>89</v>
      </c>
      <c r="E70" s="14">
        <f>IF(Calculator!$C$12=12,ROUNDUP(-IPMT(Calculator!$C$13/12,$A70,144,Calculator!$C$11,0,),0),"")</f>
        <v>69</v>
      </c>
      <c r="F70" s="14">
        <f>IF(Calculator!$C$12=12,C70-D70,"")</f>
        <v>9304</v>
      </c>
      <c r="H70" s="13">
        <v>66</v>
      </c>
      <c r="I70" s="14" t="str">
        <f>IF(Calculator!$C$12=12,"",Calculator!$C$14)</f>
        <v/>
      </c>
      <c r="J70" s="14" t="str">
        <f t="shared" si="1"/>
        <v/>
      </c>
      <c r="K70" s="14" t="str">
        <f>IF(Calculator!$C$12=15,ROUNDUP(-PPMT(Calculator!$C$13/12,$H70,180,Calculator!$C$11,0,),0),"")</f>
        <v/>
      </c>
      <c r="L70" s="14" t="str">
        <f>IF(Calculator!$C$12=15,ROUNDUP(-IPMT(Calculator!$C$13/12,$H70,180,Calculator!$C$11,0,),0),"")</f>
        <v/>
      </c>
      <c r="M70" s="14" t="str">
        <f>IF(Calculator!$C$12=15,J70-K70,"")</f>
        <v/>
      </c>
      <c r="O70" s="13">
        <v>66</v>
      </c>
      <c r="P70" s="14" t="str">
        <f>IF(Calculator!$C$12=20,Calculator!$C$14,"")</f>
        <v/>
      </c>
      <c r="Q70" s="14" t="str">
        <f t="shared" si="2"/>
        <v/>
      </c>
      <c r="R70" s="14" t="str">
        <f>IF(Calculator!$C$12=20,ROUNDUP(-PPMT(Calculator!$C$13/12,$O70,240,Calculator!$C$11,0,),0),"")</f>
        <v/>
      </c>
      <c r="S70" s="14" t="str">
        <f>IF(Calculator!$C$12=20,ROUNDUP(-IPMT(Calculator!$C$13/12,$O70,240,Calculator!$C$11,0,),0),"")</f>
        <v/>
      </c>
      <c r="T70" s="14" t="str">
        <f>IF(Calculator!$C$12=20,Q70-R70,"")</f>
        <v/>
      </c>
    </row>
    <row r="71" spans="1:20" x14ac:dyDescent="0.25">
      <c r="A71" s="13">
        <v>67</v>
      </c>
      <c r="B71" s="14">
        <f>IF(Calculator!$C$12=12,Calculator!$C$14,"")</f>
        <v>158</v>
      </c>
      <c r="C71" s="14">
        <f t="shared" ref="C71:C134" si="3">F70</f>
        <v>9304</v>
      </c>
      <c r="D71" s="14">
        <f>IF(Calculator!$C$12=12,ROUNDUP(-PPMT(Calculator!$C$13/12,$A71,144,Calculator!$C$11,0,),0),"")</f>
        <v>90</v>
      </c>
      <c r="E71" s="14">
        <f>IF(Calculator!$C$12=12,ROUNDUP(-IPMT(Calculator!$C$13/12,$A71,144,Calculator!$C$11,0,),0),"")</f>
        <v>69</v>
      </c>
      <c r="F71" s="14">
        <f>IF(Calculator!$C$12=12,C71-D71,"")</f>
        <v>9214</v>
      </c>
      <c r="H71" s="13">
        <v>67</v>
      </c>
      <c r="I71" s="14" t="str">
        <f>IF(Calculator!$C$12=12,"",Calculator!$C$14)</f>
        <v/>
      </c>
      <c r="J71" s="14" t="str">
        <f t="shared" ref="J71:J134" si="4">M70</f>
        <v/>
      </c>
      <c r="K71" s="14" t="str">
        <f>IF(Calculator!$C$12=15,ROUNDUP(-PPMT(Calculator!$C$13/12,$H71,180,Calculator!$C$11,0,),0),"")</f>
        <v/>
      </c>
      <c r="L71" s="14" t="str">
        <f>IF(Calculator!$C$12=15,ROUNDUP(-IPMT(Calculator!$C$13/12,$H71,180,Calculator!$C$11,0,),0),"")</f>
        <v/>
      </c>
      <c r="M71" s="14" t="str">
        <f>IF(Calculator!$C$12=15,J71-K71,"")</f>
        <v/>
      </c>
      <c r="O71" s="13">
        <v>67</v>
      </c>
      <c r="P71" s="14" t="str">
        <f>IF(Calculator!$C$12=20,Calculator!$C$14,"")</f>
        <v/>
      </c>
      <c r="Q71" s="14" t="str">
        <f t="shared" ref="Q71:Q134" si="5">T70</f>
        <v/>
      </c>
      <c r="R71" s="14" t="str">
        <f>IF(Calculator!$C$12=20,ROUNDUP(-PPMT(Calculator!$C$13/12,$O71,240,Calculator!$C$11,0,),0),"")</f>
        <v/>
      </c>
      <c r="S71" s="14" t="str">
        <f>IF(Calculator!$C$12=20,ROUNDUP(-IPMT(Calculator!$C$13/12,$O71,240,Calculator!$C$11,0,),0),"")</f>
        <v/>
      </c>
      <c r="T71" s="14" t="str">
        <f>IF(Calculator!$C$12=20,Q71-R71,"")</f>
        <v/>
      </c>
    </row>
    <row r="72" spans="1:20" x14ac:dyDescent="0.25">
      <c r="A72" s="13">
        <v>68</v>
      </c>
      <c r="B72" s="14">
        <f>IF(Calculator!$C$12=12,Calculator!$C$14,"")</f>
        <v>158</v>
      </c>
      <c r="C72" s="14">
        <f t="shared" si="3"/>
        <v>9214</v>
      </c>
      <c r="D72" s="14">
        <f>IF(Calculator!$C$12=12,ROUNDUP(-PPMT(Calculator!$C$13/12,$A72,144,Calculator!$C$11,0,),0),"")</f>
        <v>90</v>
      </c>
      <c r="E72" s="14">
        <f>IF(Calculator!$C$12=12,ROUNDUP(-IPMT(Calculator!$C$13/12,$A72,144,Calculator!$C$11,0,),0),"")</f>
        <v>68</v>
      </c>
      <c r="F72" s="14">
        <f>IF(Calculator!$C$12=12,C72-D72,"")</f>
        <v>9124</v>
      </c>
      <c r="H72" s="13">
        <v>68</v>
      </c>
      <c r="I72" s="14" t="str">
        <f>IF(Calculator!$C$12=12,"",Calculator!$C$14)</f>
        <v/>
      </c>
      <c r="J72" s="14" t="str">
        <f t="shared" si="4"/>
        <v/>
      </c>
      <c r="K72" s="14" t="str">
        <f>IF(Calculator!$C$12=15,ROUNDUP(-PPMT(Calculator!$C$13/12,$H72,180,Calculator!$C$11,0,),0),"")</f>
        <v/>
      </c>
      <c r="L72" s="14" t="str">
        <f>IF(Calculator!$C$12=15,ROUNDUP(-IPMT(Calculator!$C$13/12,$H72,180,Calculator!$C$11,0,),0),"")</f>
        <v/>
      </c>
      <c r="M72" s="14" t="str">
        <f>IF(Calculator!$C$12=15,J72-K72,"")</f>
        <v/>
      </c>
      <c r="O72" s="13">
        <v>68</v>
      </c>
      <c r="P72" s="14" t="str">
        <f>IF(Calculator!$C$12=20,Calculator!$C$14,"")</f>
        <v/>
      </c>
      <c r="Q72" s="14" t="str">
        <f t="shared" si="5"/>
        <v/>
      </c>
      <c r="R72" s="14" t="str">
        <f>IF(Calculator!$C$12=20,ROUNDUP(-PPMT(Calculator!$C$13/12,$O72,240,Calculator!$C$11,0,),0),"")</f>
        <v/>
      </c>
      <c r="S72" s="14" t="str">
        <f>IF(Calculator!$C$12=20,ROUNDUP(-IPMT(Calculator!$C$13/12,$O72,240,Calculator!$C$11,0,),0),"")</f>
        <v/>
      </c>
      <c r="T72" s="14" t="str">
        <f>IF(Calculator!$C$12=20,Q72-R72,"")</f>
        <v/>
      </c>
    </row>
    <row r="73" spans="1:20" x14ac:dyDescent="0.25">
      <c r="A73" s="13">
        <v>69</v>
      </c>
      <c r="B73" s="14">
        <f>IF(Calculator!$C$12=12,Calculator!$C$14,"")</f>
        <v>158</v>
      </c>
      <c r="C73" s="14">
        <f t="shared" si="3"/>
        <v>9124</v>
      </c>
      <c r="D73" s="14">
        <f>IF(Calculator!$C$12=12,ROUNDUP(-PPMT(Calculator!$C$13/12,$A73,144,Calculator!$C$11,0,),0),"")</f>
        <v>91</v>
      </c>
      <c r="E73" s="14">
        <f>IF(Calculator!$C$12=12,ROUNDUP(-IPMT(Calculator!$C$13/12,$A73,144,Calculator!$C$11,0,),0),"")</f>
        <v>67</v>
      </c>
      <c r="F73" s="14">
        <f>IF(Calculator!$C$12=12,C73-D73,"")</f>
        <v>9033</v>
      </c>
      <c r="H73" s="13">
        <v>69</v>
      </c>
      <c r="I73" s="14" t="str">
        <f>IF(Calculator!$C$12=12,"",Calculator!$C$14)</f>
        <v/>
      </c>
      <c r="J73" s="14" t="str">
        <f t="shared" si="4"/>
        <v/>
      </c>
      <c r="K73" s="14" t="str">
        <f>IF(Calculator!$C$12=15,ROUNDUP(-PPMT(Calculator!$C$13/12,$H73,180,Calculator!$C$11,0,),0),"")</f>
        <v/>
      </c>
      <c r="L73" s="14" t="str">
        <f>IF(Calculator!$C$12=15,ROUNDUP(-IPMT(Calculator!$C$13/12,$H73,180,Calculator!$C$11,0,),0),"")</f>
        <v/>
      </c>
      <c r="M73" s="14" t="str">
        <f>IF(Calculator!$C$12=15,J73-K73,"")</f>
        <v/>
      </c>
      <c r="O73" s="13">
        <v>69</v>
      </c>
      <c r="P73" s="14" t="str">
        <f>IF(Calculator!$C$12=20,Calculator!$C$14,"")</f>
        <v/>
      </c>
      <c r="Q73" s="14" t="str">
        <f t="shared" si="5"/>
        <v/>
      </c>
      <c r="R73" s="14" t="str">
        <f>IF(Calculator!$C$12=20,ROUNDUP(-PPMT(Calculator!$C$13/12,$O73,240,Calculator!$C$11,0,),0),"")</f>
        <v/>
      </c>
      <c r="S73" s="14" t="str">
        <f>IF(Calculator!$C$12=20,ROUNDUP(-IPMT(Calculator!$C$13/12,$O73,240,Calculator!$C$11,0,),0),"")</f>
        <v/>
      </c>
      <c r="T73" s="14" t="str">
        <f>IF(Calculator!$C$12=20,Q73-R73,"")</f>
        <v/>
      </c>
    </row>
    <row r="74" spans="1:20" x14ac:dyDescent="0.25">
      <c r="A74" s="13">
        <v>70</v>
      </c>
      <c r="B74" s="14">
        <f>IF(Calculator!$C$12=12,Calculator!$C$14,"")</f>
        <v>158</v>
      </c>
      <c r="C74" s="14">
        <f t="shared" si="3"/>
        <v>9033</v>
      </c>
      <c r="D74" s="14">
        <f>IF(Calculator!$C$12=12,ROUNDUP(-PPMT(Calculator!$C$13/12,$A74,144,Calculator!$C$11,0,),0),"")</f>
        <v>92</v>
      </c>
      <c r="E74" s="14">
        <f>IF(Calculator!$C$12=12,ROUNDUP(-IPMT(Calculator!$C$13/12,$A74,144,Calculator!$C$11,0,),0),"")</f>
        <v>67</v>
      </c>
      <c r="F74" s="14">
        <f>IF(Calculator!$C$12=12,C74-D74,"")</f>
        <v>8941</v>
      </c>
      <c r="H74" s="13">
        <v>70</v>
      </c>
      <c r="I74" s="14" t="str">
        <f>IF(Calculator!$C$12=12,"",Calculator!$C$14)</f>
        <v/>
      </c>
      <c r="J74" s="14" t="str">
        <f t="shared" si="4"/>
        <v/>
      </c>
      <c r="K74" s="14" t="str">
        <f>IF(Calculator!$C$12=15,ROUNDUP(-PPMT(Calculator!$C$13/12,$H74,180,Calculator!$C$11,0,),0),"")</f>
        <v/>
      </c>
      <c r="L74" s="14" t="str">
        <f>IF(Calculator!$C$12=15,ROUNDUP(-IPMT(Calculator!$C$13/12,$H74,180,Calculator!$C$11,0,),0),"")</f>
        <v/>
      </c>
      <c r="M74" s="14" t="str">
        <f>IF(Calculator!$C$12=15,J74-K74,"")</f>
        <v/>
      </c>
      <c r="O74" s="13">
        <v>70</v>
      </c>
      <c r="P74" s="14" t="str">
        <f>IF(Calculator!$C$12=20,Calculator!$C$14,"")</f>
        <v/>
      </c>
      <c r="Q74" s="14" t="str">
        <f t="shared" si="5"/>
        <v/>
      </c>
      <c r="R74" s="14" t="str">
        <f>IF(Calculator!$C$12=20,ROUNDUP(-PPMT(Calculator!$C$13/12,$O74,240,Calculator!$C$11,0,),0),"")</f>
        <v/>
      </c>
      <c r="S74" s="14" t="str">
        <f>IF(Calculator!$C$12=20,ROUNDUP(-IPMT(Calculator!$C$13/12,$O74,240,Calculator!$C$11,0,),0),"")</f>
        <v/>
      </c>
      <c r="T74" s="14" t="str">
        <f>IF(Calculator!$C$12=20,Q74-R74,"")</f>
        <v/>
      </c>
    </row>
    <row r="75" spans="1:20" x14ac:dyDescent="0.25">
      <c r="A75" s="13">
        <v>71</v>
      </c>
      <c r="B75" s="14">
        <f>IF(Calculator!$C$12=12,Calculator!$C$14,"")</f>
        <v>158</v>
      </c>
      <c r="C75" s="14">
        <f t="shared" si="3"/>
        <v>8941</v>
      </c>
      <c r="D75" s="14">
        <f>IF(Calculator!$C$12=12,ROUNDUP(-PPMT(Calculator!$C$13/12,$A75,144,Calculator!$C$11,0,),0),"")</f>
        <v>92</v>
      </c>
      <c r="E75" s="14">
        <f>IF(Calculator!$C$12=12,ROUNDUP(-IPMT(Calculator!$C$13/12,$A75,144,Calculator!$C$11,0,),0),"")</f>
        <v>66</v>
      </c>
      <c r="F75" s="14">
        <f>IF(Calculator!$C$12=12,C75-D75,"")</f>
        <v>8849</v>
      </c>
      <c r="H75" s="13">
        <v>71</v>
      </c>
      <c r="I75" s="14" t="str">
        <f>IF(Calculator!$C$12=12,"",Calculator!$C$14)</f>
        <v/>
      </c>
      <c r="J75" s="14" t="str">
        <f t="shared" si="4"/>
        <v/>
      </c>
      <c r="K75" s="14" t="str">
        <f>IF(Calculator!$C$12=15,ROUNDUP(-PPMT(Calculator!$C$13/12,$H75,180,Calculator!$C$11,0,),0),"")</f>
        <v/>
      </c>
      <c r="L75" s="14" t="str">
        <f>IF(Calculator!$C$12=15,ROUNDUP(-IPMT(Calculator!$C$13/12,$H75,180,Calculator!$C$11,0,),0),"")</f>
        <v/>
      </c>
      <c r="M75" s="14" t="str">
        <f>IF(Calculator!$C$12=15,J75-K75,"")</f>
        <v/>
      </c>
      <c r="O75" s="13">
        <v>71</v>
      </c>
      <c r="P75" s="14" t="str">
        <f>IF(Calculator!$C$12=20,Calculator!$C$14,"")</f>
        <v/>
      </c>
      <c r="Q75" s="14" t="str">
        <f t="shared" si="5"/>
        <v/>
      </c>
      <c r="R75" s="14" t="str">
        <f>IF(Calculator!$C$12=20,ROUNDUP(-PPMT(Calculator!$C$13/12,$O75,240,Calculator!$C$11,0,),0),"")</f>
        <v/>
      </c>
      <c r="S75" s="14" t="str">
        <f>IF(Calculator!$C$12=20,ROUNDUP(-IPMT(Calculator!$C$13/12,$O75,240,Calculator!$C$11,0,),0),"")</f>
        <v/>
      </c>
      <c r="T75" s="14" t="str">
        <f>IF(Calculator!$C$12=20,Q75-R75,"")</f>
        <v/>
      </c>
    </row>
    <row r="76" spans="1:20" x14ac:dyDescent="0.25">
      <c r="A76" s="13">
        <v>72</v>
      </c>
      <c r="B76" s="14">
        <f>IF(Calculator!$C$12=12,Calculator!$C$14,"")</f>
        <v>158</v>
      </c>
      <c r="C76" s="14">
        <f t="shared" si="3"/>
        <v>8849</v>
      </c>
      <c r="D76" s="14">
        <f>IF(Calculator!$C$12=12,ROUNDUP(-PPMT(Calculator!$C$13/12,$A76,144,Calculator!$C$11,0,),0),"")</f>
        <v>93</v>
      </c>
      <c r="E76" s="14">
        <f>IF(Calculator!$C$12=12,ROUNDUP(-IPMT(Calculator!$C$13/12,$A76,144,Calculator!$C$11,0,),0),"")</f>
        <v>65</v>
      </c>
      <c r="F76" s="14">
        <f>IF(Calculator!$C$12=12,C76-D76,"")</f>
        <v>8756</v>
      </c>
      <c r="H76" s="13">
        <v>72</v>
      </c>
      <c r="I76" s="14" t="str">
        <f>IF(Calculator!$C$12=12,"",Calculator!$C$14)</f>
        <v/>
      </c>
      <c r="J76" s="14" t="str">
        <f t="shared" si="4"/>
        <v/>
      </c>
      <c r="K76" s="14" t="str">
        <f>IF(Calculator!$C$12=15,ROUNDUP(-PPMT(Calculator!$C$13/12,$H76,180,Calculator!$C$11,0,),0),"")</f>
        <v/>
      </c>
      <c r="L76" s="14" t="str">
        <f>IF(Calculator!$C$12=15,ROUNDUP(-IPMT(Calculator!$C$13/12,$H76,180,Calculator!$C$11,0,),0),"")</f>
        <v/>
      </c>
      <c r="M76" s="14" t="str">
        <f>IF(Calculator!$C$12=15,J76-K76,"")</f>
        <v/>
      </c>
      <c r="O76" s="13">
        <v>72</v>
      </c>
      <c r="P76" s="14" t="str">
        <f>IF(Calculator!$C$12=20,Calculator!$C$14,"")</f>
        <v/>
      </c>
      <c r="Q76" s="14" t="str">
        <f t="shared" si="5"/>
        <v/>
      </c>
      <c r="R76" s="14" t="str">
        <f>IF(Calculator!$C$12=20,ROUNDUP(-PPMT(Calculator!$C$13/12,$O76,240,Calculator!$C$11,0,),0),"")</f>
        <v/>
      </c>
      <c r="S76" s="14" t="str">
        <f>IF(Calculator!$C$12=20,ROUNDUP(-IPMT(Calculator!$C$13/12,$O76,240,Calculator!$C$11,0,),0),"")</f>
        <v/>
      </c>
      <c r="T76" s="14" t="str">
        <f>IF(Calculator!$C$12=20,Q76-R76,"")</f>
        <v/>
      </c>
    </row>
    <row r="77" spans="1:20" x14ac:dyDescent="0.25">
      <c r="A77" s="13">
        <v>73</v>
      </c>
      <c r="B77" s="14">
        <f>IF(Calculator!$C$12=12,Calculator!$C$14,"")</f>
        <v>158</v>
      </c>
      <c r="C77" s="14">
        <f t="shared" si="3"/>
        <v>8756</v>
      </c>
      <c r="D77" s="14">
        <f>IF(Calculator!$C$12=12,ROUNDUP(-PPMT(Calculator!$C$13/12,$A77,144,Calculator!$C$11,0,),0),"")</f>
        <v>94</v>
      </c>
      <c r="E77" s="14">
        <f>IF(Calculator!$C$12=12,ROUNDUP(-IPMT(Calculator!$C$13/12,$A77,144,Calculator!$C$11,0,),0),"")</f>
        <v>65</v>
      </c>
      <c r="F77" s="14">
        <f>IF(Calculator!$C$12=12,C77-D77,"")</f>
        <v>8662</v>
      </c>
      <c r="H77" s="13">
        <v>73</v>
      </c>
      <c r="I77" s="14" t="str">
        <f>IF(Calculator!$C$12=12,"",Calculator!$C$14)</f>
        <v/>
      </c>
      <c r="J77" s="14" t="str">
        <f t="shared" si="4"/>
        <v/>
      </c>
      <c r="K77" s="14" t="str">
        <f>IF(Calculator!$C$12=15,ROUNDUP(-PPMT(Calculator!$C$13/12,$H77,180,Calculator!$C$11,0,),0),"")</f>
        <v/>
      </c>
      <c r="L77" s="14" t="str">
        <f>IF(Calculator!$C$12=15,ROUNDUP(-IPMT(Calculator!$C$13/12,$H77,180,Calculator!$C$11,0,),0),"")</f>
        <v/>
      </c>
      <c r="M77" s="14" t="str">
        <f>IF(Calculator!$C$12=15,J77-K77,"")</f>
        <v/>
      </c>
      <c r="O77" s="13">
        <v>73</v>
      </c>
      <c r="P77" s="14" t="str">
        <f>IF(Calculator!$C$12=20,Calculator!$C$14,"")</f>
        <v/>
      </c>
      <c r="Q77" s="14" t="str">
        <f t="shared" si="5"/>
        <v/>
      </c>
      <c r="R77" s="14" t="str">
        <f>IF(Calculator!$C$12=20,ROUNDUP(-PPMT(Calculator!$C$13/12,$O77,240,Calculator!$C$11,0,),0),"")</f>
        <v/>
      </c>
      <c r="S77" s="14" t="str">
        <f>IF(Calculator!$C$12=20,ROUNDUP(-IPMT(Calculator!$C$13/12,$O77,240,Calculator!$C$11,0,),0),"")</f>
        <v/>
      </c>
      <c r="T77" s="14" t="str">
        <f>IF(Calculator!$C$12=20,Q77-R77,"")</f>
        <v/>
      </c>
    </row>
    <row r="78" spans="1:20" x14ac:dyDescent="0.25">
      <c r="A78" s="13">
        <v>74</v>
      </c>
      <c r="B78" s="14">
        <f>IF(Calculator!$C$12=12,Calculator!$C$14,"")</f>
        <v>158</v>
      </c>
      <c r="C78" s="14">
        <f t="shared" si="3"/>
        <v>8662</v>
      </c>
      <c r="D78" s="14">
        <f>IF(Calculator!$C$12=12,ROUNDUP(-PPMT(Calculator!$C$13/12,$A78,144,Calculator!$C$11,0,),0),"")</f>
        <v>94</v>
      </c>
      <c r="E78" s="14">
        <f>IF(Calculator!$C$12=12,ROUNDUP(-IPMT(Calculator!$C$13/12,$A78,144,Calculator!$C$11,0,),0),"")</f>
        <v>64</v>
      </c>
      <c r="F78" s="14">
        <f>IF(Calculator!$C$12=12,C78-D78,"")</f>
        <v>8568</v>
      </c>
      <c r="H78" s="13">
        <v>74</v>
      </c>
      <c r="I78" s="14" t="str">
        <f>IF(Calculator!$C$12=12,"",Calculator!$C$14)</f>
        <v/>
      </c>
      <c r="J78" s="14" t="str">
        <f t="shared" si="4"/>
        <v/>
      </c>
      <c r="K78" s="14" t="str">
        <f>IF(Calculator!$C$12=15,ROUNDUP(-PPMT(Calculator!$C$13/12,$H78,180,Calculator!$C$11,0,),0),"")</f>
        <v/>
      </c>
      <c r="L78" s="14" t="str">
        <f>IF(Calculator!$C$12=15,ROUNDUP(-IPMT(Calculator!$C$13/12,$H78,180,Calculator!$C$11,0,),0),"")</f>
        <v/>
      </c>
      <c r="M78" s="14" t="str">
        <f>IF(Calculator!$C$12=15,J78-K78,"")</f>
        <v/>
      </c>
      <c r="O78" s="13">
        <v>74</v>
      </c>
      <c r="P78" s="14" t="str">
        <f>IF(Calculator!$C$12=20,Calculator!$C$14,"")</f>
        <v/>
      </c>
      <c r="Q78" s="14" t="str">
        <f t="shared" si="5"/>
        <v/>
      </c>
      <c r="R78" s="14" t="str">
        <f>IF(Calculator!$C$12=20,ROUNDUP(-PPMT(Calculator!$C$13/12,$O78,240,Calculator!$C$11,0,),0),"")</f>
        <v/>
      </c>
      <c r="S78" s="14" t="str">
        <f>IF(Calculator!$C$12=20,ROUNDUP(-IPMT(Calculator!$C$13/12,$O78,240,Calculator!$C$11,0,),0),"")</f>
        <v/>
      </c>
      <c r="T78" s="14" t="str">
        <f>IF(Calculator!$C$12=20,Q78-R78,"")</f>
        <v/>
      </c>
    </row>
    <row r="79" spans="1:20" x14ac:dyDescent="0.25">
      <c r="A79" s="13">
        <v>75</v>
      </c>
      <c r="B79" s="14">
        <f>IF(Calculator!$C$12=12,Calculator!$C$14,"")</f>
        <v>158</v>
      </c>
      <c r="C79" s="14">
        <f t="shared" si="3"/>
        <v>8568</v>
      </c>
      <c r="D79" s="14">
        <f>IF(Calculator!$C$12=12,ROUNDUP(-PPMT(Calculator!$C$13/12,$A79,144,Calculator!$C$11,0,),0),"")</f>
        <v>95</v>
      </c>
      <c r="E79" s="14">
        <f>IF(Calculator!$C$12=12,ROUNDUP(-IPMT(Calculator!$C$13/12,$A79,144,Calculator!$C$11,0,),0),"")</f>
        <v>63</v>
      </c>
      <c r="F79" s="14">
        <f>IF(Calculator!$C$12=12,C79-D79,"")</f>
        <v>8473</v>
      </c>
      <c r="H79" s="13">
        <v>75</v>
      </c>
      <c r="I79" s="14" t="str">
        <f>IF(Calculator!$C$12=12,"",Calculator!$C$14)</f>
        <v/>
      </c>
      <c r="J79" s="14" t="str">
        <f t="shared" si="4"/>
        <v/>
      </c>
      <c r="K79" s="14" t="str">
        <f>IF(Calculator!$C$12=15,ROUNDUP(-PPMT(Calculator!$C$13/12,$H79,180,Calculator!$C$11,0,),0),"")</f>
        <v/>
      </c>
      <c r="L79" s="14" t="str">
        <f>IF(Calculator!$C$12=15,ROUNDUP(-IPMT(Calculator!$C$13/12,$H79,180,Calculator!$C$11,0,),0),"")</f>
        <v/>
      </c>
      <c r="M79" s="14" t="str">
        <f>IF(Calculator!$C$12=15,J79-K79,"")</f>
        <v/>
      </c>
      <c r="O79" s="13">
        <v>75</v>
      </c>
      <c r="P79" s="14" t="str">
        <f>IF(Calculator!$C$12=20,Calculator!$C$14,"")</f>
        <v/>
      </c>
      <c r="Q79" s="14" t="str">
        <f t="shared" si="5"/>
        <v/>
      </c>
      <c r="R79" s="14" t="str">
        <f>IF(Calculator!$C$12=20,ROUNDUP(-PPMT(Calculator!$C$13/12,$O79,240,Calculator!$C$11,0,),0),"")</f>
        <v/>
      </c>
      <c r="S79" s="14" t="str">
        <f>IF(Calculator!$C$12=20,ROUNDUP(-IPMT(Calculator!$C$13/12,$O79,240,Calculator!$C$11,0,),0),"")</f>
        <v/>
      </c>
      <c r="T79" s="14" t="str">
        <f>IF(Calculator!$C$12=20,Q79-R79,"")</f>
        <v/>
      </c>
    </row>
    <row r="80" spans="1:20" x14ac:dyDescent="0.25">
      <c r="A80" s="13">
        <v>76</v>
      </c>
      <c r="B80" s="14">
        <f>IF(Calculator!$C$12=12,Calculator!$C$14,"")</f>
        <v>158</v>
      </c>
      <c r="C80" s="14">
        <f t="shared" si="3"/>
        <v>8473</v>
      </c>
      <c r="D80" s="14">
        <f>IF(Calculator!$C$12=12,ROUNDUP(-PPMT(Calculator!$C$13/12,$A80,144,Calculator!$C$11,0,),0),"")</f>
        <v>96</v>
      </c>
      <c r="E80" s="14">
        <f>IF(Calculator!$C$12=12,ROUNDUP(-IPMT(Calculator!$C$13/12,$A80,144,Calculator!$C$11,0,),0),"")</f>
        <v>63</v>
      </c>
      <c r="F80" s="14">
        <f>IF(Calculator!$C$12=12,C80-D80,"")</f>
        <v>8377</v>
      </c>
      <c r="H80" s="13">
        <v>76</v>
      </c>
      <c r="I80" s="14" t="str">
        <f>IF(Calculator!$C$12=12,"",Calculator!$C$14)</f>
        <v/>
      </c>
      <c r="J80" s="14" t="str">
        <f t="shared" si="4"/>
        <v/>
      </c>
      <c r="K80" s="14" t="str">
        <f>IF(Calculator!$C$12=15,ROUNDUP(-PPMT(Calculator!$C$13/12,$H80,180,Calculator!$C$11,0,),0),"")</f>
        <v/>
      </c>
      <c r="L80" s="14" t="str">
        <f>IF(Calculator!$C$12=15,ROUNDUP(-IPMT(Calculator!$C$13/12,$H80,180,Calculator!$C$11,0,),0),"")</f>
        <v/>
      </c>
      <c r="M80" s="14" t="str">
        <f>IF(Calculator!$C$12=15,J80-K80,"")</f>
        <v/>
      </c>
      <c r="O80" s="13">
        <v>76</v>
      </c>
      <c r="P80" s="14" t="str">
        <f>IF(Calculator!$C$12=20,Calculator!$C$14,"")</f>
        <v/>
      </c>
      <c r="Q80" s="14" t="str">
        <f t="shared" si="5"/>
        <v/>
      </c>
      <c r="R80" s="14" t="str">
        <f>IF(Calculator!$C$12=20,ROUNDUP(-PPMT(Calculator!$C$13/12,$O80,240,Calculator!$C$11,0,),0),"")</f>
        <v/>
      </c>
      <c r="S80" s="14" t="str">
        <f>IF(Calculator!$C$12=20,ROUNDUP(-IPMT(Calculator!$C$13/12,$O80,240,Calculator!$C$11,0,),0),"")</f>
        <v/>
      </c>
      <c r="T80" s="14" t="str">
        <f>IF(Calculator!$C$12=20,Q80-R80,"")</f>
        <v/>
      </c>
    </row>
    <row r="81" spans="1:20" x14ac:dyDescent="0.25">
      <c r="A81" s="13">
        <v>77</v>
      </c>
      <c r="B81" s="14">
        <f>IF(Calculator!$C$12=12,Calculator!$C$14,"")</f>
        <v>158</v>
      </c>
      <c r="C81" s="14">
        <f t="shared" si="3"/>
        <v>8377</v>
      </c>
      <c r="D81" s="14">
        <f>IF(Calculator!$C$12=12,ROUNDUP(-PPMT(Calculator!$C$13/12,$A81,144,Calculator!$C$11,0,),0),"")</f>
        <v>97</v>
      </c>
      <c r="E81" s="14">
        <f>IF(Calculator!$C$12=12,ROUNDUP(-IPMT(Calculator!$C$13/12,$A81,144,Calculator!$C$11,0,),0),"")</f>
        <v>62</v>
      </c>
      <c r="F81" s="14">
        <f>IF(Calculator!$C$12=12,C81-D81,"")</f>
        <v>8280</v>
      </c>
      <c r="H81" s="13">
        <v>77</v>
      </c>
      <c r="I81" s="14" t="str">
        <f>IF(Calculator!$C$12=12,"",Calculator!$C$14)</f>
        <v/>
      </c>
      <c r="J81" s="14" t="str">
        <f t="shared" si="4"/>
        <v/>
      </c>
      <c r="K81" s="14" t="str">
        <f>IF(Calculator!$C$12=15,ROUNDUP(-PPMT(Calculator!$C$13/12,$H81,180,Calculator!$C$11,0,),0),"")</f>
        <v/>
      </c>
      <c r="L81" s="14" t="str">
        <f>IF(Calculator!$C$12=15,ROUNDUP(-IPMT(Calculator!$C$13/12,$H81,180,Calculator!$C$11,0,),0),"")</f>
        <v/>
      </c>
      <c r="M81" s="14" t="str">
        <f>IF(Calculator!$C$12=15,J81-K81,"")</f>
        <v/>
      </c>
      <c r="O81" s="13">
        <v>77</v>
      </c>
      <c r="P81" s="14" t="str">
        <f>IF(Calculator!$C$12=20,Calculator!$C$14,"")</f>
        <v/>
      </c>
      <c r="Q81" s="14" t="str">
        <f t="shared" si="5"/>
        <v/>
      </c>
      <c r="R81" s="14" t="str">
        <f>IF(Calculator!$C$12=20,ROUNDUP(-PPMT(Calculator!$C$13/12,$O81,240,Calculator!$C$11,0,),0),"")</f>
        <v/>
      </c>
      <c r="S81" s="14" t="str">
        <f>IF(Calculator!$C$12=20,ROUNDUP(-IPMT(Calculator!$C$13/12,$O81,240,Calculator!$C$11,0,),0),"")</f>
        <v/>
      </c>
      <c r="T81" s="14" t="str">
        <f>IF(Calculator!$C$12=20,Q81-R81,"")</f>
        <v/>
      </c>
    </row>
    <row r="82" spans="1:20" x14ac:dyDescent="0.25">
      <c r="A82" s="13">
        <v>78</v>
      </c>
      <c r="B82" s="14">
        <f>IF(Calculator!$C$12=12,Calculator!$C$14,"")</f>
        <v>158</v>
      </c>
      <c r="C82" s="14">
        <f t="shared" si="3"/>
        <v>8280</v>
      </c>
      <c r="D82" s="14">
        <f>IF(Calculator!$C$12=12,ROUNDUP(-PPMT(Calculator!$C$13/12,$A82,144,Calculator!$C$11,0,),0),"")</f>
        <v>97</v>
      </c>
      <c r="E82" s="14">
        <f>IF(Calculator!$C$12=12,ROUNDUP(-IPMT(Calculator!$C$13/12,$A82,144,Calculator!$C$11,0,),0),"")</f>
        <v>61</v>
      </c>
      <c r="F82" s="14">
        <f>IF(Calculator!$C$12=12,C82-D82,"")</f>
        <v>8183</v>
      </c>
      <c r="H82" s="13">
        <v>78</v>
      </c>
      <c r="I82" s="14" t="str">
        <f>IF(Calculator!$C$12=12,"",Calculator!$C$14)</f>
        <v/>
      </c>
      <c r="J82" s="14" t="str">
        <f t="shared" si="4"/>
        <v/>
      </c>
      <c r="K82" s="14" t="str">
        <f>IF(Calculator!$C$12=15,ROUNDUP(-PPMT(Calculator!$C$13/12,$H82,180,Calculator!$C$11,0,),0),"")</f>
        <v/>
      </c>
      <c r="L82" s="14" t="str">
        <f>IF(Calculator!$C$12=15,ROUNDUP(-IPMT(Calculator!$C$13/12,$H82,180,Calculator!$C$11,0,),0),"")</f>
        <v/>
      </c>
      <c r="M82" s="14" t="str">
        <f>IF(Calculator!$C$12=15,J82-K82,"")</f>
        <v/>
      </c>
      <c r="O82" s="13">
        <v>78</v>
      </c>
      <c r="P82" s="14" t="str">
        <f>IF(Calculator!$C$12=20,Calculator!$C$14,"")</f>
        <v/>
      </c>
      <c r="Q82" s="14" t="str">
        <f t="shared" si="5"/>
        <v/>
      </c>
      <c r="R82" s="14" t="str">
        <f>IF(Calculator!$C$12=20,ROUNDUP(-PPMT(Calculator!$C$13/12,$O82,240,Calculator!$C$11,0,),0),"")</f>
        <v/>
      </c>
      <c r="S82" s="14" t="str">
        <f>IF(Calculator!$C$12=20,ROUNDUP(-IPMT(Calculator!$C$13/12,$O82,240,Calculator!$C$11,0,),0),"")</f>
        <v/>
      </c>
      <c r="T82" s="14" t="str">
        <f>IF(Calculator!$C$12=20,Q82-R82,"")</f>
        <v/>
      </c>
    </row>
    <row r="83" spans="1:20" x14ac:dyDescent="0.25">
      <c r="A83" s="13">
        <v>79</v>
      </c>
      <c r="B83" s="14">
        <f>IF(Calculator!$C$12=12,Calculator!$C$14,"")</f>
        <v>158</v>
      </c>
      <c r="C83" s="14">
        <f t="shared" si="3"/>
        <v>8183</v>
      </c>
      <c r="D83" s="14">
        <f>IF(Calculator!$C$12=12,ROUNDUP(-PPMT(Calculator!$C$13/12,$A83,144,Calculator!$C$11,0,),0),"")</f>
        <v>98</v>
      </c>
      <c r="E83" s="14">
        <f>IF(Calculator!$C$12=12,ROUNDUP(-IPMT(Calculator!$C$13/12,$A83,144,Calculator!$C$11,0,),0),"")</f>
        <v>60</v>
      </c>
      <c r="F83" s="14">
        <f>IF(Calculator!$C$12=12,C83-D83,"")</f>
        <v>8085</v>
      </c>
      <c r="H83" s="13">
        <v>79</v>
      </c>
      <c r="I83" s="14" t="str">
        <f>IF(Calculator!$C$12=12,"",Calculator!$C$14)</f>
        <v/>
      </c>
      <c r="J83" s="14" t="str">
        <f t="shared" si="4"/>
        <v/>
      </c>
      <c r="K83" s="14" t="str">
        <f>IF(Calculator!$C$12=15,ROUNDUP(-PPMT(Calculator!$C$13/12,$H83,180,Calculator!$C$11,0,),0),"")</f>
        <v/>
      </c>
      <c r="L83" s="14" t="str">
        <f>IF(Calculator!$C$12=15,ROUNDUP(-IPMT(Calculator!$C$13/12,$H83,180,Calculator!$C$11,0,),0),"")</f>
        <v/>
      </c>
      <c r="M83" s="14" t="str">
        <f>IF(Calculator!$C$12=15,J83-K83,"")</f>
        <v/>
      </c>
      <c r="O83" s="13">
        <v>79</v>
      </c>
      <c r="P83" s="14" t="str">
        <f>IF(Calculator!$C$12=20,Calculator!$C$14,"")</f>
        <v/>
      </c>
      <c r="Q83" s="14" t="str">
        <f t="shared" si="5"/>
        <v/>
      </c>
      <c r="R83" s="14" t="str">
        <f>IF(Calculator!$C$12=20,ROUNDUP(-PPMT(Calculator!$C$13/12,$O83,240,Calculator!$C$11,0,),0),"")</f>
        <v/>
      </c>
      <c r="S83" s="14" t="str">
        <f>IF(Calculator!$C$12=20,ROUNDUP(-IPMT(Calculator!$C$13/12,$O83,240,Calculator!$C$11,0,),0),"")</f>
        <v/>
      </c>
      <c r="T83" s="14" t="str">
        <f>IF(Calculator!$C$12=20,Q83-R83,"")</f>
        <v/>
      </c>
    </row>
    <row r="84" spans="1:20" x14ac:dyDescent="0.25">
      <c r="A84" s="13">
        <v>80</v>
      </c>
      <c r="B84" s="14">
        <f>IF(Calculator!$C$12=12,Calculator!$C$14,"")</f>
        <v>158</v>
      </c>
      <c r="C84" s="14">
        <f t="shared" si="3"/>
        <v>8085</v>
      </c>
      <c r="D84" s="14">
        <f>IF(Calculator!$C$12=12,ROUNDUP(-PPMT(Calculator!$C$13/12,$A84,144,Calculator!$C$11,0,),0),"")</f>
        <v>99</v>
      </c>
      <c r="E84" s="14">
        <f>IF(Calculator!$C$12=12,ROUNDUP(-IPMT(Calculator!$C$13/12,$A84,144,Calculator!$C$11,0,),0),"")</f>
        <v>60</v>
      </c>
      <c r="F84" s="14">
        <f>IF(Calculator!$C$12=12,C84-D84,"")</f>
        <v>7986</v>
      </c>
      <c r="H84" s="13">
        <v>80</v>
      </c>
      <c r="I84" s="14" t="str">
        <f>IF(Calculator!$C$12=12,"",Calculator!$C$14)</f>
        <v/>
      </c>
      <c r="J84" s="14" t="str">
        <f t="shared" si="4"/>
        <v/>
      </c>
      <c r="K84" s="14" t="str">
        <f>IF(Calculator!$C$12=15,ROUNDUP(-PPMT(Calculator!$C$13/12,$H84,180,Calculator!$C$11,0,),0),"")</f>
        <v/>
      </c>
      <c r="L84" s="14" t="str">
        <f>IF(Calculator!$C$12=15,ROUNDUP(-IPMT(Calculator!$C$13/12,$H84,180,Calculator!$C$11,0,),0),"")</f>
        <v/>
      </c>
      <c r="M84" s="14" t="str">
        <f>IF(Calculator!$C$12=15,J84-K84,"")</f>
        <v/>
      </c>
      <c r="O84" s="13">
        <v>80</v>
      </c>
      <c r="P84" s="14" t="str">
        <f>IF(Calculator!$C$12=20,Calculator!$C$14,"")</f>
        <v/>
      </c>
      <c r="Q84" s="14" t="str">
        <f t="shared" si="5"/>
        <v/>
      </c>
      <c r="R84" s="14" t="str">
        <f>IF(Calculator!$C$12=20,ROUNDUP(-PPMT(Calculator!$C$13/12,$O84,240,Calculator!$C$11,0,),0),"")</f>
        <v/>
      </c>
      <c r="S84" s="14" t="str">
        <f>IF(Calculator!$C$12=20,ROUNDUP(-IPMT(Calculator!$C$13/12,$O84,240,Calculator!$C$11,0,),0),"")</f>
        <v/>
      </c>
      <c r="T84" s="14" t="str">
        <f>IF(Calculator!$C$12=20,Q84-R84,"")</f>
        <v/>
      </c>
    </row>
    <row r="85" spans="1:20" x14ac:dyDescent="0.25">
      <c r="A85" s="13">
        <v>81</v>
      </c>
      <c r="B85" s="14">
        <f>IF(Calculator!$C$12=12,Calculator!$C$14,"")</f>
        <v>158</v>
      </c>
      <c r="C85" s="14">
        <f t="shared" si="3"/>
        <v>7986</v>
      </c>
      <c r="D85" s="14">
        <f>IF(Calculator!$C$12=12,ROUNDUP(-PPMT(Calculator!$C$13/12,$A85,144,Calculator!$C$11,0,),0),"")</f>
        <v>99</v>
      </c>
      <c r="E85" s="14">
        <f>IF(Calculator!$C$12=12,ROUNDUP(-IPMT(Calculator!$C$13/12,$A85,144,Calculator!$C$11,0,),0),"")</f>
        <v>59</v>
      </c>
      <c r="F85" s="14">
        <f>IF(Calculator!$C$12=12,C85-D85,"")</f>
        <v>7887</v>
      </c>
      <c r="H85" s="13">
        <v>81</v>
      </c>
      <c r="I85" s="14" t="str">
        <f>IF(Calculator!$C$12=12,"",Calculator!$C$14)</f>
        <v/>
      </c>
      <c r="J85" s="14" t="str">
        <f t="shared" si="4"/>
        <v/>
      </c>
      <c r="K85" s="14" t="str">
        <f>IF(Calculator!$C$12=15,ROUNDUP(-PPMT(Calculator!$C$13/12,$H85,180,Calculator!$C$11,0,),0),"")</f>
        <v/>
      </c>
      <c r="L85" s="14" t="str">
        <f>IF(Calculator!$C$12=15,ROUNDUP(-IPMT(Calculator!$C$13/12,$H85,180,Calculator!$C$11,0,),0),"")</f>
        <v/>
      </c>
      <c r="M85" s="14" t="str">
        <f>IF(Calculator!$C$12=15,J85-K85,"")</f>
        <v/>
      </c>
      <c r="O85" s="13">
        <v>81</v>
      </c>
      <c r="P85" s="14" t="str">
        <f>IF(Calculator!$C$12=20,Calculator!$C$14,"")</f>
        <v/>
      </c>
      <c r="Q85" s="14" t="str">
        <f t="shared" si="5"/>
        <v/>
      </c>
      <c r="R85" s="14" t="str">
        <f>IF(Calculator!$C$12=20,ROUNDUP(-PPMT(Calculator!$C$13/12,$O85,240,Calculator!$C$11,0,),0),"")</f>
        <v/>
      </c>
      <c r="S85" s="14" t="str">
        <f>IF(Calculator!$C$12=20,ROUNDUP(-IPMT(Calculator!$C$13/12,$O85,240,Calculator!$C$11,0,),0),"")</f>
        <v/>
      </c>
      <c r="T85" s="14" t="str">
        <f>IF(Calculator!$C$12=20,Q85-R85,"")</f>
        <v/>
      </c>
    </row>
    <row r="86" spans="1:20" x14ac:dyDescent="0.25">
      <c r="A86" s="13">
        <v>82</v>
      </c>
      <c r="B86" s="14">
        <f>IF(Calculator!$C$12=12,Calculator!$C$14,"")</f>
        <v>158</v>
      </c>
      <c r="C86" s="14">
        <f t="shared" si="3"/>
        <v>7887</v>
      </c>
      <c r="D86" s="14">
        <f>IF(Calculator!$C$12=12,ROUNDUP(-PPMT(Calculator!$C$13/12,$A86,144,Calculator!$C$11,0,),0),"")</f>
        <v>100</v>
      </c>
      <c r="E86" s="14">
        <f>IF(Calculator!$C$12=12,ROUNDUP(-IPMT(Calculator!$C$13/12,$A86,144,Calculator!$C$11,0,),0),"")</f>
        <v>58</v>
      </c>
      <c r="F86" s="14">
        <f>IF(Calculator!$C$12=12,C86-D86,"")</f>
        <v>7787</v>
      </c>
      <c r="H86" s="13">
        <v>82</v>
      </c>
      <c r="I86" s="14" t="str">
        <f>IF(Calculator!$C$12=12,"",Calculator!$C$14)</f>
        <v/>
      </c>
      <c r="J86" s="14" t="str">
        <f t="shared" si="4"/>
        <v/>
      </c>
      <c r="K86" s="14" t="str">
        <f>IF(Calculator!$C$12=15,ROUNDUP(-PPMT(Calculator!$C$13/12,$H86,180,Calculator!$C$11,0,),0),"")</f>
        <v/>
      </c>
      <c r="L86" s="14" t="str">
        <f>IF(Calculator!$C$12=15,ROUNDUP(-IPMT(Calculator!$C$13/12,$H86,180,Calculator!$C$11,0,),0),"")</f>
        <v/>
      </c>
      <c r="M86" s="14" t="str">
        <f>IF(Calculator!$C$12=15,J86-K86,"")</f>
        <v/>
      </c>
      <c r="O86" s="13">
        <v>82</v>
      </c>
      <c r="P86" s="14" t="str">
        <f>IF(Calculator!$C$12=20,Calculator!$C$14,"")</f>
        <v/>
      </c>
      <c r="Q86" s="14" t="str">
        <f t="shared" si="5"/>
        <v/>
      </c>
      <c r="R86" s="14" t="str">
        <f>IF(Calculator!$C$12=20,ROUNDUP(-PPMT(Calculator!$C$13/12,$O86,240,Calculator!$C$11,0,),0),"")</f>
        <v/>
      </c>
      <c r="S86" s="14" t="str">
        <f>IF(Calculator!$C$12=20,ROUNDUP(-IPMT(Calculator!$C$13/12,$O86,240,Calculator!$C$11,0,),0),"")</f>
        <v/>
      </c>
      <c r="T86" s="14" t="str">
        <f>IF(Calculator!$C$12=20,Q86-R86,"")</f>
        <v/>
      </c>
    </row>
    <row r="87" spans="1:20" x14ac:dyDescent="0.25">
      <c r="A87" s="13">
        <v>83</v>
      </c>
      <c r="B87" s="14">
        <f>IF(Calculator!$C$12=12,Calculator!$C$14,"")</f>
        <v>158</v>
      </c>
      <c r="C87" s="14">
        <f t="shared" si="3"/>
        <v>7787</v>
      </c>
      <c r="D87" s="14">
        <f>IF(Calculator!$C$12=12,ROUNDUP(-PPMT(Calculator!$C$13/12,$A87,144,Calculator!$C$11,0,),0),"")</f>
        <v>101</v>
      </c>
      <c r="E87" s="14">
        <f>IF(Calculator!$C$12=12,ROUNDUP(-IPMT(Calculator!$C$13/12,$A87,144,Calculator!$C$11,0,),0),"")</f>
        <v>58</v>
      </c>
      <c r="F87" s="14">
        <f>IF(Calculator!$C$12=12,C87-D87,"")</f>
        <v>7686</v>
      </c>
      <c r="H87" s="13">
        <v>83</v>
      </c>
      <c r="I87" s="14" t="str">
        <f>IF(Calculator!$C$12=12,"",Calculator!$C$14)</f>
        <v/>
      </c>
      <c r="J87" s="14" t="str">
        <f t="shared" si="4"/>
        <v/>
      </c>
      <c r="K87" s="14" t="str">
        <f>IF(Calculator!$C$12=15,ROUNDUP(-PPMT(Calculator!$C$13/12,$H87,180,Calculator!$C$11,0,),0),"")</f>
        <v/>
      </c>
      <c r="L87" s="14" t="str">
        <f>IF(Calculator!$C$12=15,ROUNDUP(-IPMT(Calculator!$C$13/12,$H87,180,Calculator!$C$11,0,),0),"")</f>
        <v/>
      </c>
      <c r="M87" s="14" t="str">
        <f>IF(Calculator!$C$12=15,J87-K87,"")</f>
        <v/>
      </c>
      <c r="O87" s="13">
        <v>83</v>
      </c>
      <c r="P87" s="14" t="str">
        <f>IF(Calculator!$C$12=20,Calculator!$C$14,"")</f>
        <v/>
      </c>
      <c r="Q87" s="14" t="str">
        <f t="shared" si="5"/>
        <v/>
      </c>
      <c r="R87" s="14" t="str">
        <f>IF(Calculator!$C$12=20,ROUNDUP(-PPMT(Calculator!$C$13/12,$O87,240,Calculator!$C$11,0,),0),"")</f>
        <v/>
      </c>
      <c r="S87" s="14" t="str">
        <f>IF(Calculator!$C$12=20,ROUNDUP(-IPMT(Calculator!$C$13/12,$O87,240,Calculator!$C$11,0,),0),"")</f>
        <v/>
      </c>
      <c r="T87" s="14" t="str">
        <f>IF(Calculator!$C$12=20,Q87-R87,"")</f>
        <v/>
      </c>
    </row>
    <row r="88" spans="1:20" x14ac:dyDescent="0.25">
      <c r="A88" s="13">
        <v>84</v>
      </c>
      <c r="B88" s="14">
        <f>IF(Calculator!$C$12=12,Calculator!$C$14,"")</f>
        <v>158</v>
      </c>
      <c r="C88" s="14">
        <f t="shared" si="3"/>
        <v>7686</v>
      </c>
      <c r="D88" s="14">
        <f>IF(Calculator!$C$12=12,ROUNDUP(-PPMT(Calculator!$C$13/12,$A88,144,Calculator!$C$11,0,),0),"")</f>
        <v>102</v>
      </c>
      <c r="E88" s="14">
        <f>IF(Calculator!$C$12=12,ROUNDUP(-IPMT(Calculator!$C$13/12,$A88,144,Calculator!$C$11,0,),0),"")</f>
        <v>57</v>
      </c>
      <c r="F88" s="14">
        <f>IF(Calculator!$C$12=12,C88-D88,"")</f>
        <v>7584</v>
      </c>
      <c r="H88" s="13">
        <v>84</v>
      </c>
      <c r="I88" s="14" t="str">
        <f>IF(Calculator!$C$12=12,"",Calculator!$C$14)</f>
        <v/>
      </c>
      <c r="J88" s="14" t="str">
        <f t="shared" si="4"/>
        <v/>
      </c>
      <c r="K88" s="14" t="str">
        <f>IF(Calculator!$C$12=15,ROUNDUP(-PPMT(Calculator!$C$13/12,$H88,180,Calculator!$C$11,0,),0),"")</f>
        <v/>
      </c>
      <c r="L88" s="14" t="str">
        <f>IF(Calculator!$C$12=15,ROUNDUP(-IPMT(Calculator!$C$13/12,$H88,180,Calculator!$C$11,0,),0),"")</f>
        <v/>
      </c>
      <c r="M88" s="14" t="str">
        <f>IF(Calculator!$C$12=15,J88-K88,"")</f>
        <v/>
      </c>
      <c r="O88" s="13">
        <v>84</v>
      </c>
      <c r="P88" s="14" t="str">
        <f>IF(Calculator!$C$12=20,Calculator!$C$14,"")</f>
        <v/>
      </c>
      <c r="Q88" s="14" t="str">
        <f t="shared" si="5"/>
        <v/>
      </c>
      <c r="R88" s="14" t="str">
        <f>IF(Calculator!$C$12=20,ROUNDUP(-PPMT(Calculator!$C$13/12,$O88,240,Calculator!$C$11,0,),0),"")</f>
        <v/>
      </c>
      <c r="S88" s="14" t="str">
        <f>IF(Calculator!$C$12=20,ROUNDUP(-IPMT(Calculator!$C$13/12,$O88,240,Calculator!$C$11,0,),0),"")</f>
        <v/>
      </c>
      <c r="T88" s="14" t="str">
        <f>IF(Calculator!$C$12=20,Q88-R88,"")</f>
        <v/>
      </c>
    </row>
    <row r="89" spans="1:20" x14ac:dyDescent="0.25">
      <c r="A89" s="13">
        <v>85</v>
      </c>
      <c r="B89" s="14">
        <f>IF(Calculator!$C$12=12,Calculator!$C$14,"")</f>
        <v>158</v>
      </c>
      <c r="C89" s="14">
        <f t="shared" si="3"/>
        <v>7584</v>
      </c>
      <c r="D89" s="14">
        <f>IF(Calculator!$C$12=12,ROUNDUP(-PPMT(Calculator!$C$13/12,$A89,144,Calculator!$C$11,0,),0),"")</f>
        <v>102</v>
      </c>
      <c r="E89" s="14">
        <f>IF(Calculator!$C$12=12,ROUNDUP(-IPMT(Calculator!$C$13/12,$A89,144,Calculator!$C$11,0,),0),"")</f>
        <v>56</v>
      </c>
      <c r="F89" s="14">
        <f>IF(Calculator!$C$12=12,C89-D89,"")</f>
        <v>7482</v>
      </c>
      <c r="H89" s="13">
        <v>85</v>
      </c>
      <c r="I89" s="14" t="str">
        <f>IF(Calculator!$C$12=12,"",Calculator!$C$14)</f>
        <v/>
      </c>
      <c r="J89" s="14" t="str">
        <f t="shared" si="4"/>
        <v/>
      </c>
      <c r="K89" s="14" t="str">
        <f>IF(Calculator!$C$12=15,ROUNDUP(-PPMT(Calculator!$C$13/12,$H89,180,Calculator!$C$11,0,),0),"")</f>
        <v/>
      </c>
      <c r="L89" s="14" t="str">
        <f>IF(Calculator!$C$12=15,ROUNDUP(-IPMT(Calculator!$C$13/12,$H89,180,Calculator!$C$11,0,),0),"")</f>
        <v/>
      </c>
      <c r="M89" s="14" t="str">
        <f>IF(Calculator!$C$12=15,J89-K89,"")</f>
        <v/>
      </c>
      <c r="O89" s="13">
        <v>85</v>
      </c>
      <c r="P89" s="14" t="str">
        <f>IF(Calculator!$C$12=20,Calculator!$C$14,"")</f>
        <v/>
      </c>
      <c r="Q89" s="14" t="str">
        <f t="shared" si="5"/>
        <v/>
      </c>
      <c r="R89" s="14" t="str">
        <f>IF(Calculator!$C$12=20,ROUNDUP(-PPMT(Calculator!$C$13/12,$O89,240,Calculator!$C$11,0,),0),"")</f>
        <v/>
      </c>
      <c r="S89" s="14" t="str">
        <f>IF(Calculator!$C$12=20,ROUNDUP(-IPMT(Calculator!$C$13/12,$O89,240,Calculator!$C$11,0,),0),"")</f>
        <v/>
      </c>
      <c r="T89" s="14" t="str">
        <f>IF(Calculator!$C$12=20,Q89-R89,"")</f>
        <v/>
      </c>
    </row>
    <row r="90" spans="1:20" x14ac:dyDescent="0.25">
      <c r="A90" s="13">
        <v>86</v>
      </c>
      <c r="B90" s="14">
        <f>IF(Calculator!$C$12=12,Calculator!$C$14,"")</f>
        <v>158</v>
      </c>
      <c r="C90" s="14">
        <f t="shared" si="3"/>
        <v>7482</v>
      </c>
      <c r="D90" s="14">
        <f>IF(Calculator!$C$12=12,ROUNDUP(-PPMT(Calculator!$C$13/12,$A90,144,Calculator!$C$11,0,),0),"")</f>
        <v>103</v>
      </c>
      <c r="E90" s="14">
        <f>IF(Calculator!$C$12=12,ROUNDUP(-IPMT(Calculator!$C$13/12,$A90,144,Calculator!$C$11,0,),0),"")</f>
        <v>55</v>
      </c>
      <c r="F90" s="14">
        <f>IF(Calculator!$C$12=12,C90-D90,"")</f>
        <v>7379</v>
      </c>
      <c r="H90" s="13">
        <v>86</v>
      </c>
      <c r="I90" s="14" t="str">
        <f>IF(Calculator!$C$12=12,"",Calculator!$C$14)</f>
        <v/>
      </c>
      <c r="J90" s="14" t="str">
        <f t="shared" si="4"/>
        <v/>
      </c>
      <c r="K90" s="14" t="str">
        <f>IF(Calculator!$C$12=15,ROUNDUP(-PPMT(Calculator!$C$13/12,$H90,180,Calculator!$C$11,0,),0),"")</f>
        <v/>
      </c>
      <c r="L90" s="14" t="str">
        <f>IF(Calculator!$C$12=15,ROUNDUP(-IPMT(Calculator!$C$13/12,$H90,180,Calculator!$C$11,0,),0),"")</f>
        <v/>
      </c>
      <c r="M90" s="14" t="str">
        <f>IF(Calculator!$C$12=15,J90-K90,"")</f>
        <v/>
      </c>
      <c r="O90" s="13">
        <v>86</v>
      </c>
      <c r="P90" s="14" t="str">
        <f>IF(Calculator!$C$12=20,Calculator!$C$14,"")</f>
        <v/>
      </c>
      <c r="Q90" s="14" t="str">
        <f t="shared" si="5"/>
        <v/>
      </c>
      <c r="R90" s="14" t="str">
        <f>IF(Calculator!$C$12=20,ROUNDUP(-PPMT(Calculator!$C$13/12,$O90,240,Calculator!$C$11,0,),0),"")</f>
        <v/>
      </c>
      <c r="S90" s="14" t="str">
        <f>IF(Calculator!$C$12=20,ROUNDUP(-IPMT(Calculator!$C$13/12,$O90,240,Calculator!$C$11,0,),0),"")</f>
        <v/>
      </c>
      <c r="T90" s="14" t="str">
        <f>IF(Calculator!$C$12=20,Q90-R90,"")</f>
        <v/>
      </c>
    </row>
    <row r="91" spans="1:20" x14ac:dyDescent="0.25">
      <c r="A91" s="13">
        <v>87</v>
      </c>
      <c r="B91" s="14">
        <f>IF(Calculator!$C$12=12,Calculator!$C$14,"")</f>
        <v>158</v>
      </c>
      <c r="C91" s="14">
        <f t="shared" si="3"/>
        <v>7379</v>
      </c>
      <c r="D91" s="14">
        <f>IF(Calculator!$C$12=12,ROUNDUP(-PPMT(Calculator!$C$13/12,$A91,144,Calculator!$C$11,0,),0),"")</f>
        <v>104</v>
      </c>
      <c r="E91" s="14">
        <f>IF(Calculator!$C$12=12,ROUNDUP(-IPMT(Calculator!$C$13/12,$A91,144,Calculator!$C$11,0,),0),"")</f>
        <v>55</v>
      </c>
      <c r="F91" s="14">
        <f>IF(Calculator!$C$12=12,C91-D91,"")</f>
        <v>7275</v>
      </c>
      <c r="H91" s="13">
        <v>87</v>
      </c>
      <c r="I91" s="14" t="str">
        <f>IF(Calculator!$C$12=12,"",Calculator!$C$14)</f>
        <v/>
      </c>
      <c r="J91" s="14" t="str">
        <f t="shared" si="4"/>
        <v/>
      </c>
      <c r="K91" s="14" t="str">
        <f>IF(Calculator!$C$12=15,ROUNDUP(-PPMT(Calculator!$C$13/12,$H91,180,Calculator!$C$11,0,),0),"")</f>
        <v/>
      </c>
      <c r="L91" s="14" t="str">
        <f>IF(Calculator!$C$12=15,ROUNDUP(-IPMT(Calculator!$C$13/12,$H91,180,Calculator!$C$11,0,),0),"")</f>
        <v/>
      </c>
      <c r="M91" s="14" t="str">
        <f>IF(Calculator!$C$12=15,J91-K91,"")</f>
        <v/>
      </c>
      <c r="O91" s="13">
        <v>87</v>
      </c>
      <c r="P91" s="14" t="str">
        <f>IF(Calculator!$C$12=20,Calculator!$C$14,"")</f>
        <v/>
      </c>
      <c r="Q91" s="14" t="str">
        <f t="shared" si="5"/>
        <v/>
      </c>
      <c r="R91" s="14" t="str">
        <f>IF(Calculator!$C$12=20,ROUNDUP(-PPMT(Calculator!$C$13/12,$O91,240,Calculator!$C$11,0,),0),"")</f>
        <v/>
      </c>
      <c r="S91" s="14" t="str">
        <f>IF(Calculator!$C$12=20,ROUNDUP(-IPMT(Calculator!$C$13/12,$O91,240,Calculator!$C$11,0,),0),"")</f>
        <v/>
      </c>
      <c r="T91" s="14" t="str">
        <f>IF(Calculator!$C$12=20,Q91-R91,"")</f>
        <v/>
      </c>
    </row>
    <row r="92" spans="1:20" x14ac:dyDescent="0.25">
      <c r="A92" s="13">
        <v>88</v>
      </c>
      <c r="B92" s="14">
        <f>IF(Calculator!$C$12=12,Calculator!$C$14,"")</f>
        <v>158</v>
      </c>
      <c r="C92" s="14">
        <f t="shared" si="3"/>
        <v>7275</v>
      </c>
      <c r="D92" s="14">
        <f>IF(Calculator!$C$12=12,ROUNDUP(-PPMT(Calculator!$C$13/12,$A92,144,Calculator!$C$11,0,),0),"")</f>
        <v>105</v>
      </c>
      <c r="E92" s="14">
        <f>IF(Calculator!$C$12=12,ROUNDUP(-IPMT(Calculator!$C$13/12,$A92,144,Calculator!$C$11,0,),0),"")</f>
        <v>54</v>
      </c>
      <c r="F92" s="14">
        <f>IF(Calculator!$C$12=12,C92-D92,"")</f>
        <v>7170</v>
      </c>
      <c r="H92" s="13">
        <v>88</v>
      </c>
      <c r="I92" s="14" t="str">
        <f>IF(Calculator!$C$12=12,"",Calculator!$C$14)</f>
        <v/>
      </c>
      <c r="J92" s="14" t="str">
        <f t="shared" si="4"/>
        <v/>
      </c>
      <c r="K92" s="14" t="str">
        <f>IF(Calculator!$C$12=15,ROUNDUP(-PPMT(Calculator!$C$13/12,$H92,180,Calculator!$C$11,0,),0),"")</f>
        <v/>
      </c>
      <c r="L92" s="14" t="str">
        <f>IF(Calculator!$C$12=15,ROUNDUP(-IPMT(Calculator!$C$13/12,$H92,180,Calculator!$C$11,0,),0),"")</f>
        <v/>
      </c>
      <c r="M92" s="14" t="str">
        <f>IF(Calculator!$C$12=15,J92-K92,"")</f>
        <v/>
      </c>
      <c r="O92" s="13">
        <v>88</v>
      </c>
      <c r="P92" s="14" t="str">
        <f>IF(Calculator!$C$12=20,Calculator!$C$14,"")</f>
        <v/>
      </c>
      <c r="Q92" s="14" t="str">
        <f t="shared" si="5"/>
        <v/>
      </c>
      <c r="R92" s="14" t="str">
        <f>IF(Calculator!$C$12=20,ROUNDUP(-PPMT(Calculator!$C$13/12,$O92,240,Calculator!$C$11,0,),0),"")</f>
        <v/>
      </c>
      <c r="S92" s="14" t="str">
        <f>IF(Calculator!$C$12=20,ROUNDUP(-IPMT(Calculator!$C$13/12,$O92,240,Calculator!$C$11,0,),0),"")</f>
        <v/>
      </c>
      <c r="T92" s="14" t="str">
        <f>IF(Calculator!$C$12=20,Q92-R92,"")</f>
        <v/>
      </c>
    </row>
    <row r="93" spans="1:20" x14ac:dyDescent="0.25">
      <c r="A93" s="13">
        <v>89</v>
      </c>
      <c r="B93" s="14">
        <f>IF(Calculator!$C$12=12,Calculator!$C$14,"")</f>
        <v>158</v>
      </c>
      <c r="C93" s="14">
        <f t="shared" si="3"/>
        <v>7170</v>
      </c>
      <c r="D93" s="14">
        <f>IF(Calculator!$C$12=12,ROUNDUP(-PPMT(Calculator!$C$13/12,$A93,144,Calculator!$C$11,0,),0),"")</f>
        <v>105</v>
      </c>
      <c r="E93" s="14">
        <f>IF(Calculator!$C$12=12,ROUNDUP(-IPMT(Calculator!$C$13/12,$A93,144,Calculator!$C$11,0,),0),"")</f>
        <v>53</v>
      </c>
      <c r="F93" s="14">
        <f>IF(Calculator!$C$12=12,C93-D93,"")</f>
        <v>7065</v>
      </c>
      <c r="H93" s="13">
        <v>89</v>
      </c>
      <c r="I93" s="14" t="str">
        <f>IF(Calculator!$C$12=12,"",Calculator!$C$14)</f>
        <v/>
      </c>
      <c r="J93" s="14" t="str">
        <f t="shared" si="4"/>
        <v/>
      </c>
      <c r="K93" s="14" t="str">
        <f>IF(Calculator!$C$12=15,ROUNDUP(-PPMT(Calculator!$C$13/12,$H93,180,Calculator!$C$11,0,),0),"")</f>
        <v/>
      </c>
      <c r="L93" s="14" t="str">
        <f>IF(Calculator!$C$12=15,ROUNDUP(-IPMT(Calculator!$C$13/12,$H93,180,Calculator!$C$11,0,),0),"")</f>
        <v/>
      </c>
      <c r="M93" s="14" t="str">
        <f>IF(Calculator!$C$12=15,J93-K93,"")</f>
        <v/>
      </c>
      <c r="O93" s="13">
        <v>89</v>
      </c>
      <c r="P93" s="14" t="str">
        <f>IF(Calculator!$C$12=20,Calculator!$C$14,"")</f>
        <v/>
      </c>
      <c r="Q93" s="14" t="str">
        <f t="shared" si="5"/>
        <v/>
      </c>
      <c r="R93" s="14" t="str">
        <f>IF(Calculator!$C$12=20,ROUNDUP(-PPMT(Calculator!$C$13/12,$O93,240,Calculator!$C$11,0,),0),"")</f>
        <v/>
      </c>
      <c r="S93" s="14" t="str">
        <f>IF(Calculator!$C$12=20,ROUNDUP(-IPMT(Calculator!$C$13/12,$O93,240,Calculator!$C$11,0,),0),"")</f>
        <v/>
      </c>
      <c r="T93" s="14" t="str">
        <f>IF(Calculator!$C$12=20,Q93-R93,"")</f>
        <v/>
      </c>
    </row>
    <row r="94" spans="1:20" x14ac:dyDescent="0.25">
      <c r="A94" s="13">
        <v>90</v>
      </c>
      <c r="B94" s="14">
        <f>IF(Calculator!$C$12=12,Calculator!$C$14,"")</f>
        <v>158</v>
      </c>
      <c r="C94" s="14">
        <f t="shared" si="3"/>
        <v>7065</v>
      </c>
      <c r="D94" s="14">
        <f>IF(Calculator!$C$12=12,ROUNDUP(-PPMT(Calculator!$C$13/12,$A94,144,Calculator!$C$11,0,),0),"")</f>
        <v>106</v>
      </c>
      <c r="E94" s="14">
        <f>IF(Calculator!$C$12=12,ROUNDUP(-IPMT(Calculator!$C$13/12,$A94,144,Calculator!$C$11,0,),0),"")</f>
        <v>52</v>
      </c>
      <c r="F94" s="14">
        <f>IF(Calculator!$C$12=12,C94-D94,"")</f>
        <v>6959</v>
      </c>
      <c r="H94" s="13">
        <v>90</v>
      </c>
      <c r="I94" s="14" t="str">
        <f>IF(Calculator!$C$12=12,"",Calculator!$C$14)</f>
        <v/>
      </c>
      <c r="J94" s="14" t="str">
        <f t="shared" si="4"/>
        <v/>
      </c>
      <c r="K94" s="14" t="str">
        <f>IF(Calculator!$C$12=15,ROUNDUP(-PPMT(Calculator!$C$13/12,$H94,180,Calculator!$C$11,0,),0),"")</f>
        <v/>
      </c>
      <c r="L94" s="14" t="str">
        <f>IF(Calculator!$C$12=15,ROUNDUP(-IPMT(Calculator!$C$13/12,$H94,180,Calculator!$C$11,0,),0),"")</f>
        <v/>
      </c>
      <c r="M94" s="14" t="str">
        <f>IF(Calculator!$C$12=15,J94-K94,"")</f>
        <v/>
      </c>
      <c r="O94" s="13">
        <v>90</v>
      </c>
      <c r="P94" s="14" t="str">
        <f>IF(Calculator!$C$12=20,Calculator!$C$14,"")</f>
        <v/>
      </c>
      <c r="Q94" s="14" t="str">
        <f t="shared" si="5"/>
        <v/>
      </c>
      <c r="R94" s="14" t="str">
        <f>IF(Calculator!$C$12=20,ROUNDUP(-PPMT(Calculator!$C$13/12,$O94,240,Calculator!$C$11,0,),0),"")</f>
        <v/>
      </c>
      <c r="S94" s="14" t="str">
        <f>IF(Calculator!$C$12=20,ROUNDUP(-IPMT(Calculator!$C$13/12,$O94,240,Calculator!$C$11,0,),0),"")</f>
        <v/>
      </c>
      <c r="T94" s="14" t="str">
        <f>IF(Calculator!$C$12=20,Q94-R94,"")</f>
        <v/>
      </c>
    </row>
    <row r="95" spans="1:20" x14ac:dyDescent="0.25">
      <c r="A95" s="13">
        <v>91</v>
      </c>
      <c r="B95" s="14">
        <f>IF(Calculator!$C$12=12,Calculator!$C$14,"")</f>
        <v>158</v>
      </c>
      <c r="C95" s="14">
        <f t="shared" si="3"/>
        <v>6959</v>
      </c>
      <c r="D95" s="14">
        <f>IF(Calculator!$C$12=12,ROUNDUP(-PPMT(Calculator!$C$13/12,$A95,144,Calculator!$C$11,0,),0),"")</f>
        <v>107</v>
      </c>
      <c r="E95" s="14">
        <f>IF(Calculator!$C$12=12,ROUNDUP(-IPMT(Calculator!$C$13/12,$A95,144,Calculator!$C$11,0,),0),"")</f>
        <v>52</v>
      </c>
      <c r="F95" s="14">
        <f>IF(Calculator!$C$12=12,C95-D95,"")</f>
        <v>6852</v>
      </c>
      <c r="H95" s="13">
        <v>91</v>
      </c>
      <c r="I95" s="14" t="str">
        <f>IF(Calculator!$C$12=12,"",Calculator!$C$14)</f>
        <v/>
      </c>
      <c r="J95" s="14" t="str">
        <f t="shared" si="4"/>
        <v/>
      </c>
      <c r="K95" s="14" t="str">
        <f>IF(Calculator!$C$12=15,ROUNDUP(-PPMT(Calculator!$C$13/12,$H95,180,Calculator!$C$11,0,),0),"")</f>
        <v/>
      </c>
      <c r="L95" s="14" t="str">
        <f>IF(Calculator!$C$12=15,ROUNDUP(-IPMT(Calculator!$C$13/12,$H95,180,Calculator!$C$11,0,),0),"")</f>
        <v/>
      </c>
      <c r="M95" s="14" t="str">
        <f>IF(Calculator!$C$12=15,J95-K95,"")</f>
        <v/>
      </c>
      <c r="O95" s="13">
        <v>91</v>
      </c>
      <c r="P95" s="14" t="str">
        <f>IF(Calculator!$C$12=20,Calculator!$C$14,"")</f>
        <v/>
      </c>
      <c r="Q95" s="14" t="str">
        <f t="shared" si="5"/>
        <v/>
      </c>
      <c r="R95" s="14" t="str">
        <f>IF(Calculator!$C$12=20,ROUNDUP(-PPMT(Calculator!$C$13/12,$O95,240,Calculator!$C$11,0,),0),"")</f>
        <v/>
      </c>
      <c r="S95" s="14" t="str">
        <f>IF(Calculator!$C$12=20,ROUNDUP(-IPMT(Calculator!$C$13/12,$O95,240,Calculator!$C$11,0,),0),"")</f>
        <v/>
      </c>
      <c r="T95" s="14" t="str">
        <f>IF(Calculator!$C$12=20,Q95-R95,"")</f>
        <v/>
      </c>
    </row>
    <row r="96" spans="1:20" x14ac:dyDescent="0.25">
      <c r="A96" s="13">
        <v>92</v>
      </c>
      <c r="B96" s="14">
        <f>IF(Calculator!$C$12=12,Calculator!$C$14,"")</f>
        <v>158</v>
      </c>
      <c r="C96" s="14">
        <f t="shared" si="3"/>
        <v>6852</v>
      </c>
      <c r="D96" s="14">
        <f>IF(Calculator!$C$12=12,ROUNDUP(-PPMT(Calculator!$C$13/12,$A96,144,Calculator!$C$11,0,),0),"")</f>
        <v>108</v>
      </c>
      <c r="E96" s="14">
        <f>IF(Calculator!$C$12=12,ROUNDUP(-IPMT(Calculator!$C$13/12,$A96,144,Calculator!$C$11,0,),0),"")</f>
        <v>51</v>
      </c>
      <c r="F96" s="14">
        <f>IF(Calculator!$C$12=12,C96-D96,"")</f>
        <v>6744</v>
      </c>
      <c r="H96" s="13">
        <v>92</v>
      </c>
      <c r="I96" s="14" t="str">
        <f>IF(Calculator!$C$12=12,"",Calculator!$C$14)</f>
        <v/>
      </c>
      <c r="J96" s="14" t="str">
        <f t="shared" si="4"/>
        <v/>
      </c>
      <c r="K96" s="14" t="str">
        <f>IF(Calculator!$C$12=15,ROUNDUP(-PPMT(Calculator!$C$13/12,$H96,180,Calculator!$C$11,0,),0),"")</f>
        <v/>
      </c>
      <c r="L96" s="14" t="str">
        <f>IF(Calculator!$C$12=15,ROUNDUP(-IPMT(Calculator!$C$13/12,$H96,180,Calculator!$C$11,0,),0),"")</f>
        <v/>
      </c>
      <c r="M96" s="14" t="str">
        <f>IF(Calculator!$C$12=15,J96-K96,"")</f>
        <v/>
      </c>
      <c r="O96" s="13">
        <v>92</v>
      </c>
      <c r="P96" s="14" t="str">
        <f>IF(Calculator!$C$12=20,Calculator!$C$14,"")</f>
        <v/>
      </c>
      <c r="Q96" s="14" t="str">
        <f t="shared" si="5"/>
        <v/>
      </c>
      <c r="R96" s="14" t="str">
        <f>IF(Calculator!$C$12=20,ROUNDUP(-PPMT(Calculator!$C$13/12,$O96,240,Calculator!$C$11,0,),0),"")</f>
        <v/>
      </c>
      <c r="S96" s="14" t="str">
        <f>IF(Calculator!$C$12=20,ROUNDUP(-IPMT(Calculator!$C$13/12,$O96,240,Calculator!$C$11,0,),0),"")</f>
        <v/>
      </c>
      <c r="T96" s="14" t="str">
        <f>IF(Calculator!$C$12=20,Q96-R96,"")</f>
        <v/>
      </c>
    </row>
    <row r="97" spans="1:20" x14ac:dyDescent="0.25">
      <c r="A97" s="13">
        <v>93</v>
      </c>
      <c r="B97" s="14">
        <f>IF(Calculator!$C$12=12,Calculator!$C$14,"")</f>
        <v>158</v>
      </c>
      <c r="C97" s="14">
        <f t="shared" si="3"/>
        <v>6744</v>
      </c>
      <c r="D97" s="14">
        <f>IF(Calculator!$C$12=12,ROUNDUP(-PPMT(Calculator!$C$13/12,$A97,144,Calculator!$C$11,0,),0),"")</f>
        <v>108</v>
      </c>
      <c r="E97" s="14">
        <f>IF(Calculator!$C$12=12,ROUNDUP(-IPMT(Calculator!$C$13/12,$A97,144,Calculator!$C$11,0,),0),"")</f>
        <v>50</v>
      </c>
      <c r="F97" s="14">
        <f>IF(Calculator!$C$12=12,C97-D97,"")</f>
        <v>6636</v>
      </c>
      <c r="H97" s="13">
        <v>93</v>
      </c>
      <c r="I97" s="14" t="str">
        <f>IF(Calculator!$C$12=12,"",Calculator!$C$14)</f>
        <v/>
      </c>
      <c r="J97" s="14" t="str">
        <f t="shared" si="4"/>
        <v/>
      </c>
      <c r="K97" s="14" t="str">
        <f>IF(Calculator!$C$12=15,ROUNDUP(-PPMT(Calculator!$C$13/12,$H97,180,Calculator!$C$11,0,),0),"")</f>
        <v/>
      </c>
      <c r="L97" s="14" t="str">
        <f>IF(Calculator!$C$12=15,ROUNDUP(-IPMT(Calculator!$C$13/12,$H97,180,Calculator!$C$11,0,),0),"")</f>
        <v/>
      </c>
      <c r="M97" s="14" t="str">
        <f>IF(Calculator!$C$12=15,J97-K97,"")</f>
        <v/>
      </c>
      <c r="O97" s="13">
        <v>93</v>
      </c>
      <c r="P97" s="14" t="str">
        <f>IF(Calculator!$C$12=20,Calculator!$C$14,"")</f>
        <v/>
      </c>
      <c r="Q97" s="14" t="str">
        <f t="shared" si="5"/>
        <v/>
      </c>
      <c r="R97" s="14" t="str">
        <f>IF(Calculator!$C$12=20,ROUNDUP(-PPMT(Calculator!$C$13/12,$O97,240,Calculator!$C$11,0,),0),"")</f>
        <v/>
      </c>
      <c r="S97" s="14" t="str">
        <f>IF(Calculator!$C$12=20,ROUNDUP(-IPMT(Calculator!$C$13/12,$O97,240,Calculator!$C$11,0,),0),"")</f>
        <v/>
      </c>
      <c r="T97" s="14" t="str">
        <f>IF(Calculator!$C$12=20,Q97-R97,"")</f>
        <v/>
      </c>
    </row>
    <row r="98" spans="1:20" x14ac:dyDescent="0.25">
      <c r="A98" s="13">
        <v>94</v>
      </c>
      <c r="B98" s="14">
        <f>IF(Calculator!$C$12=12,Calculator!$C$14,"")</f>
        <v>158</v>
      </c>
      <c r="C98" s="14">
        <f t="shared" si="3"/>
        <v>6636</v>
      </c>
      <c r="D98" s="14">
        <f>IF(Calculator!$C$12=12,ROUNDUP(-PPMT(Calculator!$C$13/12,$A98,144,Calculator!$C$11,0,),0),"")</f>
        <v>109</v>
      </c>
      <c r="E98" s="14">
        <f>IF(Calculator!$C$12=12,ROUNDUP(-IPMT(Calculator!$C$13/12,$A98,144,Calculator!$C$11,0,),0),"")</f>
        <v>49</v>
      </c>
      <c r="F98" s="14">
        <f>IF(Calculator!$C$12=12,C98-D98,"")</f>
        <v>6527</v>
      </c>
      <c r="H98" s="13">
        <v>94</v>
      </c>
      <c r="I98" s="14" t="str">
        <f>IF(Calculator!$C$12=12,"",Calculator!$C$14)</f>
        <v/>
      </c>
      <c r="J98" s="14" t="str">
        <f t="shared" si="4"/>
        <v/>
      </c>
      <c r="K98" s="14" t="str">
        <f>IF(Calculator!$C$12=15,ROUNDUP(-PPMT(Calculator!$C$13/12,$H98,180,Calculator!$C$11,0,),0),"")</f>
        <v/>
      </c>
      <c r="L98" s="14" t="str">
        <f>IF(Calculator!$C$12=15,ROUNDUP(-IPMT(Calculator!$C$13/12,$H98,180,Calculator!$C$11,0,),0),"")</f>
        <v/>
      </c>
      <c r="M98" s="14" t="str">
        <f>IF(Calculator!$C$12=15,J98-K98,"")</f>
        <v/>
      </c>
      <c r="O98" s="13">
        <v>94</v>
      </c>
      <c r="P98" s="14" t="str">
        <f>IF(Calculator!$C$12=20,Calculator!$C$14,"")</f>
        <v/>
      </c>
      <c r="Q98" s="14" t="str">
        <f t="shared" si="5"/>
        <v/>
      </c>
      <c r="R98" s="14" t="str">
        <f>IF(Calculator!$C$12=20,ROUNDUP(-PPMT(Calculator!$C$13/12,$O98,240,Calculator!$C$11,0,),0),"")</f>
        <v/>
      </c>
      <c r="S98" s="14" t="str">
        <f>IF(Calculator!$C$12=20,ROUNDUP(-IPMT(Calculator!$C$13/12,$O98,240,Calculator!$C$11,0,),0),"")</f>
        <v/>
      </c>
      <c r="T98" s="14" t="str">
        <f>IF(Calculator!$C$12=20,Q98-R98,"")</f>
        <v/>
      </c>
    </row>
    <row r="99" spans="1:20" x14ac:dyDescent="0.25">
      <c r="A99" s="13">
        <v>95</v>
      </c>
      <c r="B99" s="14">
        <f>IF(Calculator!$C$12=12,Calculator!$C$14,"")</f>
        <v>158</v>
      </c>
      <c r="C99" s="14">
        <f t="shared" si="3"/>
        <v>6527</v>
      </c>
      <c r="D99" s="14">
        <f>IF(Calculator!$C$12=12,ROUNDUP(-PPMT(Calculator!$C$13/12,$A99,144,Calculator!$C$11,0,),0),"")</f>
        <v>110</v>
      </c>
      <c r="E99" s="14">
        <f>IF(Calculator!$C$12=12,ROUNDUP(-IPMT(Calculator!$C$13/12,$A99,144,Calculator!$C$11,0,),0),"")</f>
        <v>48</v>
      </c>
      <c r="F99" s="14">
        <f>IF(Calculator!$C$12=12,C99-D99,"")</f>
        <v>6417</v>
      </c>
      <c r="H99" s="13">
        <v>95</v>
      </c>
      <c r="I99" s="14" t="str">
        <f>IF(Calculator!$C$12=12,"",Calculator!$C$14)</f>
        <v/>
      </c>
      <c r="J99" s="14" t="str">
        <f t="shared" si="4"/>
        <v/>
      </c>
      <c r="K99" s="14" t="str">
        <f>IF(Calculator!$C$12=15,ROUNDUP(-PPMT(Calculator!$C$13/12,$H99,180,Calculator!$C$11,0,),0),"")</f>
        <v/>
      </c>
      <c r="L99" s="14" t="str">
        <f>IF(Calculator!$C$12=15,ROUNDUP(-IPMT(Calculator!$C$13/12,$H99,180,Calculator!$C$11,0,),0),"")</f>
        <v/>
      </c>
      <c r="M99" s="14" t="str">
        <f>IF(Calculator!$C$12=15,J99-K99,"")</f>
        <v/>
      </c>
      <c r="O99" s="13">
        <v>95</v>
      </c>
      <c r="P99" s="14" t="str">
        <f>IF(Calculator!$C$12=20,Calculator!$C$14,"")</f>
        <v/>
      </c>
      <c r="Q99" s="14" t="str">
        <f t="shared" si="5"/>
        <v/>
      </c>
      <c r="R99" s="14" t="str">
        <f>IF(Calculator!$C$12=20,ROUNDUP(-PPMT(Calculator!$C$13/12,$O99,240,Calculator!$C$11,0,),0),"")</f>
        <v/>
      </c>
      <c r="S99" s="14" t="str">
        <f>IF(Calculator!$C$12=20,ROUNDUP(-IPMT(Calculator!$C$13/12,$O99,240,Calculator!$C$11,0,),0),"")</f>
        <v/>
      </c>
      <c r="T99" s="14" t="str">
        <f>IF(Calculator!$C$12=20,Q99-R99,"")</f>
        <v/>
      </c>
    </row>
    <row r="100" spans="1:20" x14ac:dyDescent="0.25">
      <c r="A100" s="13">
        <v>96</v>
      </c>
      <c r="B100" s="14">
        <f>IF(Calculator!$C$12=12,Calculator!$C$14,"")</f>
        <v>158</v>
      </c>
      <c r="C100" s="14">
        <f t="shared" si="3"/>
        <v>6417</v>
      </c>
      <c r="D100" s="14">
        <f>IF(Calculator!$C$12=12,ROUNDUP(-PPMT(Calculator!$C$13/12,$A100,144,Calculator!$C$11,0,),0),"")</f>
        <v>111</v>
      </c>
      <c r="E100" s="14">
        <f>IF(Calculator!$C$12=12,ROUNDUP(-IPMT(Calculator!$C$13/12,$A100,144,Calculator!$C$11,0,),0),"")</f>
        <v>48</v>
      </c>
      <c r="F100" s="14">
        <f>IF(Calculator!$C$12=12,C100-D100,"")</f>
        <v>6306</v>
      </c>
      <c r="H100" s="13">
        <v>96</v>
      </c>
      <c r="I100" s="14" t="str">
        <f>IF(Calculator!$C$12=12,"",Calculator!$C$14)</f>
        <v/>
      </c>
      <c r="J100" s="14" t="str">
        <f t="shared" si="4"/>
        <v/>
      </c>
      <c r="K100" s="14" t="str">
        <f>IF(Calculator!$C$12=15,ROUNDUP(-PPMT(Calculator!$C$13/12,$H100,180,Calculator!$C$11,0,),0),"")</f>
        <v/>
      </c>
      <c r="L100" s="14" t="str">
        <f>IF(Calculator!$C$12=15,ROUNDUP(-IPMT(Calculator!$C$13/12,$H100,180,Calculator!$C$11,0,),0),"")</f>
        <v/>
      </c>
      <c r="M100" s="14" t="str">
        <f>IF(Calculator!$C$12=15,J100-K100,"")</f>
        <v/>
      </c>
      <c r="O100" s="13">
        <v>96</v>
      </c>
      <c r="P100" s="14" t="str">
        <f>IF(Calculator!$C$12=20,Calculator!$C$14,"")</f>
        <v/>
      </c>
      <c r="Q100" s="14" t="str">
        <f t="shared" si="5"/>
        <v/>
      </c>
      <c r="R100" s="14" t="str">
        <f>IF(Calculator!$C$12=20,ROUNDUP(-PPMT(Calculator!$C$13/12,$O100,240,Calculator!$C$11,0,),0),"")</f>
        <v/>
      </c>
      <c r="S100" s="14" t="str">
        <f>IF(Calculator!$C$12=20,ROUNDUP(-IPMT(Calculator!$C$13/12,$O100,240,Calculator!$C$11,0,),0),"")</f>
        <v/>
      </c>
      <c r="T100" s="14" t="str">
        <f>IF(Calculator!$C$12=20,Q100-R100,"")</f>
        <v/>
      </c>
    </row>
    <row r="101" spans="1:20" x14ac:dyDescent="0.25">
      <c r="A101" s="13">
        <v>97</v>
      </c>
      <c r="B101" s="14">
        <f>IF(Calculator!$C$12=12,Calculator!$C$14,"")</f>
        <v>158</v>
      </c>
      <c r="C101" s="14">
        <f t="shared" si="3"/>
        <v>6306</v>
      </c>
      <c r="D101" s="14">
        <f>IF(Calculator!$C$12=12,ROUNDUP(-PPMT(Calculator!$C$13/12,$A101,144,Calculator!$C$11,0,),0),"")</f>
        <v>112</v>
      </c>
      <c r="E101" s="14">
        <f>IF(Calculator!$C$12=12,ROUNDUP(-IPMT(Calculator!$C$13/12,$A101,144,Calculator!$C$11,0,),0),"")</f>
        <v>47</v>
      </c>
      <c r="F101" s="14">
        <f>IF(Calculator!$C$12=12,C101-D101,"")</f>
        <v>6194</v>
      </c>
      <c r="H101" s="13">
        <v>97</v>
      </c>
      <c r="I101" s="14" t="str">
        <f>IF(Calculator!$C$12=12,"",Calculator!$C$14)</f>
        <v/>
      </c>
      <c r="J101" s="14" t="str">
        <f t="shared" si="4"/>
        <v/>
      </c>
      <c r="K101" s="14" t="str">
        <f>IF(Calculator!$C$12=15,ROUNDUP(-PPMT(Calculator!$C$13/12,$H101,180,Calculator!$C$11,0,),0),"")</f>
        <v/>
      </c>
      <c r="L101" s="14" t="str">
        <f>IF(Calculator!$C$12=15,ROUNDUP(-IPMT(Calculator!$C$13/12,$H101,180,Calculator!$C$11,0,),0),"")</f>
        <v/>
      </c>
      <c r="M101" s="14" t="str">
        <f>IF(Calculator!$C$12=15,J101-K101,"")</f>
        <v/>
      </c>
      <c r="O101" s="13">
        <v>97</v>
      </c>
      <c r="P101" s="14" t="str">
        <f>IF(Calculator!$C$12=20,Calculator!$C$14,"")</f>
        <v/>
      </c>
      <c r="Q101" s="14" t="str">
        <f t="shared" si="5"/>
        <v/>
      </c>
      <c r="R101" s="14" t="str">
        <f>IF(Calculator!$C$12=20,ROUNDUP(-PPMT(Calculator!$C$13/12,$O101,240,Calculator!$C$11,0,),0),"")</f>
        <v/>
      </c>
      <c r="S101" s="14" t="str">
        <f>IF(Calculator!$C$12=20,ROUNDUP(-IPMT(Calculator!$C$13/12,$O101,240,Calculator!$C$11,0,),0),"")</f>
        <v/>
      </c>
      <c r="T101" s="14" t="str">
        <f>IF(Calculator!$C$12=20,Q101-R101,"")</f>
        <v/>
      </c>
    </row>
    <row r="102" spans="1:20" x14ac:dyDescent="0.25">
      <c r="A102" s="13">
        <v>98</v>
      </c>
      <c r="B102" s="14">
        <f>IF(Calculator!$C$12=12,Calculator!$C$14,"")</f>
        <v>158</v>
      </c>
      <c r="C102" s="14">
        <f t="shared" si="3"/>
        <v>6194</v>
      </c>
      <c r="D102" s="14">
        <f>IF(Calculator!$C$12=12,ROUNDUP(-PPMT(Calculator!$C$13/12,$A102,144,Calculator!$C$11,0,),0),"")</f>
        <v>112</v>
      </c>
      <c r="E102" s="14">
        <f>IF(Calculator!$C$12=12,ROUNDUP(-IPMT(Calculator!$C$13/12,$A102,144,Calculator!$C$11,0,),0),"")</f>
        <v>46</v>
      </c>
      <c r="F102" s="14">
        <f>IF(Calculator!$C$12=12,C102-D102,"")</f>
        <v>6082</v>
      </c>
      <c r="H102" s="13">
        <v>98</v>
      </c>
      <c r="I102" s="14" t="str">
        <f>IF(Calculator!$C$12=12,"",Calculator!$C$14)</f>
        <v/>
      </c>
      <c r="J102" s="14" t="str">
        <f t="shared" si="4"/>
        <v/>
      </c>
      <c r="K102" s="14" t="str">
        <f>IF(Calculator!$C$12=15,ROUNDUP(-PPMT(Calculator!$C$13/12,$H102,180,Calculator!$C$11,0,),0),"")</f>
        <v/>
      </c>
      <c r="L102" s="14" t="str">
        <f>IF(Calculator!$C$12=15,ROUNDUP(-IPMT(Calculator!$C$13/12,$H102,180,Calculator!$C$11,0,),0),"")</f>
        <v/>
      </c>
      <c r="M102" s="14" t="str">
        <f>IF(Calculator!$C$12=15,J102-K102,"")</f>
        <v/>
      </c>
      <c r="O102" s="13">
        <v>98</v>
      </c>
      <c r="P102" s="14" t="str">
        <f>IF(Calculator!$C$12=20,Calculator!$C$14,"")</f>
        <v/>
      </c>
      <c r="Q102" s="14" t="str">
        <f t="shared" si="5"/>
        <v/>
      </c>
      <c r="R102" s="14" t="str">
        <f>IF(Calculator!$C$12=20,ROUNDUP(-PPMT(Calculator!$C$13/12,$O102,240,Calculator!$C$11,0,),0),"")</f>
        <v/>
      </c>
      <c r="S102" s="14" t="str">
        <f>IF(Calculator!$C$12=20,ROUNDUP(-IPMT(Calculator!$C$13/12,$O102,240,Calculator!$C$11,0,),0),"")</f>
        <v/>
      </c>
      <c r="T102" s="14" t="str">
        <f>IF(Calculator!$C$12=20,Q102-R102,"")</f>
        <v/>
      </c>
    </row>
    <row r="103" spans="1:20" x14ac:dyDescent="0.25">
      <c r="A103" s="13">
        <v>99</v>
      </c>
      <c r="B103" s="14">
        <f>IF(Calculator!$C$12=12,Calculator!$C$14,"")</f>
        <v>158</v>
      </c>
      <c r="C103" s="14">
        <f t="shared" si="3"/>
        <v>6082</v>
      </c>
      <c r="D103" s="14">
        <f>IF(Calculator!$C$12=12,ROUNDUP(-PPMT(Calculator!$C$13/12,$A103,144,Calculator!$C$11,0,),0),"")</f>
        <v>113</v>
      </c>
      <c r="E103" s="14">
        <f>IF(Calculator!$C$12=12,ROUNDUP(-IPMT(Calculator!$C$13/12,$A103,144,Calculator!$C$11,0,),0),"")</f>
        <v>45</v>
      </c>
      <c r="F103" s="14">
        <f>IF(Calculator!$C$12=12,C103-D103,"")</f>
        <v>5969</v>
      </c>
      <c r="H103" s="13">
        <v>99</v>
      </c>
      <c r="I103" s="14" t="str">
        <f>IF(Calculator!$C$12=12,"",Calculator!$C$14)</f>
        <v/>
      </c>
      <c r="J103" s="14" t="str">
        <f t="shared" si="4"/>
        <v/>
      </c>
      <c r="K103" s="14" t="str">
        <f>IF(Calculator!$C$12=15,ROUNDUP(-PPMT(Calculator!$C$13/12,$H103,180,Calculator!$C$11,0,),0),"")</f>
        <v/>
      </c>
      <c r="L103" s="14" t="str">
        <f>IF(Calculator!$C$12=15,ROUNDUP(-IPMT(Calculator!$C$13/12,$H103,180,Calculator!$C$11,0,),0),"")</f>
        <v/>
      </c>
      <c r="M103" s="14" t="str">
        <f>IF(Calculator!$C$12=15,J103-K103,"")</f>
        <v/>
      </c>
      <c r="O103" s="13">
        <v>99</v>
      </c>
      <c r="P103" s="14" t="str">
        <f>IF(Calculator!$C$12=20,Calculator!$C$14,"")</f>
        <v/>
      </c>
      <c r="Q103" s="14" t="str">
        <f t="shared" si="5"/>
        <v/>
      </c>
      <c r="R103" s="14" t="str">
        <f>IF(Calculator!$C$12=20,ROUNDUP(-PPMT(Calculator!$C$13/12,$O103,240,Calculator!$C$11,0,),0),"")</f>
        <v/>
      </c>
      <c r="S103" s="14" t="str">
        <f>IF(Calculator!$C$12=20,ROUNDUP(-IPMT(Calculator!$C$13/12,$O103,240,Calculator!$C$11,0,),0),"")</f>
        <v/>
      </c>
      <c r="T103" s="14" t="str">
        <f>IF(Calculator!$C$12=20,Q103-R103,"")</f>
        <v/>
      </c>
    </row>
    <row r="104" spans="1:20" x14ac:dyDescent="0.25">
      <c r="A104" s="13">
        <v>100</v>
      </c>
      <c r="B104" s="14">
        <f>IF(Calculator!$C$12=12,Calculator!$C$14,"")</f>
        <v>158</v>
      </c>
      <c r="C104" s="14">
        <f t="shared" si="3"/>
        <v>5969</v>
      </c>
      <c r="D104" s="14">
        <f>IF(Calculator!$C$12=12,ROUNDUP(-PPMT(Calculator!$C$13/12,$A104,144,Calculator!$C$11,0,),0),"")</f>
        <v>114</v>
      </c>
      <c r="E104" s="14">
        <f>IF(Calculator!$C$12=12,ROUNDUP(-IPMT(Calculator!$C$13/12,$A104,144,Calculator!$C$11,0,),0),"")</f>
        <v>44</v>
      </c>
      <c r="F104" s="14">
        <f>IF(Calculator!$C$12=12,C104-D104,"")</f>
        <v>5855</v>
      </c>
      <c r="H104" s="13">
        <v>100</v>
      </c>
      <c r="I104" s="14" t="str">
        <f>IF(Calculator!$C$12=12,"",Calculator!$C$14)</f>
        <v/>
      </c>
      <c r="J104" s="14" t="str">
        <f t="shared" si="4"/>
        <v/>
      </c>
      <c r="K104" s="14" t="str">
        <f>IF(Calculator!$C$12=15,ROUNDUP(-PPMT(Calculator!$C$13/12,$H104,180,Calculator!$C$11,0,),0),"")</f>
        <v/>
      </c>
      <c r="L104" s="14" t="str">
        <f>IF(Calculator!$C$12=15,ROUNDUP(-IPMT(Calculator!$C$13/12,$H104,180,Calculator!$C$11,0,),0),"")</f>
        <v/>
      </c>
      <c r="M104" s="14" t="str">
        <f>IF(Calculator!$C$12=15,J104-K104,"")</f>
        <v/>
      </c>
      <c r="O104" s="13">
        <v>100</v>
      </c>
      <c r="P104" s="14" t="str">
        <f>IF(Calculator!$C$12=20,Calculator!$C$14,"")</f>
        <v/>
      </c>
      <c r="Q104" s="14" t="str">
        <f t="shared" si="5"/>
        <v/>
      </c>
      <c r="R104" s="14" t="str">
        <f>IF(Calculator!$C$12=20,ROUNDUP(-PPMT(Calculator!$C$13/12,$O104,240,Calculator!$C$11,0,),0),"")</f>
        <v/>
      </c>
      <c r="S104" s="14" t="str">
        <f>IF(Calculator!$C$12=20,ROUNDUP(-IPMT(Calculator!$C$13/12,$O104,240,Calculator!$C$11,0,),0),"")</f>
        <v/>
      </c>
      <c r="T104" s="14" t="str">
        <f>IF(Calculator!$C$12=20,Q104-R104,"")</f>
        <v/>
      </c>
    </row>
    <row r="105" spans="1:20" x14ac:dyDescent="0.25">
      <c r="A105" s="13">
        <v>101</v>
      </c>
      <c r="B105" s="14">
        <f>IF(Calculator!$C$12=12,Calculator!$C$14,"")</f>
        <v>158</v>
      </c>
      <c r="C105" s="14">
        <f t="shared" si="3"/>
        <v>5855</v>
      </c>
      <c r="D105" s="14">
        <f>IF(Calculator!$C$12=12,ROUNDUP(-PPMT(Calculator!$C$13/12,$A105,144,Calculator!$C$11,0,),0),"")</f>
        <v>115</v>
      </c>
      <c r="E105" s="14">
        <f>IF(Calculator!$C$12=12,ROUNDUP(-IPMT(Calculator!$C$13/12,$A105,144,Calculator!$C$11,0,),0),"")</f>
        <v>44</v>
      </c>
      <c r="F105" s="14">
        <f>IF(Calculator!$C$12=12,C105-D105,"")</f>
        <v>5740</v>
      </c>
      <c r="H105" s="13">
        <v>101</v>
      </c>
      <c r="I105" s="14" t="str">
        <f>IF(Calculator!$C$12=12,"",Calculator!$C$14)</f>
        <v/>
      </c>
      <c r="J105" s="14" t="str">
        <f t="shared" si="4"/>
        <v/>
      </c>
      <c r="K105" s="14" t="str">
        <f>IF(Calculator!$C$12=15,ROUNDUP(-PPMT(Calculator!$C$13/12,$H105,180,Calculator!$C$11,0,),0),"")</f>
        <v/>
      </c>
      <c r="L105" s="14" t="str">
        <f>IF(Calculator!$C$12=15,ROUNDUP(-IPMT(Calculator!$C$13/12,$H105,180,Calculator!$C$11,0,),0),"")</f>
        <v/>
      </c>
      <c r="M105" s="14" t="str">
        <f>IF(Calculator!$C$12=15,J105-K105,"")</f>
        <v/>
      </c>
      <c r="O105" s="13">
        <v>101</v>
      </c>
      <c r="P105" s="14" t="str">
        <f>IF(Calculator!$C$12=20,Calculator!$C$14,"")</f>
        <v/>
      </c>
      <c r="Q105" s="14" t="str">
        <f t="shared" si="5"/>
        <v/>
      </c>
      <c r="R105" s="14" t="str">
        <f>IF(Calculator!$C$12=20,ROUNDUP(-PPMT(Calculator!$C$13/12,$O105,240,Calculator!$C$11,0,),0),"")</f>
        <v/>
      </c>
      <c r="S105" s="14" t="str">
        <f>IF(Calculator!$C$12=20,ROUNDUP(-IPMT(Calculator!$C$13/12,$O105,240,Calculator!$C$11,0,),0),"")</f>
        <v/>
      </c>
      <c r="T105" s="14" t="str">
        <f>IF(Calculator!$C$12=20,Q105-R105,"")</f>
        <v/>
      </c>
    </row>
    <row r="106" spans="1:20" x14ac:dyDescent="0.25">
      <c r="A106" s="13">
        <v>102</v>
      </c>
      <c r="B106" s="14">
        <f>IF(Calculator!$C$12=12,Calculator!$C$14,"")</f>
        <v>158</v>
      </c>
      <c r="C106" s="14">
        <f t="shared" si="3"/>
        <v>5740</v>
      </c>
      <c r="D106" s="14">
        <f>IF(Calculator!$C$12=12,ROUNDUP(-PPMT(Calculator!$C$13/12,$A106,144,Calculator!$C$11,0,),0),"")</f>
        <v>116</v>
      </c>
      <c r="E106" s="14">
        <f>IF(Calculator!$C$12=12,ROUNDUP(-IPMT(Calculator!$C$13/12,$A106,144,Calculator!$C$11,0,),0),"")</f>
        <v>43</v>
      </c>
      <c r="F106" s="14">
        <f>IF(Calculator!$C$12=12,C106-D106,"")</f>
        <v>5624</v>
      </c>
      <c r="H106" s="13">
        <v>102</v>
      </c>
      <c r="I106" s="14" t="str">
        <f>IF(Calculator!$C$12=12,"",Calculator!$C$14)</f>
        <v/>
      </c>
      <c r="J106" s="14" t="str">
        <f t="shared" si="4"/>
        <v/>
      </c>
      <c r="K106" s="14" t="str">
        <f>IF(Calculator!$C$12=15,ROUNDUP(-PPMT(Calculator!$C$13/12,$H106,180,Calculator!$C$11,0,),0),"")</f>
        <v/>
      </c>
      <c r="L106" s="14" t="str">
        <f>IF(Calculator!$C$12=15,ROUNDUP(-IPMT(Calculator!$C$13/12,$H106,180,Calculator!$C$11,0,),0),"")</f>
        <v/>
      </c>
      <c r="M106" s="14" t="str">
        <f>IF(Calculator!$C$12=15,J106-K106,"")</f>
        <v/>
      </c>
      <c r="O106" s="13">
        <v>102</v>
      </c>
      <c r="P106" s="14" t="str">
        <f>IF(Calculator!$C$12=20,Calculator!$C$14,"")</f>
        <v/>
      </c>
      <c r="Q106" s="14" t="str">
        <f t="shared" si="5"/>
        <v/>
      </c>
      <c r="R106" s="14" t="str">
        <f>IF(Calculator!$C$12=20,ROUNDUP(-PPMT(Calculator!$C$13/12,$O106,240,Calculator!$C$11,0,),0),"")</f>
        <v/>
      </c>
      <c r="S106" s="14" t="str">
        <f>IF(Calculator!$C$12=20,ROUNDUP(-IPMT(Calculator!$C$13/12,$O106,240,Calculator!$C$11,0,),0),"")</f>
        <v/>
      </c>
      <c r="T106" s="14" t="str">
        <f>IF(Calculator!$C$12=20,Q106-R106,"")</f>
        <v/>
      </c>
    </row>
    <row r="107" spans="1:20" x14ac:dyDescent="0.25">
      <c r="A107" s="13">
        <v>103</v>
      </c>
      <c r="B107" s="14">
        <f>IF(Calculator!$C$12=12,Calculator!$C$14,"")</f>
        <v>158</v>
      </c>
      <c r="C107" s="14">
        <f t="shared" si="3"/>
        <v>5624</v>
      </c>
      <c r="D107" s="14">
        <f>IF(Calculator!$C$12=12,ROUNDUP(-PPMT(Calculator!$C$13/12,$A107,144,Calculator!$C$11,0,),0),"")</f>
        <v>116</v>
      </c>
      <c r="E107" s="14">
        <f>IF(Calculator!$C$12=12,ROUNDUP(-IPMT(Calculator!$C$13/12,$A107,144,Calculator!$C$11,0,),0),"")</f>
        <v>42</v>
      </c>
      <c r="F107" s="14">
        <f>IF(Calculator!$C$12=12,C107-D107,"")</f>
        <v>5508</v>
      </c>
      <c r="H107" s="13">
        <v>103</v>
      </c>
      <c r="I107" s="14" t="str">
        <f>IF(Calculator!$C$12=12,"",Calculator!$C$14)</f>
        <v/>
      </c>
      <c r="J107" s="14" t="str">
        <f t="shared" si="4"/>
        <v/>
      </c>
      <c r="K107" s="14" t="str">
        <f>IF(Calculator!$C$12=15,ROUNDUP(-PPMT(Calculator!$C$13/12,$H107,180,Calculator!$C$11,0,),0),"")</f>
        <v/>
      </c>
      <c r="L107" s="14" t="str">
        <f>IF(Calculator!$C$12=15,ROUNDUP(-IPMT(Calculator!$C$13/12,$H107,180,Calculator!$C$11,0,),0),"")</f>
        <v/>
      </c>
      <c r="M107" s="14" t="str">
        <f>IF(Calculator!$C$12=15,J107-K107,"")</f>
        <v/>
      </c>
      <c r="O107" s="13">
        <v>103</v>
      </c>
      <c r="P107" s="14" t="str">
        <f>IF(Calculator!$C$12=20,Calculator!$C$14,"")</f>
        <v/>
      </c>
      <c r="Q107" s="14" t="str">
        <f t="shared" si="5"/>
        <v/>
      </c>
      <c r="R107" s="14" t="str">
        <f>IF(Calculator!$C$12=20,ROUNDUP(-PPMT(Calculator!$C$13/12,$O107,240,Calculator!$C$11,0,),0),"")</f>
        <v/>
      </c>
      <c r="S107" s="14" t="str">
        <f>IF(Calculator!$C$12=20,ROUNDUP(-IPMT(Calculator!$C$13/12,$O107,240,Calculator!$C$11,0,),0),"")</f>
        <v/>
      </c>
      <c r="T107" s="14" t="str">
        <f>IF(Calculator!$C$12=20,Q107-R107,"")</f>
        <v/>
      </c>
    </row>
    <row r="108" spans="1:20" x14ac:dyDescent="0.25">
      <c r="A108" s="13">
        <v>104</v>
      </c>
      <c r="B108" s="14">
        <f>IF(Calculator!$C$12=12,Calculator!$C$14,"")</f>
        <v>158</v>
      </c>
      <c r="C108" s="14">
        <f t="shared" si="3"/>
        <v>5508</v>
      </c>
      <c r="D108" s="14">
        <f>IF(Calculator!$C$12=12,ROUNDUP(-PPMT(Calculator!$C$13/12,$A108,144,Calculator!$C$11,0,),0),"")</f>
        <v>117</v>
      </c>
      <c r="E108" s="14">
        <f>IF(Calculator!$C$12=12,ROUNDUP(-IPMT(Calculator!$C$13/12,$A108,144,Calculator!$C$11,0,),0),"")</f>
        <v>41</v>
      </c>
      <c r="F108" s="14">
        <f>IF(Calculator!$C$12=12,C108-D108,"")</f>
        <v>5391</v>
      </c>
      <c r="H108" s="13">
        <v>104</v>
      </c>
      <c r="I108" s="14" t="str">
        <f>IF(Calculator!$C$12=12,"",Calculator!$C$14)</f>
        <v/>
      </c>
      <c r="J108" s="14" t="str">
        <f t="shared" si="4"/>
        <v/>
      </c>
      <c r="K108" s="14" t="str">
        <f>IF(Calculator!$C$12=15,ROUNDUP(-PPMT(Calculator!$C$13/12,$H108,180,Calculator!$C$11,0,),0),"")</f>
        <v/>
      </c>
      <c r="L108" s="14" t="str">
        <f>IF(Calculator!$C$12=15,ROUNDUP(-IPMT(Calculator!$C$13/12,$H108,180,Calculator!$C$11,0,),0),"")</f>
        <v/>
      </c>
      <c r="M108" s="14" t="str">
        <f>IF(Calculator!$C$12=15,J108-K108,"")</f>
        <v/>
      </c>
      <c r="O108" s="13">
        <v>104</v>
      </c>
      <c r="P108" s="14" t="str">
        <f>IF(Calculator!$C$12=20,Calculator!$C$14,"")</f>
        <v/>
      </c>
      <c r="Q108" s="14" t="str">
        <f t="shared" si="5"/>
        <v/>
      </c>
      <c r="R108" s="14" t="str">
        <f>IF(Calculator!$C$12=20,ROUNDUP(-PPMT(Calculator!$C$13/12,$O108,240,Calculator!$C$11,0,),0),"")</f>
        <v/>
      </c>
      <c r="S108" s="14" t="str">
        <f>IF(Calculator!$C$12=20,ROUNDUP(-IPMT(Calculator!$C$13/12,$O108,240,Calculator!$C$11,0,),0),"")</f>
        <v/>
      </c>
      <c r="T108" s="14" t="str">
        <f>IF(Calculator!$C$12=20,Q108-R108,"")</f>
        <v/>
      </c>
    </row>
    <row r="109" spans="1:20" x14ac:dyDescent="0.25">
      <c r="A109" s="13">
        <v>105</v>
      </c>
      <c r="B109" s="14">
        <f>IF(Calculator!$C$12=12,Calculator!$C$14,"")</f>
        <v>158</v>
      </c>
      <c r="C109" s="14">
        <f t="shared" si="3"/>
        <v>5391</v>
      </c>
      <c r="D109" s="14">
        <f>IF(Calculator!$C$12=12,ROUNDUP(-PPMT(Calculator!$C$13/12,$A109,144,Calculator!$C$11,0,),0),"")</f>
        <v>118</v>
      </c>
      <c r="E109" s="14">
        <f>IF(Calculator!$C$12=12,ROUNDUP(-IPMT(Calculator!$C$13/12,$A109,144,Calculator!$C$11,0,),0),"")</f>
        <v>40</v>
      </c>
      <c r="F109" s="14">
        <f>IF(Calculator!$C$12=12,C109-D109,"")</f>
        <v>5273</v>
      </c>
      <c r="H109" s="13">
        <v>105</v>
      </c>
      <c r="I109" s="14" t="str">
        <f>IF(Calculator!$C$12=12,"",Calculator!$C$14)</f>
        <v/>
      </c>
      <c r="J109" s="14" t="str">
        <f t="shared" si="4"/>
        <v/>
      </c>
      <c r="K109" s="14" t="str">
        <f>IF(Calculator!$C$12=15,ROUNDUP(-PPMT(Calculator!$C$13/12,$H109,180,Calculator!$C$11,0,),0),"")</f>
        <v/>
      </c>
      <c r="L109" s="14" t="str">
        <f>IF(Calculator!$C$12=15,ROUNDUP(-IPMT(Calculator!$C$13/12,$H109,180,Calculator!$C$11,0,),0),"")</f>
        <v/>
      </c>
      <c r="M109" s="14" t="str">
        <f>IF(Calculator!$C$12=15,J109-K109,"")</f>
        <v/>
      </c>
      <c r="O109" s="13">
        <v>105</v>
      </c>
      <c r="P109" s="14" t="str">
        <f>IF(Calculator!$C$12=20,Calculator!$C$14,"")</f>
        <v/>
      </c>
      <c r="Q109" s="14" t="str">
        <f t="shared" si="5"/>
        <v/>
      </c>
      <c r="R109" s="14" t="str">
        <f>IF(Calculator!$C$12=20,ROUNDUP(-PPMT(Calculator!$C$13/12,$O109,240,Calculator!$C$11,0,),0),"")</f>
        <v/>
      </c>
      <c r="S109" s="14" t="str">
        <f>IF(Calculator!$C$12=20,ROUNDUP(-IPMT(Calculator!$C$13/12,$O109,240,Calculator!$C$11,0,),0),"")</f>
        <v/>
      </c>
      <c r="T109" s="14" t="str">
        <f>IF(Calculator!$C$12=20,Q109-R109,"")</f>
        <v/>
      </c>
    </row>
    <row r="110" spans="1:20" x14ac:dyDescent="0.25">
      <c r="A110" s="13">
        <v>106</v>
      </c>
      <c r="B110" s="14">
        <f>IF(Calculator!$C$12=12,Calculator!$C$14,"")</f>
        <v>158</v>
      </c>
      <c r="C110" s="14">
        <f t="shared" si="3"/>
        <v>5273</v>
      </c>
      <c r="D110" s="14">
        <f>IF(Calculator!$C$12=12,ROUNDUP(-PPMT(Calculator!$C$13/12,$A110,144,Calculator!$C$11,0,),0),"")</f>
        <v>119</v>
      </c>
      <c r="E110" s="14">
        <f>IF(Calculator!$C$12=12,ROUNDUP(-IPMT(Calculator!$C$13/12,$A110,144,Calculator!$C$11,0,),0),"")</f>
        <v>39</v>
      </c>
      <c r="F110" s="14">
        <f>IF(Calculator!$C$12=12,C110-D110,"")</f>
        <v>5154</v>
      </c>
      <c r="H110" s="13">
        <v>106</v>
      </c>
      <c r="I110" s="14" t="str">
        <f>IF(Calculator!$C$12=12,"",Calculator!$C$14)</f>
        <v/>
      </c>
      <c r="J110" s="14" t="str">
        <f t="shared" si="4"/>
        <v/>
      </c>
      <c r="K110" s="14" t="str">
        <f>IF(Calculator!$C$12=15,ROUNDUP(-PPMT(Calculator!$C$13/12,$H110,180,Calculator!$C$11,0,),0),"")</f>
        <v/>
      </c>
      <c r="L110" s="14" t="str">
        <f>IF(Calculator!$C$12=15,ROUNDUP(-IPMT(Calculator!$C$13/12,$H110,180,Calculator!$C$11,0,),0),"")</f>
        <v/>
      </c>
      <c r="M110" s="14" t="str">
        <f>IF(Calculator!$C$12=15,J110-K110,"")</f>
        <v/>
      </c>
      <c r="O110" s="13">
        <v>106</v>
      </c>
      <c r="P110" s="14" t="str">
        <f>IF(Calculator!$C$12=20,Calculator!$C$14,"")</f>
        <v/>
      </c>
      <c r="Q110" s="14" t="str">
        <f t="shared" si="5"/>
        <v/>
      </c>
      <c r="R110" s="14" t="str">
        <f>IF(Calculator!$C$12=20,ROUNDUP(-PPMT(Calculator!$C$13/12,$O110,240,Calculator!$C$11,0,),0),"")</f>
        <v/>
      </c>
      <c r="S110" s="14" t="str">
        <f>IF(Calculator!$C$12=20,ROUNDUP(-IPMT(Calculator!$C$13/12,$O110,240,Calculator!$C$11,0,),0),"")</f>
        <v/>
      </c>
      <c r="T110" s="14" t="str">
        <f>IF(Calculator!$C$12=20,Q110-R110,"")</f>
        <v/>
      </c>
    </row>
    <row r="111" spans="1:20" x14ac:dyDescent="0.25">
      <c r="A111" s="13">
        <v>107</v>
      </c>
      <c r="B111" s="14">
        <f>IF(Calculator!$C$12=12,Calculator!$C$14,"")</f>
        <v>158</v>
      </c>
      <c r="C111" s="14">
        <f t="shared" si="3"/>
        <v>5154</v>
      </c>
      <c r="D111" s="14">
        <f>IF(Calculator!$C$12=12,ROUNDUP(-PPMT(Calculator!$C$13/12,$A111,144,Calculator!$C$11,0,),0),"")</f>
        <v>120</v>
      </c>
      <c r="E111" s="14">
        <f>IF(Calculator!$C$12=12,ROUNDUP(-IPMT(Calculator!$C$13/12,$A111,144,Calculator!$C$11,0,),0),"")</f>
        <v>38</v>
      </c>
      <c r="F111" s="14">
        <f>IF(Calculator!$C$12=12,C111-D111,"")</f>
        <v>5034</v>
      </c>
      <c r="H111" s="13">
        <v>107</v>
      </c>
      <c r="I111" s="14" t="str">
        <f>IF(Calculator!$C$12=12,"",Calculator!$C$14)</f>
        <v/>
      </c>
      <c r="J111" s="14" t="str">
        <f t="shared" si="4"/>
        <v/>
      </c>
      <c r="K111" s="14" t="str">
        <f>IF(Calculator!$C$12=15,ROUNDUP(-PPMT(Calculator!$C$13/12,$H111,180,Calculator!$C$11,0,),0),"")</f>
        <v/>
      </c>
      <c r="L111" s="14" t="str">
        <f>IF(Calculator!$C$12=15,ROUNDUP(-IPMT(Calculator!$C$13/12,$H111,180,Calculator!$C$11,0,),0),"")</f>
        <v/>
      </c>
      <c r="M111" s="14" t="str">
        <f>IF(Calculator!$C$12=15,J111-K111,"")</f>
        <v/>
      </c>
      <c r="O111" s="13">
        <v>107</v>
      </c>
      <c r="P111" s="14" t="str">
        <f>IF(Calculator!$C$12=20,Calculator!$C$14,"")</f>
        <v/>
      </c>
      <c r="Q111" s="14" t="str">
        <f t="shared" si="5"/>
        <v/>
      </c>
      <c r="R111" s="14" t="str">
        <f>IF(Calculator!$C$12=20,ROUNDUP(-PPMT(Calculator!$C$13/12,$O111,240,Calculator!$C$11,0,),0),"")</f>
        <v/>
      </c>
      <c r="S111" s="14" t="str">
        <f>IF(Calculator!$C$12=20,ROUNDUP(-IPMT(Calculator!$C$13/12,$O111,240,Calculator!$C$11,0,),0),"")</f>
        <v/>
      </c>
      <c r="T111" s="14" t="str">
        <f>IF(Calculator!$C$12=20,Q111-R111,"")</f>
        <v/>
      </c>
    </row>
    <row r="112" spans="1:20" x14ac:dyDescent="0.25">
      <c r="A112" s="13">
        <v>108</v>
      </c>
      <c r="B112" s="14">
        <f>IF(Calculator!$C$12=12,Calculator!$C$14,"")</f>
        <v>158</v>
      </c>
      <c r="C112" s="14">
        <f t="shared" si="3"/>
        <v>5034</v>
      </c>
      <c r="D112" s="14">
        <f>IF(Calculator!$C$12=12,ROUNDUP(-PPMT(Calculator!$C$13/12,$A112,144,Calculator!$C$11,0,),0),"")</f>
        <v>121</v>
      </c>
      <c r="E112" s="14">
        <f>IF(Calculator!$C$12=12,ROUNDUP(-IPMT(Calculator!$C$13/12,$A112,144,Calculator!$C$11,0,),0),"")</f>
        <v>38</v>
      </c>
      <c r="F112" s="14">
        <f>IF(Calculator!$C$12=12,C112-D112,"")</f>
        <v>4913</v>
      </c>
      <c r="H112" s="13">
        <v>108</v>
      </c>
      <c r="I112" s="14" t="str">
        <f>IF(Calculator!$C$12=12,"",Calculator!$C$14)</f>
        <v/>
      </c>
      <c r="J112" s="14" t="str">
        <f t="shared" si="4"/>
        <v/>
      </c>
      <c r="K112" s="14" t="str">
        <f>IF(Calculator!$C$12=15,ROUNDUP(-PPMT(Calculator!$C$13/12,$H112,180,Calculator!$C$11,0,),0),"")</f>
        <v/>
      </c>
      <c r="L112" s="14" t="str">
        <f>IF(Calculator!$C$12=15,ROUNDUP(-IPMT(Calculator!$C$13/12,$H112,180,Calculator!$C$11,0,),0),"")</f>
        <v/>
      </c>
      <c r="M112" s="14" t="str">
        <f>IF(Calculator!$C$12=15,J112-K112,"")</f>
        <v/>
      </c>
      <c r="O112" s="13">
        <v>108</v>
      </c>
      <c r="P112" s="14" t="str">
        <f>IF(Calculator!$C$12=20,Calculator!$C$14,"")</f>
        <v/>
      </c>
      <c r="Q112" s="14" t="str">
        <f t="shared" si="5"/>
        <v/>
      </c>
      <c r="R112" s="14" t="str">
        <f>IF(Calculator!$C$12=20,ROUNDUP(-PPMT(Calculator!$C$13/12,$O112,240,Calculator!$C$11,0,),0),"")</f>
        <v/>
      </c>
      <c r="S112" s="14" t="str">
        <f>IF(Calculator!$C$12=20,ROUNDUP(-IPMT(Calculator!$C$13/12,$O112,240,Calculator!$C$11,0,),0),"")</f>
        <v/>
      </c>
      <c r="T112" s="14" t="str">
        <f>IF(Calculator!$C$12=20,Q112-R112,"")</f>
        <v/>
      </c>
    </row>
    <row r="113" spans="1:20" x14ac:dyDescent="0.25">
      <c r="A113" s="13">
        <v>109</v>
      </c>
      <c r="B113" s="14">
        <f>IF(Calculator!$C$12=12,Calculator!$C$14,"")</f>
        <v>158</v>
      </c>
      <c r="C113" s="14">
        <f t="shared" si="3"/>
        <v>4913</v>
      </c>
      <c r="D113" s="14">
        <f>IF(Calculator!$C$12=12,ROUNDUP(-PPMT(Calculator!$C$13/12,$A113,144,Calculator!$C$11,0,),0),"")</f>
        <v>122</v>
      </c>
      <c r="E113" s="14">
        <f>IF(Calculator!$C$12=12,ROUNDUP(-IPMT(Calculator!$C$13/12,$A113,144,Calculator!$C$11,0,),0),"")</f>
        <v>37</v>
      </c>
      <c r="F113" s="14">
        <f>IF(Calculator!$C$12=12,C113-D113,"")</f>
        <v>4791</v>
      </c>
      <c r="H113" s="13">
        <v>109</v>
      </c>
      <c r="I113" s="14" t="str">
        <f>IF(Calculator!$C$12=12,"",Calculator!$C$14)</f>
        <v/>
      </c>
      <c r="J113" s="14" t="str">
        <f t="shared" si="4"/>
        <v/>
      </c>
      <c r="K113" s="14" t="str">
        <f>IF(Calculator!$C$12=15,ROUNDUP(-PPMT(Calculator!$C$13/12,$H113,180,Calculator!$C$11,0,),0),"")</f>
        <v/>
      </c>
      <c r="L113" s="14" t="str">
        <f>IF(Calculator!$C$12=15,ROUNDUP(-IPMT(Calculator!$C$13/12,$H113,180,Calculator!$C$11,0,),0),"")</f>
        <v/>
      </c>
      <c r="M113" s="14" t="str">
        <f>IF(Calculator!$C$12=15,J113-K113,"")</f>
        <v/>
      </c>
      <c r="O113" s="13">
        <v>109</v>
      </c>
      <c r="P113" s="14" t="str">
        <f>IF(Calculator!$C$12=20,Calculator!$C$14,"")</f>
        <v/>
      </c>
      <c r="Q113" s="14" t="str">
        <f t="shared" si="5"/>
        <v/>
      </c>
      <c r="R113" s="14" t="str">
        <f>IF(Calculator!$C$12=20,ROUNDUP(-PPMT(Calculator!$C$13/12,$O113,240,Calculator!$C$11,0,),0),"")</f>
        <v/>
      </c>
      <c r="S113" s="14" t="str">
        <f>IF(Calculator!$C$12=20,ROUNDUP(-IPMT(Calculator!$C$13/12,$O113,240,Calculator!$C$11,0,),0),"")</f>
        <v/>
      </c>
      <c r="T113" s="14" t="str">
        <f>IF(Calculator!$C$12=20,Q113-R113,"")</f>
        <v/>
      </c>
    </row>
    <row r="114" spans="1:20" x14ac:dyDescent="0.25">
      <c r="A114" s="13">
        <v>110</v>
      </c>
      <c r="B114" s="14">
        <f>IF(Calculator!$C$12=12,Calculator!$C$14,"")</f>
        <v>158</v>
      </c>
      <c r="C114" s="14">
        <f t="shared" si="3"/>
        <v>4791</v>
      </c>
      <c r="D114" s="14">
        <f>IF(Calculator!$C$12=12,ROUNDUP(-PPMT(Calculator!$C$13/12,$A114,144,Calculator!$C$11,0,),0),"")</f>
        <v>123</v>
      </c>
      <c r="E114" s="14">
        <f>IF(Calculator!$C$12=12,ROUNDUP(-IPMT(Calculator!$C$13/12,$A114,144,Calculator!$C$11,0,),0),"")</f>
        <v>36</v>
      </c>
      <c r="F114" s="14">
        <f>IF(Calculator!$C$12=12,C114-D114,"")</f>
        <v>4668</v>
      </c>
      <c r="H114" s="13">
        <v>110</v>
      </c>
      <c r="I114" s="14" t="str">
        <f>IF(Calculator!$C$12=12,"",Calculator!$C$14)</f>
        <v/>
      </c>
      <c r="J114" s="14" t="str">
        <f t="shared" si="4"/>
        <v/>
      </c>
      <c r="K114" s="14" t="str">
        <f>IF(Calculator!$C$12=15,ROUNDUP(-PPMT(Calculator!$C$13/12,$H114,180,Calculator!$C$11,0,),0),"")</f>
        <v/>
      </c>
      <c r="L114" s="14" t="str">
        <f>IF(Calculator!$C$12=15,ROUNDUP(-IPMT(Calculator!$C$13/12,$H114,180,Calculator!$C$11,0,),0),"")</f>
        <v/>
      </c>
      <c r="M114" s="14" t="str">
        <f>IF(Calculator!$C$12=15,J114-K114,"")</f>
        <v/>
      </c>
      <c r="O114" s="13">
        <v>110</v>
      </c>
      <c r="P114" s="14" t="str">
        <f>IF(Calculator!$C$12=20,Calculator!$C$14,"")</f>
        <v/>
      </c>
      <c r="Q114" s="14" t="str">
        <f t="shared" si="5"/>
        <v/>
      </c>
      <c r="R114" s="14" t="str">
        <f>IF(Calculator!$C$12=20,ROUNDUP(-PPMT(Calculator!$C$13/12,$O114,240,Calculator!$C$11,0,),0),"")</f>
        <v/>
      </c>
      <c r="S114" s="14" t="str">
        <f>IF(Calculator!$C$12=20,ROUNDUP(-IPMT(Calculator!$C$13/12,$O114,240,Calculator!$C$11,0,),0),"")</f>
        <v/>
      </c>
      <c r="T114" s="14" t="str">
        <f>IF(Calculator!$C$12=20,Q114-R114,"")</f>
        <v/>
      </c>
    </row>
    <row r="115" spans="1:20" x14ac:dyDescent="0.25">
      <c r="A115" s="13">
        <v>111</v>
      </c>
      <c r="B115" s="14">
        <f>IF(Calculator!$C$12=12,Calculator!$C$14,"")</f>
        <v>158</v>
      </c>
      <c r="C115" s="14">
        <f t="shared" si="3"/>
        <v>4668</v>
      </c>
      <c r="D115" s="14">
        <f>IF(Calculator!$C$12=12,ROUNDUP(-PPMT(Calculator!$C$13/12,$A115,144,Calculator!$C$11,0,),0),"")</f>
        <v>123</v>
      </c>
      <c r="E115" s="14">
        <f>IF(Calculator!$C$12=12,ROUNDUP(-IPMT(Calculator!$C$13/12,$A115,144,Calculator!$C$11,0,),0),"")</f>
        <v>35</v>
      </c>
      <c r="F115" s="14">
        <f>IF(Calculator!$C$12=12,C115-D115,"")</f>
        <v>4545</v>
      </c>
      <c r="H115" s="13">
        <v>111</v>
      </c>
      <c r="I115" s="14" t="str">
        <f>IF(Calculator!$C$12=12,"",Calculator!$C$14)</f>
        <v/>
      </c>
      <c r="J115" s="14" t="str">
        <f t="shared" si="4"/>
        <v/>
      </c>
      <c r="K115" s="14" t="str">
        <f>IF(Calculator!$C$12=15,ROUNDUP(-PPMT(Calculator!$C$13/12,$H115,180,Calculator!$C$11,0,),0),"")</f>
        <v/>
      </c>
      <c r="L115" s="14" t="str">
        <f>IF(Calculator!$C$12=15,ROUNDUP(-IPMT(Calculator!$C$13/12,$H115,180,Calculator!$C$11,0,),0),"")</f>
        <v/>
      </c>
      <c r="M115" s="14" t="str">
        <f>IF(Calculator!$C$12=15,J115-K115,"")</f>
        <v/>
      </c>
      <c r="O115" s="13">
        <v>111</v>
      </c>
      <c r="P115" s="14" t="str">
        <f>IF(Calculator!$C$12=20,Calculator!$C$14,"")</f>
        <v/>
      </c>
      <c r="Q115" s="14" t="str">
        <f t="shared" si="5"/>
        <v/>
      </c>
      <c r="R115" s="14" t="str">
        <f>IF(Calculator!$C$12=20,ROUNDUP(-PPMT(Calculator!$C$13/12,$O115,240,Calculator!$C$11,0,),0),"")</f>
        <v/>
      </c>
      <c r="S115" s="14" t="str">
        <f>IF(Calculator!$C$12=20,ROUNDUP(-IPMT(Calculator!$C$13/12,$O115,240,Calculator!$C$11,0,),0),"")</f>
        <v/>
      </c>
      <c r="T115" s="14" t="str">
        <f>IF(Calculator!$C$12=20,Q115-R115,"")</f>
        <v/>
      </c>
    </row>
    <row r="116" spans="1:20" x14ac:dyDescent="0.25">
      <c r="A116" s="13">
        <v>112</v>
      </c>
      <c r="B116" s="14">
        <f>IF(Calculator!$C$12=12,Calculator!$C$14,"")</f>
        <v>158</v>
      </c>
      <c r="C116" s="14">
        <f t="shared" si="3"/>
        <v>4545</v>
      </c>
      <c r="D116" s="14">
        <f>IF(Calculator!$C$12=12,ROUNDUP(-PPMT(Calculator!$C$13/12,$A116,144,Calculator!$C$11,0,),0),"")</f>
        <v>124</v>
      </c>
      <c r="E116" s="14">
        <f>IF(Calculator!$C$12=12,ROUNDUP(-IPMT(Calculator!$C$13/12,$A116,144,Calculator!$C$11,0,),0),"")</f>
        <v>34</v>
      </c>
      <c r="F116" s="14">
        <f>IF(Calculator!$C$12=12,C116-D116,"")</f>
        <v>4421</v>
      </c>
      <c r="H116" s="13">
        <v>112</v>
      </c>
      <c r="I116" s="14" t="str">
        <f>IF(Calculator!$C$12=12,"",Calculator!$C$14)</f>
        <v/>
      </c>
      <c r="J116" s="14" t="str">
        <f t="shared" si="4"/>
        <v/>
      </c>
      <c r="K116" s="14" t="str">
        <f>IF(Calculator!$C$12=15,ROUNDUP(-PPMT(Calculator!$C$13/12,$H116,180,Calculator!$C$11,0,),0),"")</f>
        <v/>
      </c>
      <c r="L116" s="14" t="str">
        <f>IF(Calculator!$C$12=15,ROUNDUP(-IPMT(Calculator!$C$13/12,$H116,180,Calculator!$C$11,0,),0),"")</f>
        <v/>
      </c>
      <c r="M116" s="14" t="str">
        <f>IF(Calculator!$C$12=15,J116-K116,"")</f>
        <v/>
      </c>
      <c r="O116" s="13">
        <v>112</v>
      </c>
      <c r="P116" s="14" t="str">
        <f>IF(Calculator!$C$12=20,Calculator!$C$14,"")</f>
        <v/>
      </c>
      <c r="Q116" s="14" t="str">
        <f t="shared" si="5"/>
        <v/>
      </c>
      <c r="R116" s="14" t="str">
        <f>IF(Calculator!$C$12=20,ROUNDUP(-PPMT(Calculator!$C$13/12,$O116,240,Calculator!$C$11,0,),0),"")</f>
        <v/>
      </c>
      <c r="S116" s="14" t="str">
        <f>IF(Calculator!$C$12=20,ROUNDUP(-IPMT(Calculator!$C$13/12,$O116,240,Calculator!$C$11,0,),0),"")</f>
        <v/>
      </c>
      <c r="T116" s="14" t="str">
        <f>IF(Calculator!$C$12=20,Q116-R116,"")</f>
        <v/>
      </c>
    </row>
    <row r="117" spans="1:20" x14ac:dyDescent="0.25">
      <c r="A117" s="13">
        <v>113</v>
      </c>
      <c r="B117" s="14">
        <f>IF(Calculator!$C$12=12,Calculator!$C$14,"")</f>
        <v>158</v>
      </c>
      <c r="C117" s="14">
        <f t="shared" si="3"/>
        <v>4421</v>
      </c>
      <c r="D117" s="14">
        <f>IF(Calculator!$C$12=12,ROUNDUP(-PPMT(Calculator!$C$13/12,$A117,144,Calculator!$C$11,0,),0),"")</f>
        <v>125</v>
      </c>
      <c r="E117" s="14">
        <f>IF(Calculator!$C$12=12,ROUNDUP(-IPMT(Calculator!$C$13/12,$A117,144,Calculator!$C$11,0,),0),"")</f>
        <v>33</v>
      </c>
      <c r="F117" s="14">
        <f>IF(Calculator!$C$12=12,C117-D117,"")</f>
        <v>4296</v>
      </c>
      <c r="H117" s="13">
        <v>113</v>
      </c>
      <c r="I117" s="14" t="str">
        <f>IF(Calculator!$C$12=12,"",Calculator!$C$14)</f>
        <v/>
      </c>
      <c r="J117" s="14" t="str">
        <f t="shared" si="4"/>
        <v/>
      </c>
      <c r="K117" s="14" t="str">
        <f>IF(Calculator!$C$12=15,ROUNDUP(-PPMT(Calculator!$C$13/12,$H117,180,Calculator!$C$11,0,),0),"")</f>
        <v/>
      </c>
      <c r="L117" s="14" t="str">
        <f>IF(Calculator!$C$12=15,ROUNDUP(-IPMT(Calculator!$C$13/12,$H117,180,Calculator!$C$11,0,),0),"")</f>
        <v/>
      </c>
      <c r="M117" s="14" t="str">
        <f>IF(Calculator!$C$12=15,J117-K117,"")</f>
        <v/>
      </c>
      <c r="O117" s="13">
        <v>113</v>
      </c>
      <c r="P117" s="14" t="str">
        <f>IF(Calculator!$C$12=20,Calculator!$C$14,"")</f>
        <v/>
      </c>
      <c r="Q117" s="14" t="str">
        <f t="shared" si="5"/>
        <v/>
      </c>
      <c r="R117" s="14" t="str">
        <f>IF(Calculator!$C$12=20,ROUNDUP(-PPMT(Calculator!$C$13/12,$O117,240,Calculator!$C$11,0,),0),"")</f>
        <v/>
      </c>
      <c r="S117" s="14" t="str">
        <f>IF(Calculator!$C$12=20,ROUNDUP(-IPMT(Calculator!$C$13/12,$O117,240,Calculator!$C$11,0,),0),"")</f>
        <v/>
      </c>
      <c r="T117" s="14" t="str">
        <f>IF(Calculator!$C$12=20,Q117-R117,"")</f>
        <v/>
      </c>
    </row>
    <row r="118" spans="1:20" x14ac:dyDescent="0.25">
      <c r="A118" s="13">
        <v>114</v>
      </c>
      <c r="B118" s="14">
        <f>IF(Calculator!$C$12=12,Calculator!$C$14,"")</f>
        <v>158</v>
      </c>
      <c r="C118" s="14">
        <f t="shared" si="3"/>
        <v>4296</v>
      </c>
      <c r="D118" s="14">
        <f>IF(Calculator!$C$12=12,ROUNDUP(-PPMT(Calculator!$C$13/12,$A118,144,Calculator!$C$11,0,),0),"")</f>
        <v>126</v>
      </c>
      <c r="E118" s="14">
        <f>IF(Calculator!$C$12=12,ROUNDUP(-IPMT(Calculator!$C$13/12,$A118,144,Calculator!$C$11,0,),0),"")</f>
        <v>32</v>
      </c>
      <c r="F118" s="14">
        <f>IF(Calculator!$C$12=12,C118-D118,"")</f>
        <v>4170</v>
      </c>
      <c r="H118" s="13">
        <v>114</v>
      </c>
      <c r="I118" s="14" t="str">
        <f>IF(Calculator!$C$12=12,"",Calculator!$C$14)</f>
        <v/>
      </c>
      <c r="J118" s="14" t="str">
        <f t="shared" si="4"/>
        <v/>
      </c>
      <c r="K118" s="14" t="str">
        <f>IF(Calculator!$C$12=15,ROUNDUP(-PPMT(Calculator!$C$13/12,$H118,180,Calculator!$C$11,0,),0),"")</f>
        <v/>
      </c>
      <c r="L118" s="14" t="str">
        <f>IF(Calculator!$C$12=15,ROUNDUP(-IPMT(Calculator!$C$13/12,$H118,180,Calculator!$C$11,0,),0),"")</f>
        <v/>
      </c>
      <c r="M118" s="14" t="str">
        <f>IF(Calculator!$C$12=15,J118-K118,"")</f>
        <v/>
      </c>
      <c r="O118" s="13">
        <v>114</v>
      </c>
      <c r="P118" s="14" t="str">
        <f>IF(Calculator!$C$12=20,Calculator!$C$14,"")</f>
        <v/>
      </c>
      <c r="Q118" s="14" t="str">
        <f t="shared" si="5"/>
        <v/>
      </c>
      <c r="R118" s="14" t="str">
        <f>IF(Calculator!$C$12=20,ROUNDUP(-PPMT(Calculator!$C$13/12,$O118,240,Calculator!$C$11,0,),0),"")</f>
        <v/>
      </c>
      <c r="S118" s="14" t="str">
        <f>IF(Calculator!$C$12=20,ROUNDUP(-IPMT(Calculator!$C$13/12,$O118,240,Calculator!$C$11,0,),0),"")</f>
        <v/>
      </c>
      <c r="T118" s="14" t="str">
        <f>IF(Calculator!$C$12=20,Q118-R118,"")</f>
        <v/>
      </c>
    </row>
    <row r="119" spans="1:20" x14ac:dyDescent="0.25">
      <c r="A119" s="13">
        <v>115</v>
      </c>
      <c r="B119" s="14">
        <f>IF(Calculator!$C$12=12,Calculator!$C$14,"")</f>
        <v>158</v>
      </c>
      <c r="C119" s="14">
        <f t="shared" si="3"/>
        <v>4170</v>
      </c>
      <c r="D119" s="14">
        <f>IF(Calculator!$C$12=12,ROUNDUP(-PPMT(Calculator!$C$13/12,$A119,144,Calculator!$C$11,0,),0),"")</f>
        <v>127</v>
      </c>
      <c r="E119" s="14">
        <f>IF(Calculator!$C$12=12,ROUNDUP(-IPMT(Calculator!$C$13/12,$A119,144,Calculator!$C$11,0,),0),"")</f>
        <v>31</v>
      </c>
      <c r="F119" s="14">
        <f>IF(Calculator!$C$12=12,C119-D119,"")</f>
        <v>4043</v>
      </c>
      <c r="H119" s="13">
        <v>115</v>
      </c>
      <c r="I119" s="14" t="str">
        <f>IF(Calculator!$C$12=12,"",Calculator!$C$14)</f>
        <v/>
      </c>
      <c r="J119" s="14" t="str">
        <f t="shared" si="4"/>
        <v/>
      </c>
      <c r="K119" s="14" t="str">
        <f>IF(Calculator!$C$12=15,ROUNDUP(-PPMT(Calculator!$C$13/12,$H119,180,Calculator!$C$11,0,),0),"")</f>
        <v/>
      </c>
      <c r="L119" s="14" t="str">
        <f>IF(Calculator!$C$12=15,ROUNDUP(-IPMT(Calculator!$C$13/12,$H119,180,Calculator!$C$11,0,),0),"")</f>
        <v/>
      </c>
      <c r="M119" s="14" t="str">
        <f>IF(Calculator!$C$12=15,J119-K119,"")</f>
        <v/>
      </c>
      <c r="O119" s="13">
        <v>115</v>
      </c>
      <c r="P119" s="14" t="str">
        <f>IF(Calculator!$C$12=20,Calculator!$C$14,"")</f>
        <v/>
      </c>
      <c r="Q119" s="14" t="str">
        <f t="shared" si="5"/>
        <v/>
      </c>
      <c r="R119" s="14" t="str">
        <f>IF(Calculator!$C$12=20,ROUNDUP(-PPMT(Calculator!$C$13/12,$O119,240,Calculator!$C$11,0,),0),"")</f>
        <v/>
      </c>
      <c r="S119" s="14" t="str">
        <f>IF(Calculator!$C$12=20,ROUNDUP(-IPMT(Calculator!$C$13/12,$O119,240,Calculator!$C$11,0,),0),"")</f>
        <v/>
      </c>
      <c r="T119" s="14" t="str">
        <f>IF(Calculator!$C$12=20,Q119-R119,"")</f>
        <v/>
      </c>
    </row>
    <row r="120" spans="1:20" x14ac:dyDescent="0.25">
      <c r="A120" s="13">
        <v>116</v>
      </c>
      <c r="B120" s="14">
        <f>IF(Calculator!$C$12=12,Calculator!$C$14,"")</f>
        <v>158</v>
      </c>
      <c r="C120" s="14">
        <f t="shared" si="3"/>
        <v>4043</v>
      </c>
      <c r="D120" s="14">
        <f>IF(Calculator!$C$12=12,ROUNDUP(-PPMT(Calculator!$C$13/12,$A120,144,Calculator!$C$11,0,),0),"")</f>
        <v>128</v>
      </c>
      <c r="E120" s="14">
        <f>IF(Calculator!$C$12=12,ROUNDUP(-IPMT(Calculator!$C$13/12,$A120,144,Calculator!$C$11,0,),0),"")</f>
        <v>30</v>
      </c>
      <c r="F120" s="14">
        <f>IF(Calculator!$C$12=12,C120-D120,"")</f>
        <v>3915</v>
      </c>
      <c r="H120" s="13">
        <v>116</v>
      </c>
      <c r="I120" s="14" t="str">
        <f>IF(Calculator!$C$12=12,"",Calculator!$C$14)</f>
        <v/>
      </c>
      <c r="J120" s="14" t="str">
        <f t="shared" si="4"/>
        <v/>
      </c>
      <c r="K120" s="14" t="str">
        <f>IF(Calculator!$C$12=15,ROUNDUP(-PPMT(Calculator!$C$13/12,$H120,180,Calculator!$C$11,0,),0),"")</f>
        <v/>
      </c>
      <c r="L120" s="14" t="str">
        <f>IF(Calculator!$C$12=15,ROUNDUP(-IPMT(Calculator!$C$13/12,$H120,180,Calculator!$C$11,0,),0),"")</f>
        <v/>
      </c>
      <c r="M120" s="14" t="str">
        <f>IF(Calculator!$C$12=15,J120-K120,"")</f>
        <v/>
      </c>
      <c r="O120" s="13">
        <v>116</v>
      </c>
      <c r="P120" s="14" t="str">
        <f>IF(Calculator!$C$12=20,Calculator!$C$14,"")</f>
        <v/>
      </c>
      <c r="Q120" s="14" t="str">
        <f t="shared" si="5"/>
        <v/>
      </c>
      <c r="R120" s="14" t="str">
        <f>IF(Calculator!$C$12=20,ROUNDUP(-PPMT(Calculator!$C$13/12,$O120,240,Calculator!$C$11,0,),0),"")</f>
        <v/>
      </c>
      <c r="S120" s="14" t="str">
        <f>IF(Calculator!$C$12=20,ROUNDUP(-IPMT(Calculator!$C$13/12,$O120,240,Calculator!$C$11,0,),0),"")</f>
        <v/>
      </c>
      <c r="T120" s="14" t="str">
        <f>IF(Calculator!$C$12=20,Q120-R120,"")</f>
        <v/>
      </c>
    </row>
    <row r="121" spans="1:20" x14ac:dyDescent="0.25">
      <c r="A121" s="13">
        <v>117</v>
      </c>
      <c r="B121" s="14">
        <f>IF(Calculator!$C$12=12,Calculator!$C$14,"")</f>
        <v>158</v>
      </c>
      <c r="C121" s="14">
        <f t="shared" si="3"/>
        <v>3915</v>
      </c>
      <c r="D121" s="14">
        <f>IF(Calculator!$C$12=12,ROUNDUP(-PPMT(Calculator!$C$13/12,$A121,144,Calculator!$C$11,0,),0),"")</f>
        <v>129</v>
      </c>
      <c r="E121" s="14">
        <f>IF(Calculator!$C$12=12,ROUNDUP(-IPMT(Calculator!$C$13/12,$A121,144,Calculator!$C$11,0,),0),"")</f>
        <v>29</v>
      </c>
      <c r="F121" s="14">
        <f>IF(Calculator!$C$12=12,C121-D121,"")</f>
        <v>3786</v>
      </c>
      <c r="H121" s="13">
        <v>117</v>
      </c>
      <c r="I121" s="14" t="str">
        <f>IF(Calculator!$C$12=12,"",Calculator!$C$14)</f>
        <v/>
      </c>
      <c r="J121" s="14" t="str">
        <f t="shared" si="4"/>
        <v/>
      </c>
      <c r="K121" s="14" t="str">
        <f>IF(Calculator!$C$12=15,ROUNDUP(-PPMT(Calculator!$C$13/12,$H121,180,Calculator!$C$11,0,),0),"")</f>
        <v/>
      </c>
      <c r="L121" s="14" t="str">
        <f>IF(Calculator!$C$12=15,ROUNDUP(-IPMT(Calculator!$C$13/12,$H121,180,Calculator!$C$11,0,),0),"")</f>
        <v/>
      </c>
      <c r="M121" s="14" t="str">
        <f>IF(Calculator!$C$12=15,J121-K121,"")</f>
        <v/>
      </c>
      <c r="O121" s="13">
        <v>117</v>
      </c>
      <c r="P121" s="14" t="str">
        <f>IF(Calculator!$C$12=20,Calculator!$C$14,"")</f>
        <v/>
      </c>
      <c r="Q121" s="14" t="str">
        <f t="shared" si="5"/>
        <v/>
      </c>
      <c r="R121" s="14" t="str">
        <f>IF(Calculator!$C$12=20,ROUNDUP(-PPMT(Calculator!$C$13/12,$O121,240,Calculator!$C$11,0,),0),"")</f>
        <v/>
      </c>
      <c r="S121" s="14" t="str">
        <f>IF(Calculator!$C$12=20,ROUNDUP(-IPMT(Calculator!$C$13/12,$O121,240,Calculator!$C$11,0,),0),"")</f>
        <v/>
      </c>
      <c r="T121" s="14" t="str">
        <f>IF(Calculator!$C$12=20,Q121-R121,"")</f>
        <v/>
      </c>
    </row>
    <row r="122" spans="1:20" x14ac:dyDescent="0.25">
      <c r="A122" s="13">
        <v>118</v>
      </c>
      <c r="B122" s="14">
        <f>IF(Calculator!$C$12=12,Calculator!$C$14,"")</f>
        <v>158</v>
      </c>
      <c r="C122" s="14">
        <f t="shared" si="3"/>
        <v>3786</v>
      </c>
      <c r="D122" s="14">
        <f>IF(Calculator!$C$12=12,ROUNDUP(-PPMT(Calculator!$C$13/12,$A122,144,Calculator!$C$11,0,),0),"")</f>
        <v>130</v>
      </c>
      <c r="E122" s="14">
        <f>IF(Calculator!$C$12=12,ROUNDUP(-IPMT(Calculator!$C$13/12,$A122,144,Calculator!$C$11,0,),0),"")</f>
        <v>29</v>
      </c>
      <c r="F122" s="14">
        <f>IF(Calculator!$C$12=12,C122-D122,"")</f>
        <v>3656</v>
      </c>
      <c r="H122" s="13">
        <v>118</v>
      </c>
      <c r="I122" s="14" t="str">
        <f>IF(Calculator!$C$12=12,"",Calculator!$C$14)</f>
        <v/>
      </c>
      <c r="J122" s="14" t="str">
        <f t="shared" si="4"/>
        <v/>
      </c>
      <c r="K122" s="14" t="str">
        <f>IF(Calculator!$C$12=15,ROUNDUP(-PPMT(Calculator!$C$13/12,$H122,180,Calculator!$C$11,0,),0),"")</f>
        <v/>
      </c>
      <c r="L122" s="14" t="str">
        <f>IF(Calculator!$C$12=15,ROUNDUP(-IPMT(Calculator!$C$13/12,$H122,180,Calculator!$C$11,0,),0),"")</f>
        <v/>
      </c>
      <c r="M122" s="14" t="str">
        <f>IF(Calculator!$C$12=15,J122-K122,"")</f>
        <v/>
      </c>
      <c r="O122" s="13">
        <v>118</v>
      </c>
      <c r="P122" s="14" t="str">
        <f>IF(Calculator!$C$12=20,Calculator!$C$14,"")</f>
        <v/>
      </c>
      <c r="Q122" s="14" t="str">
        <f t="shared" si="5"/>
        <v/>
      </c>
      <c r="R122" s="14" t="str">
        <f>IF(Calculator!$C$12=20,ROUNDUP(-PPMT(Calculator!$C$13/12,$O122,240,Calculator!$C$11,0,),0),"")</f>
        <v/>
      </c>
      <c r="S122" s="14" t="str">
        <f>IF(Calculator!$C$12=20,ROUNDUP(-IPMT(Calculator!$C$13/12,$O122,240,Calculator!$C$11,0,),0),"")</f>
        <v/>
      </c>
      <c r="T122" s="14" t="str">
        <f>IF(Calculator!$C$12=20,Q122-R122,"")</f>
        <v/>
      </c>
    </row>
    <row r="123" spans="1:20" x14ac:dyDescent="0.25">
      <c r="A123" s="13">
        <v>119</v>
      </c>
      <c r="B123" s="14">
        <f>IF(Calculator!$C$12=12,Calculator!$C$14,"")</f>
        <v>158</v>
      </c>
      <c r="C123" s="14">
        <f t="shared" si="3"/>
        <v>3656</v>
      </c>
      <c r="D123" s="14">
        <f>IF(Calculator!$C$12=12,ROUNDUP(-PPMT(Calculator!$C$13/12,$A123,144,Calculator!$C$11,0,),0),"")</f>
        <v>131</v>
      </c>
      <c r="E123" s="14">
        <f>IF(Calculator!$C$12=12,ROUNDUP(-IPMT(Calculator!$C$13/12,$A123,144,Calculator!$C$11,0,),0),"")</f>
        <v>28</v>
      </c>
      <c r="F123" s="14">
        <f>IF(Calculator!$C$12=12,C123-D123,"")</f>
        <v>3525</v>
      </c>
      <c r="H123" s="13">
        <v>119</v>
      </c>
      <c r="I123" s="14" t="str">
        <f>IF(Calculator!$C$12=12,"",Calculator!$C$14)</f>
        <v/>
      </c>
      <c r="J123" s="14" t="str">
        <f t="shared" si="4"/>
        <v/>
      </c>
      <c r="K123" s="14" t="str">
        <f>IF(Calculator!$C$12=15,ROUNDUP(-PPMT(Calculator!$C$13/12,$H123,180,Calculator!$C$11,0,),0),"")</f>
        <v/>
      </c>
      <c r="L123" s="14" t="str">
        <f>IF(Calculator!$C$12=15,ROUNDUP(-IPMT(Calculator!$C$13/12,$H123,180,Calculator!$C$11,0,),0),"")</f>
        <v/>
      </c>
      <c r="M123" s="14" t="str">
        <f>IF(Calculator!$C$12=15,J123-K123,"")</f>
        <v/>
      </c>
      <c r="O123" s="13">
        <v>119</v>
      </c>
      <c r="P123" s="14" t="str">
        <f>IF(Calculator!$C$12=20,Calculator!$C$14,"")</f>
        <v/>
      </c>
      <c r="Q123" s="14" t="str">
        <f t="shared" si="5"/>
        <v/>
      </c>
      <c r="R123" s="14" t="str">
        <f>IF(Calculator!$C$12=20,ROUNDUP(-PPMT(Calculator!$C$13/12,$O123,240,Calculator!$C$11,0,),0),"")</f>
        <v/>
      </c>
      <c r="S123" s="14" t="str">
        <f>IF(Calculator!$C$12=20,ROUNDUP(-IPMT(Calculator!$C$13/12,$O123,240,Calculator!$C$11,0,),0),"")</f>
        <v/>
      </c>
      <c r="T123" s="14" t="str">
        <f>IF(Calculator!$C$12=20,Q123-R123,"")</f>
        <v/>
      </c>
    </row>
    <row r="124" spans="1:20" x14ac:dyDescent="0.25">
      <c r="A124" s="13">
        <v>120</v>
      </c>
      <c r="B124" s="14">
        <f>IF(Calculator!$C$12=12,Calculator!$C$14,"")</f>
        <v>158</v>
      </c>
      <c r="C124" s="14">
        <f t="shared" si="3"/>
        <v>3525</v>
      </c>
      <c r="D124" s="14">
        <f>IF(Calculator!$C$12=12,ROUNDUP(-PPMT(Calculator!$C$13/12,$A124,144,Calculator!$C$11,0,),0),"")</f>
        <v>132</v>
      </c>
      <c r="E124" s="14">
        <f>IF(Calculator!$C$12=12,ROUNDUP(-IPMT(Calculator!$C$13/12,$A124,144,Calculator!$C$11,0,),0),"")</f>
        <v>27</v>
      </c>
      <c r="F124" s="14">
        <f>IF(Calculator!$C$12=12,C124-D124,"")</f>
        <v>3393</v>
      </c>
      <c r="H124" s="13">
        <v>120</v>
      </c>
      <c r="I124" s="14" t="str">
        <f>IF(Calculator!$C$12=12,"",Calculator!$C$14)</f>
        <v/>
      </c>
      <c r="J124" s="14" t="str">
        <f t="shared" si="4"/>
        <v/>
      </c>
      <c r="K124" s="14" t="str">
        <f>IF(Calculator!$C$12=15,ROUNDUP(-PPMT(Calculator!$C$13/12,$H124,180,Calculator!$C$11,0,),0),"")</f>
        <v/>
      </c>
      <c r="L124" s="14" t="str">
        <f>IF(Calculator!$C$12=15,ROUNDUP(-IPMT(Calculator!$C$13/12,$H124,180,Calculator!$C$11,0,),0),"")</f>
        <v/>
      </c>
      <c r="M124" s="14" t="str">
        <f>IF(Calculator!$C$12=15,J124-K124,"")</f>
        <v/>
      </c>
      <c r="O124" s="13">
        <v>120</v>
      </c>
      <c r="P124" s="14" t="str">
        <f>IF(Calculator!$C$12=20,Calculator!$C$14,"")</f>
        <v/>
      </c>
      <c r="Q124" s="14" t="str">
        <f t="shared" si="5"/>
        <v/>
      </c>
      <c r="R124" s="14" t="str">
        <f>IF(Calculator!$C$12=20,ROUNDUP(-PPMT(Calculator!$C$13/12,$O124,240,Calculator!$C$11,0,),0),"")</f>
        <v/>
      </c>
      <c r="S124" s="14" t="str">
        <f>IF(Calculator!$C$12=20,ROUNDUP(-IPMT(Calculator!$C$13/12,$O124,240,Calculator!$C$11,0,),0),"")</f>
        <v/>
      </c>
      <c r="T124" s="14" t="str">
        <f>IF(Calculator!$C$12=20,Q124-R124,"")</f>
        <v/>
      </c>
    </row>
    <row r="125" spans="1:20" x14ac:dyDescent="0.25">
      <c r="A125" s="13">
        <v>121</v>
      </c>
      <c r="B125" s="14">
        <f>IF(Calculator!$C$12=12,Calculator!$C$14,"")</f>
        <v>158</v>
      </c>
      <c r="C125" s="14">
        <f t="shared" si="3"/>
        <v>3393</v>
      </c>
      <c r="D125" s="14">
        <f>IF(Calculator!$C$12=12,ROUNDUP(-PPMT(Calculator!$C$13/12,$A125,144,Calculator!$C$11,0,),0),"")</f>
        <v>133</v>
      </c>
      <c r="E125" s="14">
        <f>IF(Calculator!$C$12=12,ROUNDUP(-IPMT(Calculator!$C$13/12,$A125,144,Calculator!$C$11,0,),0),"")</f>
        <v>26</v>
      </c>
      <c r="F125" s="14">
        <f>IF(Calculator!$C$12=12,C125-D125,"")</f>
        <v>3260</v>
      </c>
      <c r="H125" s="13">
        <v>121</v>
      </c>
      <c r="I125" s="14" t="str">
        <f>IF(Calculator!$C$12=12,"",Calculator!$C$14)</f>
        <v/>
      </c>
      <c r="J125" s="14" t="str">
        <f t="shared" si="4"/>
        <v/>
      </c>
      <c r="K125" s="14" t="str">
        <f>IF(Calculator!$C$12=15,ROUNDUP(-PPMT(Calculator!$C$13/12,$H125,180,Calculator!$C$11,0,),0),"")</f>
        <v/>
      </c>
      <c r="L125" s="14" t="str">
        <f>IF(Calculator!$C$12=15,ROUNDUP(-IPMT(Calculator!$C$13/12,$H125,180,Calculator!$C$11,0,),0),"")</f>
        <v/>
      </c>
      <c r="M125" s="14" t="str">
        <f>IF(Calculator!$C$12=15,J125-K125,"")</f>
        <v/>
      </c>
      <c r="O125" s="13">
        <v>121</v>
      </c>
      <c r="P125" s="14" t="str">
        <f>IF(Calculator!$C$12=20,Calculator!$C$14,"")</f>
        <v/>
      </c>
      <c r="Q125" s="14" t="str">
        <f t="shared" si="5"/>
        <v/>
      </c>
      <c r="R125" s="14" t="str">
        <f>IF(Calculator!$C$12=20,ROUNDUP(-PPMT(Calculator!$C$13/12,$O125,240,Calculator!$C$11,0,),0),"")</f>
        <v/>
      </c>
      <c r="S125" s="14" t="str">
        <f>IF(Calculator!$C$12=20,ROUNDUP(-IPMT(Calculator!$C$13/12,$O125,240,Calculator!$C$11,0,),0),"")</f>
        <v/>
      </c>
      <c r="T125" s="14" t="str">
        <f>IF(Calculator!$C$12=20,Q125-R125,"")</f>
        <v/>
      </c>
    </row>
    <row r="126" spans="1:20" x14ac:dyDescent="0.25">
      <c r="A126" s="13">
        <v>122</v>
      </c>
      <c r="B126" s="14">
        <f>IF(Calculator!$C$12=12,Calculator!$C$14,"")</f>
        <v>158</v>
      </c>
      <c r="C126" s="14">
        <f t="shared" si="3"/>
        <v>3260</v>
      </c>
      <c r="D126" s="14">
        <f>IF(Calculator!$C$12=12,ROUNDUP(-PPMT(Calculator!$C$13/12,$A126,144,Calculator!$C$11,0,),0),"")</f>
        <v>134</v>
      </c>
      <c r="E126" s="14">
        <f>IF(Calculator!$C$12=12,ROUNDUP(-IPMT(Calculator!$C$13/12,$A126,144,Calculator!$C$11,0,),0),"")</f>
        <v>25</v>
      </c>
      <c r="F126" s="14">
        <f>IF(Calculator!$C$12=12,C126-D126,"")</f>
        <v>3126</v>
      </c>
      <c r="H126" s="13">
        <v>122</v>
      </c>
      <c r="I126" s="14" t="str">
        <f>IF(Calculator!$C$12=12,"",Calculator!$C$14)</f>
        <v/>
      </c>
      <c r="J126" s="14" t="str">
        <f t="shared" si="4"/>
        <v/>
      </c>
      <c r="K126" s="14" t="str">
        <f>IF(Calculator!$C$12=15,ROUNDUP(-PPMT(Calculator!$C$13/12,$H126,180,Calculator!$C$11,0,),0),"")</f>
        <v/>
      </c>
      <c r="L126" s="14" t="str">
        <f>IF(Calculator!$C$12=15,ROUNDUP(-IPMT(Calculator!$C$13/12,$H126,180,Calculator!$C$11,0,),0),"")</f>
        <v/>
      </c>
      <c r="M126" s="14" t="str">
        <f>IF(Calculator!$C$12=15,J126-K126,"")</f>
        <v/>
      </c>
      <c r="O126" s="13">
        <v>122</v>
      </c>
      <c r="P126" s="14" t="str">
        <f>IF(Calculator!$C$12=20,Calculator!$C$14,"")</f>
        <v/>
      </c>
      <c r="Q126" s="14" t="str">
        <f t="shared" si="5"/>
        <v/>
      </c>
      <c r="R126" s="14" t="str">
        <f>IF(Calculator!$C$12=20,ROUNDUP(-PPMT(Calculator!$C$13/12,$O126,240,Calculator!$C$11,0,),0),"")</f>
        <v/>
      </c>
      <c r="S126" s="14" t="str">
        <f>IF(Calculator!$C$12=20,ROUNDUP(-IPMT(Calculator!$C$13/12,$O126,240,Calculator!$C$11,0,),0),"")</f>
        <v/>
      </c>
      <c r="T126" s="14" t="str">
        <f>IF(Calculator!$C$12=20,Q126-R126,"")</f>
        <v/>
      </c>
    </row>
    <row r="127" spans="1:20" x14ac:dyDescent="0.25">
      <c r="A127" s="13">
        <v>123</v>
      </c>
      <c r="B127" s="14">
        <f>IF(Calculator!$C$12=12,Calculator!$C$14,"")</f>
        <v>158</v>
      </c>
      <c r="C127" s="14">
        <f t="shared" si="3"/>
        <v>3126</v>
      </c>
      <c r="D127" s="14">
        <f>IF(Calculator!$C$12=12,ROUNDUP(-PPMT(Calculator!$C$13/12,$A127,144,Calculator!$C$11,0,),0),"")</f>
        <v>135</v>
      </c>
      <c r="E127" s="14">
        <f>IF(Calculator!$C$12=12,ROUNDUP(-IPMT(Calculator!$C$13/12,$A127,144,Calculator!$C$11,0,),0),"")</f>
        <v>24</v>
      </c>
      <c r="F127" s="14">
        <f>IF(Calculator!$C$12=12,C127-D127,"")</f>
        <v>2991</v>
      </c>
      <c r="H127" s="13">
        <v>123</v>
      </c>
      <c r="I127" s="14" t="str">
        <f>IF(Calculator!$C$12=12,"",Calculator!$C$14)</f>
        <v/>
      </c>
      <c r="J127" s="14" t="str">
        <f t="shared" si="4"/>
        <v/>
      </c>
      <c r="K127" s="14" t="str">
        <f>IF(Calculator!$C$12=15,ROUNDUP(-PPMT(Calculator!$C$13/12,$H127,180,Calculator!$C$11,0,),0),"")</f>
        <v/>
      </c>
      <c r="L127" s="14" t="str">
        <f>IF(Calculator!$C$12=15,ROUNDUP(-IPMT(Calculator!$C$13/12,$H127,180,Calculator!$C$11,0,),0),"")</f>
        <v/>
      </c>
      <c r="M127" s="14" t="str">
        <f>IF(Calculator!$C$12=15,J127-K127,"")</f>
        <v/>
      </c>
      <c r="O127" s="13">
        <v>123</v>
      </c>
      <c r="P127" s="14" t="str">
        <f>IF(Calculator!$C$12=20,Calculator!$C$14,"")</f>
        <v/>
      </c>
      <c r="Q127" s="14" t="str">
        <f t="shared" si="5"/>
        <v/>
      </c>
      <c r="R127" s="14" t="str">
        <f>IF(Calculator!$C$12=20,ROUNDUP(-PPMT(Calculator!$C$13/12,$O127,240,Calculator!$C$11,0,),0),"")</f>
        <v/>
      </c>
      <c r="S127" s="14" t="str">
        <f>IF(Calculator!$C$12=20,ROUNDUP(-IPMT(Calculator!$C$13/12,$O127,240,Calculator!$C$11,0,),0),"")</f>
        <v/>
      </c>
      <c r="T127" s="14" t="str">
        <f>IF(Calculator!$C$12=20,Q127-R127,"")</f>
        <v/>
      </c>
    </row>
    <row r="128" spans="1:20" x14ac:dyDescent="0.25">
      <c r="A128" s="13">
        <v>124</v>
      </c>
      <c r="B128" s="14">
        <f>IF(Calculator!$C$12=12,Calculator!$C$14,"")</f>
        <v>158</v>
      </c>
      <c r="C128" s="14">
        <f t="shared" si="3"/>
        <v>2991</v>
      </c>
      <c r="D128" s="14">
        <f>IF(Calculator!$C$12=12,ROUNDUP(-PPMT(Calculator!$C$13/12,$A128,144,Calculator!$C$11,0,),0),"")</f>
        <v>136</v>
      </c>
      <c r="E128" s="14">
        <f>IF(Calculator!$C$12=12,ROUNDUP(-IPMT(Calculator!$C$13/12,$A128,144,Calculator!$C$11,0,),0),"")</f>
        <v>23</v>
      </c>
      <c r="F128" s="14">
        <f>IF(Calculator!$C$12=12,C128-D128,"")</f>
        <v>2855</v>
      </c>
      <c r="H128" s="13">
        <v>124</v>
      </c>
      <c r="I128" s="14" t="str">
        <f>IF(Calculator!$C$12=12,"",Calculator!$C$14)</f>
        <v/>
      </c>
      <c r="J128" s="14" t="str">
        <f t="shared" si="4"/>
        <v/>
      </c>
      <c r="K128" s="14" t="str">
        <f>IF(Calculator!$C$12=15,ROUNDUP(-PPMT(Calculator!$C$13/12,$H128,180,Calculator!$C$11,0,),0),"")</f>
        <v/>
      </c>
      <c r="L128" s="14" t="str">
        <f>IF(Calculator!$C$12=15,ROUNDUP(-IPMT(Calculator!$C$13/12,$H128,180,Calculator!$C$11,0,),0),"")</f>
        <v/>
      </c>
      <c r="M128" s="14" t="str">
        <f>IF(Calculator!$C$12=15,J128-K128,"")</f>
        <v/>
      </c>
      <c r="O128" s="13">
        <v>124</v>
      </c>
      <c r="P128" s="14" t="str">
        <f>IF(Calculator!$C$12=20,Calculator!$C$14,"")</f>
        <v/>
      </c>
      <c r="Q128" s="14" t="str">
        <f t="shared" si="5"/>
        <v/>
      </c>
      <c r="R128" s="14" t="str">
        <f>IF(Calculator!$C$12=20,ROUNDUP(-PPMT(Calculator!$C$13/12,$O128,240,Calculator!$C$11,0,),0),"")</f>
        <v/>
      </c>
      <c r="S128" s="14" t="str">
        <f>IF(Calculator!$C$12=20,ROUNDUP(-IPMT(Calculator!$C$13/12,$O128,240,Calculator!$C$11,0,),0),"")</f>
        <v/>
      </c>
      <c r="T128" s="14" t="str">
        <f>IF(Calculator!$C$12=20,Q128-R128,"")</f>
        <v/>
      </c>
    </row>
    <row r="129" spans="1:20" x14ac:dyDescent="0.25">
      <c r="A129" s="13">
        <v>125</v>
      </c>
      <c r="B129" s="14">
        <f>IF(Calculator!$C$12=12,Calculator!$C$14,"")</f>
        <v>158</v>
      </c>
      <c r="C129" s="14">
        <f t="shared" si="3"/>
        <v>2855</v>
      </c>
      <c r="D129" s="14">
        <f>IF(Calculator!$C$12=12,ROUNDUP(-PPMT(Calculator!$C$13/12,$A129,144,Calculator!$C$11,0,),0),"")</f>
        <v>137</v>
      </c>
      <c r="E129" s="14">
        <f>IF(Calculator!$C$12=12,ROUNDUP(-IPMT(Calculator!$C$13/12,$A129,144,Calculator!$C$11,0,),0),"")</f>
        <v>22</v>
      </c>
      <c r="F129" s="14">
        <f>IF(Calculator!$C$12=12,C129-D129,"")</f>
        <v>2718</v>
      </c>
      <c r="H129" s="13">
        <v>125</v>
      </c>
      <c r="I129" s="14" t="str">
        <f>IF(Calculator!$C$12=12,"",Calculator!$C$14)</f>
        <v/>
      </c>
      <c r="J129" s="14" t="str">
        <f t="shared" si="4"/>
        <v/>
      </c>
      <c r="K129" s="14" t="str">
        <f>IF(Calculator!$C$12=15,ROUNDUP(-PPMT(Calculator!$C$13/12,$H129,180,Calculator!$C$11,0,),0),"")</f>
        <v/>
      </c>
      <c r="L129" s="14" t="str">
        <f>IF(Calculator!$C$12=15,ROUNDUP(-IPMT(Calculator!$C$13/12,$H129,180,Calculator!$C$11,0,),0),"")</f>
        <v/>
      </c>
      <c r="M129" s="14" t="str">
        <f>IF(Calculator!$C$12=15,J129-K129,"")</f>
        <v/>
      </c>
      <c r="O129" s="13">
        <v>125</v>
      </c>
      <c r="P129" s="14" t="str">
        <f>IF(Calculator!$C$12=20,Calculator!$C$14,"")</f>
        <v/>
      </c>
      <c r="Q129" s="14" t="str">
        <f t="shared" si="5"/>
        <v/>
      </c>
      <c r="R129" s="14" t="str">
        <f>IF(Calculator!$C$12=20,ROUNDUP(-PPMT(Calculator!$C$13/12,$O129,240,Calculator!$C$11,0,),0),"")</f>
        <v/>
      </c>
      <c r="S129" s="14" t="str">
        <f>IF(Calculator!$C$12=20,ROUNDUP(-IPMT(Calculator!$C$13/12,$O129,240,Calculator!$C$11,0,),0),"")</f>
        <v/>
      </c>
      <c r="T129" s="14" t="str">
        <f>IF(Calculator!$C$12=20,Q129-R129,"")</f>
        <v/>
      </c>
    </row>
    <row r="130" spans="1:20" x14ac:dyDescent="0.25">
      <c r="A130" s="13">
        <v>126</v>
      </c>
      <c r="B130" s="14">
        <f>IF(Calculator!$C$12=12,Calculator!$C$14,"")</f>
        <v>158</v>
      </c>
      <c r="C130" s="14">
        <f t="shared" si="3"/>
        <v>2718</v>
      </c>
      <c r="D130" s="14">
        <f>IF(Calculator!$C$12=12,ROUNDUP(-PPMT(Calculator!$C$13/12,$A130,144,Calculator!$C$11,0,),0),"")</f>
        <v>138</v>
      </c>
      <c r="E130" s="14">
        <f>IF(Calculator!$C$12=12,ROUNDUP(-IPMT(Calculator!$C$13/12,$A130,144,Calculator!$C$11,0,),0),"")</f>
        <v>21</v>
      </c>
      <c r="F130" s="14">
        <f>IF(Calculator!$C$12=12,C130-D130,"")</f>
        <v>2580</v>
      </c>
      <c r="H130" s="13">
        <v>126</v>
      </c>
      <c r="I130" s="14" t="str">
        <f>IF(Calculator!$C$12=12,"",Calculator!$C$14)</f>
        <v/>
      </c>
      <c r="J130" s="14" t="str">
        <f t="shared" si="4"/>
        <v/>
      </c>
      <c r="K130" s="14" t="str">
        <f>IF(Calculator!$C$12=15,ROUNDUP(-PPMT(Calculator!$C$13/12,$H130,180,Calculator!$C$11,0,),0),"")</f>
        <v/>
      </c>
      <c r="L130" s="14" t="str">
        <f>IF(Calculator!$C$12=15,ROUNDUP(-IPMT(Calculator!$C$13/12,$H130,180,Calculator!$C$11,0,),0),"")</f>
        <v/>
      </c>
      <c r="M130" s="14" t="str">
        <f>IF(Calculator!$C$12=15,J130-K130,"")</f>
        <v/>
      </c>
      <c r="O130" s="13">
        <v>126</v>
      </c>
      <c r="P130" s="14" t="str">
        <f>IF(Calculator!$C$12=20,Calculator!$C$14,"")</f>
        <v/>
      </c>
      <c r="Q130" s="14" t="str">
        <f t="shared" si="5"/>
        <v/>
      </c>
      <c r="R130" s="14" t="str">
        <f>IF(Calculator!$C$12=20,ROUNDUP(-PPMT(Calculator!$C$13/12,$O130,240,Calculator!$C$11,0,),0),"")</f>
        <v/>
      </c>
      <c r="S130" s="14" t="str">
        <f>IF(Calculator!$C$12=20,ROUNDUP(-IPMT(Calculator!$C$13/12,$O130,240,Calculator!$C$11,0,),0),"")</f>
        <v/>
      </c>
      <c r="T130" s="14" t="str">
        <f>IF(Calculator!$C$12=20,Q130-R130,"")</f>
        <v/>
      </c>
    </row>
    <row r="131" spans="1:20" x14ac:dyDescent="0.25">
      <c r="A131" s="13">
        <v>127</v>
      </c>
      <c r="B131" s="14">
        <f>IF(Calculator!$C$12=12,Calculator!$C$14,"")</f>
        <v>158</v>
      </c>
      <c r="C131" s="14">
        <f t="shared" si="3"/>
        <v>2580</v>
      </c>
      <c r="D131" s="14">
        <f>IF(Calculator!$C$12=12,ROUNDUP(-PPMT(Calculator!$C$13/12,$A131,144,Calculator!$C$11,0,),0),"")</f>
        <v>139</v>
      </c>
      <c r="E131" s="14">
        <f>IF(Calculator!$C$12=12,ROUNDUP(-IPMT(Calculator!$C$13/12,$A131,144,Calculator!$C$11,0,),0),"")</f>
        <v>20</v>
      </c>
      <c r="F131" s="14">
        <f>IF(Calculator!$C$12=12,C131-D131,"")</f>
        <v>2441</v>
      </c>
      <c r="H131" s="13">
        <v>127</v>
      </c>
      <c r="I131" s="14" t="str">
        <f>IF(Calculator!$C$12=12,"",Calculator!$C$14)</f>
        <v/>
      </c>
      <c r="J131" s="14" t="str">
        <f t="shared" si="4"/>
        <v/>
      </c>
      <c r="K131" s="14" t="str">
        <f>IF(Calculator!$C$12=15,ROUNDUP(-PPMT(Calculator!$C$13/12,$H131,180,Calculator!$C$11,0,),0),"")</f>
        <v/>
      </c>
      <c r="L131" s="14" t="str">
        <f>IF(Calculator!$C$12=15,ROUNDUP(-IPMT(Calculator!$C$13/12,$H131,180,Calculator!$C$11,0,),0),"")</f>
        <v/>
      </c>
      <c r="M131" s="14" t="str">
        <f>IF(Calculator!$C$12=15,J131-K131,"")</f>
        <v/>
      </c>
      <c r="O131" s="13">
        <v>127</v>
      </c>
      <c r="P131" s="14" t="str">
        <f>IF(Calculator!$C$12=20,Calculator!$C$14,"")</f>
        <v/>
      </c>
      <c r="Q131" s="14" t="str">
        <f t="shared" si="5"/>
        <v/>
      </c>
      <c r="R131" s="14" t="str">
        <f>IF(Calculator!$C$12=20,ROUNDUP(-PPMT(Calculator!$C$13/12,$O131,240,Calculator!$C$11,0,),0),"")</f>
        <v/>
      </c>
      <c r="S131" s="14" t="str">
        <f>IF(Calculator!$C$12=20,ROUNDUP(-IPMT(Calculator!$C$13/12,$O131,240,Calculator!$C$11,0,),0),"")</f>
        <v/>
      </c>
      <c r="T131" s="14" t="str">
        <f>IF(Calculator!$C$12=20,Q131-R131,"")</f>
        <v/>
      </c>
    </row>
    <row r="132" spans="1:20" x14ac:dyDescent="0.25">
      <c r="A132" s="13">
        <v>128</v>
      </c>
      <c r="B132" s="14">
        <f>IF(Calculator!$C$12=12,Calculator!$C$14,"")</f>
        <v>158</v>
      </c>
      <c r="C132" s="14">
        <f t="shared" si="3"/>
        <v>2441</v>
      </c>
      <c r="D132" s="14">
        <f>IF(Calculator!$C$12=12,ROUNDUP(-PPMT(Calculator!$C$13/12,$A132,144,Calculator!$C$11,0,),0),"")</f>
        <v>140</v>
      </c>
      <c r="E132" s="14">
        <f>IF(Calculator!$C$12=12,ROUNDUP(-IPMT(Calculator!$C$13/12,$A132,144,Calculator!$C$11,0,),0),"")</f>
        <v>19</v>
      </c>
      <c r="F132" s="14">
        <f>IF(Calculator!$C$12=12,C132-D132,"")</f>
        <v>2301</v>
      </c>
      <c r="H132" s="13">
        <v>128</v>
      </c>
      <c r="I132" s="14" t="str">
        <f>IF(Calculator!$C$12=12,"",Calculator!$C$14)</f>
        <v/>
      </c>
      <c r="J132" s="14" t="str">
        <f t="shared" si="4"/>
        <v/>
      </c>
      <c r="K132" s="14" t="str">
        <f>IF(Calculator!$C$12=15,ROUNDUP(-PPMT(Calculator!$C$13/12,$H132,180,Calculator!$C$11,0,),0),"")</f>
        <v/>
      </c>
      <c r="L132" s="14" t="str">
        <f>IF(Calculator!$C$12=15,ROUNDUP(-IPMT(Calculator!$C$13/12,$H132,180,Calculator!$C$11,0,),0),"")</f>
        <v/>
      </c>
      <c r="M132" s="14" t="str">
        <f>IF(Calculator!$C$12=15,J132-K132,"")</f>
        <v/>
      </c>
      <c r="O132" s="13">
        <v>128</v>
      </c>
      <c r="P132" s="14" t="str">
        <f>IF(Calculator!$C$12=20,Calculator!$C$14,"")</f>
        <v/>
      </c>
      <c r="Q132" s="14" t="str">
        <f t="shared" si="5"/>
        <v/>
      </c>
      <c r="R132" s="14" t="str">
        <f>IF(Calculator!$C$12=20,ROUNDUP(-PPMT(Calculator!$C$13/12,$O132,240,Calculator!$C$11,0,),0),"")</f>
        <v/>
      </c>
      <c r="S132" s="14" t="str">
        <f>IF(Calculator!$C$12=20,ROUNDUP(-IPMT(Calculator!$C$13/12,$O132,240,Calculator!$C$11,0,),0),"")</f>
        <v/>
      </c>
      <c r="T132" s="14" t="str">
        <f>IF(Calculator!$C$12=20,Q132-R132,"")</f>
        <v/>
      </c>
    </row>
    <row r="133" spans="1:20" x14ac:dyDescent="0.25">
      <c r="A133" s="13">
        <v>129</v>
      </c>
      <c r="B133" s="14">
        <f>IF(Calculator!$C$12=12,Calculator!$C$14,"")</f>
        <v>158</v>
      </c>
      <c r="C133" s="14">
        <f t="shared" si="3"/>
        <v>2301</v>
      </c>
      <c r="D133" s="14">
        <f>IF(Calculator!$C$12=12,ROUNDUP(-PPMT(Calculator!$C$13/12,$A133,144,Calculator!$C$11,0,),0),"")</f>
        <v>141</v>
      </c>
      <c r="E133" s="14">
        <f>IF(Calculator!$C$12=12,ROUNDUP(-IPMT(Calculator!$C$13/12,$A133,144,Calculator!$C$11,0,),0),"")</f>
        <v>18</v>
      </c>
      <c r="F133" s="14">
        <f>IF(Calculator!$C$12=12,C133-D133,"")</f>
        <v>2160</v>
      </c>
      <c r="H133" s="13">
        <v>129</v>
      </c>
      <c r="I133" s="14" t="str">
        <f>IF(Calculator!$C$12=12,"",Calculator!$C$14)</f>
        <v/>
      </c>
      <c r="J133" s="14" t="str">
        <f t="shared" si="4"/>
        <v/>
      </c>
      <c r="K133" s="14" t="str">
        <f>IF(Calculator!$C$12=15,ROUNDUP(-PPMT(Calculator!$C$13/12,$H133,180,Calculator!$C$11,0,),0),"")</f>
        <v/>
      </c>
      <c r="L133" s="14" t="str">
        <f>IF(Calculator!$C$12=15,ROUNDUP(-IPMT(Calculator!$C$13/12,$H133,180,Calculator!$C$11,0,),0),"")</f>
        <v/>
      </c>
      <c r="M133" s="14" t="str">
        <f>IF(Calculator!$C$12=15,J133-K133,"")</f>
        <v/>
      </c>
      <c r="O133" s="13">
        <v>129</v>
      </c>
      <c r="P133" s="14" t="str">
        <f>IF(Calculator!$C$12=20,Calculator!$C$14,"")</f>
        <v/>
      </c>
      <c r="Q133" s="14" t="str">
        <f t="shared" si="5"/>
        <v/>
      </c>
      <c r="R133" s="14" t="str">
        <f>IF(Calculator!$C$12=20,ROUNDUP(-PPMT(Calculator!$C$13/12,$O133,240,Calculator!$C$11,0,),0),"")</f>
        <v/>
      </c>
      <c r="S133" s="14" t="str">
        <f>IF(Calculator!$C$12=20,ROUNDUP(-IPMT(Calculator!$C$13/12,$O133,240,Calculator!$C$11,0,),0),"")</f>
        <v/>
      </c>
      <c r="T133" s="14" t="str">
        <f>IF(Calculator!$C$12=20,Q133-R133,"")</f>
        <v/>
      </c>
    </row>
    <row r="134" spans="1:20" x14ac:dyDescent="0.25">
      <c r="A134" s="13">
        <v>130</v>
      </c>
      <c r="B134" s="14">
        <f>IF(Calculator!$C$12=12,Calculator!$C$14,"")</f>
        <v>158</v>
      </c>
      <c r="C134" s="14">
        <f t="shared" si="3"/>
        <v>2160</v>
      </c>
      <c r="D134" s="14">
        <f>IF(Calculator!$C$12=12,ROUNDUP(-PPMT(Calculator!$C$13/12,$A134,144,Calculator!$C$11,0,),0),"")</f>
        <v>142</v>
      </c>
      <c r="E134" s="14">
        <f>IF(Calculator!$C$12=12,ROUNDUP(-IPMT(Calculator!$C$13/12,$A134,144,Calculator!$C$11,0,),0),"")</f>
        <v>17</v>
      </c>
      <c r="F134" s="14">
        <f>IF(Calculator!$C$12=12,C134-D134,"")</f>
        <v>2018</v>
      </c>
      <c r="H134" s="13">
        <v>130</v>
      </c>
      <c r="I134" s="14" t="str">
        <f>IF(Calculator!$C$12=12,"",Calculator!$C$14)</f>
        <v/>
      </c>
      <c r="J134" s="14" t="str">
        <f t="shared" si="4"/>
        <v/>
      </c>
      <c r="K134" s="14" t="str">
        <f>IF(Calculator!$C$12=15,ROUNDUP(-PPMT(Calculator!$C$13/12,$H134,180,Calculator!$C$11,0,),0),"")</f>
        <v/>
      </c>
      <c r="L134" s="14" t="str">
        <f>IF(Calculator!$C$12=15,ROUNDUP(-IPMT(Calculator!$C$13/12,$H134,180,Calculator!$C$11,0,),0),"")</f>
        <v/>
      </c>
      <c r="M134" s="14" t="str">
        <f>IF(Calculator!$C$12=15,J134-K134,"")</f>
        <v/>
      </c>
      <c r="O134" s="13">
        <v>130</v>
      </c>
      <c r="P134" s="14" t="str">
        <f>IF(Calculator!$C$12=20,Calculator!$C$14,"")</f>
        <v/>
      </c>
      <c r="Q134" s="14" t="str">
        <f t="shared" si="5"/>
        <v/>
      </c>
      <c r="R134" s="14" t="str">
        <f>IF(Calculator!$C$12=20,ROUNDUP(-PPMT(Calculator!$C$13/12,$O134,240,Calculator!$C$11,0,),0),"")</f>
        <v/>
      </c>
      <c r="S134" s="14" t="str">
        <f>IF(Calculator!$C$12=20,ROUNDUP(-IPMT(Calculator!$C$13/12,$O134,240,Calculator!$C$11,0,),0),"")</f>
        <v/>
      </c>
      <c r="T134" s="14" t="str">
        <f>IF(Calculator!$C$12=20,Q134-R134,"")</f>
        <v/>
      </c>
    </row>
    <row r="135" spans="1:20" x14ac:dyDescent="0.25">
      <c r="A135" s="13">
        <v>131</v>
      </c>
      <c r="B135" s="14">
        <f>IF(Calculator!$C$12=12,Calculator!$C$14,"")</f>
        <v>158</v>
      </c>
      <c r="C135" s="14">
        <f t="shared" ref="C135:C148" si="6">F134</f>
        <v>2018</v>
      </c>
      <c r="D135" s="14">
        <f>IF(Calculator!$C$12=12,ROUNDUP(-PPMT(Calculator!$C$13/12,$A135,144,Calculator!$C$11,0,),0),"")</f>
        <v>143</v>
      </c>
      <c r="E135" s="14">
        <f>IF(Calculator!$C$12=12,ROUNDUP(-IPMT(Calculator!$C$13/12,$A135,144,Calculator!$C$11,0,),0),"")</f>
        <v>16</v>
      </c>
      <c r="F135" s="14">
        <f>IF(Calculator!$C$12=12,C135-D135,"")</f>
        <v>1875</v>
      </c>
      <c r="H135" s="13">
        <v>131</v>
      </c>
      <c r="I135" s="14" t="str">
        <f>IF(Calculator!$C$12=12,"",Calculator!$C$14)</f>
        <v/>
      </c>
      <c r="J135" s="14" t="str">
        <f t="shared" ref="J135:J184" si="7">M134</f>
        <v/>
      </c>
      <c r="K135" s="14" t="str">
        <f>IF(Calculator!$C$12=15,ROUNDUP(-PPMT(Calculator!$C$13/12,$H135,180,Calculator!$C$11,0,),0),"")</f>
        <v/>
      </c>
      <c r="L135" s="14" t="str">
        <f>IF(Calculator!$C$12=15,ROUNDUP(-IPMT(Calculator!$C$13/12,$H135,180,Calculator!$C$11,0,),0),"")</f>
        <v/>
      </c>
      <c r="M135" s="14" t="str">
        <f>IF(Calculator!$C$12=15,J135-K135,"")</f>
        <v/>
      </c>
      <c r="O135" s="13">
        <v>131</v>
      </c>
      <c r="P135" s="14" t="str">
        <f>IF(Calculator!$C$12=20,Calculator!$C$14,"")</f>
        <v/>
      </c>
      <c r="Q135" s="14" t="str">
        <f t="shared" ref="Q135:Q184" si="8">T134</f>
        <v/>
      </c>
      <c r="R135" s="14" t="str">
        <f>IF(Calculator!$C$12=20,ROUNDUP(-PPMT(Calculator!$C$13/12,$O135,240,Calculator!$C$11,0,),0),"")</f>
        <v/>
      </c>
      <c r="S135" s="14" t="str">
        <f>IF(Calculator!$C$12=20,ROUNDUP(-IPMT(Calculator!$C$13/12,$O135,240,Calculator!$C$11,0,),0),"")</f>
        <v/>
      </c>
      <c r="T135" s="14" t="str">
        <f>IF(Calculator!$C$12=20,Q135-R135,"")</f>
        <v/>
      </c>
    </row>
    <row r="136" spans="1:20" x14ac:dyDescent="0.25">
      <c r="A136" s="13">
        <v>132</v>
      </c>
      <c r="B136" s="14">
        <f>IF(Calculator!$C$12=12,Calculator!$C$14,"")</f>
        <v>158</v>
      </c>
      <c r="C136" s="14">
        <f t="shared" si="6"/>
        <v>1875</v>
      </c>
      <c r="D136" s="14">
        <f>IF(Calculator!$C$12=12,ROUNDUP(-PPMT(Calculator!$C$13/12,$A136,144,Calculator!$C$11,0,),0),"")</f>
        <v>144</v>
      </c>
      <c r="E136" s="14">
        <f>IF(Calculator!$C$12=12,ROUNDUP(-IPMT(Calculator!$C$13/12,$A136,144,Calculator!$C$11,0,),0),"")</f>
        <v>15</v>
      </c>
      <c r="F136" s="14">
        <f>IF(Calculator!$C$12=12,C136-D136,"")</f>
        <v>1731</v>
      </c>
      <c r="H136" s="13">
        <v>132</v>
      </c>
      <c r="I136" s="14" t="str">
        <f>IF(Calculator!$C$12=12,"",Calculator!$C$14)</f>
        <v/>
      </c>
      <c r="J136" s="14" t="str">
        <f t="shared" si="7"/>
        <v/>
      </c>
      <c r="K136" s="14" t="str">
        <f>IF(Calculator!$C$12=15,ROUNDUP(-PPMT(Calculator!$C$13/12,$H136,180,Calculator!$C$11,0,),0),"")</f>
        <v/>
      </c>
      <c r="L136" s="14" t="str">
        <f>IF(Calculator!$C$12=15,ROUNDUP(-IPMT(Calculator!$C$13/12,$H136,180,Calculator!$C$11,0,),0),"")</f>
        <v/>
      </c>
      <c r="M136" s="14" t="str">
        <f>IF(Calculator!$C$12=15,J136-K136,"")</f>
        <v/>
      </c>
      <c r="O136" s="13">
        <v>132</v>
      </c>
      <c r="P136" s="14" t="str">
        <f>IF(Calculator!$C$12=20,Calculator!$C$14,"")</f>
        <v/>
      </c>
      <c r="Q136" s="14" t="str">
        <f t="shared" si="8"/>
        <v/>
      </c>
      <c r="R136" s="14" t="str">
        <f>IF(Calculator!$C$12=20,ROUNDUP(-PPMT(Calculator!$C$13/12,$O136,240,Calculator!$C$11,0,),0),"")</f>
        <v/>
      </c>
      <c r="S136" s="14" t="str">
        <f>IF(Calculator!$C$12=20,ROUNDUP(-IPMT(Calculator!$C$13/12,$O136,240,Calculator!$C$11,0,),0),"")</f>
        <v/>
      </c>
      <c r="T136" s="14" t="str">
        <f>IF(Calculator!$C$12=20,Q136-R136,"")</f>
        <v/>
      </c>
    </row>
    <row r="137" spans="1:20" x14ac:dyDescent="0.25">
      <c r="A137" s="13">
        <v>133</v>
      </c>
      <c r="B137" s="14">
        <f>IF(Calculator!$C$12=12,Calculator!$C$14,"")</f>
        <v>158</v>
      </c>
      <c r="C137" s="14">
        <f t="shared" si="6"/>
        <v>1731</v>
      </c>
      <c r="D137" s="14">
        <f>IF(Calculator!$C$12=12,ROUNDUP(-PPMT(Calculator!$C$13/12,$A137,144,Calculator!$C$11,0,),0),"")</f>
        <v>145</v>
      </c>
      <c r="E137" s="14">
        <f>IF(Calculator!$C$12=12,ROUNDUP(-IPMT(Calculator!$C$13/12,$A137,144,Calculator!$C$11,0,),0),"")</f>
        <v>14</v>
      </c>
      <c r="F137" s="14">
        <f>IF(Calculator!$C$12=12,C137-D137,"")</f>
        <v>1586</v>
      </c>
      <c r="H137" s="13">
        <v>133</v>
      </c>
      <c r="I137" s="14" t="str">
        <f>IF(Calculator!$C$12=12,"",Calculator!$C$14)</f>
        <v/>
      </c>
      <c r="J137" s="14" t="str">
        <f t="shared" si="7"/>
        <v/>
      </c>
      <c r="K137" s="14" t="str">
        <f>IF(Calculator!$C$12=15,ROUNDUP(-PPMT(Calculator!$C$13/12,$H137,180,Calculator!$C$11,0,),0),"")</f>
        <v/>
      </c>
      <c r="L137" s="14" t="str">
        <f>IF(Calculator!$C$12=15,ROUNDUP(-IPMT(Calculator!$C$13/12,$H137,180,Calculator!$C$11,0,),0),"")</f>
        <v/>
      </c>
      <c r="M137" s="14" t="str">
        <f>IF(Calculator!$C$12=15,J137-K137,"")</f>
        <v/>
      </c>
      <c r="O137" s="13">
        <v>133</v>
      </c>
      <c r="P137" s="14" t="str">
        <f>IF(Calculator!$C$12=20,Calculator!$C$14,"")</f>
        <v/>
      </c>
      <c r="Q137" s="14" t="str">
        <f t="shared" si="8"/>
        <v/>
      </c>
      <c r="R137" s="14" t="str">
        <f>IF(Calculator!$C$12=20,ROUNDUP(-PPMT(Calculator!$C$13/12,$O137,240,Calculator!$C$11,0,),0),"")</f>
        <v/>
      </c>
      <c r="S137" s="14" t="str">
        <f>IF(Calculator!$C$12=20,ROUNDUP(-IPMT(Calculator!$C$13/12,$O137,240,Calculator!$C$11,0,),0),"")</f>
        <v/>
      </c>
      <c r="T137" s="14" t="str">
        <f>IF(Calculator!$C$12=20,Q137-R137,"")</f>
        <v/>
      </c>
    </row>
    <row r="138" spans="1:20" x14ac:dyDescent="0.25">
      <c r="A138" s="13">
        <v>134</v>
      </c>
      <c r="B138" s="14">
        <f>IF(Calculator!$C$12=12,Calculator!$C$14,"")</f>
        <v>158</v>
      </c>
      <c r="C138" s="14">
        <f t="shared" si="6"/>
        <v>1586</v>
      </c>
      <c r="D138" s="14">
        <f>IF(Calculator!$C$12=12,ROUNDUP(-PPMT(Calculator!$C$13/12,$A138,144,Calculator!$C$11,0,),0),"")</f>
        <v>146</v>
      </c>
      <c r="E138" s="14">
        <f>IF(Calculator!$C$12=12,ROUNDUP(-IPMT(Calculator!$C$13/12,$A138,144,Calculator!$C$11,0,),0),"")</f>
        <v>13</v>
      </c>
      <c r="F138" s="14">
        <f>IF(Calculator!$C$12=12,C138-D138,"")</f>
        <v>1440</v>
      </c>
      <c r="H138" s="13">
        <v>134</v>
      </c>
      <c r="I138" s="14" t="str">
        <f>IF(Calculator!$C$12=12,"",Calculator!$C$14)</f>
        <v/>
      </c>
      <c r="J138" s="14" t="str">
        <f t="shared" si="7"/>
        <v/>
      </c>
      <c r="K138" s="14" t="str">
        <f>IF(Calculator!$C$12=15,ROUNDUP(-PPMT(Calculator!$C$13/12,$H138,180,Calculator!$C$11,0,),0),"")</f>
        <v/>
      </c>
      <c r="L138" s="14" t="str">
        <f>IF(Calculator!$C$12=15,ROUNDUP(-IPMT(Calculator!$C$13/12,$H138,180,Calculator!$C$11,0,),0),"")</f>
        <v/>
      </c>
      <c r="M138" s="14" t="str">
        <f>IF(Calculator!$C$12=15,J138-K138,"")</f>
        <v/>
      </c>
      <c r="O138" s="13">
        <v>134</v>
      </c>
      <c r="P138" s="14" t="str">
        <f>IF(Calculator!$C$12=20,Calculator!$C$14,"")</f>
        <v/>
      </c>
      <c r="Q138" s="14" t="str">
        <f t="shared" si="8"/>
        <v/>
      </c>
      <c r="R138" s="14" t="str">
        <f>IF(Calculator!$C$12=20,ROUNDUP(-PPMT(Calculator!$C$13/12,$O138,240,Calculator!$C$11,0,),0),"")</f>
        <v/>
      </c>
      <c r="S138" s="14" t="str">
        <f>IF(Calculator!$C$12=20,ROUNDUP(-IPMT(Calculator!$C$13/12,$O138,240,Calculator!$C$11,0,),0),"")</f>
        <v/>
      </c>
      <c r="T138" s="14" t="str">
        <f>IF(Calculator!$C$12=20,Q138-R138,"")</f>
        <v/>
      </c>
    </row>
    <row r="139" spans="1:20" x14ac:dyDescent="0.25">
      <c r="A139" s="13">
        <v>135</v>
      </c>
      <c r="B139" s="14">
        <f>IF(Calculator!$C$12=12,Calculator!$C$14,"")</f>
        <v>158</v>
      </c>
      <c r="C139" s="14">
        <f t="shared" si="6"/>
        <v>1440</v>
      </c>
      <c r="D139" s="14">
        <f>IF(Calculator!$C$12=12,ROUNDUP(-PPMT(Calculator!$C$13/12,$A139,144,Calculator!$C$11,0,),0),"")</f>
        <v>147</v>
      </c>
      <c r="E139" s="14">
        <f>IF(Calculator!$C$12=12,ROUNDUP(-IPMT(Calculator!$C$13/12,$A139,144,Calculator!$C$11,0,),0),"")</f>
        <v>12</v>
      </c>
      <c r="F139" s="14">
        <f>IF(Calculator!$C$12=12,C139-D139,"")</f>
        <v>1293</v>
      </c>
      <c r="H139" s="13">
        <v>135</v>
      </c>
      <c r="I139" s="14" t="str">
        <f>IF(Calculator!$C$12=12,"",Calculator!$C$14)</f>
        <v/>
      </c>
      <c r="J139" s="14" t="str">
        <f t="shared" si="7"/>
        <v/>
      </c>
      <c r="K139" s="14" t="str">
        <f>IF(Calculator!$C$12=15,ROUNDUP(-PPMT(Calculator!$C$13/12,$H139,180,Calculator!$C$11,0,),0),"")</f>
        <v/>
      </c>
      <c r="L139" s="14" t="str">
        <f>IF(Calculator!$C$12=15,ROUNDUP(-IPMT(Calculator!$C$13/12,$H139,180,Calculator!$C$11,0,),0),"")</f>
        <v/>
      </c>
      <c r="M139" s="14" t="str">
        <f>IF(Calculator!$C$12=15,J139-K139,"")</f>
        <v/>
      </c>
      <c r="O139" s="13">
        <v>135</v>
      </c>
      <c r="P139" s="14" t="str">
        <f>IF(Calculator!$C$12=20,Calculator!$C$14,"")</f>
        <v/>
      </c>
      <c r="Q139" s="14" t="str">
        <f t="shared" si="8"/>
        <v/>
      </c>
      <c r="R139" s="14" t="str">
        <f>IF(Calculator!$C$12=20,ROUNDUP(-PPMT(Calculator!$C$13/12,$O139,240,Calculator!$C$11,0,),0),"")</f>
        <v/>
      </c>
      <c r="S139" s="14" t="str">
        <f>IF(Calculator!$C$12=20,ROUNDUP(-IPMT(Calculator!$C$13/12,$O139,240,Calculator!$C$11,0,),0),"")</f>
        <v/>
      </c>
      <c r="T139" s="14" t="str">
        <f>IF(Calculator!$C$12=20,Q139-R139,"")</f>
        <v/>
      </c>
    </row>
    <row r="140" spans="1:20" x14ac:dyDescent="0.25">
      <c r="A140" s="13">
        <v>136</v>
      </c>
      <c r="B140" s="14">
        <f>IF(Calculator!$C$12=12,Calculator!$C$14,"")</f>
        <v>158</v>
      </c>
      <c r="C140" s="14">
        <f t="shared" si="6"/>
        <v>1293</v>
      </c>
      <c r="D140" s="14">
        <f>IF(Calculator!$C$12=12,ROUNDUP(-PPMT(Calculator!$C$13/12,$A140,144,Calculator!$C$11,0,),0),"")</f>
        <v>148</v>
      </c>
      <c r="E140" s="14">
        <f>IF(Calculator!$C$12=12,ROUNDUP(-IPMT(Calculator!$C$13/12,$A140,144,Calculator!$C$11,0,),0),"")</f>
        <v>10</v>
      </c>
      <c r="F140" s="14">
        <f>IF(Calculator!$C$12=12,C140-D140,"")</f>
        <v>1145</v>
      </c>
      <c r="H140" s="13">
        <v>136</v>
      </c>
      <c r="I140" s="14" t="str">
        <f>IF(Calculator!$C$12=12,"",Calculator!$C$14)</f>
        <v/>
      </c>
      <c r="J140" s="14" t="str">
        <f t="shared" si="7"/>
        <v/>
      </c>
      <c r="K140" s="14" t="str">
        <f>IF(Calculator!$C$12=15,ROUNDUP(-PPMT(Calculator!$C$13/12,$H140,180,Calculator!$C$11,0,),0),"")</f>
        <v/>
      </c>
      <c r="L140" s="14" t="str">
        <f>IF(Calculator!$C$12=15,ROUNDUP(-IPMT(Calculator!$C$13/12,$H140,180,Calculator!$C$11,0,),0),"")</f>
        <v/>
      </c>
      <c r="M140" s="14" t="str">
        <f>IF(Calculator!$C$12=15,J140-K140,"")</f>
        <v/>
      </c>
      <c r="O140" s="13">
        <v>136</v>
      </c>
      <c r="P140" s="14" t="str">
        <f>IF(Calculator!$C$12=20,Calculator!$C$14,"")</f>
        <v/>
      </c>
      <c r="Q140" s="14" t="str">
        <f t="shared" si="8"/>
        <v/>
      </c>
      <c r="R140" s="14" t="str">
        <f>IF(Calculator!$C$12=20,ROUNDUP(-PPMT(Calculator!$C$13/12,$O140,240,Calculator!$C$11,0,),0),"")</f>
        <v/>
      </c>
      <c r="S140" s="14" t="str">
        <f>IF(Calculator!$C$12=20,ROUNDUP(-IPMT(Calculator!$C$13/12,$O140,240,Calculator!$C$11,0,),0),"")</f>
        <v/>
      </c>
      <c r="T140" s="14" t="str">
        <f>IF(Calculator!$C$12=20,Q140-R140,"")</f>
        <v/>
      </c>
    </row>
    <row r="141" spans="1:20" x14ac:dyDescent="0.25">
      <c r="A141" s="13">
        <v>137</v>
      </c>
      <c r="B141" s="14">
        <f>IF(Calculator!$C$12=12,Calculator!$C$14,"")</f>
        <v>158</v>
      </c>
      <c r="C141" s="14">
        <f t="shared" si="6"/>
        <v>1145</v>
      </c>
      <c r="D141" s="14">
        <f>IF(Calculator!$C$12=12,ROUNDUP(-PPMT(Calculator!$C$13/12,$A141,144,Calculator!$C$11,0,),0),"")</f>
        <v>149</v>
      </c>
      <c r="E141" s="14">
        <f>IF(Calculator!$C$12=12,ROUNDUP(-IPMT(Calculator!$C$13/12,$A141,144,Calculator!$C$11,0,),0),"")</f>
        <v>9</v>
      </c>
      <c r="F141" s="14">
        <f>IF(Calculator!$C$12=12,C141-D141,"")</f>
        <v>996</v>
      </c>
      <c r="H141" s="13">
        <v>137</v>
      </c>
      <c r="I141" s="14" t="str">
        <f>IF(Calculator!$C$12=12,"",Calculator!$C$14)</f>
        <v/>
      </c>
      <c r="J141" s="14" t="str">
        <f t="shared" si="7"/>
        <v/>
      </c>
      <c r="K141" s="14" t="str">
        <f>IF(Calculator!$C$12=15,ROUNDUP(-PPMT(Calculator!$C$13/12,$H141,180,Calculator!$C$11,0,),0),"")</f>
        <v/>
      </c>
      <c r="L141" s="14" t="str">
        <f>IF(Calculator!$C$12=15,ROUNDUP(-IPMT(Calculator!$C$13/12,$H141,180,Calculator!$C$11,0,),0),"")</f>
        <v/>
      </c>
      <c r="M141" s="14" t="str">
        <f>IF(Calculator!$C$12=15,J141-K141,"")</f>
        <v/>
      </c>
      <c r="O141" s="13">
        <v>137</v>
      </c>
      <c r="P141" s="14" t="str">
        <f>IF(Calculator!$C$12=20,Calculator!$C$14,"")</f>
        <v/>
      </c>
      <c r="Q141" s="14" t="str">
        <f t="shared" si="8"/>
        <v/>
      </c>
      <c r="R141" s="14" t="str">
        <f>IF(Calculator!$C$12=20,ROUNDUP(-PPMT(Calculator!$C$13/12,$O141,240,Calculator!$C$11,0,),0),"")</f>
        <v/>
      </c>
      <c r="S141" s="14" t="str">
        <f>IF(Calculator!$C$12=20,ROUNDUP(-IPMT(Calculator!$C$13/12,$O141,240,Calculator!$C$11,0,),0),"")</f>
        <v/>
      </c>
      <c r="T141" s="14" t="str">
        <f>IF(Calculator!$C$12=20,Q141-R141,"")</f>
        <v/>
      </c>
    </row>
    <row r="142" spans="1:20" x14ac:dyDescent="0.25">
      <c r="A142" s="13">
        <v>138</v>
      </c>
      <c r="B142" s="14">
        <f>IF(Calculator!$C$12=12,Calculator!$C$14,"")</f>
        <v>158</v>
      </c>
      <c r="C142" s="14">
        <f t="shared" si="6"/>
        <v>996</v>
      </c>
      <c r="D142" s="14">
        <f>IF(Calculator!$C$12=12,ROUNDUP(-PPMT(Calculator!$C$13/12,$A142,144,Calculator!$C$11,0,),0),"")</f>
        <v>150</v>
      </c>
      <c r="E142" s="14">
        <f>IF(Calculator!$C$12=12,ROUNDUP(-IPMT(Calculator!$C$13/12,$A142,144,Calculator!$C$11,0,),0),"")</f>
        <v>8</v>
      </c>
      <c r="F142" s="14">
        <f>IF(Calculator!$C$12=12,C142-D142,"")</f>
        <v>846</v>
      </c>
      <c r="H142" s="13">
        <v>138</v>
      </c>
      <c r="I142" s="14" t="str">
        <f>IF(Calculator!$C$12=12,"",Calculator!$C$14)</f>
        <v/>
      </c>
      <c r="J142" s="14" t="str">
        <f t="shared" si="7"/>
        <v/>
      </c>
      <c r="K142" s="14" t="str">
        <f>IF(Calculator!$C$12=15,ROUNDUP(-PPMT(Calculator!$C$13/12,$H142,180,Calculator!$C$11,0,),0),"")</f>
        <v/>
      </c>
      <c r="L142" s="14" t="str">
        <f>IF(Calculator!$C$12=15,ROUNDUP(-IPMT(Calculator!$C$13/12,$H142,180,Calculator!$C$11,0,),0),"")</f>
        <v/>
      </c>
      <c r="M142" s="14" t="str">
        <f>IF(Calculator!$C$12=15,J142-K142,"")</f>
        <v/>
      </c>
      <c r="O142" s="13">
        <v>138</v>
      </c>
      <c r="P142" s="14" t="str">
        <f>IF(Calculator!$C$12=20,Calculator!$C$14,"")</f>
        <v/>
      </c>
      <c r="Q142" s="14" t="str">
        <f t="shared" si="8"/>
        <v/>
      </c>
      <c r="R142" s="14" t="str">
        <f>IF(Calculator!$C$12=20,ROUNDUP(-PPMT(Calculator!$C$13/12,$O142,240,Calculator!$C$11,0,),0),"")</f>
        <v/>
      </c>
      <c r="S142" s="14" t="str">
        <f>IF(Calculator!$C$12=20,ROUNDUP(-IPMT(Calculator!$C$13/12,$O142,240,Calculator!$C$11,0,),0),"")</f>
        <v/>
      </c>
      <c r="T142" s="14" t="str">
        <f>IF(Calculator!$C$12=20,Q142-R142,"")</f>
        <v/>
      </c>
    </row>
    <row r="143" spans="1:20" x14ac:dyDescent="0.25">
      <c r="A143" s="13">
        <v>139</v>
      </c>
      <c r="B143" s="14">
        <f>IF(Calculator!$C$12=12,Calculator!$C$14,"")</f>
        <v>158</v>
      </c>
      <c r="C143" s="14">
        <f t="shared" si="6"/>
        <v>846</v>
      </c>
      <c r="D143" s="14">
        <f>IF(Calculator!$C$12=12,ROUNDUP(-PPMT(Calculator!$C$13/12,$A143,144,Calculator!$C$11,0,),0),"")</f>
        <v>151</v>
      </c>
      <c r="E143" s="14">
        <f>IF(Calculator!$C$12=12,ROUNDUP(-IPMT(Calculator!$C$13/12,$A143,144,Calculator!$C$11,0,),0),"")</f>
        <v>7</v>
      </c>
      <c r="F143" s="14">
        <f>IF(Calculator!$C$12=12,C143-D143,"")</f>
        <v>695</v>
      </c>
      <c r="H143" s="13">
        <v>139</v>
      </c>
      <c r="I143" s="14" t="str">
        <f>IF(Calculator!$C$12=12,"",Calculator!$C$14)</f>
        <v/>
      </c>
      <c r="J143" s="14" t="str">
        <f t="shared" si="7"/>
        <v/>
      </c>
      <c r="K143" s="14" t="str">
        <f>IF(Calculator!$C$12=15,ROUNDUP(-PPMT(Calculator!$C$13/12,$H143,180,Calculator!$C$11,0,),0),"")</f>
        <v/>
      </c>
      <c r="L143" s="14" t="str">
        <f>IF(Calculator!$C$12=15,ROUNDUP(-IPMT(Calculator!$C$13/12,$H143,180,Calculator!$C$11,0,),0),"")</f>
        <v/>
      </c>
      <c r="M143" s="14" t="str">
        <f>IF(Calculator!$C$12=15,J143-K143,"")</f>
        <v/>
      </c>
      <c r="O143" s="13">
        <v>139</v>
      </c>
      <c r="P143" s="14" t="str">
        <f>IF(Calculator!$C$12=20,Calculator!$C$14,"")</f>
        <v/>
      </c>
      <c r="Q143" s="14" t="str">
        <f t="shared" si="8"/>
        <v/>
      </c>
      <c r="R143" s="14" t="str">
        <f>IF(Calculator!$C$12=20,ROUNDUP(-PPMT(Calculator!$C$13/12,$O143,240,Calculator!$C$11,0,),0),"")</f>
        <v/>
      </c>
      <c r="S143" s="14" t="str">
        <f>IF(Calculator!$C$12=20,ROUNDUP(-IPMT(Calculator!$C$13/12,$O143,240,Calculator!$C$11,0,),0),"")</f>
        <v/>
      </c>
      <c r="T143" s="14" t="str">
        <f>IF(Calculator!$C$12=20,Q143-R143,"")</f>
        <v/>
      </c>
    </row>
    <row r="144" spans="1:20" x14ac:dyDescent="0.25">
      <c r="A144" s="13">
        <v>140</v>
      </c>
      <c r="B144" s="14">
        <f>IF(Calculator!$C$12=12,Calculator!$C$14,"")</f>
        <v>158</v>
      </c>
      <c r="C144" s="14">
        <f t="shared" si="6"/>
        <v>695</v>
      </c>
      <c r="D144" s="14">
        <f>IF(Calculator!$C$12=12,ROUNDUP(-PPMT(Calculator!$C$13/12,$A144,144,Calculator!$C$11,0,),0),"")</f>
        <v>152</v>
      </c>
      <c r="E144" s="14">
        <f>IF(Calculator!$C$12=12,ROUNDUP(-IPMT(Calculator!$C$13/12,$A144,144,Calculator!$C$11,0,),0),"")</f>
        <v>6</v>
      </c>
      <c r="F144" s="14">
        <f>IF(Calculator!$C$12=12,C144-D144,"")</f>
        <v>543</v>
      </c>
      <c r="H144" s="13">
        <v>140</v>
      </c>
      <c r="I144" s="14" t="str">
        <f>IF(Calculator!$C$12=12,"",Calculator!$C$14)</f>
        <v/>
      </c>
      <c r="J144" s="14" t="str">
        <f t="shared" si="7"/>
        <v/>
      </c>
      <c r="K144" s="14" t="str">
        <f>IF(Calculator!$C$12=15,ROUNDUP(-PPMT(Calculator!$C$13/12,$H144,180,Calculator!$C$11,0,),0),"")</f>
        <v/>
      </c>
      <c r="L144" s="14" t="str">
        <f>IF(Calculator!$C$12=15,ROUNDUP(-IPMT(Calculator!$C$13/12,$H144,180,Calculator!$C$11,0,),0),"")</f>
        <v/>
      </c>
      <c r="M144" s="14" t="str">
        <f>IF(Calculator!$C$12=15,J144-K144,"")</f>
        <v/>
      </c>
      <c r="O144" s="13">
        <v>140</v>
      </c>
      <c r="P144" s="14" t="str">
        <f>IF(Calculator!$C$12=20,Calculator!$C$14,"")</f>
        <v/>
      </c>
      <c r="Q144" s="14" t="str">
        <f t="shared" si="8"/>
        <v/>
      </c>
      <c r="R144" s="14" t="str">
        <f>IF(Calculator!$C$12=20,ROUNDUP(-PPMT(Calculator!$C$13/12,$O144,240,Calculator!$C$11,0,),0),"")</f>
        <v/>
      </c>
      <c r="S144" s="14" t="str">
        <f>IF(Calculator!$C$12=20,ROUNDUP(-IPMT(Calculator!$C$13/12,$O144,240,Calculator!$C$11,0,),0),"")</f>
        <v/>
      </c>
      <c r="T144" s="14" t="str">
        <f>IF(Calculator!$C$12=20,Q144-R144,"")</f>
        <v/>
      </c>
    </row>
    <row r="145" spans="1:20" x14ac:dyDescent="0.25">
      <c r="A145" s="13">
        <v>141</v>
      </c>
      <c r="B145" s="14">
        <f>IF(Calculator!$C$12=12,Calculator!$C$14,"")</f>
        <v>158</v>
      </c>
      <c r="C145" s="14">
        <f t="shared" si="6"/>
        <v>543</v>
      </c>
      <c r="D145" s="14">
        <f>IF(Calculator!$C$12=12,ROUNDUP(-PPMT(Calculator!$C$13/12,$A145,144,Calculator!$C$11,0,),0),"")</f>
        <v>153</v>
      </c>
      <c r="E145" s="14">
        <f>IF(Calculator!$C$12=12,ROUNDUP(-IPMT(Calculator!$C$13/12,$A145,144,Calculator!$C$11,0,),0),"")</f>
        <v>5</v>
      </c>
      <c r="F145" s="14">
        <f>IF(Calculator!$C$12=12,C145-D145,"")</f>
        <v>390</v>
      </c>
      <c r="H145" s="13">
        <v>141</v>
      </c>
      <c r="I145" s="14" t="str">
        <f>IF(Calculator!$C$12=12,"",Calculator!$C$14)</f>
        <v/>
      </c>
      <c r="J145" s="14" t="str">
        <f t="shared" si="7"/>
        <v/>
      </c>
      <c r="K145" s="14" t="str">
        <f>IF(Calculator!$C$12=15,ROUNDUP(-PPMT(Calculator!$C$13/12,$H145,180,Calculator!$C$11,0,),0),"")</f>
        <v/>
      </c>
      <c r="L145" s="14" t="str">
        <f>IF(Calculator!$C$12=15,ROUNDUP(-IPMT(Calculator!$C$13/12,$H145,180,Calculator!$C$11,0,),0),"")</f>
        <v/>
      </c>
      <c r="M145" s="14" t="str">
        <f>IF(Calculator!$C$12=15,J145-K145,"")</f>
        <v/>
      </c>
      <c r="O145" s="13">
        <v>141</v>
      </c>
      <c r="P145" s="14" t="str">
        <f>IF(Calculator!$C$12=20,Calculator!$C$14,"")</f>
        <v/>
      </c>
      <c r="Q145" s="14" t="str">
        <f t="shared" si="8"/>
        <v/>
      </c>
      <c r="R145" s="14" t="str">
        <f>IF(Calculator!$C$12=20,ROUNDUP(-PPMT(Calculator!$C$13/12,$O145,240,Calculator!$C$11,0,),0),"")</f>
        <v/>
      </c>
      <c r="S145" s="14" t="str">
        <f>IF(Calculator!$C$12=20,ROUNDUP(-IPMT(Calculator!$C$13/12,$O145,240,Calculator!$C$11,0,),0),"")</f>
        <v/>
      </c>
      <c r="T145" s="14" t="str">
        <f>IF(Calculator!$C$12=20,Q145-R145,"")</f>
        <v/>
      </c>
    </row>
    <row r="146" spans="1:20" x14ac:dyDescent="0.25">
      <c r="A146" s="13">
        <v>142</v>
      </c>
      <c r="B146" s="14">
        <f>IF(Calculator!$C$12=12,Calculator!$C$14,"")</f>
        <v>158</v>
      </c>
      <c r="C146" s="14">
        <f t="shared" si="6"/>
        <v>390</v>
      </c>
      <c r="D146" s="14">
        <f>IF(Calculator!$C$12=12,ROUNDUP(-PPMT(Calculator!$C$13/12,$A146,144,Calculator!$C$11,0,),0),"")</f>
        <v>154</v>
      </c>
      <c r="E146" s="14">
        <f>IF(Calculator!$C$12=12,ROUNDUP(-IPMT(Calculator!$C$13/12,$A146,144,Calculator!$C$11,0,),0),"")</f>
        <v>4</v>
      </c>
      <c r="F146" s="14">
        <f>IF(Calculator!$C$12=12,C146-D146,"")</f>
        <v>236</v>
      </c>
      <c r="H146" s="13">
        <v>142</v>
      </c>
      <c r="I146" s="14" t="str">
        <f>IF(Calculator!$C$12=12,"",Calculator!$C$14)</f>
        <v/>
      </c>
      <c r="J146" s="14" t="str">
        <f t="shared" si="7"/>
        <v/>
      </c>
      <c r="K146" s="14" t="str">
        <f>IF(Calculator!$C$12=15,ROUNDUP(-PPMT(Calculator!$C$13/12,$H146,180,Calculator!$C$11,0,),0),"")</f>
        <v/>
      </c>
      <c r="L146" s="14" t="str">
        <f>IF(Calculator!$C$12=15,ROUNDUP(-IPMT(Calculator!$C$13/12,$H146,180,Calculator!$C$11,0,),0),"")</f>
        <v/>
      </c>
      <c r="M146" s="14" t="str">
        <f>IF(Calculator!$C$12=15,J146-K146,"")</f>
        <v/>
      </c>
      <c r="O146" s="13">
        <v>142</v>
      </c>
      <c r="P146" s="14" t="str">
        <f>IF(Calculator!$C$12=20,Calculator!$C$14,"")</f>
        <v/>
      </c>
      <c r="Q146" s="14" t="str">
        <f t="shared" si="8"/>
        <v/>
      </c>
      <c r="R146" s="14" t="str">
        <f>IF(Calculator!$C$12=20,ROUNDUP(-PPMT(Calculator!$C$13/12,$O146,240,Calculator!$C$11,0,),0),"")</f>
        <v/>
      </c>
      <c r="S146" s="14" t="str">
        <f>IF(Calculator!$C$12=20,ROUNDUP(-IPMT(Calculator!$C$13/12,$O146,240,Calculator!$C$11,0,),0),"")</f>
        <v/>
      </c>
      <c r="T146" s="14" t="str">
        <f>IF(Calculator!$C$12=20,Q146-R146,"")</f>
        <v/>
      </c>
    </row>
    <row r="147" spans="1:20" x14ac:dyDescent="0.25">
      <c r="A147" s="13">
        <v>143</v>
      </c>
      <c r="B147" s="14">
        <f>IF(Calculator!$C$12=12,Calculator!$C$14,"")</f>
        <v>158</v>
      </c>
      <c r="C147" s="14">
        <f t="shared" si="6"/>
        <v>236</v>
      </c>
      <c r="D147" s="14">
        <f>IF(Calculator!$C$12=12,ROUNDUP(-PPMT(Calculator!$C$13/12,$A147,144,Calculator!$C$11,0,),0),"")</f>
        <v>156</v>
      </c>
      <c r="E147" s="14">
        <f>IF(Calculator!$C$12=12,ROUNDUP(-IPMT(Calculator!$C$13/12,$A147,144,Calculator!$C$11,0,),0),"")</f>
        <v>3</v>
      </c>
      <c r="F147" s="14">
        <f>IF(Calculator!$C$12=12,C147-D147,"")</f>
        <v>80</v>
      </c>
      <c r="H147" s="13">
        <v>143</v>
      </c>
      <c r="I147" s="14" t="str">
        <f>IF(Calculator!$C$12=12,"",Calculator!$C$14)</f>
        <v/>
      </c>
      <c r="J147" s="14" t="str">
        <f t="shared" si="7"/>
        <v/>
      </c>
      <c r="K147" s="14" t="str">
        <f>IF(Calculator!$C$12=15,ROUNDUP(-PPMT(Calculator!$C$13/12,$H147,180,Calculator!$C$11,0,),0),"")</f>
        <v/>
      </c>
      <c r="L147" s="14" t="str">
        <f>IF(Calculator!$C$12=15,ROUNDUP(-IPMT(Calculator!$C$13/12,$H147,180,Calculator!$C$11,0,),0),"")</f>
        <v/>
      </c>
      <c r="M147" s="14" t="str">
        <f>IF(Calculator!$C$12=15,J147-K147,"")</f>
        <v/>
      </c>
      <c r="O147" s="13">
        <v>143</v>
      </c>
      <c r="P147" s="14" t="str">
        <f>IF(Calculator!$C$12=20,Calculator!$C$14,"")</f>
        <v/>
      </c>
      <c r="Q147" s="14" t="str">
        <f t="shared" si="8"/>
        <v/>
      </c>
      <c r="R147" s="14" t="str">
        <f>IF(Calculator!$C$12=20,ROUNDUP(-PPMT(Calculator!$C$13/12,$O147,240,Calculator!$C$11,0,),0),"")</f>
        <v/>
      </c>
      <c r="S147" s="14" t="str">
        <f>IF(Calculator!$C$12=20,ROUNDUP(-IPMT(Calculator!$C$13/12,$O147,240,Calculator!$C$11,0,),0),"")</f>
        <v/>
      </c>
      <c r="T147" s="14" t="str">
        <f>IF(Calculator!$C$12=20,Q147-R147,"")</f>
        <v/>
      </c>
    </row>
    <row r="148" spans="1:20" x14ac:dyDescent="0.25">
      <c r="A148" s="13">
        <v>144</v>
      </c>
      <c r="B148" s="14">
        <f>D148+E148</f>
        <v>80.583333333333329</v>
      </c>
      <c r="C148" s="14">
        <f t="shared" si="6"/>
        <v>80</v>
      </c>
      <c r="D148" s="14">
        <f>C148</f>
        <v>80</v>
      </c>
      <c r="E148" s="14">
        <f>F147*Calculator!$C$13/12</f>
        <v>0.58333333333333337</v>
      </c>
      <c r="F148" s="14">
        <f>IF(Calculator!$C$12=12,C148-D148,"")</f>
        <v>0</v>
      </c>
      <c r="H148" s="13">
        <v>144</v>
      </c>
      <c r="I148" s="14" t="str">
        <f>IF(Calculator!$C$12=12,"",Calculator!$C$14)</f>
        <v/>
      </c>
      <c r="J148" s="14" t="str">
        <f t="shared" si="7"/>
        <v/>
      </c>
      <c r="K148" s="14" t="str">
        <f>IF(Calculator!$C$12=15,ROUNDUP(-PPMT(Calculator!$C$13/12,$H148,180,Calculator!$C$11,0,),0),"")</f>
        <v/>
      </c>
      <c r="L148" s="14" t="str">
        <f>IF(Calculator!$C$12=15,ROUNDUP(-IPMT(Calculator!$C$13/12,$H148,180,Calculator!$C$11,0,),0),"")</f>
        <v/>
      </c>
      <c r="M148" s="14" t="str">
        <f>IF(Calculator!$C$12=15,J148-K148,"")</f>
        <v/>
      </c>
      <c r="O148" s="13">
        <v>144</v>
      </c>
      <c r="P148" s="14" t="str">
        <f>IF(Calculator!$C$12=20,Calculator!$C$14,"")</f>
        <v/>
      </c>
      <c r="Q148" s="14" t="str">
        <f t="shared" si="8"/>
        <v/>
      </c>
      <c r="R148" s="14" t="str">
        <f>IF(Calculator!$C$12=20,ROUNDUP(-PPMT(Calculator!$C$13/12,$O148,240,Calculator!$C$11,0,),0),"")</f>
        <v/>
      </c>
      <c r="S148" s="14" t="str">
        <f>IF(Calculator!$C$12=20,ROUNDUP(-IPMT(Calculator!$C$13/12,$O148,240,Calculator!$C$11,0,),0),"")</f>
        <v/>
      </c>
      <c r="T148" s="14" t="str">
        <f>IF(Calculator!$C$12=20,Q148-R148,"")</f>
        <v/>
      </c>
    </row>
    <row r="149" spans="1:20" x14ac:dyDescent="0.25">
      <c r="H149" s="13">
        <v>145</v>
      </c>
      <c r="I149" s="14" t="str">
        <f>IF(Calculator!$C$12=12,"",Calculator!$C$14)</f>
        <v/>
      </c>
      <c r="J149" s="14" t="str">
        <f t="shared" si="7"/>
        <v/>
      </c>
      <c r="K149" s="14" t="str">
        <f>IF(Calculator!$C$12=15,ROUNDUP(-PPMT(Calculator!$C$13/12,$H149,180,Calculator!$C$11,0,),0),"")</f>
        <v/>
      </c>
      <c r="L149" s="14" t="str">
        <f>IF(Calculator!$C$12=15,ROUNDUP(-IPMT(Calculator!$C$13/12,$H149,180,Calculator!$C$11,0,),0),"")</f>
        <v/>
      </c>
      <c r="M149" s="14" t="str">
        <f>IF(Calculator!$C$12=15,J149-K149,"")</f>
        <v/>
      </c>
      <c r="O149" s="13">
        <v>145</v>
      </c>
      <c r="P149" s="14" t="str">
        <f>IF(Calculator!$C$12=20,Calculator!$C$14,"")</f>
        <v/>
      </c>
      <c r="Q149" s="14" t="str">
        <f t="shared" si="8"/>
        <v/>
      </c>
      <c r="R149" s="14" t="str">
        <f>IF(Calculator!$C$12=20,ROUNDUP(-PPMT(Calculator!$C$13/12,$O149,240,Calculator!$C$11,0,),0),"")</f>
        <v/>
      </c>
      <c r="S149" s="14" t="str">
        <f>IF(Calculator!$C$12=20,ROUNDUP(-IPMT(Calculator!$C$13/12,$O149,240,Calculator!$C$11,0,),0),"")</f>
        <v/>
      </c>
      <c r="T149" s="14" t="str">
        <f>IF(Calculator!$C$12=20,Q149-R149,"")</f>
        <v/>
      </c>
    </row>
    <row r="150" spans="1:20" x14ac:dyDescent="0.25">
      <c r="H150" s="13">
        <v>146</v>
      </c>
      <c r="I150" s="14" t="str">
        <f>IF(Calculator!$C$12=12,"",Calculator!$C$14)</f>
        <v/>
      </c>
      <c r="J150" s="14" t="str">
        <f t="shared" si="7"/>
        <v/>
      </c>
      <c r="K150" s="14" t="str">
        <f>IF(Calculator!$C$12=15,ROUNDUP(-PPMT(Calculator!$C$13/12,$H150,180,Calculator!$C$11,0,),0),"")</f>
        <v/>
      </c>
      <c r="L150" s="14" t="str">
        <f>IF(Calculator!$C$12=15,ROUNDUP(-IPMT(Calculator!$C$13/12,$H150,180,Calculator!$C$11,0,),0),"")</f>
        <v/>
      </c>
      <c r="M150" s="14" t="str">
        <f>IF(Calculator!$C$12=15,J150-K150,"")</f>
        <v/>
      </c>
      <c r="O150" s="13">
        <v>146</v>
      </c>
      <c r="P150" s="14" t="str">
        <f>IF(Calculator!$C$12=20,Calculator!$C$14,"")</f>
        <v/>
      </c>
      <c r="Q150" s="14" t="str">
        <f t="shared" si="8"/>
        <v/>
      </c>
      <c r="R150" s="14" t="str">
        <f>IF(Calculator!$C$12=20,ROUNDUP(-PPMT(Calculator!$C$13/12,$O150,240,Calculator!$C$11,0,),0),"")</f>
        <v/>
      </c>
      <c r="S150" s="14" t="str">
        <f>IF(Calculator!$C$12=20,ROUNDUP(-IPMT(Calculator!$C$13/12,$O150,240,Calculator!$C$11,0,),0),"")</f>
        <v/>
      </c>
      <c r="T150" s="14" t="str">
        <f>IF(Calculator!$C$12=20,Q150-R150,"")</f>
        <v/>
      </c>
    </row>
    <row r="151" spans="1:20" x14ac:dyDescent="0.25">
      <c r="H151" s="13">
        <v>147</v>
      </c>
      <c r="I151" s="14" t="str">
        <f>IF(Calculator!$C$12=12,"",Calculator!$C$14)</f>
        <v/>
      </c>
      <c r="J151" s="14" t="str">
        <f t="shared" si="7"/>
        <v/>
      </c>
      <c r="K151" s="14" t="str">
        <f>IF(Calculator!$C$12=15,ROUNDUP(-PPMT(Calculator!$C$13/12,$H151,180,Calculator!$C$11,0,),0),"")</f>
        <v/>
      </c>
      <c r="L151" s="14" t="str">
        <f>IF(Calculator!$C$12=15,ROUNDUP(-IPMT(Calculator!$C$13/12,$H151,180,Calculator!$C$11,0,),0),"")</f>
        <v/>
      </c>
      <c r="M151" s="14" t="str">
        <f>IF(Calculator!$C$12=15,J151-K151,"")</f>
        <v/>
      </c>
      <c r="O151" s="13">
        <v>147</v>
      </c>
      <c r="P151" s="14" t="str">
        <f>IF(Calculator!$C$12=20,Calculator!$C$14,"")</f>
        <v/>
      </c>
      <c r="Q151" s="14" t="str">
        <f t="shared" si="8"/>
        <v/>
      </c>
      <c r="R151" s="14" t="str">
        <f>IF(Calculator!$C$12=20,ROUNDUP(-PPMT(Calculator!$C$13/12,$O151,240,Calculator!$C$11,0,),0),"")</f>
        <v/>
      </c>
      <c r="S151" s="14" t="str">
        <f>IF(Calculator!$C$12=20,ROUNDUP(-IPMT(Calculator!$C$13/12,$O151,240,Calculator!$C$11,0,),0),"")</f>
        <v/>
      </c>
      <c r="T151" s="14" t="str">
        <f>IF(Calculator!$C$12=20,Q151-R151,"")</f>
        <v/>
      </c>
    </row>
    <row r="152" spans="1:20" x14ac:dyDescent="0.25">
      <c r="H152" s="13">
        <v>148</v>
      </c>
      <c r="I152" s="14" t="str">
        <f>IF(Calculator!$C$12=12,"",Calculator!$C$14)</f>
        <v/>
      </c>
      <c r="J152" s="14" t="str">
        <f t="shared" si="7"/>
        <v/>
      </c>
      <c r="K152" s="14" t="str">
        <f>IF(Calculator!$C$12=15,ROUNDUP(-PPMT(Calculator!$C$13/12,$H152,180,Calculator!$C$11,0,),0),"")</f>
        <v/>
      </c>
      <c r="L152" s="14" t="str">
        <f>IF(Calculator!$C$12=15,ROUNDUP(-IPMT(Calculator!$C$13/12,$H152,180,Calculator!$C$11,0,),0),"")</f>
        <v/>
      </c>
      <c r="M152" s="14" t="str">
        <f>IF(Calculator!$C$12=15,J152-K152,"")</f>
        <v/>
      </c>
      <c r="O152" s="13">
        <v>148</v>
      </c>
      <c r="P152" s="14" t="str">
        <f>IF(Calculator!$C$12=20,Calculator!$C$14,"")</f>
        <v/>
      </c>
      <c r="Q152" s="14" t="str">
        <f t="shared" si="8"/>
        <v/>
      </c>
      <c r="R152" s="14" t="str">
        <f>IF(Calculator!$C$12=20,ROUNDUP(-PPMT(Calculator!$C$13/12,$O152,240,Calculator!$C$11,0,),0),"")</f>
        <v/>
      </c>
      <c r="S152" s="14" t="str">
        <f>IF(Calculator!$C$12=20,ROUNDUP(-IPMT(Calculator!$C$13/12,$O152,240,Calculator!$C$11,0,),0),"")</f>
        <v/>
      </c>
      <c r="T152" s="14" t="str">
        <f>IF(Calculator!$C$12=20,Q152-R152,"")</f>
        <v/>
      </c>
    </row>
    <row r="153" spans="1:20" x14ac:dyDescent="0.25">
      <c r="H153" s="13">
        <v>149</v>
      </c>
      <c r="I153" s="14" t="str">
        <f>IF(Calculator!$C$12=12,"",Calculator!$C$14)</f>
        <v/>
      </c>
      <c r="J153" s="14" t="str">
        <f t="shared" si="7"/>
        <v/>
      </c>
      <c r="K153" s="14" t="str">
        <f>IF(Calculator!$C$12=15,ROUNDUP(-PPMT(Calculator!$C$13/12,$H153,180,Calculator!$C$11,0,),0),"")</f>
        <v/>
      </c>
      <c r="L153" s="14" t="str">
        <f>IF(Calculator!$C$12=15,ROUNDUP(-IPMT(Calculator!$C$13/12,$H153,180,Calculator!$C$11,0,),0),"")</f>
        <v/>
      </c>
      <c r="M153" s="14" t="str">
        <f>IF(Calculator!$C$12=15,J153-K153,"")</f>
        <v/>
      </c>
      <c r="O153" s="13">
        <v>149</v>
      </c>
      <c r="P153" s="14" t="str">
        <f>IF(Calculator!$C$12=20,Calculator!$C$14,"")</f>
        <v/>
      </c>
      <c r="Q153" s="14" t="str">
        <f t="shared" si="8"/>
        <v/>
      </c>
      <c r="R153" s="14" t="str">
        <f>IF(Calculator!$C$12=20,ROUNDUP(-PPMT(Calculator!$C$13/12,$O153,240,Calculator!$C$11,0,),0),"")</f>
        <v/>
      </c>
      <c r="S153" s="14" t="str">
        <f>IF(Calculator!$C$12=20,ROUNDUP(-IPMT(Calculator!$C$13/12,$O153,240,Calculator!$C$11,0,),0),"")</f>
        <v/>
      </c>
      <c r="T153" s="14" t="str">
        <f>IF(Calculator!$C$12=20,Q153-R153,"")</f>
        <v/>
      </c>
    </row>
    <row r="154" spans="1:20" x14ac:dyDescent="0.25">
      <c r="H154" s="13">
        <v>150</v>
      </c>
      <c r="I154" s="14" t="str">
        <f>IF(Calculator!$C$12=12,"",Calculator!$C$14)</f>
        <v/>
      </c>
      <c r="J154" s="14" t="str">
        <f t="shared" si="7"/>
        <v/>
      </c>
      <c r="K154" s="14" t="str">
        <f>IF(Calculator!$C$12=15,ROUNDUP(-PPMT(Calculator!$C$13/12,$H154,180,Calculator!$C$11,0,),0),"")</f>
        <v/>
      </c>
      <c r="L154" s="14" t="str">
        <f>IF(Calculator!$C$12=15,ROUNDUP(-IPMT(Calculator!$C$13/12,$H154,180,Calculator!$C$11,0,),0),"")</f>
        <v/>
      </c>
      <c r="M154" s="14" t="str">
        <f>IF(Calculator!$C$12=15,J154-K154,"")</f>
        <v/>
      </c>
      <c r="O154" s="13">
        <v>150</v>
      </c>
      <c r="P154" s="14" t="str">
        <f>IF(Calculator!$C$12=20,Calculator!$C$14,"")</f>
        <v/>
      </c>
      <c r="Q154" s="14" t="str">
        <f t="shared" si="8"/>
        <v/>
      </c>
      <c r="R154" s="14" t="str">
        <f>IF(Calculator!$C$12=20,ROUNDUP(-PPMT(Calculator!$C$13/12,$O154,240,Calculator!$C$11,0,),0),"")</f>
        <v/>
      </c>
      <c r="S154" s="14" t="str">
        <f>IF(Calculator!$C$12=20,ROUNDUP(-IPMT(Calculator!$C$13/12,$O154,240,Calculator!$C$11,0,),0),"")</f>
        <v/>
      </c>
      <c r="T154" s="14" t="str">
        <f>IF(Calculator!$C$12=20,Q154-R154,"")</f>
        <v/>
      </c>
    </row>
    <row r="155" spans="1:20" x14ac:dyDescent="0.25">
      <c r="H155" s="13">
        <v>151</v>
      </c>
      <c r="I155" s="14" t="str">
        <f>IF(Calculator!$C$12=12,"",Calculator!$C$14)</f>
        <v/>
      </c>
      <c r="J155" s="14" t="str">
        <f t="shared" si="7"/>
        <v/>
      </c>
      <c r="K155" s="14" t="str">
        <f>IF(Calculator!$C$12=15,ROUNDUP(-PPMT(Calculator!$C$13/12,$H155,180,Calculator!$C$11,0,),0),"")</f>
        <v/>
      </c>
      <c r="L155" s="14" t="str">
        <f>IF(Calculator!$C$12=15,ROUNDUP(-IPMT(Calculator!$C$13/12,$H155,180,Calculator!$C$11,0,),0),"")</f>
        <v/>
      </c>
      <c r="M155" s="14" t="str">
        <f>IF(Calculator!$C$12=15,J155-K155,"")</f>
        <v/>
      </c>
      <c r="O155" s="13">
        <v>151</v>
      </c>
      <c r="P155" s="14" t="str">
        <f>IF(Calculator!$C$12=20,Calculator!$C$14,"")</f>
        <v/>
      </c>
      <c r="Q155" s="14" t="str">
        <f t="shared" si="8"/>
        <v/>
      </c>
      <c r="R155" s="14" t="str">
        <f>IF(Calculator!$C$12=20,ROUNDUP(-PPMT(Calculator!$C$13/12,$O155,240,Calculator!$C$11,0,),0),"")</f>
        <v/>
      </c>
      <c r="S155" s="14" t="str">
        <f>IF(Calculator!$C$12=20,ROUNDUP(-IPMT(Calculator!$C$13/12,$O155,240,Calculator!$C$11,0,),0),"")</f>
        <v/>
      </c>
      <c r="T155" s="14" t="str">
        <f>IF(Calculator!$C$12=20,Q155-R155,"")</f>
        <v/>
      </c>
    </row>
    <row r="156" spans="1:20" x14ac:dyDescent="0.25">
      <c r="H156" s="13">
        <v>152</v>
      </c>
      <c r="I156" s="14" t="str">
        <f>IF(Calculator!$C$12=12,"",Calculator!$C$14)</f>
        <v/>
      </c>
      <c r="J156" s="14" t="str">
        <f t="shared" si="7"/>
        <v/>
      </c>
      <c r="K156" s="14" t="str">
        <f>IF(Calculator!$C$12=15,ROUNDUP(-PPMT(Calculator!$C$13/12,$H156,180,Calculator!$C$11,0,),0),"")</f>
        <v/>
      </c>
      <c r="L156" s="14" t="str">
        <f>IF(Calculator!$C$12=15,ROUNDUP(-IPMT(Calculator!$C$13/12,$H156,180,Calculator!$C$11,0,),0),"")</f>
        <v/>
      </c>
      <c r="M156" s="14" t="str">
        <f>IF(Calculator!$C$12=15,J156-K156,"")</f>
        <v/>
      </c>
      <c r="O156" s="13">
        <v>152</v>
      </c>
      <c r="P156" s="14" t="str">
        <f>IF(Calculator!$C$12=20,Calculator!$C$14,"")</f>
        <v/>
      </c>
      <c r="Q156" s="14" t="str">
        <f t="shared" si="8"/>
        <v/>
      </c>
      <c r="R156" s="14" t="str">
        <f>IF(Calculator!$C$12=20,ROUNDUP(-PPMT(Calculator!$C$13/12,$O156,240,Calculator!$C$11,0,),0),"")</f>
        <v/>
      </c>
      <c r="S156" s="14" t="str">
        <f>IF(Calculator!$C$12=20,ROUNDUP(-IPMT(Calculator!$C$13/12,$O156,240,Calculator!$C$11,0,),0),"")</f>
        <v/>
      </c>
      <c r="T156" s="14" t="str">
        <f>IF(Calculator!$C$12=20,Q156-R156,"")</f>
        <v/>
      </c>
    </row>
    <row r="157" spans="1:20" x14ac:dyDescent="0.25">
      <c r="H157" s="13">
        <v>153</v>
      </c>
      <c r="I157" s="14" t="str">
        <f>IF(Calculator!$C$12=12,"",Calculator!$C$14)</f>
        <v/>
      </c>
      <c r="J157" s="14" t="str">
        <f t="shared" si="7"/>
        <v/>
      </c>
      <c r="K157" s="14" t="str">
        <f>IF(Calculator!$C$12=15,ROUNDUP(-PPMT(Calculator!$C$13/12,$H157,180,Calculator!$C$11,0,),0),"")</f>
        <v/>
      </c>
      <c r="L157" s="14" t="str">
        <f>IF(Calculator!$C$12=15,ROUNDUP(-IPMT(Calculator!$C$13/12,$H157,180,Calculator!$C$11,0,),0),"")</f>
        <v/>
      </c>
      <c r="M157" s="14" t="str">
        <f>IF(Calculator!$C$12=15,J157-K157,"")</f>
        <v/>
      </c>
      <c r="O157" s="13">
        <v>153</v>
      </c>
      <c r="P157" s="14" t="str">
        <f>IF(Calculator!$C$12=20,Calculator!$C$14,"")</f>
        <v/>
      </c>
      <c r="Q157" s="14" t="str">
        <f t="shared" si="8"/>
        <v/>
      </c>
      <c r="R157" s="14" t="str">
        <f>IF(Calculator!$C$12=20,ROUNDUP(-PPMT(Calculator!$C$13/12,$O157,240,Calculator!$C$11,0,),0),"")</f>
        <v/>
      </c>
      <c r="S157" s="14" t="str">
        <f>IF(Calculator!$C$12=20,ROUNDUP(-IPMT(Calculator!$C$13/12,$O157,240,Calculator!$C$11,0,),0),"")</f>
        <v/>
      </c>
      <c r="T157" s="14" t="str">
        <f>IF(Calculator!$C$12=20,Q157-R157,"")</f>
        <v/>
      </c>
    </row>
    <row r="158" spans="1:20" x14ac:dyDescent="0.25">
      <c r="H158" s="13">
        <v>154</v>
      </c>
      <c r="I158" s="14" t="str">
        <f>IF(Calculator!$C$12=12,"",Calculator!$C$14)</f>
        <v/>
      </c>
      <c r="J158" s="14" t="str">
        <f t="shared" si="7"/>
        <v/>
      </c>
      <c r="K158" s="14" t="str">
        <f>IF(Calculator!$C$12=15,ROUNDUP(-PPMT(Calculator!$C$13/12,$H158,180,Calculator!$C$11,0,),0),"")</f>
        <v/>
      </c>
      <c r="L158" s="14" t="str">
        <f>IF(Calculator!$C$12=15,ROUNDUP(-IPMT(Calculator!$C$13/12,$H158,180,Calculator!$C$11,0,),0),"")</f>
        <v/>
      </c>
      <c r="M158" s="14" t="str">
        <f>IF(Calculator!$C$12=15,J158-K158,"")</f>
        <v/>
      </c>
      <c r="O158" s="13">
        <v>154</v>
      </c>
      <c r="P158" s="14" t="str">
        <f>IF(Calculator!$C$12=20,Calculator!$C$14,"")</f>
        <v/>
      </c>
      <c r="Q158" s="14" t="str">
        <f t="shared" si="8"/>
        <v/>
      </c>
      <c r="R158" s="14" t="str">
        <f>IF(Calculator!$C$12=20,ROUNDUP(-PPMT(Calculator!$C$13/12,$O158,240,Calculator!$C$11,0,),0),"")</f>
        <v/>
      </c>
      <c r="S158" s="14" t="str">
        <f>IF(Calculator!$C$12=20,ROUNDUP(-IPMT(Calculator!$C$13/12,$O158,240,Calculator!$C$11,0,),0),"")</f>
        <v/>
      </c>
      <c r="T158" s="14" t="str">
        <f>IF(Calculator!$C$12=20,Q158-R158,"")</f>
        <v/>
      </c>
    </row>
    <row r="159" spans="1:20" x14ac:dyDescent="0.25">
      <c r="H159" s="13">
        <v>155</v>
      </c>
      <c r="I159" s="14" t="str">
        <f>IF(Calculator!$C$12=12,"",Calculator!$C$14)</f>
        <v/>
      </c>
      <c r="J159" s="14" t="str">
        <f t="shared" si="7"/>
        <v/>
      </c>
      <c r="K159" s="14" t="str">
        <f>IF(Calculator!$C$12=15,ROUNDUP(-PPMT(Calculator!$C$13/12,$H159,180,Calculator!$C$11,0,),0),"")</f>
        <v/>
      </c>
      <c r="L159" s="14" t="str">
        <f>IF(Calculator!$C$12=15,ROUNDUP(-IPMT(Calculator!$C$13/12,$H159,180,Calculator!$C$11,0,),0),"")</f>
        <v/>
      </c>
      <c r="M159" s="14" t="str">
        <f>IF(Calculator!$C$12=15,J159-K159,"")</f>
        <v/>
      </c>
      <c r="O159" s="13">
        <v>155</v>
      </c>
      <c r="P159" s="14" t="str">
        <f>IF(Calculator!$C$12=20,Calculator!$C$14,"")</f>
        <v/>
      </c>
      <c r="Q159" s="14" t="str">
        <f t="shared" si="8"/>
        <v/>
      </c>
      <c r="R159" s="14" t="str">
        <f>IF(Calculator!$C$12=20,ROUNDUP(-PPMT(Calculator!$C$13/12,$O159,240,Calculator!$C$11,0,),0),"")</f>
        <v/>
      </c>
      <c r="S159" s="14" t="str">
        <f>IF(Calculator!$C$12=20,ROUNDUP(-IPMT(Calculator!$C$13/12,$O159,240,Calculator!$C$11,0,),0),"")</f>
        <v/>
      </c>
      <c r="T159" s="14" t="str">
        <f>IF(Calculator!$C$12=20,Q159-R159,"")</f>
        <v/>
      </c>
    </row>
    <row r="160" spans="1:20" x14ac:dyDescent="0.25">
      <c r="H160" s="13">
        <v>156</v>
      </c>
      <c r="I160" s="14" t="str">
        <f>IF(Calculator!$C$12=12,"",Calculator!$C$14)</f>
        <v/>
      </c>
      <c r="J160" s="14" t="str">
        <f t="shared" si="7"/>
        <v/>
      </c>
      <c r="K160" s="14" t="str">
        <f>IF(Calculator!$C$12=15,ROUNDUP(-PPMT(Calculator!$C$13/12,$H160,180,Calculator!$C$11,0,),0),"")</f>
        <v/>
      </c>
      <c r="L160" s="14" t="str">
        <f>IF(Calculator!$C$12=15,ROUNDUP(-IPMT(Calculator!$C$13/12,$H160,180,Calculator!$C$11,0,),0),"")</f>
        <v/>
      </c>
      <c r="M160" s="14" t="str">
        <f>IF(Calculator!$C$12=15,J160-K160,"")</f>
        <v/>
      </c>
      <c r="O160" s="13">
        <v>156</v>
      </c>
      <c r="P160" s="14" t="str">
        <f>IF(Calculator!$C$12=20,Calculator!$C$14,"")</f>
        <v/>
      </c>
      <c r="Q160" s="14" t="str">
        <f t="shared" si="8"/>
        <v/>
      </c>
      <c r="R160" s="14" t="str">
        <f>IF(Calculator!$C$12=20,ROUNDUP(-PPMT(Calculator!$C$13/12,$O160,240,Calculator!$C$11,0,),0),"")</f>
        <v/>
      </c>
      <c r="S160" s="14" t="str">
        <f>IF(Calculator!$C$12=20,ROUNDUP(-IPMT(Calculator!$C$13/12,$O160,240,Calculator!$C$11,0,),0),"")</f>
        <v/>
      </c>
      <c r="T160" s="14" t="str">
        <f>IF(Calculator!$C$12=20,Q160-R160,"")</f>
        <v/>
      </c>
    </row>
    <row r="161" spans="8:20" x14ac:dyDescent="0.25">
      <c r="H161" s="13">
        <v>157</v>
      </c>
      <c r="I161" s="14" t="str">
        <f>IF(Calculator!$C$12=12,"",Calculator!$C$14)</f>
        <v/>
      </c>
      <c r="J161" s="14" t="str">
        <f t="shared" si="7"/>
        <v/>
      </c>
      <c r="K161" s="14" t="str">
        <f>IF(Calculator!$C$12=15,ROUNDUP(-PPMT(Calculator!$C$13/12,$H161,180,Calculator!$C$11,0,),0),"")</f>
        <v/>
      </c>
      <c r="L161" s="14" t="str">
        <f>IF(Calculator!$C$12=15,ROUNDUP(-IPMT(Calculator!$C$13/12,$H161,180,Calculator!$C$11,0,),0),"")</f>
        <v/>
      </c>
      <c r="M161" s="14" t="str">
        <f>IF(Calculator!$C$12=15,J161-K161,"")</f>
        <v/>
      </c>
      <c r="O161" s="13">
        <v>157</v>
      </c>
      <c r="P161" s="14" t="str">
        <f>IF(Calculator!$C$12=20,Calculator!$C$14,"")</f>
        <v/>
      </c>
      <c r="Q161" s="14" t="str">
        <f t="shared" si="8"/>
        <v/>
      </c>
      <c r="R161" s="14" t="str">
        <f>IF(Calculator!$C$12=20,ROUNDUP(-PPMT(Calculator!$C$13/12,$O161,240,Calculator!$C$11,0,),0),"")</f>
        <v/>
      </c>
      <c r="S161" s="14" t="str">
        <f>IF(Calculator!$C$12=20,ROUNDUP(-IPMT(Calculator!$C$13/12,$O161,240,Calculator!$C$11,0,),0),"")</f>
        <v/>
      </c>
      <c r="T161" s="14" t="str">
        <f>IF(Calculator!$C$12=20,Q161-R161,"")</f>
        <v/>
      </c>
    </row>
    <row r="162" spans="8:20" x14ac:dyDescent="0.25">
      <c r="H162" s="13">
        <v>158</v>
      </c>
      <c r="I162" s="14" t="str">
        <f>IF(Calculator!$C$12=12,"",Calculator!$C$14)</f>
        <v/>
      </c>
      <c r="J162" s="14" t="str">
        <f t="shared" si="7"/>
        <v/>
      </c>
      <c r="K162" s="14" t="str">
        <f>IF(Calculator!$C$12=15,ROUNDUP(-PPMT(Calculator!$C$13/12,$H162,180,Calculator!$C$11,0,),0),"")</f>
        <v/>
      </c>
      <c r="L162" s="14" t="str">
        <f>IF(Calculator!$C$12=15,ROUNDUP(-IPMT(Calculator!$C$13/12,$H162,180,Calculator!$C$11,0,),0),"")</f>
        <v/>
      </c>
      <c r="M162" s="14" t="str">
        <f>IF(Calculator!$C$12=15,J162-K162,"")</f>
        <v/>
      </c>
      <c r="O162" s="13">
        <v>158</v>
      </c>
      <c r="P162" s="14" t="str">
        <f>IF(Calculator!$C$12=20,Calculator!$C$14,"")</f>
        <v/>
      </c>
      <c r="Q162" s="14" t="str">
        <f t="shared" si="8"/>
        <v/>
      </c>
      <c r="R162" s="14" t="str">
        <f>IF(Calculator!$C$12=20,ROUNDUP(-PPMT(Calculator!$C$13/12,$O162,240,Calculator!$C$11,0,),0),"")</f>
        <v/>
      </c>
      <c r="S162" s="14" t="str">
        <f>IF(Calculator!$C$12=20,ROUNDUP(-IPMT(Calculator!$C$13/12,$O162,240,Calculator!$C$11,0,),0),"")</f>
        <v/>
      </c>
      <c r="T162" s="14" t="str">
        <f>IF(Calculator!$C$12=20,Q162-R162,"")</f>
        <v/>
      </c>
    </row>
    <row r="163" spans="8:20" x14ac:dyDescent="0.25">
      <c r="H163" s="13">
        <v>159</v>
      </c>
      <c r="I163" s="14" t="str">
        <f>IF(Calculator!$C$12=12,"",Calculator!$C$14)</f>
        <v/>
      </c>
      <c r="J163" s="14" t="str">
        <f t="shared" si="7"/>
        <v/>
      </c>
      <c r="K163" s="14" t="str">
        <f>IF(Calculator!$C$12=15,ROUNDUP(-PPMT(Calculator!$C$13/12,$H163,180,Calculator!$C$11,0,),0),"")</f>
        <v/>
      </c>
      <c r="L163" s="14" t="str">
        <f>IF(Calculator!$C$12=15,ROUNDUP(-IPMT(Calculator!$C$13/12,$H163,180,Calculator!$C$11,0,),0),"")</f>
        <v/>
      </c>
      <c r="M163" s="14" t="str">
        <f>IF(Calculator!$C$12=15,J163-K163,"")</f>
        <v/>
      </c>
      <c r="O163" s="13">
        <v>159</v>
      </c>
      <c r="P163" s="14" t="str">
        <f>IF(Calculator!$C$12=20,Calculator!$C$14,"")</f>
        <v/>
      </c>
      <c r="Q163" s="14" t="str">
        <f t="shared" si="8"/>
        <v/>
      </c>
      <c r="R163" s="14" t="str">
        <f>IF(Calculator!$C$12=20,ROUNDUP(-PPMT(Calculator!$C$13/12,$O163,240,Calculator!$C$11,0,),0),"")</f>
        <v/>
      </c>
      <c r="S163" s="14" t="str">
        <f>IF(Calculator!$C$12=20,ROUNDUP(-IPMT(Calculator!$C$13/12,$O163,240,Calculator!$C$11,0,),0),"")</f>
        <v/>
      </c>
      <c r="T163" s="14" t="str">
        <f>IF(Calculator!$C$12=20,Q163-R163,"")</f>
        <v/>
      </c>
    </row>
    <row r="164" spans="8:20" x14ac:dyDescent="0.25">
      <c r="H164" s="13">
        <v>160</v>
      </c>
      <c r="I164" s="14" t="str">
        <f>IF(Calculator!$C$12=12,"",Calculator!$C$14)</f>
        <v/>
      </c>
      <c r="J164" s="14" t="str">
        <f t="shared" si="7"/>
        <v/>
      </c>
      <c r="K164" s="14" t="str">
        <f>IF(Calculator!$C$12=15,ROUNDUP(-PPMT(Calculator!$C$13/12,$H164,180,Calculator!$C$11,0,),0),"")</f>
        <v/>
      </c>
      <c r="L164" s="14" t="str">
        <f>IF(Calculator!$C$12=15,ROUNDUP(-IPMT(Calculator!$C$13/12,$H164,180,Calculator!$C$11,0,),0),"")</f>
        <v/>
      </c>
      <c r="M164" s="14" t="str">
        <f>IF(Calculator!$C$12=15,J164-K164,"")</f>
        <v/>
      </c>
      <c r="O164" s="13">
        <v>160</v>
      </c>
      <c r="P164" s="14" t="str">
        <f>IF(Calculator!$C$12=20,Calculator!$C$14,"")</f>
        <v/>
      </c>
      <c r="Q164" s="14" t="str">
        <f t="shared" si="8"/>
        <v/>
      </c>
      <c r="R164" s="14" t="str">
        <f>IF(Calculator!$C$12=20,ROUNDUP(-PPMT(Calculator!$C$13/12,$O164,240,Calculator!$C$11,0,),0),"")</f>
        <v/>
      </c>
      <c r="S164" s="14" t="str">
        <f>IF(Calculator!$C$12=20,ROUNDUP(-IPMT(Calculator!$C$13/12,$O164,240,Calculator!$C$11,0,),0),"")</f>
        <v/>
      </c>
      <c r="T164" s="14" t="str">
        <f>IF(Calculator!$C$12=20,Q164-R164,"")</f>
        <v/>
      </c>
    </row>
    <row r="165" spans="8:20" x14ac:dyDescent="0.25">
      <c r="H165" s="13">
        <v>161</v>
      </c>
      <c r="I165" s="14" t="str">
        <f>IF(Calculator!$C$12=12,"",Calculator!$C$14)</f>
        <v/>
      </c>
      <c r="J165" s="14" t="str">
        <f t="shared" si="7"/>
        <v/>
      </c>
      <c r="K165" s="14" t="str">
        <f>IF(Calculator!$C$12=15,ROUNDUP(-PPMT(Calculator!$C$13/12,$H165,180,Calculator!$C$11,0,),0),"")</f>
        <v/>
      </c>
      <c r="L165" s="14" t="str">
        <f>IF(Calculator!$C$12=15,ROUNDUP(-IPMT(Calculator!$C$13/12,$H165,180,Calculator!$C$11,0,),0),"")</f>
        <v/>
      </c>
      <c r="M165" s="14" t="str">
        <f>IF(Calculator!$C$12=15,J165-K165,"")</f>
        <v/>
      </c>
      <c r="O165" s="13">
        <v>161</v>
      </c>
      <c r="P165" s="14" t="str">
        <f>IF(Calculator!$C$12=20,Calculator!$C$14,"")</f>
        <v/>
      </c>
      <c r="Q165" s="14" t="str">
        <f t="shared" si="8"/>
        <v/>
      </c>
      <c r="R165" s="14" t="str">
        <f>IF(Calculator!$C$12=20,ROUNDUP(-PPMT(Calculator!$C$13/12,$O165,240,Calculator!$C$11,0,),0),"")</f>
        <v/>
      </c>
      <c r="S165" s="14" t="str">
        <f>IF(Calculator!$C$12=20,ROUNDUP(-IPMT(Calculator!$C$13/12,$O165,240,Calculator!$C$11,0,),0),"")</f>
        <v/>
      </c>
      <c r="T165" s="14" t="str">
        <f>IF(Calculator!$C$12=20,Q165-R165,"")</f>
        <v/>
      </c>
    </row>
    <row r="166" spans="8:20" x14ac:dyDescent="0.25">
      <c r="H166" s="13">
        <v>162</v>
      </c>
      <c r="I166" s="14" t="str">
        <f>IF(Calculator!$C$12=12,"",Calculator!$C$14)</f>
        <v/>
      </c>
      <c r="J166" s="14" t="str">
        <f t="shared" si="7"/>
        <v/>
      </c>
      <c r="K166" s="14" t="str">
        <f>IF(Calculator!$C$12=15,ROUNDUP(-PPMT(Calculator!$C$13/12,$H166,180,Calculator!$C$11,0,),0),"")</f>
        <v/>
      </c>
      <c r="L166" s="14" t="str">
        <f>IF(Calculator!$C$12=15,ROUNDUP(-IPMT(Calculator!$C$13/12,$H166,180,Calculator!$C$11,0,),0),"")</f>
        <v/>
      </c>
      <c r="M166" s="14" t="str">
        <f>IF(Calculator!$C$12=15,J166-K166,"")</f>
        <v/>
      </c>
      <c r="O166" s="13">
        <v>162</v>
      </c>
      <c r="P166" s="14" t="str">
        <f>IF(Calculator!$C$12=20,Calculator!$C$14,"")</f>
        <v/>
      </c>
      <c r="Q166" s="14" t="str">
        <f t="shared" si="8"/>
        <v/>
      </c>
      <c r="R166" s="14" t="str">
        <f>IF(Calculator!$C$12=20,ROUNDUP(-PPMT(Calculator!$C$13/12,$O166,240,Calculator!$C$11,0,),0),"")</f>
        <v/>
      </c>
      <c r="S166" s="14" t="str">
        <f>IF(Calculator!$C$12=20,ROUNDUP(-IPMT(Calculator!$C$13/12,$O166,240,Calculator!$C$11,0,),0),"")</f>
        <v/>
      </c>
      <c r="T166" s="14" t="str">
        <f>IF(Calculator!$C$12=20,Q166-R166,"")</f>
        <v/>
      </c>
    </row>
    <row r="167" spans="8:20" x14ac:dyDescent="0.25">
      <c r="H167" s="13">
        <v>163</v>
      </c>
      <c r="I167" s="14" t="str">
        <f>IF(Calculator!$C$12=12,"",Calculator!$C$14)</f>
        <v/>
      </c>
      <c r="J167" s="14" t="str">
        <f t="shared" si="7"/>
        <v/>
      </c>
      <c r="K167" s="14" t="str">
        <f>IF(Calculator!$C$12=15,ROUNDUP(-PPMT(Calculator!$C$13/12,$H167,180,Calculator!$C$11,0,),0),"")</f>
        <v/>
      </c>
      <c r="L167" s="14" t="str">
        <f>IF(Calculator!$C$12=15,ROUNDUP(-IPMT(Calculator!$C$13/12,$H167,180,Calculator!$C$11,0,),0),"")</f>
        <v/>
      </c>
      <c r="M167" s="14" t="str">
        <f>IF(Calculator!$C$12=15,J167-K167,"")</f>
        <v/>
      </c>
      <c r="O167" s="13">
        <v>163</v>
      </c>
      <c r="P167" s="14" t="str">
        <f>IF(Calculator!$C$12=20,Calculator!$C$14,"")</f>
        <v/>
      </c>
      <c r="Q167" s="14" t="str">
        <f t="shared" si="8"/>
        <v/>
      </c>
      <c r="R167" s="14" t="str">
        <f>IF(Calculator!$C$12=20,ROUNDUP(-PPMT(Calculator!$C$13/12,$O167,240,Calculator!$C$11,0,),0),"")</f>
        <v/>
      </c>
      <c r="S167" s="14" t="str">
        <f>IF(Calculator!$C$12=20,ROUNDUP(-IPMT(Calculator!$C$13/12,$O167,240,Calculator!$C$11,0,),0),"")</f>
        <v/>
      </c>
      <c r="T167" s="14" t="str">
        <f>IF(Calculator!$C$12=20,Q167-R167,"")</f>
        <v/>
      </c>
    </row>
    <row r="168" spans="8:20" x14ac:dyDescent="0.25">
      <c r="H168" s="13">
        <v>164</v>
      </c>
      <c r="I168" s="14" t="str">
        <f>IF(Calculator!$C$12=12,"",Calculator!$C$14)</f>
        <v/>
      </c>
      <c r="J168" s="14" t="str">
        <f t="shared" si="7"/>
        <v/>
      </c>
      <c r="K168" s="14" t="str">
        <f>IF(Calculator!$C$12=15,ROUNDUP(-PPMT(Calculator!$C$13/12,$H168,180,Calculator!$C$11,0,),0),"")</f>
        <v/>
      </c>
      <c r="L168" s="14" t="str">
        <f>IF(Calculator!$C$12=15,ROUNDUP(-IPMT(Calculator!$C$13/12,$H168,180,Calculator!$C$11,0,),0),"")</f>
        <v/>
      </c>
      <c r="M168" s="14" t="str">
        <f>IF(Calculator!$C$12=15,J168-K168,"")</f>
        <v/>
      </c>
      <c r="O168" s="13">
        <v>164</v>
      </c>
      <c r="P168" s="14" t="str">
        <f>IF(Calculator!$C$12=20,Calculator!$C$14,"")</f>
        <v/>
      </c>
      <c r="Q168" s="14" t="str">
        <f t="shared" si="8"/>
        <v/>
      </c>
      <c r="R168" s="14" t="str">
        <f>IF(Calculator!$C$12=20,ROUNDUP(-PPMT(Calculator!$C$13/12,$O168,240,Calculator!$C$11,0,),0),"")</f>
        <v/>
      </c>
      <c r="S168" s="14" t="str">
        <f>IF(Calculator!$C$12=20,ROUNDUP(-IPMT(Calculator!$C$13/12,$O168,240,Calculator!$C$11,0,),0),"")</f>
        <v/>
      </c>
      <c r="T168" s="14" t="str">
        <f>IF(Calculator!$C$12=20,Q168-R168,"")</f>
        <v/>
      </c>
    </row>
    <row r="169" spans="8:20" x14ac:dyDescent="0.25">
      <c r="H169" s="13">
        <v>165</v>
      </c>
      <c r="I169" s="14" t="str">
        <f>IF(Calculator!$C$12=12,"",Calculator!$C$14)</f>
        <v/>
      </c>
      <c r="J169" s="14" t="str">
        <f t="shared" si="7"/>
        <v/>
      </c>
      <c r="K169" s="14" t="str">
        <f>IF(Calculator!$C$12=15,ROUNDUP(-PPMT(Calculator!$C$13/12,$H169,180,Calculator!$C$11,0,),0),"")</f>
        <v/>
      </c>
      <c r="L169" s="14" t="str">
        <f>IF(Calculator!$C$12=15,ROUNDUP(-IPMT(Calculator!$C$13/12,$H169,180,Calculator!$C$11,0,),0),"")</f>
        <v/>
      </c>
      <c r="M169" s="14" t="str">
        <f>IF(Calculator!$C$12=15,J169-K169,"")</f>
        <v/>
      </c>
      <c r="O169" s="13">
        <v>165</v>
      </c>
      <c r="P169" s="14" t="str">
        <f>IF(Calculator!$C$12=20,Calculator!$C$14,"")</f>
        <v/>
      </c>
      <c r="Q169" s="14" t="str">
        <f t="shared" si="8"/>
        <v/>
      </c>
      <c r="R169" s="14" t="str">
        <f>IF(Calculator!$C$12=20,ROUNDUP(-PPMT(Calculator!$C$13/12,$O169,240,Calculator!$C$11,0,),0),"")</f>
        <v/>
      </c>
      <c r="S169" s="14" t="str">
        <f>IF(Calculator!$C$12=20,ROUNDUP(-IPMT(Calculator!$C$13/12,$O169,240,Calculator!$C$11,0,),0),"")</f>
        <v/>
      </c>
      <c r="T169" s="14" t="str">
        <f>IF(Calculator!$C$12=20,Q169-R169,"")</f>
        <v/>
      </c>
    </row>
    <row r="170" spans="8:20" x14ac:dyDescent="0.25">
      <c r="H170" s="13">
        <v>166</v>
      </c>
      <c r="I170" s="14" t="str">
        <f>IF(Calculator!$C$12=12,"",Calculator!$C$14)</f>
        <v/>
      </c>
      <c r="J170" s="14" t="str">
        <f t="shared" si="7"/>
        <v/>
      </c>
      <c r="K170" s="14" t="str">
        <f>IF(Calculator!$C$12=15,ROUNDUP(-PPMT(Calculator!$C$13/12,$H170,180,Calculator!$C$11,0,),0),"")</f>
        <v/>
      </c>
      <c r="L170" s="14" t="str">
        <f>IF(Calculator!$C$12=15,ROUNDUP(-IPMT(Calculator!$C$13/12,$H170,180,Calculator!$C$11,0,),0),"")</f>
        <v/>
      </c>
      <c r="M170" s="14" t="str">
        <f>IF(Calculator!$C$12=15,J170-K170,"")</f>
        <v/>
      </c>
      <c r="O170" s="13">
        <v>166</v>
      </c>
      <c r="P170" s="14" t="str">
        <f>IF(Calculator!$C$12=20,Calculator!$C$14,"")</f>
        <v/>
      </c>
      <c r="Q170" s="14" t="str">
        <f t="shared" si="8"/>
        <v/>
      </c>
      <c r="R170" s="14" t="str">
        <f>IF(Calculator!$C$12=20,ROUNDUP(-PPMT(Calculator!$C$13/12,$O170,240,Calculator!$C$11,0,),0),"")</f>
        <v/>
      </c>
      <c r="S170" s="14" t="str">
        <f>IF(Calculator!$C$12=20,ROUNDUP(-IPMT(Calculator!$C$13/12,$O170,240,Calculator!$C$11,0,),0),"")</f>
        <v/>
      </c>
      <c r="T170" s="14" t="str">
        <f>IF(Calculator!$C$12=20,Q170-R170,"")</f>
        <v/>
      </c>
    </row>
    <row r="171" spans="8:20" x14ac:dyDescent="0.25">
      <c r="H171" s="13">
        <v>167</v>
      </c>
      <c r="I171" s="14" t="str">
        <f>IF(Calculator!$C$12=12,"",Calculator!$C$14)</f>
        <v/>
      </c>
      <c r="J171" s="14" t="str">
        <f t="shared" si="7"/>
        <v/>
      </c>
      <c r="K171" s="14" t="str">
        <f>IF(Calculator!$C$12=15,ROUNDUP(-PPMT(Calculator!$C$13/12,$H171,180,Calculator!$C$11,0,),0),"")</f>
        <v/>
      </c>
      <c r="L171" s="14" t="str">
        <f>IF(Calculator!$C$12=15,ROUNDUP(-IPMT(Calculator!$C$13/12,$H171,180,Calculator!$C$11,0,),0),"")</f>
        <v/>
      </c>
      <c r="M171" s="14" t="str">
        <f>IF(Calculator!$C$12=15,J171-K171,"")</f>
        <v/>
      </c>
      <c r="O171" s="13">
        <v>167</v>
      </c>
      <c r="P171" s="14" t="str">
        <f>IF(Calculator!$C$12=20,Calculator!$C$14,"")</f>
        <v/>
      </c>
      <c r="Q171" s="14" t="str">
        <f t="shared" si="8"/>
        <v/>
      </c>
      <c r="R171" s="14" t="str">
        <f>IF(Calculator!$C$12=20,ROUNDUP(-PPMT(Calculator!$C$13/12,$O171,240,Calculator!$C$11,0,),0),"")</f>
        <v/>
      </c>
      <c r="S171" s="14" t="str">
        <f>IF(Calculator!$C$12=20,ROUNDUP(-IPMT(Calculator!$C$13/12,$O171,240,Calculator!$C$11,0,),0),"")</f>
        <v/>
      </c>
      <c r="T171" s="14" t="str">
        <f>IF(Calculator!$C$12=20,Q171-R171,"")</f>
        <v/>
      </c>
    </row>
    <row r="172" spans="8:20" x14ac:dyDescent="0.25">
      <c r="H172" s="13">
        <v>168</v>
      </c>
      <c r="I172" s="14" t="str">
        <f>IF(Calculator!$C$12=12,"",Calculator!$C$14)</f>
        <v/>
      </c>
      <c r="J172" s="14" t="str">
        <f t="shared" si="7"/>
        <v/>
      </c>
      <c r="K172" s="14" t="str">
        <f>IF(Calculator!$C$12=15,ROUNDUP(-PPMT(Calculator!$C$13/12,$H172,180,Calculator!$C$11,0,),0),"")</f>
        <v/>
      </c>
      <c r="L172" s="14" t="str">
        <f>IF(Calculator!$C$12=15,ROUNDUP(-IPMT(Calculator!$C$13/12,$H172,180,Calculator!$C$11,0,),0),"")</f>
        <v/>
      </c>
      <c r="M172" s="14" t="str">
        <f>IF(Calculator!$C$12=15,J172-K172,"")</f>
        <v/>
      </c>
      <c r="O172" s="13">
        <v>168</v>
      </c>
      <c r="P172" s="14" t="str">
        <f>IF(Calculator!$C$12=20,Calculator!$C$14,"")</f>
        <v/>
      </c>
      <c r="Q172" s="14" t="str">
        <f t="shared" si="8"/>
        <v/>
      </c>
      <c r="R172" s="14" t="str">
        <f>IF(Calculator!$C$12=20,ROUNDUP(-PPMT(Calculator!$C$13/12,$O172,240,Calculator!$C$11,0,),0),"")</f>
        <v/>
      </c>
      <c r="S172" s="14" t="str">
        <f>IF(Calculator!$C$12=20,ROUNDUP(-IPMT(Calculator!$C$13/12,$O172,240,Calculator!$C$11,0,),0),"")</f>
        <v/>
      </c>
      <c r="T172" s="14" t="str">
        <f>IF(Calculator!$C$12=20,Q172-R172,"")</f>
        <v/>
      </c>
    </row>
    <row r="173" spans="8:20" x14ac:dyDescent="0.25">
      <c r="H173" s="13">
        <v>169</v>
      </c>
      <c r="I173" s="14" t="str">
        <f>IF(Calculator!$C$12=12,"",Calculator!$C$14)</f>
        <v/>
      </c>
      <c r="J173" s="14" t="str">
        <f t="shared" si="7"/>
        <v/>
      </c>
      <c r="K173" s="14" t="str">
        <f>IF(Calculator!$C$12=15,ROUNDUP(-PPMT(Calculator!$C$13/12,$H173,180,Calculator!$C$11,0,),0),"")</f>
        <v/>
      </c>
      <c r="L173" s="14" t="str">
        <f>IF(Calculator!$C$12=15,ROUNDUP(-IPMT(Calculator!$C$13/12,$H173,180,Calculator!$C$11,0,),0),"")</f>
        <v/>
      </c>
      <c r="M173" s="14" t="str">
        <f>IF(Calculator!$C$12=15,J173-K173,"")</f>
        <v/>
      </c>
      <c r="O173" s="13">
        <v>169</v>
      </c>
      <c r="P173" s="14" t="str">
        <f>IF(Calculator!$C$12=20,Calculator!$C$14,"")</f>
        <v/>
      </c>
      <c r="Q173" s="14" t="str">
        <f t="shared" si="8"/>
        <v/>
      </c>
      <c r="R173" s="14" t="str">
        <f>IF(Calculator!$C$12=20,ROUNDUP(-PPMT(Calculator!$C$13/12,$O173,240,Calculator!$C$11,0,),0),"")</f>
        <v/>
      </c>
      <c r="S173" s="14" t="str">
        <f>IF(Calculator!$C$12=20,ROUNDUP(-IPMT(Calculator!$C$13/12,$O173,240,Calculator!$C$11,0,),0),"")</f>
        <v/>
      </c>
      <c r="T173" s="14" t="str">
        <f>IF(Calculator!$C$12=20,Q173-R173,"")</f>
        <v/>
      </c>
    </row>
    <row r="174" spans="8:20" x14ac:dyDescent="0.25">
      <c r="H174" s="13">
        <v>170</v>
      </c>
      <c r="I174" s="14" t="str">
        <f>IF(Calculator!$C$12=12,"",Calculator!$C$14)</f>
        <v/>
      </c>
      <c r="J174" s="14" t="str">
        <f t="shared" si="7"/>
        <v/>
      </c>
      <c r="K174" s="14" t="str">
        <f>IF(Calculator!$C$12=15,ROUNDUP(-PPMT(Calculator!$C$13/12,$H174,180,Calculator!$C$11,0,),0),"")</f>
        <v/>
      </c>
      <c r="L174" s="14" t="str">
        <f>IF(Calculator!$C$12=15,ROUNDUP(-IPMT(Calculator!$C$13/12,$H174,180,Calculator!$C$11,0,),0),"")</f>
        <v/>
      </c>
      <c r="M174" s="14" t="str">
        <f>IF(Calculator!$C$12=15,J174-K174,"")</f>
        <v/>
      </c>
      <c r="O174" s="13">
        <v>170</v>
      </c>
      <c r="P174" s="14" t="str">
        <f>IF(Calculator!$C$12=20,Calculator!$C$14,"")</f>
        <v/>
      </c>
      <c r="Q174" s="14" t="str">
        <f t="shared" si="8"/>
        <v/>
      </c>
      <c r="R174" s="14" t="str">
        <f>IF(Calculator!$C$12=20,ROUNDUP(-PPMT(Calculator!$C$13/12,$O174,240,Calculator!$C$11,0,),0),"")</f>
        <v/>
      </c>
      <c r="S174" s="14" t="str">
        <f>IF(Calculator!$C$12=20,ROUNDUP(-IPMT(Calculator!$C$13/12,$O174,240,Calculator!$C$11,0,),0),"")</f>
        <v/>
      </c>
      <c r="T174" s="14" t="str">
        <f>IF(Calculator!$C$12=20,Q174-R174,"")</f>
        <v/>
      </c>
    </row>
    <row r="175" spans="8:20" x14ac:dyDescent="0.25">
      <c r="H175" s="13">
        <v>171</v>
      </c>
      <c r="I175" s="14" t="str">
        <f>IF(Calculator!$C$12=12,"",Calculator!$C$14)</f>
        <v/>
      </c>
      <c r="J175" s="14" t="str">
        <f t="shared" si="7"/>
        <v/>
      </c>
      <c r="K175" s="14" t="str">
        <f>IF(Calculator!$C$12=15,ROUNDUP(-PPMT(Calculator!$C$13/12,$H175,180,Calculator!$C$11,0,),0),"")</f>
        <v/>
      </c>
      <c r="L175" s="14" t="str">
        <f>IF(Calculator!$C$12=15,ROUNDUP(-IPMT(Calculator!$C$13/12,$H175,180,Calculator!$C$11,0,),0),"")</f>
        <v/>
      </c>
      <c r="M175" s="14" t="str">
        <f>IF(Calculator!$C$12=15,J175-K175,"")</f>
        <v/>
      </c>
      <c r="O175" s="13">
        <v>171</v>
      </c>
      <c r="P175" s="14" t="str">
        <f>IF(Calculator!$C$12=20,Calculator!$C$14,"")</f>
        <v/>
      </c>
      <c r="Q175" s="14" t="str">
        <f t="shared" si="8"/>
        <v/>
      </c>
      <c r="R175" s="14" t="str">
        <f>IF(Calculator!$C$12=20,ROUNDUP(-PPMT(Calculator!$C$13/12,$O175,240,Calculator!$C$11,0,),0),"")</f>
        <v/>
      </c>
      <c r="S175" s="14" t="str">
        <f>IF(Calculator!$C$12=20,ROUNDUP(-IPMT(Calculator!$C$13/12,$O175,240,Calculator!$C$11,0,),0),"")</f>
        <v/>
      </c>
      <c r="T175" s="14" t="str">
        <f>IF(Calculator!$C$12=20,Q175-R175,"")</f>
        <v/>
      </c>
    </row>
    <row r="176" spans="8:20" x14ac:dyDescent="0.25">
      <c r="H176" s="13">
        <v>172</v>
      </c>
      <c r="I176" s="14" t="str">
        <f>IF(Calculator!$C$12=12,"",Calculator!$C$14)</f>
        <v/>
      </c>
      <c r="J176" s="14" t="str">
        <f t="shared" si="7"/>
        <v/>
      </c>
      <c r="K176" s="14" t="str">
        <f>IF(Calculator!$C$12=15,ROUNDUP(-PPMT(Calculator!$C$13/12,$H176,180,Calculator!$C$11,0,),0),"")</f>
        <v/>
      </c>
      <c r="L176" s="14" t="str">
        <f>IF(Calculator!$C$12=15,ROUNDUP(-IPMT(Calculator!$C$13/12,$H176,180,Calculator!$C$11,0,),0),"")</f>
        <v/>
      </c>
      <c r="M176" s="14" t="str">
        <f>IF(Calculator!$C$12=15,J176-K176,"")</f>
        <v/>
      </c>
      <c r="O176" s="13">
        <v>172</v>
      </c>
      <c r="P176" s="14" t="str">
        <f>IF(Calculator!$C$12=20,Calculator!$C$14,"")</f>
        <v/>
      </c>
      <c r="Q176" s="14" t="str">
        <f t="shared" si="8"/>
        <v/>
      </c>
      <c r="R176" s="14" t="str">
        <f>IF(Calculator!$C$12=20,ROUNDUP(-PPMT(Calculator!$C$13/12,$O176,240,Calculator!$C$11,0,),0),"")</f>
        <v/>
      </c>
      <c r="S176" s="14" t="str">
        <f>IF(Calculator!$C$12=20,ROUNDUP(-IPMT(Calculator!$C$13/12,$O176,240,Calculator!$C$11,0,),0),"")</f>
        <v/>
      </c>
      <c r="T176" s="14" t="str">
        <f>IF(Calculator!$C$12=20,Q176-R176,"")</f>
        <v/>
      </c>
    </row>
    <row r="177" spans="8:20" x14ac:dyDescent="0.25">
      <c r="H177" s="13">
        <v>173</v>
      </c>
      <c r="I177" s="14" t="str">
        <f>IF(Calculator!$C$12=12,"",Calculator!$C$14)</f>
        <v/>
      </c>
      <c r="J177" s="14" t="str">
        <f t="shared" si="7"/>
        <v/>
      </c>
      <c r="K177" s="14" t="str">
        <f>IF(Calculator!$C$12=15,ROUNDUP(-PPMT(Calculator!$C$13/12,$H177,180,Calculator!$C$11,0,),0),"")</f>
        <v/>
      </c>
      <c r="L177" s="14" t="str">
        <f>IF(Calculator!$C$12=15,ROUNDUP(-IPMT(Calculator!$C$13/12,$H177,180,Calculator!$C$11,0,),0),"")</f>
        <v/>
      </c>
      <c r="M177" s="14" t="str">
        <f>IF(Calculator!$C$12=15,J177-K177,"")</f>
        <v/>
      </c>
      <c r="O177" s="13">
        <v>173</v>
      </c>
      <c r="P177" s="14" t="str">
        <f>IF(Calculator!$C$12=20,Calculator!$C$14,"")</f>
        <v/>
      </c>
      <c r="Q177" s="14" t="str">
        <f t="shared" si="8"/>
        <v/>
      </c>
      <c r="R177" s="14" t="str">
        <f>IF(Calculator!$C$12=20,ROUNDUP(-PPMT(Calculator!$C$13/12,$O177,240,Calculator!$C$11,0,),0),"")</f>
        <v/>
      </c>
      <c r="S177" s="14" t="str">
        <f>IF(Calculator!$C$12=20,ROUNDUP(-IPMT(Calculator!$C$13/12,$O177,240,Calculator!$C$11,0,),0),"")</f>
        <v/>
      </c>
      <c r="T177" s="14" t="str">
        <f>IF(Calculator!$C$12=20,Q177-R177,"")</f>
        <v/>
      </c>
    </row>
    <row r="178" spans="8:20" x14ac:dyDescent="0.25">
      <c r="H178" s="13">
        <v>174</v>
      </c>
      <c r="I178" s="14" t="str">
        <f>IF(Calculator!$C$12=12,"",Calculator!$C$14)</f>
        <v/>
      </c>
      <c r="J178" s="14" t="str">
        <f t="shared" si="7"/>
        <v/>
      </c>
      <c r="K178" s="14" t="str">
        <f>IF(Calculator!$C$12=15,ROUNDUP(-PPMT(Calculator!$C$13/12,$H178,180,Calculator!$C$11,0,),0),"")</f>
        <v/>
      </c>
      <c r="L178" s="14" t="str">
        <f>IF(Calculator!$C$12=15,ROUNDUP(-IPMT(Calculator!$C$13/12,$H178,180,Calculator!$C$11,0,),0),"")</f>
        <v/>
      </c>
      <c r="M178" s="14" t="str">
        <f>IF(Calculator!$C$12=15,J178-K178,"")</f>
        <v/>
      </c>
      <c r="O178" s="13">
        <v>174</v>
      </c>
      <c r="P178" s="14" t="str">
        <f>IF(Calculator!$C$12=20,Calculator!$C$14,"")</f>
        <v/>
      </c>
      <c r="Q178" s="14" t="str">
        <f t="shared" si="8"/>
        <v/>
      </c>
      <c r="R178" s="14" t="str">
        <f>IF(Calculator!$C$12=20,ROUNDUP(-PPMT(Calculator!$C$13/12,$O178,240,Calculator!$C$11,0,),0),"")</f>
        <v/>
      </c>
      <c r="S178" s="14" t="str">
        <f>IF(Calculator!$C$12=20,ROUNDUP(-IPMT(Calculator!$C$13/12,$O178,240,Calculator!$C$11,0,),0),"")</f>
        <v/>
      </c>
      <c r="T178" s="14" t="str">
        <f>IF(Calculator!$C$12=20,Q178-R178,"")</f>
        <v/>
      </c>
    </row>
    <row r="179" spans="8:20" x14ac:dyDescent="0.25">
      <c r="H179" s="13">
        <v>175</v>
      </c>
      <c r="I179" s="14" t="str">
        <f>IF(Calculator!$C$12=12,"",Calculator!$C$14)</f>
        <v/>
      </c>
      <c r="J179" s="14" t="str">
        <f t="shared" si="7"/>
        <v/>
      </c>
      <c r="K179" s="14" t="str">
        <f>IF(Calculator!$C$12=15,ROUNDUP(-PPMT(Calculator!$C$13/12,$H179,180,Calculator!$C$11,0,),0),"")</f>
        <v/>
      </c>
      <c r="L179" s="14" t="str">
        <f>IF(Calculator!$C$12=15,ROUNDUP(-IPMT(Calculator!$C$13/12,$H179,180,Calculator!$C$11,0,),0),"")</f>
        <v/>
      </c>
      <c r="M179" s="14" t="str">
        <f>IF(Calculator!$C$12=15,J179-K179,"")</f>
        <v/>
      </c>
      <c r="O179" s="13">
        <v>175</v>
      </c>
      <c r="P179" s="14" t="str">
        <f>IF(Calculator!$C$12=20,Calculator!$C$14,"")</f>
        <v/>
      </c>
      <c r="Q179" s="14" t="str">
        <f t="shared" si="8"/>
        <v/>
      </c>
      <c r="R179" s="14" t="str">
        <f>IF(Calculator!$C$12=20,ROUNDUP(-PPMT(Calculator!$C$13/12,$O179,240,Calculator!$C$11,0,),0),"")</f>
        <v/>
      </c>
      <c r="S179" s="14" t="str">
        <f>IF(Calculator!$C$12=20,ROUNDUP(-IPMT(Calculator!$C$13/12,$O179,240,Calculator!$C$11,0,),0),"")</f>
        <v/>
      </c>
      <c r="T179" s="14" t="str">
        <f>IF(Calculator!$C$12=20,Q179-R179,"")</f>
        <v/>
      </c>
    </row>
    <row r="180" spans="8:20" x14ac:dyDescent="0.25">
      <c r="H180" s="13">
        <v>176</v>
      </c>
      <c r="I180" s="14" t="str">
        <f>IF(Calculator!$C$12=12,"",Calculator!$C$14)</f>
        <v/>
      </c>
      <c r="J180" s="14" t="str">
        <f t="shared" si="7"/>
        <v/>
      </c>
      <c r="K180" s="14" t="str">
        <f>IF(Calculator!$C$12=15,ROUNDUP(-PPMT(Calculator!$C$13/12,$H180,180,Calculator!$C$11,0,),0),"")</f>
        <v/>
      </c>
      <c r="L180" s="14" t="str">
        <f>IF(Calculator!$C$12=15,ROUNDUP(-IPMT(Calculator!$C$13/12,$H180,180,Calculator!$C$11,0,),0),"")</f>
        <v/>
      </c>
      <c r="M180" s="14" t="str">
        <f>IF(Calculator!$C$12=15,J180-K180,"")</f>
        <v/>
      </c>
      <c r="O180" s="13">
        <v>176</v>
      </c>
      <c r="P180" s="14" t="str">
        <f>IF(Calculator!$C$12=20,Calculator!$C$14,"")</f>
        <v/>
      </c>
      <c r="Q180" s="14" t="str">
        <f t="shared" si="8"/>
        <v/>
      </c>
      <c r="R180" s="14" t="str">
        <f>IF(Calculator!$C$12=20,ROUNDUP(-PPMT(Calculator!$C$13/12,$O180,240,Calculator!$C$11,0,),0),"")</f>
        <v/>
      </c>
      <c r="S180" s="14" t="str">
        <f>IF(Calculator!$C$12=20,ROUNDUP(-IPMT(Calculator!$C$13/12,$O180,240,Calculator!$C$11,0,),0),"")</f>
        <v/>
      </c>
      <c r="T180" s="14" t="str">
        <f>IF(Calculator!$C$12=20,Q180-R180,"")</f>
        <v/>
      </c>
    </row>
    <row r="181" spans="8:20" x14ac:dyDescent="0.25">
      <c r="H181" s="13">
        <v>177</v>
      </c>
      <c r="I181" s="14" t="str">
        <f>IF(Calculator!$C$12=12,"",Calculator!$C$14)</f>
        <v/>
      </c>
      <c r="J181" s="14" t="str">
        <f t="shared" si="7"/>
        <v/>
      </c>
      <c r="K181" s="14" t="str">
        <f>IF(Calculator!$C$12=15,ROUNDUP(-PPMT(Calculator!$C$13/12,$H181,180,Calculator!$C$11,0,),0),"")</f>
        <v/>
      </c>
      <c r="L181" s="14" t="str">
        <f>IF(Calculator!$C$12=15,ROUNDUP(-IPMT(Calculator!$C$13/12,$H181,180,Calculator!$C$11,0,),0),"")</f>
        <v/>
      </c>
      <c r="M181" s="14" t="str">
        <f>IF(Calculator!$C$12=15,J181-K181,"")</f>
        <v/>
      </c>
      <c r="O181" s="13">
        <v>177</v>
      </c>
      <c r="P181" s="14" t="str">
        <f>IF(Calculator!$C$12=20,Calculator!$C$14,"")</f>
        <v/>
      </c>
      <c r="Q181" s="14" t="str">
        <f t="shared" si="8"/>
        <v/>
      </c>
      <c r="R181" s="14" t="str">
        <f>IF(Calculator!$C$12=20,ROUNDUP(-PPMT(Calculator!$C$13/12,$O181,240,Calculator!$C$11,0,),0),"")</f>
        <v/>
      </c>
      <c r="S181" s="14" t="str">
        <f>IF(Calculator!$C$12=20,ROUNDUP(-IPMT(Calculator!$C$13/12,$O181,240,Calculator!$C$11,0,),0),"")</f>
        <v/>
      </c>
      <c r="T181" s="14" t="str">
        <f>IF(Calculator!$C$12=20,Q181-R181,"")</f>
        <v/>
      </c>
    </row>
    <row r="182" spans="8:20" x14ac:dyDescent="0.25">
      <c r="H182" s="13">
        <v>178</v>
      </c>
      <c r="I182" s="14" t="str">
        <f>IF(Calculator!$C$12=12,"",Calculator!$C$14)</f>
        <v/>
      </c>
      <c r="J182" s="14" t="str">
        <f t="shared" si="7"/>
        <v/>
      </c>
      <c r="K182" s="14" t="str">
        <f>IF(Calculator!$C$12=15,ROUNDUP(-PPMT(Calculator!$C$13/12,$H182,180,Calculator!$C$11,0,),0),"")</f>
        <v/>
      </c>
      <c r="L182" s="14" t="str">
        <f>IF(Calculator!$C$12=15,ROUNDUP(-IPMT(Calculator!$C$13/12,$H182,180,Calculator!$C$11,0,),0),"")</f>
        <v/>
      </c>
      <c r="M182" s="14" t="str">
        <f>IF(Calculator!$C$12=15,J182-K182,"")</f>
        <v/>
      </c>
      <c r="O182" s="13">
        <v>178</v>
      </c>
      <c r="P182" s="14" t="str">
        <f>IF(Calculator!$C$12=20,Calculator!$C$14,"")</f>
        <v/>
      </c>
      <c r="Q182" s="14" t="str">
        <f t="shared" si="8"/>
        <v/>
      </c>
      <c r="R182" s="14" t="str">
        <f>IF(Calculator!$C$12=20,ROUNDUP(-PPMT(Calculator!$C$13/12,$O182,240,Calculator!$C$11,0,),0),"")</f>
        <v/>
      </c>
      <c r="S182" s="14" t="str">
        <f>IF(Calculator!$C$12=20,ROUNDUP(-IPMT(Calculator!$C$13/12,$O182,240,Calculator!$C$11,0,),0),"")</f>
        <v/>
      </c>
      <c r="T182" s="14" t="str">
        <f>IF(Calculator!$C$12=20,Q182-R182,"")</f>
        <v/>
      </c>
    </row>
    <row r="183" spans="8:20" x14ac:dyDescent="0.25">
      <c r="H183" s="13">
        <v>179</v>
      </c>
      <c r="I183" s="14" t="str">
        <f>IF(Calculator!$C$12=12,"",Calculator!$C$14)</f>
        <v/>
      </c>
      <c r="J183" s="14" t="str">
        <f t="shared" si="7"/>
        <v/>
      </c>
      <c r="K183" s="14" t="str">
        <f>IF(Calculator!$C$12=15,ROUNDUP(-PPMT(Calculator!$C$13/12,$H183,180,Calculator!$C$11,0,),0),"")</f>
        <v/>
      </c>
      <c r="L183" s="14" t="str">
        <f>IF(Calculator!$C$12=15,ROUNDUP(-IPMT(Calculator!$C$13/12,$H183,180,Calculator!$C$11,0,),0),"")</f>
        <v/>
      </c>
      <c r="M183" s="14" t="str">
        <f>IF(Calculator!$C$12=15,J183-K183,"")</f>
        <v/>
      </c>
      <c r="O183" s="13">
        <v>179</v>
      </c>
      <c r="P183" s="14" t="str">
        <f>IF(Calculator!$C$12=20,Calculator!$C$14,"")</f>
        <v/>
      </c>
      <c r="Q183" s="14" t="str">
        <f t="shared" si="8"/>
        <v/>
      </c>
      <c r="R183" s="14" t="str">
        <f>IF(Calculator!$C$12=20,ROUNDUP(-PPMT(Calculator!$C$13/12,$O183,240,Calculator!$C$11,0,),0),"")</f>
        <v/>
      </c>
      <c r="S183" s="14" t="str">
        <f>IF(Calculator!$C$12=20,ROUNDUP(-IPMT(Calculator!$C$13/12,$O183,240,Calculator!$C$11,0,),0),"")</f>
        <v/>
      </c>
      <c r="T183" s="14" t="str">
        <f>IF(Calculator!$C$12=20,Q183-R183,"")</f>
        <v/>
      </c>
    </row>
    <row r="184" spans="8:20" x14ac:dyDescent="0.25">
      <c r="H184" s="13">
        <v>180</v>
      </c>
      <c r="I184" s="14" t="e">
        <f>K184+L184</f>
        <v>#VALUE!</v>
      </c>
      <c r="J184" s="14" t="str">
        <f t="shared" si="7"/>
        <v/>
      </c>
      <c r="K184" s="14" t="str">
        <f>J184</f>
        <v/>
      </c>
      <c r="L184" s="14" t="e">
        <f>M183*Calculator!$C$13/12</f>
        <v>#VALUE!</v>
      </c>
      <c r="M184" s="14" t="str">
        <f>IF(Calculator!$C$12=15,J184-K184,"")</f>
        <v/>
      </c>
      <c r="O184" s="13">
        <v>180</v>
      </c>
      <c r="P184" s="14" t="str">
        <f>IF(Calculator!$C$12=20,Calculator!$C$14,"")</f>
        <v/>
      </c>
      <c r="Q184" s="14" t="str">
        <f t="shared" si="8"/>
        <v/>
      </c>
      <c r="R184" s="14" t="str">
        <f>IF(Calculator!$C$12=20,ROUNDUP(-PPMT(Calculator!$C$13/12,$O184,240,Calculator!$C$11,0,),0),"")</f>
        <v/>
      </c>
      <c r="S184" s="14" t="str">
        <f>IF(Calculator!$C$12=20,ROUNDUP(-IPMT(Calculator!$C$13/12,$O184,240,Calculator!$C$11,0,),0),"")</f>
        <v/>
      </c>
      <c r="T184" s="14" t="str">
        <f>IF(Calculator!$C$12=20,Q184-R184,"")</f>
        <v/>
      </c>
    </row>
    <row r="185" spans="8:20" x14ac:dyDescent="0.25">
      <c r="O185" s="13">
        <v>181</v>
      </c>
      <c r="P185" s="14" t="str">
        <f>IF(Calculator!$C$12=20,Calculator!$C$14,"")</f>
        <v/>
      </c>
      <c r="Q185" s="14" t="str">
        <f t="shared" ref="Q185:Q212" si="9">T184</f>
        <v/>
      </c>
      <c r="R185" s="14" t="str">
        <f>IF(Calculator!$C$12=20,ROUNDUP(-PPMT(Calculator!$C$13/12,$O185,240,Calculator!$C$11,0,),0),"")</f>
        <v/>
      </c>
      <c r="S185" s="14" t="str">
        <f>IF(Calculator!$C$12=20,ROUNDUP(-IPMT(Calculator!$C$13/12,$O185,240,Calculator!$C$11,0,),0),"")</f>
        <v/>
      </c>
      <c r="T185" s="14" t="str">
        <f>IF(Calculator!$C$12=20,Q185-R185,"")</f>
        <v/>
      </c>
    </row>
    <row r="186" spans="8:20" x14ac:dyDescent="0.25">
      <c r="O186" s="13">
        <v>182</v>
      </c>
      <c r="P186" s="14" t="str">
        <f>IF(Calculator!$C$12=20,Calculator!$C$14,"")</f>
        <v/>
      </c>
      <c r="Q186" s="14" t="str">
        <f t="shared" si="9"/>
        <v/>
      </c>
      <c r="R186" s="14" t="str">
        <f>IF(Calculator!$C$12=20,ROUNDUP(-PPMT(Calculator!$C$13/12,$O186,240,Calculator!$C$11,0,),0),"")</f>
        <v/>
      </c>
      <c r="S186" s="14" t="str">
        <f>IF(Calculator!$C$12=20,ROUNDUP(-IPMT(Calculator!$C$13/12,$O186,240,Calculator!$C$11,0,),0),"")</f>
        <v/>
      </c>
      <c r="T186" s="14" t="str">
        <f>IF(Calculator!$C$12=20,Q186-R186,"")</f>
        <v/>
      </c>
    </row>
    <row r="187" spans="8:20" x14ac:dyDescent="0.25">
      <c r="O187" s="13">
        <v>183</v>
      </c>
      <c r="P187" s="14" t="str">
        <f>IF(Calculator!$C$12=20,Calculator!$C$14,"")</f>
        <v/>
      </c>
      <c r="Q187" s="14" t="str">
        <f t="shared" si="9"/>
        <v/>
      </c>
      <c r="R187" s="14" t="str">
        <f>IF(Calculator!$C$12=20,ROUNDUP(-PPMT(Calculator!$C$13/12,$O187,240,Calculator!$C$11,0,),0),"")</f>
        <v/>
      </c>
      <c r="S187" s="14" t="str">
        <f>IF(Calculator!$C$12=20,ROUNDUP(-IPMT(Calculator!$C$13/12,$O187,240,Calculator!$C$11,0,),0),"")</f>
        <v/>
      </c>
      <c r="T187" s="14" t="str">
        <f>IF(Calculator!$C$12=20,Q187-R187,"")</f>
        <v/>
      </c>
    </row>
    <row r="188" spans="8:20" x14ac:dyDescent="0.25">
      <c r="O188" s="13">
        <v>184</v>
      </c>
      <c r="P188" s="14" t="str">
        <f>IF(Calculator!$C$12=20,Calculator!$C$14,"")</f>
        <v/>
      </c>
      <c r="Q188" s="14" t="str">
        <f t="shared" si="9"/>
        <v/>
      </c>
      <c r="R188" s="14" t="str">
        <f>IF(Calculator!$C$12=20,ROUNDUP(-PPMT(Calculator!$C$13/12,$O188,240,Calculator!$C$11,0,),0),"")</f>
        <v/>
      </c>
      <c r="S188" s="14" t="str">
        <f>IF(Calculator!$C$12=20,ROUNDUP(-IPMT(Calculator!$C$13/12,$O188,240,Calculator!$C$11,0,),0),"")</f>
        <v/>
      </c>
      <c r="T188" s="14" t="str">
        <f>IF(Calculator!$C$12=20,Q188-R188,"")</f>
        <v/>
      </c>
    </row>
    <row r="189" spans="8:20" x14ac:dyDescent="0.25">
      <c r="O189" s="13">
        <v>185</v>
      </c>
      <c r="P189" s="14" t="str">
        <f>IF(Calculator!$C$12=20,Calculator!$C$14,"")</f>
        <v/>
      </c>
      <c r="Q189" s="14" t="str">
        <f t="shared" si="9"/>
        <v/>
      </c>
      <c r="R189" s="14" t="str">
        <f>IF(Calculator!$C$12=20,ROUNDUP(-PPMT(Calculator!$C$13/12,$O189,240,Calculator!$C$11,0,),0),"")</f>
        <v/>
      </c>
      <c r="S189" s="14" t="str">
        <f>IF(Calculator!$C$12=20,ROUNDUP(-IPMT(Calculator!$C$13/12,$O189,240,Calculator!$C$11,0,),0),"")</f>
        <v/>
      </c>
      <c r="T189" s="14" t="str">
        <f>IF(Calculator!$C$12=20,Q189-R189,"")</f>
        <v/>
      </c>
    </row>
    <row r="190" spans="8:20" x14ac:dyDescent="0.25">
      <c r="O190" s="13">
        <v>186</v>
      </c>
      <c r="P190" s="14" t="str">
        <f>IF(Calculator!$C$12=20,Calculator!$C$14,"")</f>
        <v/>
      </c>
      <c r="Q190" s="14" t="str">
        <f t="shared" si="9"/>
        <v/>
      </c>
      <c r="R190" s="14" t="str">
        <f>IF(Calculator!$C$12=20,ROUNDUP(-PPMT(Calculator!$C$13/12,$O190,240,Calculator!$C$11,0,),0),"")</f>
        <v/>
      </c>
      <c r="S190" s="14" t="str">
        <f>IF(Calculator!$C$12=20,ROUNDUP(-IPMT(Calculator!$C$13/12,$O190,240,Calculator!$C$11,0,),0),"")</f>
        <v/>
      </c>
      <c r="T190" s="14" t="str">
        <f>IF(Calculator!$C$12=20,Q190-R190,"")</f>
        <v/>
      </c>
    </row>
    <row r="191" spans="8:20" x14ac:dyDescent="0.25">
      <c r="O191" s="13">
        <v>187</v>
      </c>
      <c r="P191" s="14" t="str">
        <f>IF(Calculator!$C$12=20,Calculator!$C$14,"")</f>
        <v/>
      </c>
      <c r="Q191" s="14" t="str">
        <f t="shared" si="9"/>
        <v/>
      </c>
      <c r="R191" s="14" t="str">
        <f>IF(Calculator!$C$12=20,ROUNDUP(-PPMT(Calculator!$C$13/12,$O191,240,Calculator!$C$11,0,),0),"")</f>
        <v/>
      </c>
      <c r="S191" s="14" t="str">
        <f>IF(Calculator!$C$12=20,ROUNDUP(-IPMT(Calculator!$C$13/12,$O191,240,Calculator!$C$11,0,),0),"")</f>
        <v/>
      </c>
      <c r="T191" s="14" t="str">
        <f>IF(Calculator!$C$12=20,Q191-R191,"")</f>
        <v/>
      </c>
    </row>
    <row r="192" spans="8:20" x14ac:dyDescent="0.25">
      <c r="O192" s="13">
        <v>188</v>
      </c>
      <c r="P192" s="14" t="str">
        <f>IF(Calculator!$C$12=20,Calculator!$C$14,"")</f>
        <v/>
      </c>
      <c r="Q192" s="14" t="str">
        <f t="shared" si="9"/>
        <v/>
      </c>
      <c r="R192" s="14" t="str">
        <f>IF(Calculator!$C$12=20,ROUNDUP(-PPMT(Calculator!$C$13/12,$O192,240,Calculator!$C$11,0,),0),"")</f>
        <v/>
      </c>
      <c r="S192" s="14" t="str">
        <f>IF(Calculator!$C$12=20,ROUNDUP(-IPMT(Calculator!$C$13/12,$O192,240,Calculator!$C$11,0,),0),"")</f>
        <v/>
      </c>
      <c r="T192" s="14" t="str">
        <f>IF(Calculator!$C$12=20,Q192-R192,"")</f>
        <v/>
      </c>
    </row>
    <row r="193" spans="15:20" x14ac:dyDescent="0.25">
      <c r="O193" s="13">
        <v>189</v>
      </c>
      <c r="P193" s="14" t="str">
        <f>IF(Calculator!$C$12=20,Calculator!$C$14,"")</f>
        <v/>
      </c>
      <c r="Q193" s="14" t="str">
        <f t="shared" si="9"/>
        <v/>
      </c>
      <c r="R193" s="14" t="str">
        <f>IF(Calculator!$C$12=20,ROUNDUP(-PPMT(Calculator!$C$13/12,$O193,240,Calculator!$C$11,0,),0),"")</f>
        <v/>
      </c>
      <c r="S193" s="14" t="str">
        <f>IF(Calculator!$C$12=20,ROUNDUP(-IPMT(Calculator!$C$13/12,$O193,240,Calculator!$C$11,0,),0),"")</f>
        <v/>
      </c>
      <c r="T193" s="14" t="str">
        <f>IF(Calculator!$C$12=20,Q193-R193,"")</f>
        <v/>
      </c>
    </row>
    <row r="194" spans="15:20" x14ac:dyDescent="0.25">
      <c r="O194" s="13">
        <v>190</v>
      </c>
      <c r="P194" s="14" t="str">
        <f>IF(Calculator!$C$12=20,Calculator!$C$14,"")</f>
        <v/>
      </c>
      <c r="Q194" s="14" t="str">
        <f t="shared" si="9"/>
        <v/>
      </c>
      <c r="R194" s="14" t="str">
        <f>IF(Calculator!$C$12=20,ROUNDUP(-PPMT(Calculator!$C$13/12,$O194,240,Calculator!$C$11,0,),0),"")</f>
        <v/>
      </c>
      <c r="S194" s="14" t="str">
        <f>IF(Calculator!$C$12=20,ROUNDUP(-IPMT(Calculator!$C$13/12,$O194,240,Calculator!$C$11,0,),0),"")</f>
        <v/>
      </c>
      <c r="T194" s="14" t="str">
        <f>IF(Calculator!$C$12=20,Q194-R194,"")</f>
        <v/>
      </c>
    </row>
    <row r="195" spans="15:20" x14ac:dyDescent="0.25">
      <c r="O195" s="13">
        <v>191</v>
      </c>
      <c r="P195" s="14" t="str">
        <f>IF(Calculator!$C$12=20,Calculator!$C$14,"")</f>
        <v/>
      </c>
      <c r="Q195" s="14" t="str">
        <f t="shared" si="9"/>
        <v/>
      </c>
      <c r="R195" s="14" t="str">
        <f>IF(Calculator!$C$12=20,ROUNDUP(-PPMT(Calculator!$C$13/12,$O195,240,Calculator!$C$11,0,),0),"")</f>
        <v/>
      </c>
      <c r="S195" s="14" t="str">
        <f>IF(Calculator!$C$12=20,ROUNDUP(-IPMT(Calculator!$C$13/12,$O195,240,Calculator!$C$11,0,),0),"")</f>
        <v/>
      </c>
      <c r="T195" s="14" t="str">
        <f>IF(Calculator!$C$12=20,Q195-R195,"")</f>
        <v/>
      </c>
    </row>
    <row r="196" spans="15:20" x14ac:dyDescent="0.25">
      <c r="O196" s="13">
        <v>192</v>
      </c>
      <c r="P196" s="14" t="str">
        <f>IF(Calculator!$C$12=20,Calculator!$C$14,"")</f>
        <v/>
      </c>
      <c r="Q196" s="14" t="str">
        <f t="shared" si="9"/>
        <v/>
      </c>
      <c r="R196" s="14" t="str">
        <f>IF(Calculator!$C$12=20,ROUNDUP(-PPMT(Calculator!$C$13/12,$O196,240,Calculator!$C$11,0,),0),"")</f>
        <v/>
      </c>
      <c r="S196" s="14" t="str">
        <f>IF(Calculator!$C$12=20,ROUNDUP(-IPMT(Calculator!$C$13/12,$O196,240,Calculator!$C$11,0,),0),"")</f>
        <v/>
      </c>
      <c r="T196" s="14" t="str">
        <f>IF(Calculator!$C$12=20,Q196-R196,"")</f>
        <v/>
      </c>
    </row>
    <row r="197" spans="15:20" x14ac:dyDescent="0.25">
      <c r="O197" s="13">
        <v>193</v>
      </c>
      <c r="P197" s="14" t="str">
        <f>IF(Calculator!$C$12=20,Calculator!$C$14,"")</f>
        <v/>
      </c>
      <c r="Q197" s="14" t="str">
        <f t="shared" si="9"/>
        <v/>
      </c>
      <c r="R197" s="14" t="str">
        <f>IF(Calculator!$C$12=20,ROUNDUP(-PPMT(Calculator!$C$13/12,$O197,240,Calculator!$C$11,0,),0),"")</f>
        <v/>
      </c>
      <c r="S197" s="14" t="str">
        <f>IF(Calculator!$C$12=20,ROUNDUP(-IPMT(Calculator!$C$13/12,$O197,240,Calculator!$C$11,0,),0),"")</f>
        <v/>
      </c>
      <c r="T197" s="14" t="str">
        <f>IF(Calculator!$C$12=20,Q197-R197,"")</f>
        <v/>
      </c>
    </row>
    <row r="198" spans="15:20" x14ac:dyDescent="0.25">
      <c r="O198" s="13">
        <v>194</v>
      </c>
      <c r="P198" s="14" t="str">
        <f>IF(Calculator!$C$12=20,Calculator!$C$14,"")</f>
        <v/>
      </c>
      <c r="Q198" s="14" t="str">
        <f t="shared" si="9"/>
        <v/>
      </c>
      <c r="R198" s="14" t="str">
        <f>IF(Calculator!$C$12=20,ROUNDUP(-PPMT(Calculator!$C$13/12,$O198,240,Calculator!$C$11,0,),0),"")</f>
        <v/>
      </c>
      <c r="S198" s="14" t="str">
        <f>IF(Calculator!$C$12=20,ROUNDUP(-IPMT(Calculator!$C$13/12,$O198,240,Calculator!$C$11,0,),0),"")</f>
        <v/>
      </c>
      <c r="T198" s="14" t="str">
        <f>IF(Calculator!$C$12=20,Q198-R198,"")</f>
        <v/>
      </c>
    </row>
    <row r="199" spans="15:20" x14ac:dyDescent="0.25">
      <c r="O199" s="13">
        <v>195</v>
      </c>
      <c r="P199" s="14" t="str">
        <f>IF(Calculator!$C$12=20,Calculator!$C$14,"")</f>
        <v/>
      </c>
      <c r="Q199" s="14" t="str">
        <f t="shared" si="9"/>
        <v/>
      </c>
      <c r="R199" s="14" t="str">
        <f>IF(Calculator!$C$12=20,ROUNDUP(-PPMT(Calculator!$C$13/12,$O199,240,Calculator!$C$11,0,),0),"")</f>
        <v/>
      </c>
      <c r="S199" s="14" t="str">
        <f>IF(Calculator!$C$12=20,ROUNDUP(-IPMT(Calculator!$C$13/12,$O199,240,Calculator!$C$11,0,),0),"")</f>
        <v/>
      </c>
      <c r="T199" s="14" t="str">
        <f>IF(Calculator!$C$12=20,Q199-R199,"")</f>
        <v/>
      </c>
    </row>
    <row r="200" spans="15:20" x14ac:dyDescent="0.25">
      <c r="O200" s="13">
        <v>196</v>
      </c>
      <c r="P200" s="14" t="str">
        <f>IF(Calculator!$C$12=20,Calculator!$C$14,"")</f>
        <v/>
      </c>
      <c r="Q200" s="14" t="str">
        <f t="shared" si="9"/>
        <v/>
      </c>
      <c r="R200" s="14" t="str">
        <f>IF(Calculator!$C$12=20,ROUNDUP(-PPMT(Calculator!$C$13/12,$O200,240,Calculator!$C$11,0,),0),"")</f>
        <v/>
      </c>
      <c r="S200" s="14" t="str">
        <f>IF(Calculator!$C$12=20,ROUNDUP(-IPMT(Calculator!$C$13/12,$O200,240,Calculator!$C$11,0,),0),"")</f>
        <v/>
      </c>
      <c r="T200" s="14" t="str">
        <f>IF(Calculator!$C$12=20,Q200-R200,"")</f>
        <v/>
      </c>
    </row>
    <row r="201" spans="15:20" x14ac:dyDescent="0.25">
      <c r="O201" s="13">
        <v>197</v>
      </c>
      <c r="P201" s="14" t="str">
        <f>IF(Calculator!$C$12=20,Calculator!$C$14,"")</f>
        <v/>
      </c>
      <c r="Q201" s="14" t="str">
        <f t="shared" si="9"/>
        <v/>
      </c>
      <c r="R201" s="14" t="str">
        <f>IF(Calculator!$C$12=20,ROUNDUP(-PPMT(Calculator!$C$13/12,$O201,240,Calculator!$C$11,0,),0),"")</f>
        <v/>
      </c>
      <c r="S201" s="14" t="str">
        <f>IF(Calculator!$C$12=20,ROUNDUP(-IPMT(Calculator!$C$13/12,$O201,240,Calculator!$C$11,0,),0),"")</f>
        <v/>
      </c>
      <c r="T201" s="14" t="str">
        <f>IF(Calculator!$C$12=20,Q201-R201,"")</f>
        <v/>
      </c>
    </row>
    <row r="202" spans="15:20" x14ac:dyDescent="0.25">
      <c r="O202" s="13">
        <v>198</v>
      </c>
      <c r="P202" s="14" t="str">
        <f>IF(Calculator!$C$12=20,Calculator!$C$14,"")</f>
        <v/>
      </c>
      <c r="Q202" s="14" t="str">
        <f t="shared" si="9"/>
        <v/>
      </c>
      <c r="R202" s="14" t="str">
        <f>IF(Calculator!$C$12=20,ROUNDUP(-PPMT(Calculator!$C$13/12,$O202,240,Calculator!$C$11,0,),0),"")</f>
        <v/>
      </c>
      <c r="S202" s="14" t="str">
        <f>IF(Calculator!$C$12=20,ROUNDUP(-IPMT(Calculator!$C$13/12,$O202,240,Calculator!$C$11,0,),0),"")</f>
        <v/>
      </c>
      <c r="T202" s="14" t="str">
        <f>IF(Calculator!$C$12=20,Q202-R202,"")</f>
        <v/>
      </c>
    </row>
    <row r="203" spans="15:20" x14ac:dyDescent="0.25">
      <c r="O203" s="13">
        <v>199</v>
      </c>
      <c r="P203" s="14" t="str">
        <f>IF(Calculator!$C$12=20,Calculator!$C$14,"")</f>
        <v/>
      </c>
      <c r="Q203" s="14" t="str">
        <f t="shared" si="9"/>
        <v/>
      </c>
      <c r="R203" s="14" t="str">
        <f>IF(Calculator!$C$12=20,ROUNDUP(-PPMT(Calculator!$C$13/12,$O203,240,Calculator!$C$11,0,),0),"")</f>
        <v/>
      </c>
      <c r="S203" s="14" t="str">
        <f>IF(Calculator!$C$12=20,ROUNDUP(-IPMT(Calculator!$C$13/12,$O203,240,Calculator!$C$11,0,),0),"")</f>
        <v/>
      </c>
      <c r="T203" s="14" t="str">
        <f>IF(Calculator!$C$12=20,Q203-R203,"")</f>
        <v/>
      </c>
    </row>
    <row r="204" spans="15:20" x14ac:dyDescent="0.25">
      <c r="O204" s="13">
        <v>200</v>
      </c>
      <c r="P204" s="14" t="str">
        <f>IF(Calculator!$C$12=20,Calculator!$C$14,"")</f>
        <v/>
      </c>
      <c r="Q204" s="14" t="str">
        <f t="shared" si="9"/>
        <v/>
      </c>
      <c r="R204" s="14" t="str">
        <f>IF(Calculator!$C$12=20,ROUNDUP(-PPMT(Calculator!$C$13/12,$O204,240,Calculator!$C$11,0,),0),"")</f>
        <v/>
      </c>
      <c r="S204" s="14" t="str">
        <f>IF(Calculator!$C$12=20,ROUNDUP(-IPMT(Calculator!$C$13/12,$O204,240,Calculator!$C$11,0,),0),"")</f>
        <v/>
      </c>
      <c r="T204" s="14" t="str">
        <f>IF(Calculator!$C$12=20,Q204-R204,"")</f>
        <v/>
      </c>
    </row>
    <row r="205" spans="15:20" x14ac:dyDescent="0.25">
      <c r="O205" s="13">
        <v>201</v>
      </c>
      <c r="P205" s="14" t="str">
        <f>IF(Calculator!$C$12=20,Calculator!$C$14,"")</f>
        <v/>
      </c>
      <c r="Q205" s="14" t="str">
        <f t="shared" si="9"/>
        <v/>
      </c>
      <c r="R205" s="14" t="str">
        <f>IF(Calculator!$C$12=20,ROUNDUP(-PPMT(Calculator!$C$13/12,$O205,240,Calculator!$C$11,0,),0),"")</f>
        <v/>
      </c>
      <c r="S205" s="14" t="str">
        <f>IF(Calculator!$C$12=20,ROUNDUP(-IPMT(Calculator!$C$13/12,$O205,240,Calculator!$C$11,0,),0),"")</f>
        <v/>
      </c>
      <c r="T205" s="14" t="str">
        <f>IF(Calculator!$C$12=20,Q205-R205,"")</f>
        <v/>
      </c>
    </row>
    <row r="206" spans="15:20" x14ac:dyDescent="0.25">
      <c r="O206" s="13">
        <v>202</v>
      </c>
      <c r="P206" s="14" t="str">
        <f>IF(Calculator!$C$12=20,Calculator!$C$14,"")</f>
        <v/>
      </c>
      <c r="Q206" s="14" t="str">
        <f t="shared" si="9"/>
        <v/>
      </c>
      <c r="R206" s="14" t="str">
        <f>IF(Calculator!$C$12=20,ROUNDUP(-PPMT(Calculator!$C$13/12,$O206,240,Calculator!$C$11,0,),0),"")</f>
        <v/>
      </c>
      <c r="S206" s="14" t="str">
        <f>IF(Calculator!$C$12=20,ROUNDUP(-IPMT(Calculator!$C$13/12,$O206,240,Calculator!$C$11,0,),0),"")</f>
        <v/>
      </c>
      <c r="T206" s="14" t="str">
        <f>IF(Calculator!$C$12=20,Q206-R206,"")</f>
        <v/>
      </c>
    </row>
    <row r="207" spans="15:20" x14ac:dyDescent="0.25">
      <c r="O207" s="13">
        <v>203</v>
      </c>
      <c r="P207" s="14" t="str">
        <f>IF(Calculator!$C$12=20,Calculator!$C$14,"")</f>
        <v/>
      </c>
      <c r="Q207" s="14" t="str">
        <f t="shared" si="9"/>
        <v/>
      </c>
      <c r="R207" s="14" t="str">
        <f>IF(Calculator!$C$12=20,ROUNDUP(-PPMT(Calculator!$C$13/12,$O207,240,Calculator!$C$11,0,),0),"")</f>
        <v/>
      </c>
      <c r="S207" s="14" t="str">
        <f>IF(Calculator!$C$12=20,ROUNDUP(-IPMT(Calculator!$C$13/12,$O207,240,Calculator!$C$11,0,),0),"")</f>
        <v/>
      </c>
      <c r="T207" s="14" t="str">
        <f>IF(Calculator!$C$12=20,Q207-R207,"")</f>
        <v/>
      </c>
    </row>
    <row r="208" spans="15:20" x14ac:dyDescent="0.25">
      <c r="O208" s="13">
        <v>204</v>
      </c>
      <c r="P208" s="14" t="str">
        <f>IF(Calculator!$C$12=20,Calculator!$C$14,"")</f>
        <v/>
      </c>
      <c r="Q208" s="14" t="str">
        <f t="shared" si="9"/>
        <v/>
      </c>
      <c r="R208" s="14" t="str">
        <f>IF(Calculator!$C$12=20,ROUNDUP(-PPMT(Calculator!$C$13/12,$O208,240,Calculator!$C$11,0,),0),"")</f>
        <v/>
      </c>
      <c r="S208" s="14" t="str">
        <f>IF(Calculator!$C$12=20,ROUNDUP(-IPMT(Calculator!$C$13/12,$O208,240,Calculator!$C$11,0,),0),"")</f>
        <v/>
      </c>
      <c r="T208" s="14" t="str">
        <f>IF(Calculator!$C$12=20,Q208-R208,"")</f>
        <v/>
      </c>
    </row>
    <row r="209" spans="15:20" x14ac:dyDescent="0.25">
      <c r="O209" s="13">
        <v>205</v>
      </c>
      <c r="P209" s="14" t="str">
        <f>IF(Calculator!$C$12=20,Calculator!$C$14,"")</f>
        <v/>
      </c>
      <c r="Q209" s="14" t="str">
        <f t="shared" si="9"/>
        <v/>
      </c>
      <c r="R209" s="14" t="str">
        <f>IF(Calculator!$C$12=20,ROUNDUP(-PPMT(Calculator!$C$13/12,$O209,240,Calculator!$C$11,0,),0),"")</f>
        <v/>
      </c>
      <c r="S209" s="14" t="str">
        <f>IF(Calculator!$C$12=20,ROUNDUP(-IPMT(Calculator!$C$13/12,$O209,240,Calculator!$C$11,0,),0),"")</f>
        <v/>
      </c>
      <c r="T209" s="14" t="str">
        <f>IF(Calculator!$C$12=20,Q209-R209,"")</f>
        <v/>
      </c>
    </row>
    <row r="210" spans="15:20" x14ac:dyDescent="0.25">
      <c r="O210" s="13">
        <v>206</v>
      </c>
      <c r="P210" s="14" t="str">
        <f>IF(Calculator!$C$12=20,Calculator!$C$14,"")</f>
        <v/>
      </c>
      <c r="Q210" s="14" t="str">
        <f t="shared" si="9"/>
        <v/>
      </c>
      <c r="R210" s="14" t="str">
        <f>IF(Calculator!$C$12=20,ROUNDUP(-PPMT(Calculator!$C$13/12,$O210,240,Calculator!$C$11,0,),0),"")</f>
        <v/>
      </c>
      <c r="S210" s="14" t="str">
        <f>IF(Calculator!$C$12=20,ROUNDUP(-IPMT(Calculator!$C$13/12,$O210,240,Calculator!$C$11,0,),0),"")</f>
        <v/>
      </c>
      <c r="T210" s="14" t="str">
        <f>IF(Calculator!$C$12=20,Q210-R210,"")</f>
        <v/>
      </c>
    </row>
    <row r="211" spans="15:20" x14ac:dyDescent="0.25">
      <c r="O211" s="13">
        <v>207</v>
      </c>
      <c r="P211" s="14" t="str">
        <f>IF(Calculator!$C$12=20,Calculator!$C$14,"")</f>
        <v/>
      </c>
      <c r="Q211" s="14" t="str">
        <f t="shared" si="9"/>
        <v/>
      </c>
      <c r="R211" s="14" t="str">
        <f>IF(Calculator!$C$12=20,ROUNDUP(-PPMT(Calculator!$C$13/12,$O211,240,Calculator!$C$11,0,),0),"")</f>
        <v/>
      </c>
      <c r="S211" s="14" t="str">
        <f>IF(Calculator!$C$12=20,ROUNDUP(-IPMT(Calculator!$C$13/12,$O211,240,Calculator!$C$11,0,),0),"")</f>
        <v/>
      </c>
      <c r="T211" s="14" t="str">
        <f>IF(Calculator!$C$12=20,Q211-R211,"")</f>
        <v/>
      </c>
    </row>
    <row r="212" spans="15:20" x14ac:dyDescent="0.25">
      <c r="O212" s="13">
        <v>208</v>
      </c>
      <c r="P212" s="14" t="str">
        <f>IF(Calculator!$C$12=20,Calculator!$C$14,"")</f>
        <v/>
      </c>
      <c r="Q212" s="14" t="str">
        <f t="shared" si="9"/>
        <v/>
      </c>
      <c r="R212" s="14" t="str">
        <f>IF(Calculator!$C$12=20,ROUNDUP(-PPMT(Calculator!$C$13/12,$O212,240,Calculator!$C$11,0,),0),"")</f>
        <v/>
      </c>
      <c r="S212" s="14" t="str">
        <f>IF(Calculator!$C$12=20,ROUNDUP(-IPMT(Calculator!$C$13/12,$O212,240,Calculator!$C$11,0,),0),"")</f>
        <v/>
      </c>
      <c r="T212" s="14" t="str">
        <f>IF(Calculator!$C$12=20,Q212-R212,"")</f>
        <v/>
      </c>
    </row>
    <row r="213" spans="15:20" x14ac:dyDescent="0.25">
      <c r="O213" s="13">
        <v>209</v>
      </c>
      <c r="P213" s="14" t="str">
        <f>IF(Calculator!$C$12=20,Calculator!$C$14,"")</f>
        <v/>
      </c>
      <c r="Q213" s="14" t="str">
        <f t="shared" ref="Q213:Q244" si="10">T212</f>
        <v/>
      </c>
      <c r="R213" s="14" t="str">
        <f>IF(Calculator!$C$12=20,ROUNDUP(-PPMT(Calculator!$C$13/12,$O213,240,Calculator!$C$11,0,),0),"")</f>
        <v/>
      </c>
      <c r="S213" s="14" t="str">
        <f>IF(Calculator!$C$12=20,ROUNDUP(-IPMT(Calculator!$C$13/12,$O213,240,Calculator!$C$11,0,),0),"")</f>
        <v/>
      </c>
      <c r="T213" s="14" t="str">
        <f>IF(Calculator!$C$12=20,Q213-R213,"")</f>
        <v/>
      </c>
    </row>
    <row r="214" spans="15:20" x14ac:dyDescent="0.25">
      <c r="O214" s="13">
        <v>210</v>
      </c>
      <c r="P214" s="14" t="str">
        <f>IF(Calculator!$C$12=20,Calculator!$C$14,"")</f>
        <v/>
      </c>
      <c r="Q214" s="14" t="str">
        <f t="shared" si="10"/>
        <v/>
      </c>
      <c r="R214" s="14" t="str">
        <f>IF(Calculator!$C$12=20,ROUNDUP(-PPMT(Calculator!$C$13/12,$O214,240,Calculator!$C$11,0,),0),"")</f>
        <v/>
      </c>
      <c r="S214" s="14" t="str">
        <f>IF(Calculator!$C$12=20,ROUNDUP(-IPMT(Calculator!$C$13/12,$O214,240,Calculator!$C$11,0,),0),"")</f>
        <v/>
      </c>
      <c r="T214" s="14" t="str">
        <f>IF(Calculator!$C$12=20,Q214-R214,"")</f>
        <v/>
      </c>
    </row>
    <row r="215" spans="15:20" x14ac:dyDescent="0.25">
      <c r="O215" s="13">
        <v>211</v>
      </c>
      <c r="P215" s="14" t="str">
        <f>IF(Calculator!$C$12=20,Calculator!$C$14,"")</f>
        <v/>
      </c>
      <c r="Q215" s="14" t="str">
        <f t="shared" si="10"/>
        <v/>
      </c>
      <c r="R215" s="14" t="str">
        <f>IF(Calculator!$C$12=20,ROUNDUP(-PPMT(Calculator!$C$13/12,$O215,240,Calculator!$C$11,0,),0),"")</f>
        <v/>
      </c>
      <c r="S215" s="14" t="str">
        <f>IF(Calculator!$C$12=20,ROUNDUP(-IPMT(Calculator!$C$13/12,$O215,240,Calculator!$C$11,0,),0),"")</f>
        <v/>
      </c>
      <c r="T215" s="14" t="str">
        <f>IF(Calculator!$C$12=20,Q215-R215,"")</f>
        <v/>
      </c>
    </row>
    <row r="216" spans="15:20" x14ac:dyDescent="0.25">
      <c r="O216" s="13">
        <v>212</v>
      </c>
      <c r="P216" s="14" t="str">
        <f>IF(Calculator!$C$12=20,Calculator!$C$14,"")</f>
        <v/>
      </c>
      <c r="Q216" s="14" t="str">
        <f t="shared" si="10"/>
        <v/>
      </c>
      <c r="R216" s="14" t="str">
        <f>IF(Calculator!$C$12=20,ROUNDUP(-PPMT(Calculator!$C$13/12,$O216,240,Calculator!$C$11,0,),0),"")</f>
        <v/>
      </c>
      <c r="S216" s="14" t="str">
        <f>IF(Calculator!$C$12=20,ROUNDUP(-IPMT(Calculator!$C$13/12,$O216,240,Calculator!$C$11,0,),0),"")</f>
        <v/>
      </c>
      <c r="T216" s="14" t="str">
        <f>IF(Calculator!$C$12=20,Q216-R216,"")</f>
        <v/>
      </c>
    </row>
    <row r="217" spans="15:20" x14ac:dyDescent="0.25">
      <c r="O217" s="13">
        <v>213</v>
      </c>
      <c r="P217" s="14" t="str">
        <f>IF(Calculator!$C$12=20,Calculator!$C$14,"")</f>
        <v/>
      </c>
      <c r="Q217" s="14" t="str">
        <f t="shared" si="10"/>
        <v/>
      </c>
      <c r="R217" s="14" t="str">
        <f>IF(Calculator!$C$12=20,ROUNDUP(-PPMT(Calculator!$C$13/12,$O217,240,Calculator!$C$11,0,),0),"")</f>
        <v/>
      </c>
      <c r="S217" s="14" t="str">
        <f>IF(Calculator!$C$12=20,ROUNDUP(-IPMT(Calculator!$C$13/12,$O217,240,Calculator!$C$11,0,),0),"")</f>
        <v/>
      </c>
      <c r="T217" s="14" t="str">
        <f>IF(Calculator!$C$12=20,Q217-R217,"")</f>
        <v/>
      </c>
    </row>
    <row r="218" spans="15:20" x14ac:dyDescent="0.25">
      <c r="O218" s="13">
        <v>214</v>
      </c>
      <c r="P218" s="14" t="str">
        <f>IF(Calculator!$C$12=20,Calculator!$C$14,"")</f>
        <v/>
      </c>
      <c r="Q218" s="14" t="str">
        <f t="shared" si="10"/>
        <v/>
      </c>
      <c r="R218" s="14" t="str">
        <f>IF(Calculator!$C$12=20,ROUNDUP(-PPMT(Calculator!$C$13/12,$O218,240,Calculator!$C$11,0,),0),"")</f>
        <v/>
      </c>
      <c r="S218" s="14" t="str">
        <f>IF(Calculator!$C$12=20,ROUNDUP(-IPMT(Calculator!$C$13/12,$O218,240,Calculator!$C$11,0,),0),"")</f>
        <v/>
      </c>
      <c r="T218" s="14" t="str">
        <f>IF(Calculator!$C$12=20,Q218-R218,"")</f>
        <v/>
      </c>
    </row>
    <row r="219" spans="15:20" x14ac:dyDescent="0.25">
      <c r="O219" s="13">
        <v>215</v>
      </c>
      <c r="P219" s="14" t="str">
        <f>IF(Calculator!$C$12=20,Calculator!$C$14,"")</f>
        <v/>
      </c>
      <c r="Q219" s="14" t="str">
        <f t="shared" si="10"/>
        <v/>
      </c>
      <c r="R219" s="14" t="str">
        <f>IF(Calculator!$C$12=20,ROUNDUP(-PPMT(Calculator!$C$13/12,$O219,240,Calculator!$C$11,0,),0),"")</f>
        <v/>
      </c>
      <c r="S219" s="14" t="str">
        <f>IF(Calculator!$C$12=20,ROUNDUP(-IPMT(Calculator!$C$13/12,$O219,240,Calculator!$C$11,0,),0),"")</f>
        <v/>
      </c>
      <c r="T219" s="14" t="str">
        <f>IF(Calculator!$C$12=20,Q219-R219,"")</f>
        <v/>
      </c>
    </row>
    <row r="220" spans="15:20" x14ac:dyDescent="0.25">
      <c r="O220" s="13">
        <v>216</v>
      </c>
      <c r="P220" s="14" t="str">
        <f>IF(Calculator!$C$12=20,Calculator!$C$14,"")</f>
        <v/>
      </c>
      <c r="Q220" s="14" t="str">
        <f t="shared" si="10"/>
        <v/>
      </c>
      <c r="R220" s="14" t="str">
        <f>IF(Calculator!$C$12=20,ROUNDUP(-PPMT(Calculator!$C$13/12,$O220,240,Calculator!$C$11,0,),0),"")</f>
        <v/>
      </c>
      <c r="S220" s="14" t="str">
        <f>IF(Calculator!$C$12=20,ROUNDUP(-IPMT(Calculator!$C$13/12,$O220,240,Calculator!$C$11,0,),0),"")</f>
        <v/>
      </c>
      <c r="T220" s="14" t="str">
        <f>IF(Calculator!$C$12=20,Q220-R220,"")</f>
        <v/>
      </c>
    </row>
    <row r="221" spans="15:20" x14ac:dyDescent="0.25">
      <c r="O221" s="13">
        <v>217</v>
      </c>
      <c r="P221" s="14" t="str">
        <f>IF(Calculator!$C$12=20,Calculator!$C$14,"")</f>
        <v/>
      </c>
      <c r="Q221" s="14" t="str">
        <f t="shared" si="10"/>
        <v/>
      </c>
      <c r="R221" s="14" t="str">
        <f>IF(Calculator!$C$12=20,ROUNDUP(-PPMT(Calculator!$C$13/12,$O221,240,Calculator!$C$11,0,),0),"")</f>
        <v/>
      </c>
      <c r="S221" s="14" t="str">
        <f>IF(Calculator!$C$12=20,ROUNDUP(-IPMT(Calculator!$C$13/12,$O221,240,Calculator!$C$11,0,),0),"")</f>
        <v/>
      </c>
      <c r="T221" s="14" t="str">
        <f>IF(Calculator!$C$12=20,Q221-R221,"")</f>
        <v/>
      </c>
    </row>
    <row r="222" spans="15:20" x14ac:dyDescent="0.25">
      <c r="O222" s="13">
        <v>218</v>
      </c>
      <c r="P222" s="14" t="str">
        <f>IF(Calculator!$C$12=20,Calculator!$C$14,"")</f>
        <v/>
      </c>
      <c r="Q222" s="14" t="str">
        <f t="shared" si="10"/>
        <v/>
      </c>
      <c r="R222" s="14" t="str">
        <f>IF(Calculator!$C$12=20,ROUNDUP(-PPMT(Calculator!$C$13/12,$O222,240,Calculator!$C$11,0,),0),"")</f>
        <v/>
      </c>
      <c r="S222" s="14" t="str">
        <f>IF(Calculator!$C$12=20,ROUNDUP(-IPMT(Calculator!$C$13/12,$O222,240,Calculator!$C$11,0,),0),"")</f>
        <v/>
      </c>
      <c r="T222" s="14" t="str">
        <f>IF(Calculator!$C$12=20,Q222-R222,"")</f>
        <v/>
      </c>
    </row>
    <row r="223" spans="15:20" x14ac:dyDescent="0.25">
      <c r="O223" s="13">
        <v>219</v>
      </c>
      <c r="P223" s="14" t="str">
        <f>IF(Calculator!$C$12=20,Calculator!$C$14,"")</f>
        <v/>
      </c>
      <c r="Q223" s="14" t="str">
        <f t="shared" si="10"/>
        <v/>
      </c>
      <c r="R223" s="14" t="str">
        <f>IF(Calculator!$C$12=20,ROUNDUP(-PPMT(Calculator!$C$13/12,$O223,240,Calculator!$C$11,0,),0),"")</f>
        <v/>
      </c>
      <c r="S223" s="14" t="str">
        <f>IF(Calculator!$C$12=20,ROUNDUP(-IPMT(Calculator!$C$13/12,$O223,240,Calculator!$C$11,0,),0),"")</f>
        <v/>
      </c>
      <c r="T223" s="14" t="str">
        <f>IF(Calculator!$C$12=20,Q223-R223,"")</f>
        <v/>
      </c>
    </row>
    <row r="224" spans="15:20" x14ac:dyDescent="0.25">
      <c r="O224" s="13">
        <v>220</v>
      </c>
      <c r="P224" s="14" t="str">
        <f>IF(Calculator!$C$12=20,Calculator!$C$14,"")</f>
        <v/>
      </c>
      <c r="Q224" s="14" t="str">
        <f t="shared" si="10"/>
        <v/>
      </c>
      <c r="R224" s="14" t="str">
        <f>IF(Calculator!$C$12=20,ROUNDUP(-PPMT(Calculator!$C$13/12,$O224,240,Calculator!$C$11,0,),0),"")</f>
        <v/>
      </c>
      <c r="S224" s="14" t="str">
        <f>IF(Calculator!$C$12=20,ROUNDUP(-IPMT(Calculator!$C$13/12,$O224,240,Calculator!$C$11,0,),0),"")</f>
        <v/>
      </c>
      <c r="T224" s="14" t="str">
        <f>IF(Calculator!$C$12=20,Q224-R224,"")</f>
        <v/>
      </c>
    </row>
    <row r="225" spans="15:20" x14ac:dyDescent="0.25">
      <c r="O225" s="13">
        <v>221</v>
      </c>
      <c r="P225" s="14" t="str">
        <f>IF(Calculator!$C$12=20,Calculator!$C$14,"")</f>
        <v/>
      </c>
      <c r="Q225" s="14" t="str">
        <f t="shared" si="10"/>
        <v/>
      </c>
      <c r="R225" s="14" t="str">
        <f>IF(Calculator!$C$12=20,ROUNDUP(-PPMT(Calculator!$C$13/12,$O225,240,Calculator!$C$11,0,),0),"")</f>
        <v/>
      </c>
      <c r="S225" s="14" t="str">
        <f>IF(Calculator!$C$12=20,ROUNDUP(-IPMT(Calculator!$C$13/12,$O225,240,Calculator!$C$11,0,),0),"")</f>
        <v/>
      </c>
      <c r="T225" s="14" t="str">
        <f>IF(Calculator!$C$12=20,Q225-R225,"")</f>
        <v/>
      </c>
    </row>
    <row r="226" spans="15:20" x14ac:dyDescent="0.25">
      <c r="O226" s="13">
        <v>222</v>
      </c>
      <c r="P226" s="14" t="str">
        <f>IF(Calculator!$C$12=20,Calculator!$C$14,"")</f>
        <v/>
      </c>
      <c r="Q226" s="14" t="str">
        <f t="shared" si="10"/>
        <v/>
      </c>
      <c r="R226" s="14" t="str">
        <f>IF(Calculator!$C$12=20,ROUNDUP(-PPMT(Calculator!$C$13/12,$O226,240,Calculator!$C$11,0,),0),"")</f>
        <v/>
      </c>
      <c r="S226" s="14" t="str">
        <f>IF(Calculator!$C$12=20,ROUNDUP(-IPMT(Calculator!$C$13/12,$O226,240,Calculator!$C$11,0,),0),"")</f>
        <v/>
      </c>
      <c r="T226" s="14" t="str">
        <f>IF(Calculator!$C$12=20,Q226-R226,"")</f>
        <v/>
      </c>
    </row>
    <row r="227" spans="15:20" x14ac:dyDescent="0.25">
      <c r="O227" s="13">
        <v>223</v>
      </c>
      <c r="P227" s="14" t="str">
        <f>IF(Calculator!$C$12=20,Calculator!$C$14,"")</f>
        <v/>
      </c>
      <c r="Q227" s="14" t="str">
        <f t="shared" si="10"/>
        <v/>
      </c>
      <c r="R227" s="14" t="str">
        <f>IF(Calculator!$C$12=20,ROUNDUP(-PPMT(Calculator!$C$13/12,$O227,240,Calculator!$C$11,0,),0),"")</f>
        <v/>
      </c>
      <c r="S227" s="14" t="str">
        <f>IF(Calculator!$C$12=20,ROUNDUP(-IPMT(Calculator!$C$13/12,$O227,240,Calculator!$C$11,0,),0),"")</f>
        <v/>
      </c>
      <c r="T227" s="14" t="str">
        <f>IF(Calculator!$C$12=20,Q227-R227,"")</f>
        <v/>
      </c>
    </row>
    <row r="228" spans="15:20" x14ac:dyDescent="0.25">
      <c r="O228" s="13">
        <v>224</v>
      </c>
      <c r="P228" s="14" t="str">
        <f>IF(Calculator!$C$12=20,Calculator!$C$14,"")</f>
        <v/>
      </c>
      <c r="Q228" s="14" t="str">
        <f t="shared" si="10"/>
        <v/>
      </c>
      <c r="R228" s="14" t="str">
        <f>IF(Calculator!$C$12=20,ROUNDUP(-PPMT(Calculator!$C$13/12,$O228,240,Calculator!$C$11,0,),0),"")</f>
        <v/>
      </c>
      <c r="S228" s="14" t="str">
        <f>IF(Calculator!$C$12=20,ROUNDUP(-IPMT(Calculator!$C$13/12,$O228,240,Calculator!$C$11,0,),0),"")</f>
        <v/>
      </c>
      <c r="T228" s="14" t="str">
        <f>IF(Calculator!$C$12=20,Q228-R228,"")</f>
        <v/>
      </c>
    </row>
    <row r="229" spans="15:20" x14ac:dyDescent="0.25">
      <c r="O229" s="13">
        <v>225</v>
      </c>
      <c r="P229" s="14" t="str">
        <f>IF(Calculator!$C$12=20,Calculator!$C$14,"")</f>
        <v/>
      </c>
      <c r="Q229" s="14" t="str">
        <f t="shared" si="10"/>
        <v/>
      </c>
      <c r="R229" s="14" t="str">
        <f>IF(Calculator!$C$12=20,ROUNDUP(-PPMT(Calculator!$C$13/12,$O229,240,Calculator!$C$11,0,),0),"")</f>
        <v/>
      </c>
      <c r="S229" s="14" t="str">
        <f>IF(Calculator!$C$12=20,ROUNDUP(-IPMT(Calculator!$C$13/12,$O229,240,Calculator!$C$11,0,),0),"")</f>
        <v/>
      </c>
      <c r="T229" s="14" t="str">
        <f>IF(Calculator!$C$12=20,Q229-R229,"")</f>
        <v/>
      </c>
    </row>
    <row r="230" spans="15:20" x14ac:dyDescent="0.25">
      <c r="O230" s="13">
        <v>226</v>
      </c>
      <c r="P230" s="14" t="str">
        <f>IF(Calculator!$C$12=20,Calculator!$C$14,"")</f>
        <v/>
      </c>
      <c r="Q230" s="14" t="str">
        <f t="shared" si="10"/>
        <v/>
      </c>
      <c r="R230" s="14" t="str">
        <f>IF(Calculator!$C$12=20,ROUNDUP(-PPMT(Calculator!$C$13/12,$O230,240,Calculator!$C$11,0,),0),"")</f>
        <v/>
      </c>
      <c r="S230" s="14" t="str">
        <f>IF(Calculator!$C$12=20,ROUNDUP(-IPMT(Calculator!$C$13/12,$O230,240,Calculator!$C$11,0,),0),"")</f>
        <v/>
      </c>
      <c r="T230" s="14" t="str">
        <f>IF(Calculator!$C$12=20,Q230-R230,"")</f>
        <v/>
      </c>
    </row>
    <row r="231" spans="15:20" x14ac:dyDescent="0.25">
      <c r="O231" s="13">
        <v>227</v>
      </c>
      <c r="P231" s="14" t="str">
        <f>IF(Calculator!$C$12=20,Calculator!$C$14,"")</f>
        <v/>
      </c>
      <c r="Q231" s="14" t="str">
        <f t="shared" si="10"/>
        <v/>
      </c>
      <c r="R231" s="14" t="str">
        <f>IF(Calculator!$C$12=20,ROUNDUP(-PPMT(Calculator!$C$13/12,$O231,240,Calculator!$C$11,0,),0),"")</f>
        <v/>
      </c>
      <c r="S231" s="14" t="str">
        <f>IF(Calculator!$C$12=20,ROUNDUP(-IPMT(Calculator!$C$13/12,$O231,240,Calculator!$C$11,0,),0),"")</f>
        <v/>
      </c>
      <c r="T231" s="14" t="str">
        <f>IF(Calculator!$C$12=20,Q231-R231,"")</f>
        <v/>
      </c>
    </row>
    <row r="232" spans="15:20" x14ac:dyDescent="0.25">
      <c r="O232" s="13">
        <v>228</v>
      </c>
      <c r="P232" s="14" t="str">
        <f>IF(Calculator!$C$12=20,Calculator!$C$14,"")</f>
        <v/>
      </c>
      <c r="Q232" s="14" t="str">
        <f t="shared" si="10"/>
        <v/>
      </c>
      <c r="R232" s="14" t="str">
        <f>IF(Calculator!$C$12=20,ROUNDUP(-PPMT(Calculator!$C$13/12,$O232,240,Calculator!$C$11,0,),0),"")</f>
        <v/>
      </c>
      <c r="S232" s="14" t="str">
        <f>IF(Calculator!$C$12=20,ROUNDUP(-IPMT(Calculator!$C$13/12,$O232,240,Calculator!$C$11,0,),0),"")</f>
        <v/>
      </c>
      <c r="T232" s="14" t="str">
        <f>IF(Calculator!$C$12=20,Q232-R232,"")</f>
        <v/>
      </c>
    </row>
    <row r="233" spans="15:20" x14ac:dyDescent="0.25">
      <c r="O233" s="13">
        <v>229</v>
      </c>
      <c r="P233" s="14" t="str">
        <f>IF(Calculator!$C$12=20,Calculator!$C$14,"")</f>
        <v/>
      </c>
      <c r="Q233" s="14" t="str">
        <f t="shared" si="10"/>
        <v/>
      </c>
      <c r="R233" s="14" t="str">
        <f>IF(Calculator!$C$12=20,ROUNDUP(-PPMT(Calculator!$C$13/12,$O233,240,Calculator!$C$11,0,),0),"")</f>
        <v/>
      </c>
      <c r="S233" s="14" t="str">
        <f>IF(Calculator!$C$12=20,ROUNDUP(-IPMT(Calculator!$C$13/12,$O233,240,Calculator!$C$11,0,),0),"")</f>
        <v/>
      </c>
      <c r="T233" s="14" t="str">
        <f>IF(Calculator!$C$12=20,Q233-R233,"")</f>
        <v/>
      </c>
    </row>
    <row r="234" spans="15:20" x14ac:dyDescent="0.25">
      <c r="O234" s="13">
        <v>230</v>
      </c>
      <c r="P234" s="14" t="str">
        <f>IF(Calculator!$C$12=20,Calculator!$C$14,"")</f>
        <v/>
      </c>
      <c r="Q234" s="14" t="str">
        <f t="shared" si="10"/>
        <v/>
      </c>
      <c r="R234" s="14" t="str">
        <f>IF(Calculator!$C$12=20,ROUNDUP(-PPMT(Calculator!$C$13/12,$O234,240,Calculator!$C$11,0,),0),"")</f>
        <v/>
      </c>
      <c r="S234" s="14" t="str">
        <f>IF(Calculator!$C$12=20,ROUNDUP(-IPMT(Calculator!$C$13/12,$O234,240,Calculator!$C$11,0,),0),"")</f>
        <v/>
      </c>
      <c r="T234" s="14" t="str">
        <f>IF(Calculator!$C$12=20,Q234-R234,"")</f>
        <v/>
      </c>
    </row>
    <row r="235" spans="15:20" x14ac:dyDescent="0.25">
      <c r="O235" s="13">
        <v>231</v>
      </c>
      <c r="P235" s="14" t="str">
        <f>IF(Calculator!$C$12=20,Calculator!$C$14,"")</f>
        <v/>
      </c>
      <c r="Q235" s="14" t="str">
        <f t="shared" si="10"/>
        <v/>
      </c>
      <c r="R235" s="14" t="str">
        <f>IF(Calculator!$C$12=20,ROUNDUP(-PPMT(Calculator!$C$13/12,$O235,240,Calculator!$C$11,0,),0),"")</f>
        <v/>
      </c>
      <c r="S235" s="14" t="str">
        <f>IF(Calculator!$C$12=20,ROUNDUP(-IPMT(Calculator!$C$13/12,$O235,240,Calculator!$C$11,0,),0),"")</f>
        <v/>
      </c>
      <c r="T235" s="14" t="str">
        <f>IF(Calculator!$C$12=20,Q235-R235,"")</f>
        <v/>
      </c>
    </row>
    <row r="236" spans="15:20" x14ac:dyDescent="0.25">
      <c r="O236" s="13">
        <v>232</v>
      </c>
      <c r="P236" s="14" t="str">
        <f>IF(Calculator!$C$12=20,Calculator!$C$14,"")</f>
        <v/>
      </c>
      <c r="Q236" s="14" t="str">
        <f t="shared" si="10"/>
        <v/>
      </c>
      <c r="R236" s="14" t="str">
        <f>IF(Calculator!$C$12=20,ROUNDUP(-PPMT(Calculator!$C$13/12,$O236,240,Calculator!$C$11,0,),0),"")</f>
        <v/>
      </c>
      <c r="S236" s="14" t="str">
        <f>IF(Calculator!$C$12=20,ROUNDUP(-IPMT(Calculator!$C$13/12,$O236,240,Calculator!$C$11,0,),0),"")</f>
        <v/>
      </c>
      <c r="T236" s="14" t="str">
        <f>IF(Calculator!$C$12=20,Q236-R236,"")</f>
        <v/>
      </c>
    </row>
    <row r="237" spans="15:20" x14ac:dyDescent="0.25">
      <c r="O237" s="13">
        <v>233</v>
      </c>
      <c r="P237" s="14" t="str">
        <f>IF(Calculator!$C$12=20,Calculator!$C$14,"")</f>
        <v/>
      </c>
      <c r="Q237" s="14" t="str">
        <f t="shared" si="10"/>
        <v/>
      </c>
      <c r="R237" s="14" t="str">
        <f>IF(Calculator!$C$12=20,ROUNDUP(-PPMT(Calculator!$C$13/12,$O237,240,Calculator!$C$11,0,),0),"")</f>
        <v/>
      </c>
      <c r="S237" s="14" t="str">
        <f>IF(Calculator!$C$12=20,ROUNDUP(-IPMT(Calculator!$C$13/12,$O237,240,Calculator!$C$11,0,),0),"")</f>
        <v/>
      </c>
      <c r="T237" s="14" t="str">
        <f>IF(Calculator!$C$12=20,Q237-R237,"")</f>
        <v/>
      </c>
    </row>
    <row r="238" spans="15:20" x14ac:dyDescent="0.25">
      <c r="O238" s="13">
        <v>234</v>
      </c>
      <c r="P238" s="14" t="str">
        <f>IF(Calculator!$C$12=20,Calculator!$C$14,"")</f>
        <v/>
      </c>
      <c r="Q238" s="14" t="str">
        <f t="shared" si="10"/>
        <v/>
      </c>
      <c r="R238" s="14" t="str">
        <f>IF(Calculator!$C$12=20,ROUNDUP(-PPMT(Calculator!$C$13/12,$O238,240,Calculator!$C$11,0,),0),"")</f>
        <v/>
      </c>
      <c r="S238" s="14" t="str">
        <f>IF(Calculator!$C$12=20,ROUNDUP(-IPMT(Calculator!$C$13/12,$O238,240,Calculator!$C$11,0,),0),"")</f>
        <v/>
      </c>
      <c r="T238" s="14" t="str">
        <f>IF(Calculator!$C$12=20,Q238-R238,"")</f>
        <v/>
      </c>
    </row>
    <row r="239" spans="15:20" x14ac:dyDescent="0.25">
      <c r="O239" s="13">
        <v>235</v>
      </c>
      <c r="P239" s="14" t="str">
        <f>IF(Calculator!$C$12=20,Calculator!$C$14,"")</f>
        <v/>
      </c>
      <c r="Q239" s="14" t="str">
        <f t="shared" si="10"/>
        <v/>
      </c>
      <c r="R239" s="14" t="str">
        <f>IF(Calculator!$C$12=20,ROUNDUP(-PPMT(Calculator!$C$13/12,$O239,240,Calculator!$C$11,0,),0),"")</f>
        <v/>
      </c>
      <c r="S239" s="14" t="str">
        <f>IF(Calculator!$C$12=20,ROUNDUP(-IPMT(Calculator!$C$13/12,$O239,240,Calculator!$C$11,0,),0),"")</f>
        <v/>
      </c>
      <c r="T239" s="14" t="str">
        <f>IF(Calculator!$C$12=20,Q239-R239,"")</f>
        <v/>
      </c>
    </row>
    <row r="240" spans="15:20" x14ac:dyDescent="0.25">
      <c r="O240" s="13">
        <v>236</v>
      </c>
      <c r="P240" s="14" t="str">
        <f>IF(Calculator!$C$12=20,Calculator!$C$14,"")</f>
        <v/>
      </c>
      <c r="Q240" s="14" t="str">
        <f t="shared" si="10"/>
        <v/>
      </c>
      <c r="R240" s="14" t="str">
        <f>IF(Calculator!$C$12=20,ROUNDUP(-PPMT(Calculator!$C$13/12,$O240,240,Calculator!$C$11,0,),0),"")</f>
        <v/>
      </c>
      <c r="S240" s="14" t="str">
        <f>IF(Calculator!$C$12=20,ROUNDUP(-IPMT(Calculator!$C$13/12,$O240,240,Calculator!$C$11,0,),0),"")</f>
        <v/>
      </c>
      <c r="T240" s="14" t="str">
        <f>IF(Calculator!$C$12=20,Q240-R240,"")</f>
        <v/>
      </c>
    </row>
    <row r="241" spans="15:20" x14ac:dyDescent="0.25">
      <c r="O241" s="13">
        <v>237</v>
      </c>
      <c r="P241" s="14" t="str">
        <f>IF(Calculator!$C$12=20,Calculator!$C$14,"")</f>
        <v/>
      </c>
      <c r="Q241" s="14" t="str">
        <f t="shared" si="10"/>
        <v/>
      </c>
      <c r="R241" s="14" t="str">
        <f>IF(Calculator!$C$12=20,ROUNDUP(-PPMT(Calculator!$C$13/12,$O241,240,Calculator!$C$11,0,),0),"")</f>
        <v/>
      </c>
      <c r="S241" s="14" t="str">
        <f>IF(Calculator!$C$12=20,ROUNDUP(-IPMT(Calculator!$C$13/12,$O241,240,Calculator!$C$11,0,),0),"")</f>
        <v/>
      </c>
      <c r="T241" s="14" t="str">
        <f>IF(Calculator!$C$12=20,Q241-R241,"")</f>
        <v/>
      </c>
    </row>
    <row r="242" spans="15:20" x14ac:dyDescent="0.25">
      <c r="O242" s="13">
        <v>238</v>
      </c>
      <c r="P242" s="14" t="str">
        <f>IF(Calculator!$C$12=20,Calculator!$C$14,"")</f>
        <v/>
      </c>
      <c r="Q242" s="14" t="str">
        <f t="shared" si="10"/>
        <v/>
      </c>
      <c r="R242" s="14" t="str">
        <f>IF(Calculator!$C$12=20,ROUNDUP(-PPMT(Calculator!$C$13/12,$O242,240,Calculator!$C$11,0,),0),"")</f>
        <v/>
      </c>
      <c r="S242" s="14" t="str">
        <f>IF(Calculator!$C$12=20,ROUNDUP(-IPMT(Calculator!$C$13/12,$O242,240,Calculator!$C$11,0,),0),"")</f>
        <v/>
      </c>
      <c r="T242" s="14" t="str">
        <f>IF(Calculator!$C$12=20,Q242-R242,"")</f>
        <v/>
      </c>
    </row>
    <row r="243" spans="15:20" x14ac:dyDescent="0.25">
      <c r="O243" s="13">
        <v>239</v>
      </c>
      <c r="P243" s="14" t="str">
        <f>IF(Calculator!$C$12=20,Calculator!$C$14,"")</f>
        <v/>
      </c>
      <c r="Q243" s="14" t="str">
        <f t="shared" si="10"/>
        <v/>
      </c>
      <c r="R243" s="14" t="str">
        <f>IF(Calculator!$C$12=20,ROUNDUP(-PPMT(Calculator!$C$13/12,$O243,240,Calculator!$C$11,0,),0),"")</f>
        <v/>
      </c>
      <c r="S243" s="14" t="str">
        <f>IF(Calculator!$C$12=20,ROUNDUP(-IPMT(Calculator!$C$13/12,$O243,240,Calculator!$C$11,0,),0),"")</f>
        <v/>
      </c>
      <c r="T243" s="14" t="str">
        <f>IF(Calculator!$C$12=20,Q243-R243,"")</f>
        <v/>
      </c>
    </row>
    <row r="244" spans="15:20" x14ac:dyDescent="0.25">
      <c r="O244" s="13">
        <v>240</v>
      </c>
      <c r="P244" s="14" t="e">
        <f>R244+S244</f>
        <v>#VALUE!</v>
      </c>
      <c r="Q244" s="14" t="str">
        <f t="shared" si="10"/>
        <v/>
      </c>
      <c r="R244" s="14" t="str">
        <f>IF(Calculator!$C$12=20,ROUNDUP(-PPMT(Calculator!$C$13/12,$O244,240,Calculator!$C$11,0,),0),"")</f>
        <v/>
      </c>
      <c r="S244" s="14" t="str">
        <f>IF(Calculator!$C$12=20,ROUNDUP(-IPMT(Calculator!$C$13/12,$O244,240,Calculator!$C$11,0,),0),"")</f>
        <v/>
      </c>
      <c r="T244" s="14" t="str">
        <f>IF(Calculator!$C$12=15,Q244-R244,"")</f>
        <v/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d63f27-1d2d-40af-b737-21e138bfe633">
      <Terms xmlns="http://schemas.microsoft.com/office/infopath/2007/PartnerControls"/>
    </lcf76f155ced4ddcb4097134ff3c332f>
    <TaxCatchAll xmlns="ac4b603c-f594-4e6b-8524-577e7d5084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FAE88C4E99C418B02194226AD37DC" ma:contentTypeVersion="17" ma:contentTypeDescription="Create a new document." ma:contentTypeScope="" ma:versionID="261c115dc34112d90790ba8bca2eee22">
  <xsd:schema xmlns:xsd="http://www.w3.org/2001/XMLSchema" xmlns:xs="http://www.w3.org/2001/XMLSchema" xmlns:p="http://schemas.microsoft.com/office/2006/metadata/properties" xmlns:ns2="e3d63f27-1d2d-40af-b737-21e138bfe633" xmlns:ns3="ac4b603c-f594-4e6b-8524-577e7d5084e9" targetNamespace="http://schemas.microsoft.com/office/2006/metadata/properties" ma:root="true" ma:fieldsID="2a7124cc276ed9c60f1ea32e7a08a697" ns2:_="" ns3:_="">
    <xsd:import namespace="e3d63f27-1d2d-40af-b737-21e138bfe633"/>
    <xsd:import namespace="ac4b603c-f594-4e6b-8524-577e7d5084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63f27-1d2d-40af-b737-21e138bfe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d71b99-cb16-476b-b44b-3cbbd8452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b603c-f594-4e6b-8524-577e7d5084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76197ea-6b63-4547-b3fe-975b5b6e312e}" ma:internalName="TaxCatchAll" ma:showField="CatchAllData" ma:web="ac4b603c-f594-4e6b-8524-577e7d508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A4EE4-D106-46B1-9024-7D7765F30D6A}">
  <ds:schemaRefs>
    <ds:schemaRef ds:uri="http://schemas.microsoft.com/office/2006/metadata/properties"/>
    <ds:schemaRef ds:uri="http://schemas.microsoft.com/office/infopath/2007/PartnerControls"/>
    <ds:schemaRef ds:uri="e3d63f27-1d2d-40af-b737-21e138bfe633"/>
    <ds:schemaRef ds:uri="ac4b603c-f594-4e6b-8524-577e7d5084e9"/>
  </ds:schemaRefs>
</ds:datastoreItem>
</file>

<file path=customXml/itemProps2.xml><?xml version="1.0" encoding="utf-8"?>
<ds:datastoreItem xmlns:ds="http://schemas.openxmlformats.org/officeDocument/2006/customXml" ds:itemID="{FFC4C6FF-79F7-49A0-BE87-A4E6FAB109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63f27-1d2d-40af-b737-21e138bfe633"/>
    <ds:schemaRef ds:uri="ac4b603c-f594-4e6b-8524-577e7d508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3E4164-5580-41B2-A4AB-528F9CEED2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LT loan amortization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Jones</dc:creator>
  <cp:lastModifiedBy>Blake Jones</cp:lastModifiedBy>
  <cp:lastPrinted>2022-09-30T13:22:26Z</cp:lastPrinted>
  <dcterms:created xsi:type="dcterms:W3CDTF">2018-07-08T13:29:38Z</dcterms:created>
  <dcterms:modified xsi:type="dcterms:W3CDTF">2023-08-31T16:25:53Z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0x010100A06FAE88C4E99C418B02194226AD37DC</vt:lpwstr>
  </property>
</Properties>
</file>