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aul.game/Desktop/"/>
    </mc:Choice>
  </mc:AlternateContent>
  <xr:revisionPtr revIDLastSave="0" documentId="13_ncr:1_{BD3B6D96-25F0-D84A-9476-43BFEB1692DC}" xr6:coauthVersionLast="47" xr6:coauthVersionMax="47" xr10:uidLastSave="{00000000-0000-0000-0000-000000000000}"/>
  <bookViews>
    <workbookView xWindow="17840" yWindow="-21100" windowWidth="38400" windowHeight="21100" xr2:uid="{00000000-000D-0000-FFFF-FFFF00000000}"/>
  </bookViews>
  <sheets>
    <sheet name="Instructions" sheetId="5" r:id="rId1"/>
    <sheet name="Template" sheetId="6" r:id="rId2"/>
  </sheets>
  <definedNames>
    <definedName name="AccountNickName" localSheetId="0">Instructions!#REF!</definedName>
    <definedName name="AccountNickName" localSheetId="1">Template!#REF!</definedName>
    <definedName name="AccountNickName">#REF!</definedName>
    <definedName name="AccountNumber" localSheetId="0">Instructions!#REF!</definedName>
    <definedName name="AccountNumber" localSheetId="1">Template!#REF!</definedName>
    <definedName name="AccountNumber">#REF!</definedName>
    <definedName name="BankProvider" localSheetId="0">Instructions!#REF!</definedName>
    <definedName name="BankProvider" localSheetId="1">Template!#REF!</definedName>
    <definedName name="BankProvid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6" l="1"/>
  <c r="D49" i="5"/>
  <c r="D86" i="6"/>
  <c r="D85" i="6"/>
  <c r="C20" i="6"/>
  <c r="C98" i="6"/>
  <c r="C99" i="6" s="1"/>
  <c r="C97" i="6"/>
  <c r="C61" i="5"/>
  <c r="C60" i="5"/>
  <c r="D61" i="5" s="1"/>
  <c r="C62" i="5"/>
  <c r="C23" i="5"/>
  <c r="C22" i="5"/>
  <c r="D50" i="5"/>
  <c r="D51" i="5" s="1"/>
  <c r="I60" i="5" s="1"/>
  <c r="D87" i="6" l="1"/>
  <c r="D88" i="6" s="1"/>
  <c r="I97" i="6" s="1"/>
  <c r="C100" i="6"/>
  <c r="E98" i="6"/>
  <c r="E61" i="5"/>
  <c r="F61" i="5" s="1"/>
  <c r="I61" i="5" s="1"/>
  <c r="E62" i="5" s="1"/>
  <c r="D20" i="6"/>
  <c r="D98" i="6" s="1"/>
  <c r="C21" i="6"/>
  <c r="D21" i="6" s="1"/>
  <c r="D99" i="6" s="1"/>
  <c r="D62" i="5"/>
  <c r="C63" i="5"/>
  <c r="D23" i="5"/>
  <c r="C24" i="5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F98" i="6" l="1"/>
  <c r="I98" i="6" s="1"/>
  <c r="C101" i="6"/>
  <c r="E99" i="6"/>
  <c r="F99" i="6" s="1"/>
  <c r="I99" i="6" s="1"/>
  <c r="C22" i="6"/>
  <c r="C23" i="6" s="1"/>
  <c r="F62" i="5"/>
  <c r="I62" i="5" s="1"/>
  <c r="E63" i="5" s="1"/>
  <c r="F63" i="5" s="1"/>
  <c r="C64" i="5"/>
  <c r="D64" i="5" s="1"/>
  <c r="D63" i="5"/>
  <c r="D32" i="5"/>
  <c r="D35" i="5"/>
  <c r="D28" i="5"/>
  <c r="D38" i="5"/>
  <c r="D37" i="5"/>
  <c r="D27" i="5"/>
  <c r="D40" i="5"/>
  <c r="D31" i="5"/>
  <c r="D25" i="5"/>
  <c r="D26" i="5"/>
  <c r="D39" i="5"/>
  <c r="D33" i="5"/>
  <c r="D30" i="5"/>
  <c r="D43" i="5"/>
  <c r="D41" i="5"/>
  <c r="D36" i="5"/>
  <c r="D34" i="5"/>
  <c r="D29" i="5"/>
  <c r="D42" i="5"/>
  <c r="D24" i="5"/>
  <c r="C102" i="6" l="1"/>
  <c r="D22" i="6"/>
  <c r="D100" i="6" s="1"/>
  <c r="C24" i="6"/>
  <c r="D23" i="6"/>
  <c r="D101" i="6" s="1"/>
  <c r="I63" i="5"/>
  <c r="E64" i="5" s="1"/>
  <c r="F64" i="5" s="1"/>
  <c r="C65" i="5"/>
  <c r="C103" i="6" l="1"/>
  <c r="E100" i="6"/>
  <c r="F100" i="6" s="1"/>
  <c r="I100" i="6" s="1"/>
  <c r="D24" i="6"/>
  <c r="D102" i="6" s="1"/>
  <c r="C25" i="6"/>
  <c r="I64" i="5"/>
  <c r="E65" i="5" s="1"/>
  <c r="F65" i="5" s="1"/>
  <c r="C66" i="5"/>
  <c r="D65" i="5"/>
  <c r="C104" i="6" l="1"/>
  <c r="C26" i="6"/>
  <c r="D25" i="6"/>
  <c r="D103" i="6" s="1"/>
  <c r="I65" i="5"/>
  <c r="E66" i="5" s="1"/>
  <c r="F66" i="5" s="1"/>
  <c r="C67" i="5"/>
  <c r="D66" i="5"/>
  <c r="C105" i="6" l="1"/>
  <c r="E101" i="6"/>
  <c r="F101" i="6" s="1"/>
  <c r="I101" i="6" s="1"/>
  <c r="D26" i="6"/>
  <c r="D104" i="6" s="1"/>
  <c r="C27" i="6"/>
  <c r="I66" i="5"/>
  <c r="E67" i="5" s="1"/>
  <c r="C68" i="5"/>
  <c r="D68" i="5" s="1"/>
  <c r="D67" i="5"/>
  <c r="C106" i="6" l="1"/>
  <c r="F67" i="5"/>
  <c r="D27" i="6"/>
  <c r="D105" i="6" s="1"/>
  <c r="C28" i="6"/>
  <c r="I67" i="5"/>
  <c r="E68" i="5" s="1"/>
  <c r="F68" i="5" s="1"/>
  <c r="C69" i="5"/>
  <c r="C107" i="6" l="1"/>
  <c r="E102" i="6"/>
  <c r="F102" i="6" s="1"/>
  <c r="I102" i="6" s="1"/>
  <c r="D28" i="6"/>
  <c r="D106" i="6" s="1"/>
  <c r="C29" i="6"/>
  <c r="I68" i="5"/>
  <c r="E69" i="5" s="1"/>
  <c r="F69" i="5" s="1"/>
  <c r="C70" i="5"/>
  <c r="D69" i="5"/>
  <c r="C108" i="6" l="1"/>
  <c r="D29" i="6"/>
  <c r="D107" i="6" s="1"/>
  <c r="C30" i="6"/>
  <c r="I69" i="5"/>
  <c r="C71" i="5"/>
  <c r="D70" i="5"/>
  <c r="C109" i="6" l="1"/>
  <c r="E103" i="6"/>
  <c r="F103" i="6" s="1"/>
  <c r="I103" i="6" s="1"/>
  <c r="D30" i="6"/>
  <c r="D108" i="6" s="1"/>
  <c r="C31" i="6"/>
  <c r="E70" i="5"/>
  <c r="F70" i="5" s="1"/>
  <c r="I70" i="5" s="1"/>
  <c r="E71" i="5" s="1"/>
  <c r="C72" i="5"/>
  <c r="D72" i="5" s="1"/>
  <c r="D71" i="5"/>
  <c r="C110" i="6" l="1"/>
  <c r="F71" i="5"/>
  <c r="D31" i="6"/>
  <c r="D109" i="6" s="1"/>
  <c r="C32" i="6"/>
  <c r="I71" i="5"/>
  <c r="E72" i="5" s="1"/>
  <c r="F72" i="5" s="1"/>
  <c r="C73" i="5"/>
  <c r="C111" i="6" l="1"/>
  <c r="E104" i="6"/>
  <c r="F104" i="6" s="1"/>
  <c r="I104" i="6" s="1"/>
  <c r="D32" i="6"/>
  <c r="D110" i="6" s="1"/>
  <c r="C33" i="6"/>
  <c r="I72" i="5"/>
  <c r="C74" i="5"/>
  <c r="D73" i="5"/>
  <c r="C112" i="6" l="1"/>
  <c r="E105" i="6"/>
  <c r="F105" i="6" s="1"/>
  <c r="I105" i="6" s="1"/>
  <c r="D33" i="6"/>
  <c r="D111" i="6" s="1"/>
  <c r="C34" i="6"/>
  <c r="E73" i="5"/>
  <c r="F73" i="5" s="1"/>
  <c r="I73" i="5"/>
  <c r="E74" i="5"/>
  <c r="C75" i="5"/>
  <c r="D74" i="5"/>
  <c r="C113" i="6" l="1"/>
  <c r="F74" i="5"/>
  <c r="D34" i="6"/>
  <c r="D112" i="6" s="1"/>
  <c r="C35" i="6"/>
  <c r="I74" i="5"/>
  <c r="E75" i="5" s="1"/>
  <c r="C76" i="5"/>
  <c r="D76" i="5" s="1"/>
  <c r="D75" i="5"/>
  <c r="C114" i="6" l="1"/>
  <c r="F75" i="5"/>
  <c r="E106" i="6"/>
  <c r="F106" i="6" s="1"/>
  <c r="I106" i="6" s="1"/>
  <c r="D35" i="6"/>
  <c r="D113" i="6" s="1"/>
  <c r="C36" i="6"/>
  <c r="I75" i="5"/>
  <c r="E76" i="5" s="1"/>
  <c r="F76" i="5" s="1"/>
  <c r="C77" i="5"/>
  <c r="C115" i="6" l="1"/>
  <c r="E107" i="6"/>
  <c r="F107" i="6" s="1"/>
  <c r="I107" i="6" s="1"/>
  <c r="D36" i="6"/>
  <c r="D114" i="6" s="1"/>
  <c r="C37" i="6"/>
  <c r="I76" i="5"/>
  <c r="C78" i="5"/>
  <c r="D77" i="5"/>
  <c r="C116" i="6" l="1"/>
  <c r="E108" i="6"/>
  <c r="F108" i="6" s="1"/>
  <c r="I108" i="6" s="1"/>
  <c r="D37" i="6"/>
  <c r="D115" i="6" s="1"/>
  <c r="C38" i="6"/>
  <c r="E77" i="5"/>
  <c r="F77" i="5" s="1"/>
  <c r="I77" i="5" s="1"/>
  <c r="E78" i="5" s="1"/>
  <c r="F78" i="5" s="1"/>
  <c r="C79" i="5"/>
  <c r="D78" i="5"/>
  <c r="C117" i="6" l="1"/>
  <c r="E109" i="6"/>
  <c r="F109" i="6" s="1"/>
  <c r="I109" i="6" s="1"/>
  <c r="D38" i="6"/>
  <c r="D116" i="6" s="1"/>
  <c r="C39" i="6"/>
  <c r="I78" i="5"/>
  <c r="E79" i="5" s="1"/>
  <c r="C80" i="5"/>
  <c r="D79" i="5"/>
  <c r="C118" i="6" l="1"/>
  <c r="F79" i="5"/>
  <c r="E110" i="6"/>
  <c r="F110" i="6" s="1"/>
  <c r="I110" i="6" s="1"/>
  <c r="D39" i="6"/>
  <c r="D117" i="6" s="1"/>
  <c r="C40" i="6"/>
  <c r="I79" i="5"/>
  <c r="E80" i="5" s="1"/>
  <c r="C81" i="5"/>
  <c r="D81" i="5" s="1"/>
  <c r="D80" i="5"/>
  <c r="C119" i="6" l="1"/>
  <c r="F80" i="5"/>
  <c r="E111" i="6"/>
  <c r="F111" i="6" s="1"/>
  <c r="I111" i="6" s="1"/>
  <c r="D40" i="6"/>
  <c r="D118" i="6" s="1"/>
  <c r="C41" i="6"/>
  <c r="I80" i="5"/>
  <c r="F81" i="5" s="1"/>
  <c r="C120" i="6" l="1"/>
  <c r="E112" i="6"/>
  <c r="F112" i="6" s="1"/>
  <c r="I112" i="6" s="1"/>
  <c r="D41" i="6"/>
  <c r="D119" i="6" s="1"/>
  <c r="C42" i="6"/>
  <c r="E81" i="5"/>
  <c r="I81" i="5"/>
  <c r="C121" i="6" l="1"/>
  <c r="E113" i="6"/>
  <c r="F113" i="6" s="1"/>
  <c r="I113" i="6" s="1"/>
  <c r="D42" i="6"/>
  <c r="D120" i="6" s="1"/>
  <c r="C43" i="6"/>
  <c r="C122" i="6" l="1"/>
  <c r="E114" i="6"/>
  <c r="F114" i="6" s="1"/>
  <c r="I114" i="6" s="1"/>
  <c r="D43" i="6"/>
  <c r="D121" i="6" s="1"/>
  <c r="C44" i="6"/>
  <c r="C123" i="6" l="1"/>
  <c r="E115" i="6"/>
  <c r="F115" i="6" s="1"/>
  <c r="I115" i="6" s="1"/>
  <c r="D44" i="6"/>
  <c r="D122" i="6" s="1"/>
  <c r="C45" i="6"/>
  <c r="C124" i="6" l="1"/>
  <c r="E116" i="6"/>
  <c r="F116" i="6" s="1"/>
  <c r="I116" i="6" s="1"/>
  <c r="D45" i="6"/>
  <c r="D123" i="6" s="1"/>
  <c r="C46" i="6"/>
  <c r="C125" i="6" l="1"/>
  <c r="E117" i="6"/>
  <c r="F117" i="6" s="1"/>
  <c r="I117" i="6" s="1"/>
  <c r="D46" i="6"/>
  <c r="D124" i="6" s="1"/>
  <c r="C47" i="6"/>
  <c r="C126" i="6" l="1"/>
  <c r="E118" i="6"/>
  <c r="F118" i="6" s="1"/>
  <c r="I118" i="6" s="1"/>
  <c r="D47" i="6"/>
  <c r="D125" i="6" s="1"/>
  <c r="C48" i="6"/>
  <c r="C127" i="6" l="1"/>
  <c r="D48" i="6"/>
  <c r="D126" i="6" s="1"/>
  <c r="C49" i="6"/>
  <c r="C128" i="6" l="1"/>
  <c r="E119" i="6"/>
  <c r="F119" i="6" s="1"/>
  <c r="I119" i="6" s="1"/>
  <c r="D49" i="6"/>
  <c r="D127" i="6" s="1"/>
  <c r="C50" i="6"/>
  <c r="C129" i="6" l="1"/>
  <c r="E120" i="6"/>
  <c r="F120" i="6" s="1"/>
  <c r="I120" i="6" s="1"/>
  <c r="D50" i="6"/>
  <c r="D128" i="6" s="1"/>
  <c r="C51" i="6"/>
  <c r="C130" i="6" l="1"/>
  <c r="E121" i="6"/>
  <c r="F121" i="6" s="1"/>
  <c r="I121" i="6" s="1"/>
  <c r="D51" i="6"/>
  <c r="D129" i="6" s="1"/>
  <c r="C52" i="6"/>
  <c r="C131" i="6" l="1"/>
  <c r="E122" i="6"/>
  <c r="F122" i="6" s="1"/>
  <c r="I122" i="6" s="1"/>
  <c r="D52" i="6"/>
  <c r="D130" i="6" s="1"/>
  <c r="C53" i="6"/>
  <c r="C132" i="6" l="1"/>
  <c r="D131" i="6"/>
  <c r="E123" i="6"/>
  <c r="F123" i="6" s="1"/>
  <c r="I123" i="6" s="1"/>
  <c r="D53" i="6"/>
  <c r="C54" i="6"/>
  <c r="C133" i="6" l="1"/>
  <c r="D132" i="6"/>
  <c r="E124" i="6"/>
  <c r="F124" i="6" s="1"/>
  <c r="I124" i="6" s="1"/>
  <c r="D54" i="6"/>
  <c r="C55" i="6"/>
  <c r="C134" i="6" l="1"/>
  <c r="D133" i="6"/>
  <c r="E125" i="6"/>
  <c r="F125" i="6" s="1"/>
  <c r="I125" i="6" s="1"/>
  <c r="D55" i="6"/>
  <c r="C56" i="6"/>
  <c r="C135" i="6" l="1"/>
  <c r="D134" i="6"/>
  <c r="E126" i="6"/>
  <c r="F126" i="6" s="1"/>
  <c r="I126" i="6" s="1"/>
  <c r="D56" i="6"/>
  <c r="C57" i="6"/>
  <c r="C136" i="6" l="1"/>
  <c r="D135" i="6"/>
  <c r="E127" i="6"/>
  <c r="F127" i="6" s="1"/>
  <c r="I127" i="6" s="1"/>
  <c r="D57" i="6"/>
  <c r="C58" i="6"/>
  <c r="C137" i="6" l="1"/>
  <c r="D136" i="6"/>
  <c r="E128" i="6"/>
  <c r="F128" i="6" s="1"/>
  <c r="I128" i="6" s="1"/>
  <c r="D58" i="6"/>
  <c r="C59" i="6"/>
  <c r="C138" i="6" l="1"/>
  <c r="D137" i="6"/>
  <c r="E129" i="6"/>
  <c r="F129" i="6" s="1"/>
  <c r="I129" i="6" s="1"/>
  <c r="D59" i="6"/>
  <c r="C60" i="6"/>
  <c r="C139" i="6" l="1"/>
  <c r="D138" i="6"/>
  <c r="E130" i="6"/>
  <c r="F130" i="6" s="1"/>
  <c r="I130" i="6" s="1"/>
  <c r="D60" i="6"/>
  <c r="C61" i="6"/>
  <c r="C140" i="6" l="1"/>
  <c r="D139" i="6"/>
  <c r="E131" i="6"/>
  <c r="F131" i="6" s="1"/>
  <c r="I131" i="6" s="1"/>
  <c r="D61" i="6"/>
  <c r="C62" i="6"/>
  <c r="C141" i="6" l="1"/>
  <c r="D140" i="6"/>
  <c r="E132" i="6"/>
  <c r="F132" i="6" s="1"/>
  <c r="I132" i="6" s="1"/>
  <c r="D62" i="6"/>
  <c r="C63" i="6"/>
  <c r="C142" i="6" l="1"/>
  <c r="D141" i="6"/>
  <c r="E133" i="6"/>
  <c r="F133" i="6" s="1"/>
  <c r="I133" i="6" s="1"/>
  <c r="D63" i="6"/>
  <c r="C64" i="6"/>
  <c r="C143" i="6" l="1"/>
  <c r="D142" i="6"/>
  <c r="E134" i="6"/>
  <c r="F134" i="6" s="1"/>
  <c r="I134" i="6" s="1"/>
  <c r="D64" i="6"/>
  <c r="C65" i="6"/>
  <c r="C144" i="6" l="1"/>
  <c r="D143" i="6"/>
  <c r="E135" i="6"/>
  <c r="F135" i="6" s="1"/>
  <c r="I135" i="6" s="1"/>
  <c r="D65" i="6"/>
  <c r="C66" i="6"/>
  <c r="C145" i="6" l="1"/>
  <c r="D144" i="6"/>
  <c r="E136" i="6"/>
  <c r="F136" i="6" s="1"/>
  <c r="I136" i="6" s="1"/>
  <c r="D66" i="6"/>
  <c r="C67" i="6"/>
  <c r="C146" i="6" l="1"/>
  <c r="D145" i="6"/>
  <c r="E137" i="6"/>
  <c r="F137" i="6" s="1"/>
  <c r="I137" i="6" s="1"/>
  <c r="D67" i="6"/>
  <c r="C68" i="6"/>
  <c r="C147" i="6" l="1"/>
  <c r="D146" i="6"/>
  <c r="E138" i="6"/>
  <c r="F138" i="6" s="1"/>
  <c r="I138" i="6" s="1"/>
  <c r="D68" i="6"/>
  <c r="C69" i="6"/>
  <c r="C148" i="6" l="1"/>
  <c r="D147" i="6"/>
  <c r="E139" i="6"/>
  <c r="F139" i="6" s="1"/>
  <c r="I139" i="6" s="1"/>
  <c r="D69" i="6"/>
  <c r="C70" i="6"/>
  <c r="C149" i="6" l="1"/>
  <c r="D148" i="6"/>
  <c r="E140" i="6"/>
  <c r="F140" i="6" s="1"/>
  <c r="I140" i="6" s="1"/>
  <c r="D70" i="6"/>
  <c r="C71" i="6"/>
  <c r="C150" i="6" l="1"/>
  <c r="D149" i="6"/>
  <c r="E141" i="6"/>
  <c r="F141" i="6" s="1"/>
  <c r="I141" i="6" s="1"/>
  <c r="D71" i="6"/>
  <c r="C72" i="6"/>
  <c r="C151" i="6" l="1"/>
  <c r="D150" i="6"/>
  <c r="E142" i="6"/>
  <c r="F142" i="6" s="1"/>
  <c r="I142" i="6" s="1"/>
  <c r="D72" i="6"/>
  <c r="C73" i="6"/>
  <c r="C152" i="6" l="1"/>
  <c r="D151" i="6"/>
  <c r="E143" i="6"/>
  <c r="F143" i="6" s="1"/>
  <c r="I143" i="6" s="1"/>
  <c r="D73" i="6"/>
  <c r="C74" i="6"/>
  <c r="C153" i="6" l="1"/>
  <c r="D152" i="6"/>
  <c r="E144" i="6"/>
  <c r="F144" i="6" s="1"/>
  <c r="I144" i="6" s="1"/>
  <c r="D74" i="6"/>
  <c r="C75" i="6"/>
  <c r="C154" i="6" l="1"/>
  <c r="D153" i="6"/>
  <c r="E145" i="6"/>
  <c r="F145" i="6" s="1"/>
  <c r="I145" i="6" s="1"/>
  <c r="D75" i="6"/>
  <c r="C76" i="6"/>
  <c r="C155" i="6" l="1"/>
  <c r="D154" i="6"/>
  <c r="E146" i="6"/>
  <c r="F146" i="6" s="1"/>
  <c r="I146" i="6" s="1"/>
  <c r="D76" i="6"/>
  <c r="C77" i="6"/>
  <c r="C156" i="6" l="1"/>
  <c r="D155" i="6"/>
  <c r="E147" i="6"/>
  <c r="F147" i="6" s="1"/>
  <c r="I147" i="6" s="1"/>
  <c r="D77" i="6"/>
  <c r="C78" i="6"/>
  <c r="C157" i="6" l="1"/>
  <c r="D156" i="6"/>
  <c r="E148" i="6"/>
  <c r="F148" i="6" s="1"/>
  <c r="I148" i="6" s="1"/>
  <c r="D78" i="6"/>
  <c r="C79" i="6"/>
  <c r="C158" i="6" l="1"/>
  <c r="D158" i="6" s="1"/>
  <c r="D157" i="6"/>
  <c r="E149" i="6"/>
  <c r="F149" i="6" s="1"/>
  <c r="I149" i="6" s="1"/>
  <c r="D79" i="6"/>
  <c r="C80" i="6"/>
  <c r="D80" i="6" s="1"/>
  <c r="E150" i="6" l="1"/>
  <c r="F150" i="6" s="1"/>
  <c r="I150" i="6" s="1"/>
  <c r="E151" i="6" l="1"/>
  <c r="F151" i="6" s="1"/>
  <c r="I151" i="6" s="1"/>
  <c r="E152" i="6" l="1"/>
  <c r="F152" i="6" s="1"/>
  <c r="I152" i="6" s="1"/>
  <c r="E153" i="6" l="1"/>
  <c r="F153" i="6" s="1"/>
  <c r="I153" i="6" s="1"/>
  <c r="E154" i="6" l="1"/>
  <c r="F154" i="6" s="1"/>
  <c r="I154" i="6" s="1"/>
  <c r="E155" i="6" l="1"/>
  <c r="F155" i="6" s="1"/>
  <c r="I155" i="6" s="1"/>
  <c r="E156" i="6" l="1"/>
  <c r="F156" i="6" s="1"/>
  <c r="I156" i="6" s="1"/>
  <c r="E157" i="6" l="1"/>
  <c r="F157" i="6" s="1"/>
  <c r="I157" i="6" s="1"/>
  <c r="E158" i="6" l="1"/>
  <c r="F158" i="6"/>
  <c r="I158" i="6" s="1"/>
</calcChain>
</file>

<file path=xl/sharedStrings.xml><?xml version="1.0" encoding="utf-8"?>
<sst xmlns="http://schemas.openxmlformats.org/spreadsheetml/2006/main" count="71" uniqueCount="32">
  <si>
    <t>Effective Interest</t>
  </si>
  <si>
    <t>Book Balance</t>
  </si>
  <si>
    <t>Yield to Maturity</t>
  </si>
  <si>
    <t>Face value interest simply means the actual interest paid through the life of the maturity.</t>
  </si>
  <si>
    <t>Payment Date</t>
  </si>
  <si>
    <t>Initial Book Value</t>
  </si>
  <si>
    <t>Face Value Interest</t>
  </si>
  <si>
    <t>The Effective Interest Rate method compares a bond’s Face Value Stated Interest to the bond’s Book Value Effective Interest. Let’s walk through the calculations</t>
  </si>
  <si>
    <t>This tab provides an example calculation. The "Template" Tab allows you to add your own maturity information to calculate an Effective Interest Amortization Schedule.</t>
  </si>
  <si>
    <t>Dated Date</t>
  </si>
  <si>
    <t>First Interest Payment Date</t>
  </si>
  <si>
    <t>Maturity Date</t>
  </si>
  <si>
    <t>Principal Amount</t>
  </si>
  <si>
    <t>Coupon Rate</t>
  </si>
  <si>
    <t>Setup: Maturity Details</t>
  </si>
  <si>
    <t>Step 1: Calculate Face Value Interest</t>
  </si>
  <si>
    <t>--</t>
  </si>
  <si>
    <t>Step 2: Calculate Book Value</t>
  </si>
  <si>
    <t>Offering Price</t>
  </si>
  <si>
    <t>Original Issue Premium / (Discount)</t>
  </si>
  <si>
    <t>Step 3: Calculate Effective Interest &amp; Premium / (Discount) Amortization</t>
  </si>
  <si>
    <t xml:space="preserve">Effective interest is calculated similar to traditional Face Value Interest, but uses different inputs. </t>
  </si>
  <si>
    <t>The Book Value is multiplied by the Yield, as opposed to the Interest Rate</t>
  </si>
  <si>
    <t>To calculate the amount of premium amortized on each payment date, the following calculation is applied:</t>
  </si>
  <si>
    <t>Premium / (Discount) Amortization</t>
  </si>
  <si>
    <t xml:space="preserve"> Face Value Interest - Effective Interest = Premium / (Discount) Amortization</t>
  </si>
  <si>
    <t>Note: this template assumes semi-annual interest payments, with a maximum maturity date of 30 Years from the Dated Date</t>
  </si>
  <si>
    <t xml:space="preserve">Add your maturity information to the cells highlighted in gray below. </t>
  </si>
  <si>
    <t>Original Offering Price</t>
  </si>
  <si>
    <t>This template will allow you to create an Effective Interest to Maturity Premium / (Discount) Amortization for a Maturity of any outstanding Bond Issue</t>
  </si>
  <si>
    <t>Effective Interest to Maturity Premium / (Discount) Amortization Template</t>
  </si>
  <si>
    <t>“Book Value” represents the Par Amount of a maturity plus / (minus) the outstanding Premium / (Discount) amount on the 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</si>
</sst>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m/d/yyyy;@"/>
    <numFmt numFmtId="166" formatCode="#,##0.000"/>
  </numFmts>
  <fonts count="8" x14ac:knownFonts="1">
    <font>
      <sz val="11"/>
      <name val="Arial"/>
      <family val="1"/>
    </font>
    <font>
      <sz val="10"/>
      <color rgb="FF000000"/>
      <name val="Calibri"/>
      <family val="2"/>
      <scheme val="minor"/>
    </font>
    <font>
      <sz val="11"/>
      <name val="Arial"/>
      <family val="1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4"/>
      <color theme="1"/>
      <name val="Arial"/>
      <family val="2"/>
    </font>
    <font>
      <sz val="10"/>
      <color rgb="FF000000"/>
      <name val="Aptos Narrow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34">
    <xf numFmtId="0" fontId="0" fillId="0" borderId="0" xfId="0"/>
    <xf numFmtId="0" fontId="4" fillId="0" borderId="0" xfId="3" applyFont="1"/>
    <xf numFmtId="0" fontId="3" fillId="0" borderId="0" xfId="3"/>
    <xf numFmtId="0" fontId="4" fillId="0" borderId="0" xfId="3" applyFont="1" applyAlignment="1">
      <alignment horizontal="right"/>
    </xf>
    <xf numFmtId="0" fontId="6" fillId="0" borderId="0" xfId="3" applyFont="1"/>
    <xf numFmtId="165" fontId="4" fillId="0" borderId="0" xfId="3" applyNumberFormat="1" applyFont="1"/>
    <xf numFmtId="4" fontId="4" fillId="0" borderId="0" xfId="3" applyNumberFormat="1" applyFont="1"/>
    <xf numFmtId="0" fontId="4" fillId="0" borderId="0" xfId="3" applyFont="1" applyAlignment="1">
      <alignment horizontal="center"/>
    </xf>
    <xf numFmtId="0" fontId="4" fillId="0" borderId="0" xfId="3" applyFont="1" applyAlignment="1">
      <alignment horizontal="left"/>
    </xf>
    <xf numFmtId="0" fontId="4" fillId="0" borderId="0" xfId="3" applyFont="1" applyAlignment="1">
      <alignment horizontal="center" vertical="center"/>
    </xf>
    <xf numFmtId="0" fontId="7" fillId="0" borderId="2" xfId="3" applyFont="1" applyBorder="1"/>
    <xf numFmtId="0" fontId="4" fillId="0" borderId="2" xfId="3" applyFont="1" applyBorder="1"/>
    <xf numFmtId="164" fontId="4" fillId="0" borderId="0" xfId="2" applyNumberFormat="1" applyFont="1" applyProtection="1"/>
    <xf numFmtId="166" fontId="4" fillId="0" borderId="0" xfId="3" applyNumberFormat="1" applyFont="1"/>
    <xf numFmtId="0" fontId="7" fillId="0" borderId="0" xfId="3" applyFont="1"/>
    <xf numFmtId="0" fontId="4" fillId="0" borderId="1" xfId="3" applyFont="1" applyBorder="1" applyAlignment="1">
      <alignment horizontal="center"/>
    </xf>
    <xf numFmtId="4" fontId="4" fillId="0" borderId="0" xfId="3" quotePrefix="1" applyNumberFormat="1" applyFont="1" applyAlignment="1">
      <alignment horizontal="center"/>
    </xf>
    <xf numFmtId="14" fontId="4" fillId="0" borderId="0" xfId="3" applyNumberFormat="1" applyFont="1" applyAlignment="1">
      <alignment horizontal="right"/>
    </xf>
    <xf numFmtId="39" fontId="4" fillId="0" borderId="0" xfId="3" applyNumberFormat="1" applyFont="1"/>
    <xf numFmtId="165" fontId="4" fillId="2" borderId="0" xfId="3" applyNumberFormat="1" applyFont="1" applyFill="1" applyProtection="1">
      <protection locked="0"/>
    </xf>
    <xf numFmtId="4" fontId="4" fillId="2" borderId="0" xfId="3" applyNumberFormat="1" applyFont="1" applyFill="1" applyProtection="1">
      <protection locked="0"/>
    </xf>
    <xf numFmtId="164" fontId="4" fillId="2" borderId="0" xfId="2" applyNumberFormat="1" applyFont="1" applyFill="1" applyProtection="1">
      <protection locked="0"/>
    </xf>
    <xf numFmtId="166" fontId="4" fillId="2" borderId="0" xfId="2" applyNumberFormat="1" applyFont="1" applyFill="1" applyProtection="1">
      <protection locked="0"/>
    </xf>
    <xf numFmtId="0" fontId="4" fillId="0" borderId="0" xfId="3" applyFont="1" applyAlignment="1">
      <alignment horizontal="left" vertical="center"/>
    </xf>
    <xf numFmtId="165" fontId="4" fillId="0" borderId="0" xfId="3" applyNumberFormat="1" applyFont="1" applyAlignment="1">
      <alignment horizontal="right"/>
    </xf>
    <xf numFmtId="4" fontId="4" fillId="0" borderId="0" xfId="3" quotePrefix="1" applyNumberFormat="1" applyFont="1" applyAlignment="1">
      <alignment horizontal="right"/>
    </xf>
    <xf numFmtId="4" fontId="4" fillId="0" borderId="0" xfId="3" applyNumberFormat="1" applyFont="1" applyAlignment="1">
      <alignment horizontal="right"/>
    </xf>
    <xf numFmtId="0" fontId="4" fillId="0" borderId="0" xfId="3" applyFont="1" applyAlignment="1">
      <alignment horizontal="center"/>
    </xf>
    <xf numFmtId="0" fontId="5" fillId="0" borderId="0" xfId="3" applyFont="1" applyAlignment="1">
      <alignment horizontal="center" vertical="center"/>
    </xf>
    <xf numFmtId="0" fontId="4" fillId="0" borderId="1" xfId="3" applyFont="1" applyBorder="1" applyAlignment="1">
      <alignment horizontal="center"/>
    </xf>
    <xf numFmtId="4" fontId="4" fillId="0" borderId="3" xfId="3" quotePrefix="1" applyNumberFormat="1" applyFont="1" applyBorder="1" applyAlignment="1">
      <alignment horizontal="center"/>
    </xf>
    <xf numFmtId="39" fontId="4" fillId="0" borderId="0" xfId="3" applyNumberFormat="1" applyFont="1" applyAlignment="1">
      <alignment horizontal="right"/>
    </xf>
    <xf numFmtId="0" fontId="3" fillId="0" borderId="0" xfId="3"/>
    <xf numFmtId="4" fontId="4" fillId="0" borderId="3" xfId="3" quotePrefix="1" applyNumberFormat="1" applyFont="1" applyBorder="1" applyAlignment="1">
      <alignment horizontal="right"/>
    </xf>
  </cellXfs>
  <cellStyles count="4">
    <cellStyle name="Normal" xfId="0" builtinId="0"/>
    <cellStyle name="Normal 2" xfId="1" xr:uid="{5B8F3747-F045-4240-85DC-013ED3450E5E}"/>
    <cellStyle name="Normal 3" xfId="3" xr:uid="{B6C82121-8528-734D-A7F6-891A8F52D9A9}"/>
    <cellStyle name="Percent" xfId="2" builtinId="5"/>
  </cellStyles>
  <dxfs count="0"/>
  <tableStyles count="0" defaultTableStyle="TableStyleMedium9" defaultPivotStyle="PivotStyleLight16"/>
  <colors>
    <mruColors>
      <color rgb="FFEDC7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debtbook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debtbook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5875" cy="400050"/>
    <xdr:pic>
      <xdr:nvPicPr>
        <xdr:cNvPr id="6" name="image1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3E566C-698C-B645-AC52-555C840BE9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28587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5875" cy="400050"/>
    <xdr:pic>
      <xdr:nvPicPr>
        <xdr:cNvPr id="2" name="image1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7DDBD9-C009-3440-B1C1-54775994936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285875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24F7-7273-C948-AB63-A7AD29B139D3}">
  <dimension ref="A1:Z1001"/>
  <sheetViews>
    <sheetView showGridLines="0" tabSelected="1" zoomScale="110" zoomScaleNormal="110" workbookViewId="0">
      <selection sqref="A1:A2"/>
    </sheetView>
  </sheetViews>
  <sheetFormatPr baseColWidth="10" defaultColWidth="11.1640625" defaultRowHeight="15" customHeight="1" x14ac:dyDescent="0.2"/>
  <cols>
    <col min="1" max="1" width="6.6640625" style="2" customWidth="1"/>
    <col min="2" max="2" width="3" style="2" customWidth="1"/>
    <col min="3" max="3" width="34" style="2" customWidth="1"/>
    <col min="4" max="4" width="19.33203125" style="2" customWidth="1"/>
    <col min="5" max="5" width="17.6640625" style="2" bestFit="1" customWidth="1"/>
    <col min="6" max="6" width="12.1640625" style="2" customWidth="1"/>
    <col min="7" max="8" width="11.83203125" style="2" customWidth="1"/>
    <col min="9" max="9" width="17.1640625" style="2" customWidth="1"/>
    <col min="10" max="23" width="11.83203125" style="2" customWidth="1"/>
    <col min="24" max="26" width="12.6640625" style="2" customWidth="1"/>
    <col min="27" max="16384" width="11.1640625" style="2"/>
  </cols>
  <sheetData>
    <row r="1" spans="1:26" ht="15.75" customHeight="1" x14ac:dyDescent="0.2">
      <c r="A1" s="27"/>
      <c r="B1" s="28" t="s">
        <v>30</v>
      </c>
      <c r="C1" s="28"/>
      <c r="D1" s="28"/>
      <c r="E1" s="28"/>
      <c r="F1" s="28"/>
      <c r="G1" s="28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7"/>
      <c r="B2" s="28"/>
      <c r="C2" s="28"/>
      <c r="D2" s="28"/>
      <c r="E2" s="28"/>
      <c r="F2" s="28"/>
      <c r="G2" s="28"/>
      <c r="H2" s="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8" t="s">
        <v>29</v>
      </c>
      <c r="B3" s="9"/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7"/>
      <c r="B4" s="9"/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8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8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8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thickBot="1" x14ac:dyDescent="0.25">
      <c r="A9" s="8"/>
      <c r="B9" s="10" t="s">
        <v>14</v>
      </c>
      <c r="C9" s="11"/>
      <c r="D9" s="11"/>
      <c r="E9" s="11"/>
      <c r="F9" s="11"/>
      <c r="G9" s="11"/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8"/>
      <c r="B10" s="1"/>
      <c r="C10" s="1" t="s">
        <v>9</v>
      </c>
      <c r="D10" s="5">
        <v>45176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8"/>
      <c r="B11" s="1"/>
      <c r="C11" s="1" t="s">
        <v>10</v>
      </c>
      <c r="D11" s="5">
        <v>45261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8"/>
      <c r="B12" s="1"/>
      <c r="C12" s="1" t="s">
        <v>11</v>
      </c>
      <c r="D12" s="5">
        <v>48914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8"/>
      <c r="C13" s="1" t="s">
        <v>12</v>
      </c>
      <c r="D13" s="6">
        <v>4740000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8"/>
      <c r="C14" s="1" t="s">
        <v>13</v>
      </c>
      <c r="D14" s="12">
        <v>0.03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">
      <c r="A15" s="8"/>
      <c r="B15" s="1"/>
      <c r="C15" s="1" t="s">
        <v>2</v>
      </c>
      <c r="D15" s="12">
        <v>3.85E-2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">
      <c r="A16" s="8"/>
      <c r="B16" s="1"/>
      <c r="C16" s="1" t="s">
        <v>28</v>
      </c>
      <c r="D16" s="13">
        <v>92.863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thickBot="1" x14ac:dyDescent="0.25">
      <c r="A18" s="8"/>
      <c r="B18" s="10" t="s">
        <v>15</v>
      </c>
      <c r="C18" s="11"/>
      <c r="D18" s="11"/>
      <c r="E18" s="11"/>
      <c r="F18" s="11"/>
      <c r="G18" s="11"/>
      <c r="H18" s="11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8"/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8"/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8"/>
      <c r="B21" s="14"/>
      <c r="C21" s="15" t="s">
        <v>4</v>
      </c>
      <c r="D21" s="15" t="s">
        <v>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8"/>
      <c r="B22" s="14"/>
      <c r="C22" s="5">
        <f>D10</f>
        <v>45176</v>
      </c>
      <c r="D22" s="16" t="s">
        <v>16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8"/>
      <c r="B23" s="14"/>
      <c r="C23" s="5">
        <f>D11</f>
        <v>45261</v>
      </c>
      <c r="D23" s="6">
        <f>DAYS360(C22,C23)/360*$D$13*$D$14</f>
        <v>33180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8"/>
      <c r="B24" s="14"/>
      <c r="C24" s="5">
        <f>EDATE(C23,6)</f>
        <v>45444</v>
      </c>
      <c r="D24" s="6">
        <f t="shared" ref="D24:D43" si="0">DAYS360(C23,C24)/360*$D$13*$D$14</f>
        <v>71100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7"/>
      <c r="B25" s="1"/>
      <c r="C25" s="5">
        <f t="shared" ref="C25:C43" si="1">EDATE(C24,6)</f>
        <v>45627</v>
      </c>
      <c r="D25" s="6">
        <f t="shared" si="0"/>
        <v>71100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7"/>
      <c r="B26" s="1"/>
      <c r="C26" s="5">
        <f t="shared" si="1"/>
        <v>45809</v>
      </c>
      <c r="D26" s="6">
        <f t="shared" si="0"/>
        <v>71100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3"/>
      <c r="B27" s="1"/>
      <c r="C27" s="5">
        <f t="shared" si="1"/>
        <v>45992</v>
      </c>
      <c r="D27" s="6">
        <f t="shared" si="0"/>
        <v>71100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3"/>
      <c r="B28" s="1"/>
      <c r="C28" s="5">
        <f t="shared" si="1"/>
        <v>46174</v>
      </c>
      <c r="D28" s="6">
        <f t="shared" si="0"/>
        <v>71100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3"/>
      <c r="B29" s="1"/>
      <c r="C29" s="5">
        <f t="shared" si="1"/>
        <v>46357</v>
      </c>
      <c r="D29" s="6">
        <f t="shared" si="0"/>
        <v>71100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3"/>
      <c r="B30" s="1"/>
      <c r="C30" s="5">
        <f t="shared" si="1"/>
        <v>46539</v>
      </c>
      <c r="D30" s="6">
        <f t="shared" si="0"/>
        <v>71100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3"/>
      <c r="B31" s="1"/>
      <c r="C31" s="5">
        <f t="shared" si="1"/>
        <v>46722</v>
      </c>
      <c r="D31" s="6">
        <f t="shared" si="0"/>
        <v>71100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3"/>
      <c r="B32" s="1"/>
      <c r="C32" s="5">
        <f t="shared" si="1"/>
        <v>46905</v>
      </c>
      <c r="D32" s="6">
        <f t="shared" si="0"/>
        <v>71100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3"/>
      <c r="B33" s="1"/>
      <c r="C33" s="5">
        <f t="shared" si="1"/>
        <v>47088</v>
      </c>
      <c r="D33" s="6">
        <f t="shared" si="0"/>
        <v>71100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3"/>
      <c r="B34" s="1"/>
      <c r="C34" s="5">
        <f t="shared" si="1"/>
        <v>47270</v>
      </c>
      <c r="D34" s="6">
        <f t="shared" si="0"/>
        <v>71100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3"/>
      <c r="B35" s="1"/>
      <c r="C35" s="5">
        <f t="shared" si="1"/>
        <v>47453</v>
      </c>
      <c r="D35" s="6">
        <f t="shared" si="0"/>
        <v>71100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3"/>
      <c r="B36" s="1"/>
      <c r="C36" s="5">
        <f t="shared" si="1"/>
        <v>47635</v>
      </c>
      <c r="D36" s="6">
        <f t="shared" si="0"/>
        <v>71100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3"/>
      <c r="B37" s="1"/>
      <c r="C37" s="5">
        <f t="shared" si="1"/>
        <v>47818</v>
      </c>
      <c r="D37" s="6">
        <f t="shared" si="0"/>
        <v>71100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3"/>
      <c r="B38" s="1"/>
      <c r="C38" s="5">
        <f t="shared" si="1"/>
        <v>48000</v>
      </c>
      <c r="D38" s="6">
        <f t="shared" si="0"/>
        <v>71100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3"/>
      <c r="B39" s="1"/>
      <c r="C39" s="5">
        <f t="shared" si="1"/>
        <v>48183</v>
      </c>
      <c r="D39" s="6">
        <f t="shared" si="0"/>
        <v>71100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3"/>
      <c r="B40" s="1"/>
      <c r="C40" s="5">
        <f t="shared" si="1"/>
        <v>48366</v>
      </c>
      <c r="D40" s="6">
        <f t="shared" si="0"/>
        <v>71100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3"/>
      <c r="B41" s="1"/>
      <c r="C41" s="5">
        <f t="shared" si="1"/>
        <v>48549</v>
      </c>
      <c r="D41" s="6">
        <f t="shared" si="0"/>
        <v>71100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3"/>
      <c r="B42" s="1"/>
      <c r="C42" s="5">
        <f t="shared" si="1"/>
        <v>48731</v>
      </c>
      <c r="D42" s="6">
        <f t="shared" si="0"/>
        <v>71100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3"/>
      <c r="B43" s="1"/>
      <c r="C43" s="5">
        <f t="shared" si="1"/>
        <v>48914</v>
      </c>
      <c r="D43" s="6">
        <f t="shared" si="0"/>
        <v>71100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 x14ac:dyDescent="0.25">
      <c r="A45" s="3"/>
      <c r="B45" s="10" t="s">
        <v>17</v>
      </c>
      <c r="C45" s="11"/>
      <c r="D45" s="11"/>
      <c r="E45" s="11"/>
      <c r="F45" s="11"/>
      <c r="G45" s="11"/>
      <c r="H45" s="11"/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3"/>
      <c r="B46" s="1" t="s">
        <v>31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3"/>
      <c r="B48" s="1"/>
      <c r="C48" s="1" t="s">
        <v>12</v>
      </c>
      <c r="D48" s="6">
        <v>4740000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3"/>
      <c r="B49" s="1"/>
      <c r="C49" s="1" t="s">
        <v>18</v>
      </c>
      <c r="D49" s="13">
        <f>D16</f>
        <v>92.863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3"/>
      <c r="B50" s="1"/>
      <c r="C50" s="1" t="s">
        <v>19</v>
      </c>
      <c r="D50" s="18">
        <f>D49/100*D48-D48</f>
        <v>-338293.79999999981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3"/>
      <c r="B51" s="1"/>
      <c r="C51" s="1" t="s">
        <v>5</v>
      </c>
      <c r="D51" s="6">
        <f>D48+D50</f>
        <v>4401706.2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thickBot="1" x14ac:dyDescent="0.25">
      <c r="A53" s="3"/>
      <c r="B53" s="10" t="s">
        <v>20</v>
      </c>
      <c r="C53" s="11"/>
      <c r="D53" s="11"/>
      <c r="E53" s="11"/>
      <c r="F53" s="11"/>
      <c r="G53" s="11"/>
      <c r="H53" s="11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3"/>
      <c r="B54" s="1" t="s">
        <v>21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3"/>
      <c r="B55" s="1"/>
      <c r="C55" s="1" t="s">
        <v>22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3"/>
      <c r="B56" s="1" t="s">
        <v>23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3"/>
      <c r="B57" s="1"/>
      <c r="C57" s="1" t="s">
        <v>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3"/>
      <c r="B59" s="1"/>
      <c r="C59" s="15" t="s">
        <v>4</v>
      </c>
      <c r="D59" s="15" t="s">
        <v>6</v>
      </c>
      <c r="E59" s="15" t="s">
        <v>0</v>
      </c>
      <c r="F59" s="29" t="s">
        <v>24</v>
      </c>
      <c r="G59" s="29"/>
      <c r="H59" s="29"/>
      <c r="I59" s="15" t="s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3"/>
      <c r="B60" s="1"/>
      <c r="C60" s="5">
        <f>D10</f>
        <v>45176</v>
      </c>
      <c r="D60" s="16" t="s">
        <v>16</v>
      </c>
      <c r="E60" s="16" t="s">
        <v>16</v>
      </c>
      <c r="F60" s="30" t="s">
        <v>16</v>
      </c>
      <c r="G60" s="30"/>
      <c r="H60" s="30"/>
      <c r="I60" s="6">
        <f>D51</f>
        <v>4401706.2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3"/>
      <c r="B61" s="1"/>
      <c r="C61" s="5">
        <f>D11</f>
        <v>45261</v>
      </c>
      <c r="D61" s="6">
        <f>DAYS360(C60,C61)/360*$D$13*$D$14</f>
        <v>33180</v>
      </c>
      <c r="E61" s="6">
        <f>DAYS360(C60,C61)/360*(I60*$D$15)</f>
        <v>39541.994030000002</v>
      </c>
      <c r="F61" s="31">
        <f t="shared" ref="F61:F81" si="2">IF(C61=$D$12,I60-$D$48,D61-E61)</f>
        <v>-6361.9940300000017</v>
      </c>
      <c r="G61" s="31"/>
      <c r="H61" s="31"/>
      <c r="I61" s="6">
        <f>I60-F61</f>
        <v>4408068.1940299999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3"/>
      <c r="B62" s="1"/>
      <c r="C62" s="5">
        <f>EDATE(C61,6)</f>
        <v>45444</v>
      </c>
      <c r="D62" s="6">
        <f t="shared" ref="D62:D81" si="3">DAYS360(C61,C62)/360*$D$13*$D$14</f>
        <v>71100</v>
      </c>
      <c r="E62" s="6">
        <f t="shared" ref="E62:E81" si="4">DAYS360(C61,C62)/360*(I61*$D$15)</f>
        <v>84855.312735077503</v>
      </c>
      <c r="F62" s="31">
        <f t="shared" si="2"/>
        <v>-13755.312735077503</v>
      </c>
      <c r="G62" s="31"/>
      <c r="H62" s="31"/>
      <c r="I62" s="6">
        <f t="shared" ref="I62:I81" si="5">I61-F62</f>
        <v>4421823.5067650778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3"/>
      <c r="B63" s="1"/>
      <c r="C63" s="5">
        <f t="shared" ref="C63:C81" si="6">EDATE(C62,6)</f>
        <v>45627</v>
      </c>
      <c r="D63" s="6">
        <f t="shared" si="3"/>
        <v>71100</v>
      </c>
      <c r="E63" s="6">
        <f t="shared" si="4"/>
        <v>85120.10250522774</v>
      </c>
      <c r="F63" s="31">
        <f t="shared" si="2"/>
        <v>-14020.10250522774</v>
      </c>
      <c r="G63" s="31"/>
      <c r="H63" s="31"/>
      <c r="I63" s="6">
        <f t="shared" si="5"/>
        <v>4435843.6092703054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3"/>
      <c r="B64" s="1"/>
      <c r="C64" s="5">
        <f t="shared" si="6"/>
        <v>45809</v>
      </c>
      <c r="D64" s="6">
        <f t="shared" si="3"/>
        <v>71100</v>
      </c>
      <c r="E64" s="6">
        <f t="shared" si="4"/>
        <v>85389.989478453383</v>
      </c>
      <c r="F64" s="31">
        <f t="shared" si="2"/>
        <v>-14289.989478453383</v>
      </c>
      <c r="G64" s="31"/>
      <c r="H64" s="31"/>
      <c r="I64" s="6">
        <f t="shared" si="5"/>
        <v>4450133.5987487584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3"/>
      <c r="B65" s="1"/>
      <c r="C65" s="5">
        <f t="shared" si="6"/>
        <v>45992</v>
      </c>
      <c r="D65" s="6">
        <f t="shared" si="3"/>
        <v>71100</v>
      </c>
      <c r="E65" s="6">
        <f t="shared" si="4"/>
        <v>85665.071775913602</v>
      </c>
      <c r="F65" s="31">
        <f t="shared" si="2"/>
        <v>-14565.071775913602</v>
      </c>
      <c r="G65" s="31"/>
      <c r="H65" s="31"/>
      <c r="I65" s="6">
        <f t="shared" si="5"/>
        <v>4464698.6705246717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3"/>
      <c r="B66" s="1"/>
      <c r="C66" s="5">
        <f t="shared" si="6"/>
        <v>46174</v>
      </c>
      <c r="D66" s="6">
        <f t="shared" si="3"/>
        <v>71100</v>
      </c>
      <c r="E66" s="6">
        <f t="shared" si="4"/>
        <v>85945.449407599925</v>
      </c>
      <c r="F66" s="31">
        <f t="shared" si="2"/>
        <v>-14845.449407599925</v>
      </c>
      <c r="G66" s="31"/>
      <c r="H66" s="31"/>
      <c r="I66" s="6">
        <f t="shared" si="5"/>
        <v>4479544.1199322715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3"/>
      <c r="B67" s="1"/>
      <c r="C67" s="5">
        <f t="shared" si="6"/>
        <v>46357</v>
      </c>
      <c r="D67" s="6">
        <f t="shared" si="3"/>
        <v>71100</v>
      </c>
      <c r="E67" s="6">
        <f t="shared" si="4"/>
        <v>86231.224308696226</v>
      </c>
      <c r="F67" s="31">
        <f t="shared" si="2"/>
        <v>-15131.224308696226</v>
      </c>
      <c r="G67" s="31"/>
      <c r="H67" s="31"/>
      <c r="I67" s="6">
        <f t="shared" si="5"/>
        <v>4494675.3442409681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3"/>
      <c r="B68" s="1"/>
      <c r="C68" s="5">
        <f t="shared" si="6"/>
        <v>46539</v>
      </c>
      <c r="D68" s="6">
        <f t="shared" si="3"/>
        <v>71100</v>
      </c>
      <c r="E68" s="6">
        <f t="shared" si="4"/>
        <v>86522.500376638636</v>
      </c>
      <c r="F68" s="31">
        <f t="shared" si="2"/>
        <v>-15422.500376638636</v>
      </c>
      <c r="G68" s="31"/>
      <c r="H68" s="31"/>
      <c r="I68" s="6">
        <f t="shared" si="5"/>
        <v>4510097.8446176071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3"/>
      <c r="B69" s="1"/>
      <c r="C69" s="5">
        <f t="shared" si="6"/>
        <v>46722</v>
      </c>
      <c r="D69" s="6">
        <f t="shared" si="3"/>
        <v>71100</v>
      </c>
      <c r="E69" s="6">
        <f t="shared" si="4"/>
        <v>86819.383508888932</v>
      </c>
      <c r="F69" s="31">
        <f t="shared" si="2"/>
        <v>-15719.383508888932</v>
      </c>
      <c r="G69" s="31"/>
      <c r="H69" s="31"/>
      <c r="I69" s="6">
        <f t="shared" si="5"/>
        <v>4525817.2281264961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3"/>
      <c r="B70" s="1"/>
      <c r="C70" s="5">
        <f t="shared" si="6"/>
        <v>46905</v>
      </c>
      <c r="D70" s="6">
        <f t="shared" si="3"/>
        <v>71100</v>
      </c>
      <c r="E70" s="6">
        <f t="shared" si="4"/>
        <v>87121.98164143505</v>
      </c>
      <c r="F70" s="31">
        <f t="shared" si="2"/>
        <v>-16021.98164143505</v>
      </c>
      <c r="G70" s="31"/>
      <c r="H70" s="31"/>
      <c r="I70" s="6">
        <f t="shared" si="5"/>
        <v>4541839.2097679311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3"/>
      <c r="B71" s="1"/>
      <c r="C71" s="5">
        <f t="shared" si="6"/>
        <v>47088</v>
      </c>
      <c r="D71" s="6">
        <f t="shared" si="3"/>
        <v>71100</v>
      </c>
      <c r="E71" s="6">
        <f t="shared" si="4"/>
        <v>87430.404788032669</v>
      </c>
      <c r="F71" s="31">
        <f t="shared" si="2"/>
        <v>-16330.404788032669</v>
      </c>
      <c r="G71" s="31"/>
      <c r="H71" s="31"/>
      <c r="I71" s="6">
        <f t="shared" si="5"/>
        <v>4558169.6145559642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3"/>
      <c r="B72" s="1"/>
      <c r="C72" s="5">
        <f t="shared" si="6"/>
        <v>47270</v>
      </c>
      <c r="D72" s="6">
        <f t="shared" si="3"/>
        <v>71100</v>
      </c>
      <c r="E72" s="6">
        <f t="shared" si="4"/>
        <v>87744.765080202313</v>
      </c>
      <c r="F72" s="31">
        <f t="shared" si="2"/>
        <v>-16644.765080202313</v>
      </c>
      <c r="G72" s="31"/>
      <c r="H72" s="31"/>
      <c r="I72" s="6">
        <f t="shared" si="5"/>
        <v>4574814.3796361666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3"/>
      <c r="B73" s="1"/>
      <c r="C73" s="5">
        <f t="shared" si="6"/>
        <v>47453</v>
      </c>
      <c r="D73" s="6">
        <f t="shared" si="3"/>
        <v>71100</v>
      </c>
      <c r="E73" s="6">
        <f t="shared" si="4"/>
        <v>88065.176807996206</v>
      </c>
      <c r="F73" s="31">
        <f t="shared" si="2"/>
        <v>-16965.176807996206</v>
      </c>
      <c r="G73" s="31"/>
      <c r="H73" s="31"/>
      <c r="I73" s="6">
        <f t="shared" si="5"/>
        <v>4591779.5564441625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3"/>
      <c r="B74" s="1"/>
      <c r="C74" s="5">
        <f t="shared" si="6"/>
        <v>47635</v>
      </c>
      <c r="D74" s="6">
        <f t="shared" si="3"/>
        <v>71100</v>
      </c>
      <c r="E74" s="6">
        <f t="shared" si="4"/>
        <v>88391.756461550132</v>
      </c>
      <c r="F74" s="31">
        <f t="shared" si="2"/>
        <v>-17291.756461550132</v>
      </c>
      <c r="G74" s="31"/>
      <c r="H74" s="31"/>
      <c r="I74" s="6">
        <f t="shared" si="5"/>
        <v>4609071.312905713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3"/>
      <c r="B75" s="1"/>
      <c r="C75" s="5">
        <f t="shared" si="6"/>
        <v>47818</v>
      </c>
      <c r="D75" s="6">
        <f t="shared" si="3"/>
        <v>71100</v>
      </c>
      <c r="E75" s="6">
        <f t="shared" si="4"/>
        <v>88724.622773434967</v>
      </c>
      <c r="F75" s="31">
        <f t="shared" si="2"/>
        <v>-17624.622773434967</v>
      </c>
      <c r="G75" s="31"/>
      <c r="H75" s="31"/>
      <c r="I75" s="6">
        <f t="shared" si="5"/>
        <v>4626695.935679148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3"/>
      <c r="B76" s="1"/>
      <c r="C76" s="5">
        <f t="shared" si="6"/>
        <v>48000</v>
      </c>
      <c r="D76" s="6">
        <f t="shared" si="3"/>
        <v>71100</v>
      </c>
      <c r="E76" s="6">
        <f t="shared" si="4"/>
        <v>89063.896761823591</v>
      </c>
      <c r="F76" s="31">
        <f t="shared" si="2"/>
        <v>-17963.896761823591</v>
      </c>
      <c r="G76" s="31"/>
      <c r="H76" s="31"/>
      <c r="I76" s="6">
        <f t="shared" si="5"/>
        <v>4644659.8324409714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3"/>
      <c r="B77" s="1"/>
      <c r="C77" s="5">
        <f t="shared" si="6"/>
        <v>48183</v>
      </c>
      <c r="D77" s="6">
        <f t="shared" si="3"/>
        <v>71100</v>
      </c>
      <c r="E77" s="6">
        <f t="shared" si="4"/>
        <v>89409.701774488698</v>
      </c>
      <c r="F77" s="31">
        <f t="shared" si="2"/>
        <v>-18309.701774488698</v>
      </c>
      <c r="G77" s="31"/>
      <c r="H77" s="31"/>
      <c r="I77" s="6">
        <f t="shared" si="5"/>
        <v>4662969.5342154605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3"/>
      <c r="B78" s="1"/>
      <c r="C78" s="5">
        <f t="shared" si="6"/>
        <v>48366</v>
      </c>
      <c r="D78" s="6">
        <f t="shared" si="3"/>
        <v>71100</v>
      </c>
      <c r="E78" s="6">
        <f t="shared" si="4"/>
        <v>89762.163533647617</v>
      </c>
      <c r="F78" s="31">
        <f t="shared" si="2"/>
        <v>-18662.163533647617</v>
      </c>
      <c r="G78" s="31"/>
      <c r="H78" s="31"/>
      <c r="I78" s="6">
        <f t="shared" si="5"/>
        <v>4681631.6977491081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3"/>
      <c r="B79" s="1"/>
      <c r="C79" s="5">
        <f t="shared" si="6"/>
        <v>48549</v>
      </c>
      <c r="D79" s="6">
        <f t="shared" si="3"/>
        <v>71100</v>
      </c>
      <c r="E79" s="6">
        <f t="shared" si="4"/>
        <v>90121.410181670333</v>
      </c>
      <c r="F79" s="31">
        <f t="shared" si="2"/>
        <v>-19021.410181670333</v>
      </c>
      <c r="G79" s="31"/>
      <c r="H79" s="31"/>
      <c r="I79" s="6">
        <f t="shared" si="5"/>
        <v>4700653.1079307785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3"/>
      <c r="B80" s="1"/>
      <c r="C80" s="5">
        <f t="shared" si="6"/>
        <v>48731</v>
      </c>
      <c r="D80" s="6">
        <f t="shared" si="3"/>
        <v>71100</v>
      </c>
      <c r="E80" s="6">
        <f t="shared" si="4"/>
        <v>90487.572327667483</v>
      </c>
      <c r="F80" s="31">
        <f t="shared" si="2"/>
        <v>-19387.572327667483</v>
      </c>
      <c r="G80" s="31"/>
      <c r="H80" s="31"/>
      <c r="I80" s="6">
        <f t="shared" si="5"/>
        <v>4720040.6802584464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3"/>
      <c r="B81" s="1"/>
      <c r="C81" s="5">
        <f t="shared" si="6"/>
        <v>48914</v>
      </c>
      <c r="D81" s="6">
        <f t="shared" si="3"/>
        <v>71100</v>
      </c>
      <c r="E81" s="6">
        <f t="shared" si="4"/>
        <v>90860.783094975093</v>
      </c>
      <c r="F81" s="31">
        <f t="shared" si="2"/>
        <v>-19959.319741553627</v>
      </c>
      <c r="G81" s="31"/>
      <c r="H81" s="31"/>
      <c r="I81" s="6">
        <f t="shared" si="5"/>
        <v>4740000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algorithmName="SHA-512" hashValue="Ft2ABkejjUPsibBvHbMe+YvMTXElGZCoEPxh0DWoNhKKyRmabGo94cUIKj9wQy0hnDZ3ZMuAKA+dAuwZMvy07g==" saltValue="nvD7435bBmsCx+AN+DJWOg==" spinCount="100000" sheet="1" objects="1" scenarios="1"/>
  <mergeCells count="25">
    <mergeCell ref="F79:H79"/>
    <mergeCell ref="F80:H80"/>
    <mergeCell ref="F81:H81"/>
    <mergeCell ref="F73:H73"/>
    <mergeCell ref="F74:H74"/>
    <mergeCell ref="F75:H75"/>
    <mergeCell ref="F76:H76"/>
    <mergeCell ref="F77:H77"/>
    <mergeCell ref="F78:H78"/>
    <mergeCell ref="A1:A2"/>
    <mergeCell ref="B1:H2"/>
    <mergeCell ref="F59:H59"/>
    <mergeCell ref="F60:H60"/>
    <mergeCell ref="F72:H72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4793-8A36-9140-BC98-44C19F94719C}">
  <dimension ref="A1:Z1038"/>
  <sheetViews>
    <sheetView showGridLines="0" zoomScale="110" zoomScaleNormal="110" workbookViewId="0">
      <selection sqref="A1:A2"/>
    </sheetView>
  </sheetViews>
  <sheetFormatPr baseColWidth="10" defaultColWidth="11.1640625" defaultRowHeight="15" customHeight="1" x14ac:dyDescent="0.2"/>
  <cols>
    <col min="1" max="1" width="6.6640625" style="2" customWidth="1"/>
    <col min="2" max="2" width="3" style="2" customWidth="1"/>
    <col min="3" max="3" width="34" style="2" customWidth="1"/>
    <col min="4" max="4" width="19.33203125" style="2" customWidth="1"/>
    <col min="5" max="5" width="17.6640625" style="2" bestFit="1" customWidth="1"/>
    <col min="6" max="6" width="12.1640625" style="2" customWidth="1"/>
    <col min="7" max="8" width="11.83203125" style="2" customWidth="1"/>
    <col min="9" max="9" width="17.1640625" style="2" customWidth="1"/>
    <col min="10" max="23" width="11.83203125" style="2" customWidth="1"/>
    <col min="24" max="26" width="12.6640625" style="2" customWidth="1"/>
    <col min="27" max="16384" width="11.1640625" style="2"/>
  </cols>
  <sheetData>
    <row r="1" spans="1:26" ht="15.75" customHeight="1" x14ac:dyDescent="0.2">
      <c r="A1" s="27"/>
      <c r="B1" s="28" t="s">
        <v>30</v>
      </c>
      <c r="C1" s="28"/>
      <c r="D1" s="28"/>
      <c r="E1" s="28"/>
      <c r="F1" s="28"/>
      <c r="G1" s="28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32"/>
      <c r="B2" s="28"/>
      <c r="C2" s="28"/>
      <c r="D2" s="28"/>
      <c r="E2" s="28"/>
      <c r="F2" s="28"/>
      <c r="G2" s="28"/>
      <c r="H2" s="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8" t="s">
        <v>27</v>
      </c>
      <c r="B3" s="9"/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7"/>
      <c r="B4" s="23" t="s">
        <v>26</v>
      </c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8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thickBot="1" x14ac:dyDescent="0.25">
      <c r="A6" s="8"/>
      <c r="B6" s="10" t="s">
        <v>14</v>
      </c>
      <c r="C6" s="11"/>
      <c r="D6" s="11"/>
      <c r="E6" s="11"/>
      <c r="F6" s="11"/>
      <c r="G6" s="11"/>
      <c r="H6" s="11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8"/>
      <c r="B7" s="1"/>
      <c r="C7" s="1" t="s">
        <v>9</v>
      </c>
      <c r="D7" s="19">
        <v>45176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8"/>
      <c r="B8" s="1"/>
      <c r="C8" s="1" t="s">
        <v>10</v>
      </c>
      <c r="D8" s="19">
        <v>45261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8"/>
      <c r="B9" s="1"/>
      <c r="C9" s="1" t="s">
        <v>11</v>
      </c>
      <c r="D9" s="19">
        <v>48914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8"/>
      <c r="C10" s="1" t="s">
        <v>12</v>
      </c>
      <c r="D10" s="20">
        <v>4740000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8"/>
      <c r="C11" s="1" t="s">
        <v>13</v>
      </c>
      <c r="D11" s="21">
        <v>0.03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8"/>
      <c r="B12" s="1"/>
      <c r="C12" s="1" t="s">
        <v>2</v>
      </c>
      <c r="D12" s="21">
        <v>3.85E-2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8"/>
      <c r="B13" s="1"/>
      <c r="C13" s="1" t="s">
        <v>28</v>
      </c>
      <c r="D13" s="22">
        <v>92.863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">
      <c r="A14" s="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thickBot="1" x14ac:dyDescent="0.25">
      <c r="A15" s="8"/>
      <c r="B15" s="10" t="s">
        <v>15</v>
      </c>
      <c r="C15" s="11"/>
      <c r="D15" s="11"/>
      <c r="E15" s="11"/>
      <c r="F15" s="11"/>
      <c r="G15" s="11"/>
      <c r="H15" s="1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8"/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8"/>
      <c r="B17" s="1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8"/>
      <c r="B18" s="14"/>
      <c r="C18" s="15" t="s">
        <v>4</v>
      </c>
      <c r="D18" s="15" t="s">
        <v>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8"/>
      <c r="B19" s="14"/>
      <c r="C19" s="5">
        <f>D7</f>
        <v>45176</v>
      </c>
      <c r="D19" s="25" t="s">
        <v>16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8"/>
      <c r="B20" s="14"/>
      <c r="C20" s="5">
        <f>D8</f>
        <v>45261</v>
      </c>
      <c r="D20" s="25">
        <f>IF(C20&lt;&gt;"-",DAYS360(C19,C20)/360*$D$10*$D$11,"-")</f>
        <v>33180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8"/>
      <c r="B21" s="14"/>
      <c r="C21" s="5">
        <f>IF(C20&lt;$D$9,EDATE(C20,6),"-")</f>
        <v>45444</v>
      </c>
      <c r="D21" s="25">
        <f t="shared" ref="D21:D80" si="0">IF(C21&lt;&gt;"-",DAYS360(C20,C21)/360*$D$10*$D$11,"-")</f>
        <v>71100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8"/>
      <c r="B22" s="14"/>
      <c r="C22" s="5">
        <f t="shared" ref="C22:C80" si="1">IF(C21&lt;$D$9,EDATE(C21,6),"-")</f>
        <v>45627</v>
      </c>
      <c r="D22" s="25">
        <f t="shared" si="0"/>
        <v>71100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8"/>
      <c r="B23" s="14"/>
      <c r="C23" s="5">
        <f t="shared" si="1"/>
        <v>45809</v>
      </c>
      <c r="D23" s="25">
        <f t="shared" si="0"/>
        <v>71100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8"/>
      <c r="B24" s="14"/>
      <c r="C24" s="5">
        <f t="shared" si="1"/>
        <v>45992</v>
      </c>
      <c r="D24" s="25">
        <f t="shared" si="0"/>
        <v>71100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8"/>
      <c r="B25" s="14"/>
      <c r="C25" s="5">
        <f t="shared" si="1"/>
        <v>46174</v>
      </c>
      <c r="D25" s="25">
        <f t="shared" si="0"/>
        <v>71100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8"/>
      <c r="B26" s="14"/>
      <c r="C26" s="5">
        <f t="shared" si="1"/>
        <v>46357</v>
      </c>
      <c r="D26" s="25">
        <f t="shared" si="0"/>
        <v>71100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8"/>
      <c r="B27" s="14"/>
      <c r="C27" s="5">
        <f t="shared" si="1"/>
        <v>46539</v>
      </c>
      <c r="D27" s="25">
        <f t="shared" si="0"/>
        <v>71100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8"/>
      <c r="B28" s="14"/>
      <c r="C28" s="5">
        <f t="shared" si="1"/>
        <v>46722</v>
      </c>
      <c r="D28" s="25">
        <f t="shared" si="0"/>
        <v>71100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8"/>
      <c r="B29" s="14"/>
      <c r="C29" s="5">
        <f t="shared" si="1"/>
        <v>46905</v>
      </c>
      <c r="D29" s="25">
        <f t="shared" si="0"/>
        <v>71100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8"/>
      <c r="B30" s="14"/>
      <c r="C30" s="5">
        <f t="shared" si="1"/>
        <v>47088</v>
      </c>
      <c r="D30" s="25">
        <f t="shared" si="0"/>
        <v>71100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8"/>
      <c r="B31" s="14"/>
      <c r="C31" s="5">
        <f t="shared" si="1"/>
        <v>47270</v>
      </c>
      <c r="D31" s="25">
        <f t="shared" si="0"/>
        <v>71100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8"/>
      <c r="B32" s="14"/>
      <c r="C32" s="5">
        <f t="shared" si="1"/>
        <v>47453</v>
      </c>
      <c r="D32" s="25">
        <f t="shared" si="0"/>
        <v>71100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8"/>
      <c r="B33" s="14"/>
      <c r="C33" s="24">
        <f t="shared" si="1"/>
        <v>47635</v>
      </c>
      <c r="D33" s="25">
        <f t="shared" si="0"/>
        <v>71100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8"/>
      <c r="B34" s="14"/>
      <c r="C34" s="24">
        <f t="shared" si="1"/>
        <v>47818</v>
      </c>
      <c r="D34" s="25">
        <f t="shared" si="0"/>
        <v>71100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8"/>
      <c r="B35" s="14"/>
      <c r="C35" s="24">
        <f t="shared" si="1"/>
        <v>48000</v>
      </c>
      <c r="D35" s="25">
        <f t="shared" si="0"/>
        <v>71100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8"/>
      <c r="B36" s="14"/>
      <c r="C36" s="24">
        <f t="shared" si="1"/>
        <v>48183</v>
      </c>
      <c r="D36" s="25">
        <f t="shared" si="0"/>
        <v>71100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8"/>
      <c r="B37" s="14"/>
      <c r="C37" s="24">
        <f t="shared" si="1"/>
        <v>48366</v>
      </c>
      <c r="D37" s="25">
        <f t="shared" si="0"/>
        <v>71100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8"/>
      <c r="B38" s="14"/>
      <c r="C38" s="24">
        <f t="shared" si="1"/>
        <v>48549</v>
      </c>
      <c r="D38" s="25">
        <f t="shared" si="0"/>
        <v>71100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8"/>
      <c r="B39" s="14"/>
      <c r="C39" s="24">
        <f t="shared" si="1"/>
        <v>48731</v>
      </c>
      <c r="D39" s="25">
        <f t="shared" si="0"/>
        <v>71100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8"/>
      <c r="B40" s="14"/>
      <c r="C40" s="24">
        <f t="shared" si="1"/>
        <v>48914</v>
      </c>
      <c r="D40" s="25">
        <f t="shared" si="0"/>
        <v>71100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8"/>
      <c r="B41" s="14"/>
      <c r="C41" s="24" t="str">
        <f t="shared" si="1"/>
        <v>-</v>
      </c>
      <c r="D41" s="25" t="str">
        <f t="shared" si="0"/>
        <v>-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8"/>
      <c r="B42" s="14"/>
      <c r="C42" s="24" t="str">
        <f t="shared" si="1"/>
        <v>-</v>
      </c>
      <c r="D42" s="25" t="str">
        <f t="shared" si="0"/>
        <v>-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8"/>
      <c r="B43" s="14"/>
      <c r="C43" s="24" t="str">
        <f t="shared" si="1"/>
        <v>-</v>
      </c>
      <c r="D43" s="25" t="str">
        <f t="shared" si="0"/>
        <v>-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8"/>
      <c r="B44" s="14"/>
      <c r="C44" s="24" t="str">
        <f t="shared" si="1"/>
        <v>-</v>
      </c>
      <c r="D44" s="25" t="str">
        <f t="shared" si="0"/>
        <v>-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8"/>
      <c r="B45" s="14"/>
      <c r="C45" s="24" t="str">
        <f t="shared" si="1"/>
        <v>-</v>
      </c>
      <c r="D45" s="25" t="str">
        <f t="shared" si="0"/>
        <v>-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8"/>
      <c r="B46" s="14"/>
      <c r="C46" s="24" t="str">
        <f t="shared" si="1"/>
        <v>-</v>
      </c>
      <c r="D46" s="25" t="str">
        <f t="shared" si="0"/>
        <v>-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8"/>
      <c r="B47" s="14"/>
      <c r="C47" s="24" t="str">
        <f t="shared" si="1"/>
        <v>-</v>
      </c>
      <c r="D47" s="25" t="str">
        <f t="shared" si="0"/>
        <v>-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8"/>
      <c r="B48" s="14"/>
      <c r="C48" s="24" t="str">
        <f t="shared" si="1"/>
        <v>-</v>
      </c>
      <c r="D48" s="25" t="str">
        <f t="shared" si="0"/>
        <v>-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8"/>
      <c r="B49" s="14"/>
      <c r="C49" s="24" t="str">
        <f t="shared" si="1"/>
        <v>-</v>
      </c>
      <c r="D49" s="25" t="str">
        <f t="shared" si="0"/>
        <v>-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8"/>
      <c r="B50" s="14"/>
      <c r="C50" s="24" t="str">
        <f t="shared" si="1"/>
        <v>-</v>
      </c>
      <c r="D50" s="25" t="str">
        <f t="shared" si="0"/>
        <v>-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8"/>
      <c r="B51" s="14"/>
      <c r="C51" s="24" t="str">
        <f t="shared" si="1"/>
        <v>-</v>
      </c>
      <c r="D51" s="25" t="str">
        <f t="shared" si="0"/>
        <v>-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8"/>
      <c r="B52" s="14"/>
      <c r="C52" s="24" t="str">
        <f t="shared" si="1"/>
        <v>-</v>
      </c>
      <c r="D52" s="25" t="str">
        <f t="shared" si="0"/>
        <v>-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8"/>
      <c r="B53" s="14"/>
      <c r="C53" s="24" t="str">
        <f t="shared" si="1"/>
        <v>-</v>
      </c>
      <c r="D53" s="25" t="str">
        <f t="shared" si="0"/>
        <v>-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8"/>
      <c r="B54" s="14"/>
      <c r="C54" s="24" t="str">
        <f t="shared" si="1"/>
        <v>-</v>
      </c>
      <c r="D54" s="25" t="str">
        <f t="shared" si="0"/>
        <v>-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8"/>
      <c r="B55" s="14"/>
      <c r="C55" s="24" t="str">
        <f t="shared" si="1"/>
        <v>-</v>
      </c>
      <c r="D55" s="25" t="str">
        <f t="shared" si="0"/>
        <v>-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8"/>
      <c r="B56" s="14"/>
      <c r="C56" s="24" t="str">
        <f t="shared" si="1"/>
        <v>-</v>
      </c>
      <c r="D56" s="25" t="str">
        <f t="shared" si="0"/>
        <v>-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8"/>
      <c r="B57" s="14"/>
      <c r="C57" s="24" t="str">
        <f t="shared" si="1"/>
        <v>-</v>
      </c>
      <c r="D57" s="25" t="str">
        <f t="shared" si="0"/>
        <v>-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8"/>
      <c r="B58" s="14"/>
      <c r="C58" s="24" t="str">
        <f t="shared" si="1"/>
        <v>-</v>
      </c>
      <c r="D58" s="25" t="str">
        <f t="shared" si="0"/>
        <v>-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8"/>
      <c r="B59" s="14"/>
      <c r="C59" s="24" t="str">
        <f t="shared" si="1"/>
        <v>-</v>
      </c>
      <c r="D59" s="25" t="str">
        <f t="shared" si="0"/>
        <v>-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8"/>
      <c r="B60" s="14"/>
      <c r="C60" s="24" t="str">
        <f t="shared" si="1"/>
        <v>-</v>
      </c>
      <c r="D60" s="25" t="str">
        <f t="shared" si="0"/>
        <v>-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8"/>
      <c r="B61" s="14"/>
      <c r="C61" s="24" t="str">
        <f t="shared" si="1"/>
        <v>-</v>
      </c>
      <c r="D61" s="25" t="str">
        <f t="shared" si="0"/>
        <v>-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8"/>
      <c r="B62" s="14"/>
      <c r="C62" s="24" t="str">
        <f t="shared" si="1"/>
        <v>-</v>
      </c>
      <c r="D62" s="25" t="str">
        <f t="shared" si="0"/>
        <v>-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8"/>
      <c r="B63" s="14"/>
      <c r="C63" s="24" t="str">
        <f t="shared" si="1"/>
        <v>-</v>
      </c>
      <c r="D63" s="25" t="str">
        <f t="shared" si="0"/>
        <v>-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8"/>
      <c r="B64" s="14"/>
      <c r="C64" s="24" t="str">
        <f t="shared" si="1"/>
        <v>-</v>
      </c>
      <c r="D64" s="25" t="str">
        <f t="shared" si="0"/>
        <v>-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8"/>
      <c r="B65" s="14"/>
      <c r="C65" s="24" t="str">
        <f t="shared" si="1"/>
        <v>-</v>
      </c>
      <c r="D65" s="25" t="str">
        <f t="shared" si="0"/>
        <v>-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8"/>
      <c r="B66" s="14"/>
      <c r="C66" s="24" t="str">
        <f t="shared" si="1"/>
        <v>-</v>
      </c>
      <c r="D66" s="25" t="str">
        <f t="shared" si="0"/>
        <v>-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8"/>
      <c r="B67" s="14"/>
      <c r="C67" s="24" t="str">
        <f t="shared" si="1"/>
        <v>-</v>
      </c>
      <c r="D67" s="25" t="str">
        <f t="shared" si="0"/>
        <v>-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8"/>
      <c r="B68" s="14"/>
      <c r="C68" s="24" t="str">
        <f t="shared" si="1"/>
        <v>-</v>
      </c>
      <c r="D68" s="25" t="str">
        <f t="shared" si="0"/>
        <v>-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8"/>
      <c r="B69" s="14"/>
      <c r="C69" s="24" t="str">
        <f t="shared" si="1"/>
        <v>-</v>
      </c>
      <c r="D69" s="25" t="str">
        <f t="shared" si="0"/>
        <v>-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8"/>
      <c r="B70" s="14"/>
      <c r="C70" s="24" t="str">
        <f t="shared" si="1"/>
        <v>-</v>
      </c>
      <c r="D70" s="25" t="str">
        <f t="shared" si="0"/>
        <v>-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8"/>
      <c r="B71" s="14"/>
      <c r="C71" s="24" t="str">
        <f t="shared" si="1"/>
        <v>-</v>
      </c>
      <c r="D71" s="25" t="str">
        <f t="shared" si="0"/>
        <v>-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8"/>
      <c r="B72" s="14"/>
      <c r="C72" s="24" t="str">
        <f t="shared" si="1"/>
        <v>-</v>
      </c>
      <c r="D72" s="25" t="str">
        <f t="shared" si="0"/>
        <v>-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8"/>
      <c r="B73" s="14"/>
      <c r="C73" s="24" t="str">
        <f t="shared" si="1"/>
        <v>-</v>
      </c>
      <c r="D73" s="25" t="str">
        <f t="shared" si="0"/>
        <v>-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8"/>
      <c r="B74" s="14"/>
      <c r="C74" s="24" t="str">
        <f t="shared" si="1"/>
        <v>-</v>
      </c>
      <c r="D74" s="25" t="str">
        <f t="shared" si="0"/>
        <v>-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7"/>
      <c r="B75" s="1"/>
      <c r="C75" s="24" t="str">
        <f t="shared" si="1"/>
        <v>-</v>
      </c>
      <c r="D75" s="25" t="str">
        <f t="shared" si="0"/>
        <v>-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7"/>
      <c r="B76" s="1"/>
      <c r="C76" s="24" t="str">
        <f t="shared" si="1"/>
        <v>-</v>
      </c>
      <c r="D76" s="25" t="str">
        <f t="shared" si="0"/>
        <v>-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3"/>
      <c r="B77" s="1"/>
      <c r="C77" s="24" t="str">
        <f t="shared" si="1"/>
        <v>-</v>
      </c>
      <c r="D77" s="25" t="str">
        <f t="shared" si="0"/>
        <v>-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3"/>
      <c r="B78" s="1"/>
      <c r="C78" s="24" t="str">
        <f t="shared" si="1"/>
        <v>-</v>
      </c>
      <c r="D78" s="25" t="str">
        <f t="shared" si="0"/>
        <v>-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3"/>
      <c r="B79" s="1"/>
      <c r="C79" s="24" t="str">
        <f t="shared" si="1"/>
        <v>-</v>
      </c>
      <c r="D79" s="25" t="str">
        <f t="shared" si="0"/>
        <v>-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3"/>
      <c r="B80" s="1"/>
      <c r="C80" s="24" t="str">
        <f t="shared" si="1"/>
        <v>-</v>
      </c>
      <c r="D80" s="25" t="str">
        <f t="shared" si="0"/>
        <v>-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thickBot="1" x14ac:dyDescent="0.25">
      <c r="A82" s="3"/>
      <c r="B82" s="10" t="s">
        <v>17</v>
      </c>
      <c r="C82" s="11"/>
      <c r="D82" s="11"/>
      <c r="E82" s="11"/>
      <c r="F82" s="11"/>
      <c r="G82" s="11"/>
      <c r="H82" s="11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3"/>
      <c r="B83" s="1" t="s">
        <v>31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3"/>
      <c r="B85" s="1"/>
      <c r="C85" s="1" t="s">
        <v>12</v>
      </c>
      <c r="D85" s="6">
        <f>D10</f>
        <v>4740000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3"/>
      <c r="B86" s="1"/>
      <c r="C86" s="1" t="s">
        <v>18</v>
      </c>
      <c r="D86" s="13">
        <f>D13</f>
        <v>92.863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3"/>
      <c r="B87" s="1"/>
      <c r="C87" s="1" t="s">
        <v>19</v>
      </c>
      <c r="D87" s="18">
        <f>D86/100*D85-D85</f>
        <v>-338293.79999999981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3"/>
      <c r="B88" s="1"/>
      <c r="C88" s="1" t="s">
        <v>5</v>
      </c>
      <c r="D88" s="6">
        <f>D85+D87</f>
        <v>4401706.2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thickBot="1" x14ac:dyDescent="0.25">
      <c r="A90" s="3"/>
      <c r="B90" s="10" t="s">
        <v>20</v>
      </c>
      <c r="C90" s="11"/>
      <c r="D90" s="11"/>
      <c r="E90" s="11"/>
      <c r="F90" s="11"/>
      <c r="G90" s="11"/>
      <c r="H90" s="11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3"/>
      <c r="B91" s="1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3"/>
      <c r="B92" s="1"/>
      <c r="C92" s="1" t="s">
        <v>22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3"/>
      <c r="B93" s="1" t="s">
        <v>23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3"/>
      <c r="B94" s="1"/>
      <c r="C94" s="1" t="s">
        <v>25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3"/>
      <c r="B96" s="1"/>
      <c r="C96" s="15" t="s">
        <v>4</v>
      </c>
      <c r="D96" s="15" t="s">
        <v>6</v>
      </c>
      <c r="E96" s="15" t="s">
        <v>0</v>
      </c>
      <c r="F96" s="29" t="s">
        <v>24</v>
      </c>
      <c r="G96" s="29"/>
      <c r="H96" s="29"/>
      <c r="I96" s="15" t="s">
        <v>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3"/>
      <c r="B97" s="1"/>
      <c r="C97" s="24">
        <f>D7</f>
        <v>45176</v>
      </c>
      <c r="D97" s="25" t="s">
        <v>16</v>
      </c>
      <c r="E97" s="25" t="s">
        <v>16</v>
      </c>
      <c r="F97" s="33" t="s">
        <v>16</v>
      </c>
      <c r="G97" s="33"/>
      <c r="H97" s="33"/>
      <c r="I97" s="26">
        <f>D88</f>
        <v>4401706.2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3"/>
      <c r="B98" s="1"/>
      <c r="C98" s="24">
        <f>D8</f>
        <v>45261</v>
      </c>
      <c r="D98" s="26">
        <f>IF(C98&lt;&gt;"--",D20,"--")</f>
        <v>33180</v>
      </c>
      <c r="E98" s="26">
        <f>IF(C98&lt;&gt;"--",DAYS360(C97,C98)/360*(I97*$D$12),"--")</f>
        <v>39541.994030000002</v>
      </c>
      <c r="F98" s="31">
        <f>IF(C98&lt;&gt;"--",IF(C98=$D$9,I97-$D$85,D98-E98),"--")</f>
        <v>-6361.9940300000017</v>
      </c>
      <c r="G98" s="31"/>
      <c r="H98" s="31"/>
      <c r="I98" s="26">
        <f>IF(C98&lt;&gt;"--",I97-F98,"--")</f>
        <v>4408068.1940299999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3"/>
      <c r="B99" s="1"/>
      <c r="C99" s="24">
        <f>IF(C98&lt;$D$9,EDATE(C98,6),"--")</f>
        <v>45444</v>
      </c>
      <c r="D99" s="26">
        <f t="shared" ref="D99:D158" si="2">IF(C99&lt;&gt;"--",D21,"--")</f>
        <v>71100</v>
      </c>
      <c r="E99" s="26">
        <f t="shared" ref="E99:E158" si="3">IF(C99&lt;&gt;"--",DAYS360(C98,C99)/360*(I98*$D$12),"--")</f>
        <v>84855.312735077503</v>
      </c>
      <c r="F99" s="31">
        <f t="shared" ref="F99:F158" si="4">IF(C99&lt;&gt;"--",IF(C99=$D$9,I98-$D$85,D99-E99),"--")</f>
        <v>-13755.312735077503</v>
      </c>
      <c r="G99" s="31"/>
      <c r="H99" s="31"/>
      <c r="I99" s="26">
        <f t="shared" ref="I99:I158" si="5">IF(C99&lt;&gt;"--",I98-F99,"--")</f>
        <v>4421823.5067650778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3"/>
      <c r="B100" s="1"/>
      <c r="C100" s="24">
        <f t="shared" ref="C100:C158" si="6">IF(C99&lt;$D$9,EDATE(C99,6),"--")</f>
        <v>45627</v>
      </c>
      <c r="D100" s="26">
        <f t="shared" si="2"/>
        <v>71100</v>
      </c>
      <c r="E100" s="26">
        <f t="shared" si="3"/>
        <v>85120.10250522774</v>
      </c>
      <c r="F100" s="31">
        <f t="shared" si="4"/>
        <v>-14020.10250522774</v>
      </c>
      <c r="G100" s="31"/>
      <c r="H100" s="31"/>
      <c r="I100" s="26">
        <f t="shared" si="5"/>
        <v>4435843.6092703054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3"/>
      <c r="B101" s="1"/>
      <c r="C101" s="24">
        <f t="shared" si="6"/>
        <v>45809</v>
      </c>
      <c r="D101" s="26">
        <f t="shared" si="2"/>
        <v>71100</v>
      </c>
      <c r="E101" s="26">
        <f t="shared" si="3"/>
        <v>85389.989478453383</v>
      </c>
      <c r="F101" s="31">
        <f t="shared" si="4"/>
        <v>-14289.989478453383</v>
      </c>
      <c r="G101" s="31"/>
      <c r="H101" s="31"/>
      <c r="I101" s="26">
        <f t="shared" si="5"/>
        <v>4450133.5987487584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3"/>
      <c r="B102" s="1"/>
      <c r="C102" s="24">
        <f t="shared" si="6"/>
        <v>45992</v>
      </c>
      <c r="D102" s="26">
        <f t="shared" si="2"/>
        <v>71100</v>
      </c>
      <c r="E102" s="26">
        <f t="shared" si="3"/>
        <v>85665.071775913602</v>
      </c>
      <c r="F102" s="31">
        <f t="shared" si="4"/>
        <v>-14565.071775913602</v>
      </c>
      <c r="G102" s="31"/>
      <c r="H102" s="31"/>
      <c r="I102" s="26">
        <f t="shared" si="5"/>
        <v>4464698.6705246717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3"/>
      <c r="B103" s="1"/>
      <c r="C103" s="24">
        <f t="shared" si="6"/>
        <v>46174</v>
      </c>
      <c r="D103" s="26">
        <f t="shared" si="2"/>
        <v>71100</v>
      </c>
      <c r="E103" s="26">
        <f t="shared" si="3"/>
        <v>85945.449407599925</v>
      </c>
      <c r="F103" s="31">
        <f t="shared" si="4"/>
        <v>-14845.449407599925</v>
      </c>
      <c r="G103" s="31"/>
      <c r="H103" s="31"/>
      <c r="I103" s="26">
        <f t="shared" si="5"/>
        <v>4479544.1199322715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3"/>
      <c r="B104" s="1"/>
      <c r="C104" s="24">
        <f t="shared" si="6"/>
        <v>46357</v>
      </c>
      <c r="D104" s="26">
        <f t="shared" si="2"/>
        <v>71100</v>
      </c>
      <c r="E104" s="26">
        <f t="shared" si="3"/>
        <v>86231.224308696226</v>
      </c>
      <c r="F104" s="31">
        <f t="shared" si="4"/>
        <v>-15131.224308696226</v>
      </c>
      <c r="G104" s="31"/>
      <c r="H104" s="31"/>
      <c r="I104" s="26">
        <f t="shared" si="5"/>
        <v>4494675.3442409681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3"/>
      <c r="B105" s="1"/>
      <c r="C105" s="24">
        <f t="shared" si="6"/>
        <v>46539</v>
      </c>
      <c r="D105" s="26">
        <f t="shared" si="2"/>
        <v>71100</v>
      </c>
      <c r="E105" s="26">
        <f t="shared" si="3"/>
        <v>86522.500376638636</v>
      </c>
      <c r="F105" s="31">
        <f t="shared" si="4"/>
        <v>-15422.500376638636</v>
      </c>
      <c r="G105" s="31"/>
      <c r="H105" s="31"/>
      <c r="I105" s="26">
        <f t="shared" si="5"/>
        <v>4510097.8446176071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3"/>
      <c r="B106" s="1"/>
      <c r="C106" s="24">
        <f t="shared" si="6"/>
        <v>46722</v>
      </c>
      <c r="D106" s="26">
        <f t="shared" si="2"/>
        <v>71100</v>
      </c>
      <c r="E106" s="26">
        <f t="shared" si="3"/>
        <v>86819.383508888932</v>
      </c>
      <c r="F106" s="31">
        <f t="shared" si="4"/>
        <v>-15719.383508888932</v>
      </c>
      <c r="G106" s="31"/>
      <c r="H106" s="31"/>
      <c r="I106" s="26">
        <f t="shared" si="5"/>
        <v>4525817.2281264961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3"/>
      <c r="B107" s="1"/>
      <c r="C107" s="24">
        <f t="shared" si="6"/>
        <v>46905</v>
      </c>
      <c r="D107" s="26">
        <f t="shared" si="2"/>
        <v>71100</v>
      </c>
      <c r="E107" s="26">
        <f t="shared" si="3"/>
        <v>87121.98164143505</v>
      </c>
      <c r="F107" s="31">
        <f t="shared" si="4"/>
        <v>-16021.98164143505</v>
      </c>
      <c r="G107" s="31"/>
      <c r="H107" s="31"/>
      <c r="I107" s="26">
        <f t="shared" si="5"/>
        <v>4541839.2097679311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3"/>
      <c r="B108" s="1"/>
      <c r="C108" s="24">
        <f t="shared" si="6"/>
        <v>47088</v>
      </c>
      <c r="D108" s="26">
        <f t="shared" si="2"/>
        <v>71100</v>
      </c>
      <c r="E108" s="26">
        <f t="shared" si="3"/>
        <v>87430.404788032669</v>
      </c>
      <c r="F108" s="31">
        <f t="shared" si="4"/>
        <v>-16330.404788032669</v>
      </c>
      <c r="G108" s="31"/>
      <c r="H108" s="31"/>
      <c r="I108" s="26">
        <f t="shared" si="5"/>
        <v>4558169.6145559642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3"/>
      <c r="B109" s="1"/>
      <c r="C109" s="24">
        <f t="shared" si="6"/>
        <v>47270</v>
      </c>
      <c r="D109" s="26">
        <f t="shared" si="2"/>
        <v>71100</v>
      </c>
      <c r="E109" s="26">
        <f t="shared" si="3"/>
        <v>87744.765080202313</v>
      </c>
      <c r="F109" s="31">
        <f t="shared" si="4"/>
        <v>-16644.765080202313</v>
      </c>
      <c r="G109" s="31"/>
      <c r="H109" s="31"/>
      <c r="I109" s="26">
        <f t="shared" si="5"/>
        <v>4574814.3796361666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3"/>
      <c r="B110" s="1"/>
      <c r="C110" s="24">
        <f t="shared" si="6"/>
        <v>47453</v>
      </c>
      <c r="D110" s="26">
        <f t="shared" si="2"/>
        <v>71100</v>
      </c>
      <c r="E110" s="26">
        <f t="shared" si="3"/>
        <v>88065.176807996206</v>
      </c>
      <c r="F110" s="31">
        <f t="shared" si="4"/>
        <v>-16965.176807996206</v>
      </c>
      <c r="G110" s="31"/>
      <c r="H110" s="31"/>
      <c r="I110" s="26">
        <f t="shared" si="5"/>
        <v>4591779.5564441625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3"/>
      <c r="B111" s="1"/>
      <c r="C111" s="24">
        <f t="shared" si="6"/>
        <v>47635</v>
      </c>
      <c r="D111" s="26">
        <f t="shared" si="2"/>
        <v>71100</v>
      </c>
      <c r="E111" s="26">
        <f t="shared" si="3"/>
        <v>88391.756461550132</v>
      </c>
      <c r="F111" s="31">
        <f t="shared" si="4"/>
        <v>-17291.756461550132</v>
      </c>
      <c r="G111" s="31"/>
      <c r="H111" s="31"/>
      <c r="I111" s="26">
        <f t="shared" si="5"/>
        <v>4609071.312905713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3"/>
      <c r="B112" s="1"/>
      <c r="C112" s="24">
        <f t="shared" si="6"/>
        <v>47818</v>
      </c>
      <c r="D112" s="26">
        <f t="shared" si="2"/>
        <v>71100</v>
      </c>
      <c r="E112" s="26">
        <f t="shared" si="3"/>
        <v>88724.622773434967</v>
      </c>
      <c r="F112" s="31">
        <f t="shared" si="4"/>
        <v>-17624.622773434967</v>
      </c>
      <c r="G112" s="31"/>
      <c r="H112" s="31"/>
      <c r="I112" s="26">
        <f t="shared" si="5"/>
        <v>4626695.935679148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3"/>
      <c r="B113" s="1"/>
      <c r="C113" s="24">
        <f t="shared" si="6"/>
        <v>48000</v>
      </c>
      <c r="D113" s="26">
        <f t="shared" si="2"/>
        <v>71100</v>
      </c>
      <c r="E113" s="26">
        <f t="shared" si="3"/>
        <v>89063.896761823591</v>
      </c>
      <c r="F113" s="31">
        <f t="shared" si="4"/>
        <v>-17963.896761823591</v>
      </c>
      <c r="G113" s="31"/>
      <c r="H113" s="31"/>
      <c r="I113" s="26">
        <f t="shared" si="5"/>
        <v>4644659.8324409714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3"/>
      <c r="B114" s="1"/>
      <c r="C114" s="24">
        <f t="shared" si="6"/>
        <v>48183</v>
      </c>
      <c r="D114" s="26">
        <f t="shared" si="2"/>
        <v>71100</v>
      </c>
      <c r="E114" s="26">
        <f t="shared" si="3"/>
        <v>89409.701774488698</v>
      </c>
      <c r="F114" s="31">
        <f t="shared" si="4"/>
        <v>-18309.701774488698</v>
      </c>
      <c r="G114" s="31"/>
      <c r="H114" s="31"/>
      <c r="I114" s="26">
        <f t="shared" si="5"/>
        <v>4662969.5342154605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3"/>
      <c r="B115" s="1"/>
      <c r="C115" s="24">
        <f t="shared" si="6"/>
        <v>48366</v>
      </c>
      <c r="D115" s="26">
        <f t="shared" si="2"/>
        <v>71100</v>
      </c>
      <c r="E115" s="26">
        <f t="shared" si="3"/>
        <v>89762.163533647617</v>
      </c>
      <c r="F115" s="31">
        <f t="shared" si="4"/>
        <v>-18662.163533647617</v>
      </c>
      <c r="G115" s="31"/>
      <c r="H115" s="31"/>
      <c r="I115" s="26">
        <f t="shared" si="5"/>
        <v>4681631.6977491081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3"/>
      <c r="B116" s="1"/>
      <c r="C116" s="24">
        <f t="shared" si="6"/>
        <v>48549</v>
      </c>
      <c r="D116" s="26">
        <f t="shared" si="2"/>
        <v>71100</v>
      </c>
      <c r="E116" s="26">
        <f t="shared" si="3"/>
        <v>90121.410181670333</v>
      </c>
      <c r="F116" s="31">
        <f t="shared" si="4"/>
        <v>-19021.410181670333</v>
      </c>
      <c r="G116" s="31"/>
      <c r="H116" s="31"/>
      <c r="I116" s="26">
        <f t="shared" si="5"/>
        <v>4700653.1079307785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3"/>
      <c r="B117" s="1"/>
      <c r="C117" s="24">
        <f t="shared" si="6"/>
        <v>48731</v>
      </c>
      <c r="D117" s="26">
        <f t="shared" si="2"/>
        <v>71100</v>
      </c>
      <c r="E117" s="26">
        <f t="shared" si="3"/>
        <v>90487.572327667483</v>
      </c>
      <c r="F117" s="31">
        <f t="shared" si="4"/>
        <v>-19387.572327667483</v>
      </c>
      <c r="G117" s="31"/>
      <c r="H117" s="31"/>
      <c r="I117" s="26">
        <f t="shared" si="5"/>
        <v>4720040.6802584464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3"/>
      <c r="B118" s="1"/>
      <c r="C118" s="24">
        <f t="shared" si="6"/>
        <v>48914</v>
      </c>
      <c r="D118" s="26">
        <f t="shared" si="2"/>
        <v>71100</v>
      </c>
      <c r="E118" s="26">
        <f t="shared" si="3"/>
        <v>90860.783094975093</v>
      </c>
      <c r="F118" s="31">
        <f t="shared" si="4"/>
        <v>-19959.319741553627</v>
      </c>
      <c r="G118" s="31"/>
      <c r="H118" s="31"/>
      <c r="I118" s="26">
        <f t="shared" si="5"/>
        <v>4740000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3"/>
      <c r="B119" s="1"/>
      <c r="C119" s="24" t="str">
        <f t="shared" si="6"/>
        <v>--</v>
      </c>
      <c r="D119" s="26" t="str">
        <f t="shared" si="2"/>
        <v>--</v>
      </c>
      <c r="E119" s="26" t="str">
        <f t="shared" si="3"/>
        <v>--</v>
      </c>
      <c r="F119" s="31" t="str">
        <f t="shared" si="4"/>
        <v>--</v>
      </c>
      <c r="G119" s="31"/>
      <c r="H119" s="31"/>
      <c r="I119" s="26" t="str">
        <f t="shared" si="5"/>
        <v>--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3"/>
      <c r="B120" s="1"/>
      <c r="C120" s="24" t="str">
        <f t="shared" si="6"/>
        <v>--</v>
      </c>
      <c r="D120" s="26" t="str">
        <f t="shared" si="2"/>
        <v>--</v>
      </c>
      <c r="E120" s="26" t="str">
        <f t="shared" si="3"/>
        <v>--</v>
      </c>
      <c r="F120" s="31" t="str">
        <f t="shared" si="4"/>
        <v>--</v>
      </c>
      <c r="G120" s="31"/>
      <c r="H120" s="31"/>
      <c r="I120" s="26" t="str">
        <f t="shared" si="5"/>
        <v>--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3"/>
      <c r="B121" s="1"/>
      <c r="C121" s="24" t="str">
        <f t="shared" si="6"/>
        <v>--</v>
      </c>
      <c r="D121" s="26" t="str">
        <f t="shared" si="2"/>
        <v>--</v>
      </c>
      <c r="E121" s="26" t="str">
        <f t="shared" si="3"/>
        <v>--</v>
      </c>
      <c r="F121" s="31" t="str">
        <f t="shared" si="4"/>
        <v>--</v>
      </c>
      <c r="G121" s="31"/>
      <c r="H121" s="31"/>
      <c r="I121" s="26" t="str">
        <f t="shared" si="5"/>
        <v>--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3"/>
      <c r="B122" s="1"/>
      <c r="C122" s="24" t="str">
        <f t="shared" si="6"/>
        <v>--</v>
      </c>
      <c r="D122" s="26" t="str">
        <f t="shared" si="2"/>
        <v>--</v>
      </c>
      <c r="E122" s="26" t="str">
        <f t="shared" si="3"/>
        <v>--</v>
      </c>
      <c r="F122" s="31" t="str">
        <f t="shared" si="4"/>
        <v>--</v>
      </c>
      <c r="G122" s="31"/>
      <c r="H122" s="31"/>
      <c r="I122" s="26" t="str">
        <f t="shared" si="5"/>
        <v>--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3"/>
      <c r="B123" s="1"/>
      <c r="C123" s="24" t="str">
        <f t="shared" si="6"/>
        <v>--</v>
      </c>
      <c r="D123" s="26" t="str">
        <f t="shared" si="2"/>
        <v>--</v>
      </c>
      <c r="E123" s="26" t="str">
        <f t="shared" si="3"/>
        <v>--</v>
      </c>
      <c r="F123" s="31" t="str">
        <f t="shared" si="4"/>
        <v>--</v>
      </c>
      <c r="G123" s="31"/>
      <c r="H123" s="31"/>
      <c r="I123" s="26" t="str">
        <f t="shared" si="5"/>
        <v>--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3"/>
      <c r="B124" s="1"/>
      <c r="C124" s="24" t="str">
        <f t="shared" si="6"/>
        <v>--</v>
      </c>
      <c r="D124" s="26" t="str">
        <f t="shared" si="2"/>
        <v>--</v>
      </c>
      <c r="E124" s="26" t="str">
        <f t="shared" si="3"/>
        <v>--</v>
      </c>
      <c r="F124" s="31" t="str">
        <f t="shared" si="4"/>
        <v>--</v>
      </c>
      <c r="G124" s="31"/>
      <c r="H124" s="31"/>
      <c r="I124" s="26" t="str">
        <f t="shared" si="5"/>
        <v>--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3"/>
      <c r="B125" s="1"/>
      <c r="C125" s="24" t="str">
        <f t="shared" si="6"/>
        <v>--</v>
      </c>
      <c r="D125" s="26" t="str">
        <f t="shared" si="2"/>
        <v>--</v>
      </c>
      <c r="E125" s="26" t="str">
        <f t="shared" si="3"/>
        <v>--</v>
      </c>
      <c r="F125" s="31" t="str">
        <f t="shared" si="4"/>
        <v>--</v>
      </c>
      <c r="G125" s="31"/>
      <c r="H125" s="31"/>
      <c r="I125" s="26" t="str">
        <f t="shared" si="5"/>
        <v>--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3"/>
      <c r="B126" s="1"/>
      <c r="C126" s="24" t="str">
        <f t="shared" si="6"/>
        <v>--</v>
      </c>
      <c r="D126" s="26" t="str">
        <f t="shared" si="2"/>
        <v>--</v>
      </c>
      <c r="E126" s="26" t="str">
        <f t="shared" si="3"/>
        <v>--</v>
      </c>
      <c r="F126" s="31" t="str">
        <f t="shared" si="4"/>
        <v>--</v>
      </c>
      <c r="G126" s="31"/>
      <c r="H126" s="31"/>
      <c r="I126" s="26" t="str">
        <f t="shared" si="5"/>
        <v>--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3"/>
      <c r="B127" s="1"/>
      <c r="C127" s="24" t="str">
        <f t="shared" si="6"/>
        <v>--</v>
      </c>
      <c r="D127" s="26" t="str">
        <f t="shared" si="2"/>
        <v>--</v>
      </c>
      <c r="E127" s="26" t="str">
        <f t="shared" si="3"/>
        <v>--</v>
      </c>
      <c r="F127" s="31" t="str">
        <f t="shared" si="4"/>
        <v>--</v>
      </c>
      <c r="G127" s="31"/>
      <c r="H127" s="31"/>
      <c r="I127" s="26" t="str">
        <f t="shared" si="5"/>
        <v>--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3"/>
      <c r="B128" s="1"/>
      <c r="C128" s="24" t="str">
        <f t="shared" si="6"/>
        <v>--</v>
      </c>
      <c r="D128" s="26" t="str">
        <f t="shared" si="2"/>
        <v>--</v>
      </c>
      <c r="E128" s="26" t="str">
        <f t="shared" si="3"/>
        <v>--</v>
      </c>
      <c r="F128" s="31" t="str">
        <f t="shared" si="4"/>
        <v>--</v>
      </c>
      <c r="G128" s="31"/>
      <c r="H128" s="31"/>
      <c r="I128" s="26" t="str">
        <f t="shared" si="5"/>
        <v>--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3"/>
      <c r="B129" s="1"/>
      <c r="C129" s="24" t="str">
        <f t="shared" si="6"/>
        <v>--</v>
      </c>
      <c r="D129" s="26" t="str">
        <f t="shared" si="2"/>
        <v>--</v>
      </c>
      <c r="E129" s="26" t="str">
        <f t="shared" si="3"/>
        <v>--</v>
      </c>
      <c r="F129" s="31" t="str">
        <f t="shared" si="4"/>
        <v>--</v>
      </c>
      <c r="G129" s="31"/>
      <c r="H129" s="31"/>
      <c r="I129" s="26" t="str">
        <f t="shared" si="5"/>
        <v>--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3"/>
      <c r="B130" s="1"/>
      <c r="C130" s="24" t="str">
        <f t="shared" si="6"/>
        <v>--</v>
      </c>
      <c r="D130" s="26" t="str">
        <f t="shared" si="2"/>
        <v>--</v>
      </c>
      <c r="E130" s="26" t="str">
        <f t="shared" si="3"/>
        <v>--</v>
      </c>
      <c r="F130" s="31" t="str">
        <f t="shared" si="4"/>
        <v>--</v>
      </c>
      <c r="G130" s="31"/>
      <c r="H130" s="31"/>
      <c r="I130" s="26" t="str">
        <f t="shared" si="5"/>
        <v>--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3"/>
      <c r="B131" s="1"/>
      <c r="C131" s="24" t="str">
        <f t="shared" si="6"/>
        <v>--</v>
      </c>
      <c r="D131" s="26" t="str">
        <f t="shared" si="2"/>
        <v>--</v>
      </c>
      <c r="E131" s="26" t="str">
        <f t="shared" si="3"/>
        <v>--</v>
      </c>
      <c r="F131" s="31" t="str">
        <f t="shared" si="4"/>
        <v>--</v>
      </c>
      <c r="G131" s="31"/>
      <c r="H131" s="31"/>
      <c r="I131" s="26" t="str">
        <f t="shared" si="5"/>
        <v>--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3"/>
      <c r="B132" s="1"/>
      <c r="C132" s="24" t="str">
        <f t="shared" si="6"/>
        <v>--</v>
      </c>
      <c r="D132" s="26" t="str">
        <f t="shared" si="2"/>
        <v>--</v>
      </c>
      <c r="E132" s="26" t="str">
        <f t="shared" si="3"/>
        <v>--</v>
      </c>
      <c r="F132" s="31" t="str">
        <f t="shared" si="4"/>
        <v>--</v>
      </c>
      <c r="G132" s="31"/>
      <c r="H132" s="31"/>
      <c r="I132" s="26" t="str">
        <f t="shared" si="5"/>
        <v>--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3"/>
      <c r="B133" s="1"/>
      <c r="C133" s="24" t="str">
        <f t="shared" si="6"/>
        <v>--</v>
      </c>
      <c r="D133" s="26" t="str">
        <f t="shared" si="2"/>
        <v>--</v>
      </c>
      <c r="E133" s="26" t="str">
        <f t="shared" si="3"/>
        <v>--</v>
      </c>
      <c r="F133" s="31" t="str">
        <f t="shared" si="4"/>
        <v>--</v>
      </c>
      <c r="G133" s="31"/>
      <c r="H133" s="31"/>
      <c r="I133" s="26" t="str">
        <f t="shared" si="5"/>
        <v>--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3"/>
      <c r="B134" s="1"/>
      <c r="C134" s="24" t="str">
        <f t="shared" si="6"/>
        <v>--</v>
      </c>
      <c r="D134" s="26" t="str">
        <f t="shared" si="2"/>
        <v>--</v>
      </c>
      <c r="E134" s="26" t="str">
        <f t="shared" si="3"/>
        <v>--</v>
      </c>
      <c r="F134" s="31" t="str">
        <f t="shared" si="4"/>
        <v>--</v>
      </c>
      <c r="G134" s="31"/>
      <c r="H134" s="31"/>
      <c r="I134" s="26" t="str">
        <f t="shared" si="5"/>
        <v>--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3"/>
      <c r="B135" s="1"/>
      <c r="C135" s="24" t="str">
        <f t="shared" si="6"/>
        <v>--</v>
      </c>
      <c r="D135" s="26" t="str">
        <f t="shared" si="2"/>
        <v>--</v>
      </c>
      <c r="E135" s="26" t="str">
        <f t="shared" si="3"/>
        <v>--</v>
      </c>
      <c r="F135" s="31" t="str">
        <f t="shared" si="4"/>
        <v>--</v>
      </c>
      <c r="G135" s="31"/>
      <c r="H135" s="31"/>
      <c r="I135" s="26" t="str">
        <f t="shared" si="5"/>
        <v>--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3"/>
      <c r="B136" s="1"/>
      <c r="C136" s="24" t="str">
        <f t="shared" si="6"/>
        <v>--</v>
      </c>
      <c r="D136" s="26" t="str">
        <f t="shared" si="2"/>
        <v>--</v>
      </c>
      <c r="E136" s="26" t="str">
        <f t="shared" si="3"/>
        <v>--</v>
      </c>
      <c r="F136" s="31" t="str">
        <f t="shared" si="4"/>
        <v>--</v>
      </c>
      <c r="G136" s="31"/>
      <c r="H136" s="31"/>
      <c r="I136" s="26" t="str">
        <f t="shared" si="5"/>
        <v>--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3"/>
      <c r="B137" s="1"/>
      <c r="C137" s="24" t="str">
        <f t="shared" si="6"/>
        <v>--</v>
      </c>
      <c r="D137" s="26" t="str">
        <f t="shared" si="2"/>
        <v>--</v>
      </c>
      <c r="E137" s="26" t="str">
        <f t="shared" si="3"/>
        <v>--</v>
      </c>
      <c r="F137" s="31" t="str">
        <f t="shared" si="4"/>
        <v>--</v>
      </c>
      <c r="G137" s="31"/>
      <c r="H137" s="31"/>
      <c r="I137" s="26" t="str">
        <f t="shared" si="5"/>
        <v>--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3"/>
      <c r="B138" s="1"/>
      <c r="C138" s="24" t="str">
        <f t="shared" si="6"/>
        <v>--</v>
      </c>
      <c r="D138" s="26" t="str">
        <f t="shared" si="2"/>
        <v>--</v>
      </c>
      <c r="E138" s="26" t="str">
        <f t="shared" si="3"/>
        <v>--</v>
      </c>
      <c r="F138" s="31" t="str">
        <f t="shared" si="4"/>
        <v>--</v>
      </c>
      <c r="G138" s="31"/>
      <c r="H138" s="31"/>
      <c r="I138" s="26" t="str">
        <f t="shared" si="5"/>
        <v>--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3"/>
      <c r="B139" s="1"/>
      <c r="C139" s="24" t="str">
        <f t="shared" si="6"/>
        <v>--</v>
      </c>
      <c r="D139" s="26" t="str">
        <f t="shared" si="2"/>
        <v>--</v>
      </c>
      <c r="E139" s="26" t="str">
        <f t="shared" si="3"/>
        <v>--</v>
      </c>
      <c r="F139" s="31" t="str">
        <f t="shared" si="4"/>
        <v>--</v>
      </c>
      <c r="G139" s="31"/>
      <c r="H139" s="31"/>
      <c r="I139" s="26" t="str">
        <f t="shared" si="5"/>
        <v>--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3"/>
      <c r="B140" s="1"/>
      <c r="C140" s="24" t="str">
        <f t="shared" si="6"/>
        <v>--</v>
      </c>
      <c r="D140" s="26" t="str">
        <f t="shared" si="2"/>
        <v>--</v>
      </c>
      <c r="E140" s="26" t="str">
        <f t="shared" si="3"/>
        <v>--</v>
      </c>
      <c r="F140" s="31" t="str">
        <f t="shared" si="4"/>
        <v>--</v>
      </c>
      <c r="G140" s="31"/>
      <c r="H140" s="31"/>
      <c r="I140" s="26" t="str">
        <f t="shared" si="5"/>
        <v>--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3"/>
      <c r="B141" s="1"/>
      <c r="C141" s="24" t="str">
        <f t="shared" si="6"/>
        <v>--</v>
      </c>
      <c r="D141" s="26" t="str">
        <f t="shared" si="2"/>
        <v>--</v>
      </c>
      <c r="E141" s="26" t="str">
        <f t="shared" si="3"/>
        <v>--</v>
      </c>
      <c r="F141" s="31" t="str">
        <f t="shared" si="4"/>
        <v>--</v>
      </c>
      <c r="G141" s="31"/>
      <c r="H141" s="31"/>
      <c r="I141" s="26" t="str">
        <f t="shared" si="5"/>
        <v>--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3"/>
      <c r="B142" s="1"/>
      <c r="C142" s="24" t="str">
        <f t="shared" si="6"/>
        <v>--</v>
      </c>
      <c r="D142" s="26" t="str">
        <f t="shared" si="2"/>
        <v>--</v>
      </c>
      <c r="E142" s="26" t="str">
        <f t="shared" si="3"/>
        <v>--</v>
      </c>
      <c r="F142" s="31" t="str">
        <f t="shared" si="4"/>
        <v>--</v>
      </c>
      <c r="G142" s="31"/>
      <c r="H142" s="31"/>
      <c r="I142" s="26" t="str">
        <f t="shared" si="5"/>
        <v>--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3"/>
      <c r="B143" s="1"/>
      <c r="C143" s="24" t="str">
        <f t="shared" si="6"/>
        <v>--</v>
      </c>
      <c r="D143" s="26" t="str">
        <f t="shared" si="2"/>
        <v>--</v>
      </c>
      <c r="E143" s="26" t="str">
        <f t="shared" si="3"/>
        <v>--</v>
      </c>
      <c r="F143" s="31" t="str">
        <f t="shared" si="4"/>
        <v>--</v>
      </c>
      <c r="G143" s="31"/>
      <c r="H143" s="31"/>
      <c r="I143" s="26" t="str">
        <f t="shared" si="5"/>
        <v>--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3"/>
      <c r="B144" s="1"/>
      <c r="C144" s="24" t="str">
        <f t="shared" si="6"/>
        <v>--</v>
      </c>
      <c r="D144" s="26" t="str">
        <f t="shared" si="2"/>
        <v>--</v>
      </c>
      <c r="E144" s="26" t="str">
        <f t="shared" si="3"/>
        <v>--</v>
      </c>
      <c r="F144" s="31" t="str">
        <f t="shared" si="4"/>
        <v>--</v>
      </c>
      <c r="G144" s="31"/>
      <c r="H144" s="31"/>
      <c r="I144" s="26" t="str">
        <f t="shared" si="5"/>
        <v>--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3"/>
      <c r="B145" s="1"/>
      <c r="C145" s="24" t="str">
        <f t="shared" si="6"/>
        <v>--</v>
      </c>
      <c r="D145" s="26" t="str">
        <f t="shared" si="2"/>
        <v>--</v>
      </c>
      <c r="E145" s="26" t="str">
        <f t="shared" si="3"/>
        <v>--</v>
      </c>
      <c r="F145" s="31" t="str">
        <f t="shared" si="4"/>
        <v>--</v>
      </c>
      <c r="G145" s="31"/>
      <c r="H145" s="31"/>
      <c r="I145" s="26" t="str">
        <f t="shared" si="5"/>
        <v>--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3"/>
      <c r="B146" s="1"/>
      <c r="C146" s="24" t="str">
        <f t="shared" si="6"/>
        <v>--</v>
      </c>
      <c r="D146" s="26" t="str">
        <f t="shared" si="2"/>
        <v>--</v>
      </c>
      <c r="E146" s="26" t="str">
        <f t="shared" si="3"/>
        <v>--</v>
      </c>
      <c r="F146" s="31" t="str">
        <f t="shared" si="4"/>
        <v>--</v>
      </c>
      <c r="G146" s="31"/>
      <c r="H146" s="31"/>
      <c r="I146" s="26" t="str">
        <f t="shared" si="5"/>
        <v>--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3"/>
      <c r="B147" s="1"/>
      <c r="C147" s="24" t="str">
        <f t="shared" si="6"/>
        <v>--</v>
      </c>
      <c r="D147" s="26" t="str">
        <f t="shared" si="2"/>
        <v>--</v>
      </c>
      <c r="E147" s="26" t="str">
        <f t="shared" si="3"/>
        <v>--</v>
      </c>
      <c r="F147" s="31" t="str">
        <f t="shared" si="4"/>
        <v>--</v>
      </c>
      <c r="G147" s="31"/>
      <c r="H147" s="31"/>
      <c r="I147" s="26" t="str">
        <f t="shared" si="5"/>
        <v>--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3"/>
      <c r="B148" s="1"/>
      <c r="C148" s="24" t="str">
        <f t="shared" si="6"/>
        <v>--</v>
      </c>
      <c r="D148" s="26" t="str">
        <f t="shared" si="2"/>
        <v>--</v>
      </c>
      <c r="E148" s="26" t="str">
        <f t="shared" si="3"/>
        <v>--</v>
      </c>
      <c r="F148" s="31" t="str">
        <f t="shared" si="4"/>
        <v>--</v>
      </c>
      <c r="G148" s="31"/>
      <c r="H148" s="31"/>
      <c r="I148" s="26" t="str">
        <f t="shared" si="5"/>
        <v>--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3"/>
      <c r="B149" s="1"/>
      <c r="C149" s="24" t="str">
        <f t="shared" si="6"/>
        <v>--</v>
      </c>
      <c r="D149" s="26" t="str">
        <f t="shared" si="2"/>
        <v>--</v>
      </c>
      <c r="E149" s="26" t="str">
        <f t="shared" si="3"/>
        <v>--</v>
      </c>
      <c r="F149" s="31" t="str">
        <f t="shared" si="4"/>
        <v>--</v>
      </c>
      <c r="G149" s="31"/>
      <c r="H149" s="31"/>
      <c r="I149" s="26" t="str">
        <f t="shared" si="5"/>
        <v>--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3"/>
      <c r="B150" s="1"/>
      <c r="C150" s="24" t="str">
        <f t="shared" si="6"/>
        <v>--</v>
      </c>
      <c r="D150" s="26" t="str">
        <f t="shared" si="2"/>
        <v>--</v>
      </c>
      <c r="E150" s="26" t="str">
        <f t="shared" si="3"/>
        <v>--</v>
      </c>
      <c r="F150" s="31" t="str">
        <f t="shared" si="4"/>
        <v>--</v>
      </c>
      <c r="G150" s="31"/>
      <c r="H150" s="31"/>
      <c r="I150" s="26" t="str">
        <f t="shared" si="5"/>
        <v>--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3"/>
      <c r="B151" s="1"/>
      <c r="C151" s="24" t="str">
        <f t="shared" si="6"/>
        <v>--</v>
      </c>
      <c r="D151" s="26" t="str">
        <f t="shared" si="2"/>
        <v>--</v>
      </c>
      <c r="E151" s="26" t="str">
        <f t="shared" si="3"/>
        <v>--</v>
      </c>
      <c r="F151" s="31" t="str">
        <f t="shared" si="4"/>
        <v>--</v>
      </c>
      <c r="G151" s="31"/>
      <c r="H151" s="31"/>
      <c r="I151" s="26" t="str">
        <f t="shared" si="5"/>
        <v>--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3"/>
      <c r="B152" s="1"/>
      <c r="C152" s="24" t="str">
        <f t="shared" si="6"/>
        <v>--</v>
      </c>
      <c r="D152" s="26" t="str">
        <f t="shared" si="2"/>
        <v>--</v>
      </c>
      <c r="E152" s="26" t="str">
        <f t="shared" si="3"/>
        <v>--</v>
      </c>
      <c r="F152" s="31" t="str">
        <f t="shared" si="4"/>
        <v>--</v>
      </c>
      <c r="G152" s="31"/>
      <c r="H152" s="31"/>
      <c r="I152" s="26" t="str">
        <f t="shared" si="5"/>
        <v>--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3"/>
      <c r="B153" s="1"/>
      <c r="C153" s="24" t="str">
        <f t="shared" si="6"/>
        <v>--</v>
      </c>
      <c r="D153" s="26" t="str">
        <f t="shared" si="2"/>
        <v>--</v>
      </c>
      <c r="E153" s="26" t="str">
        <f t="shared" si="3"/>
        <v>--</v>
      </c>
      <c r="F153" s="31" t="str">
        <f t="shared" si="4"/>
        <v>--</v>
      </c>
      <c r="G153" s="31"/>
      <c r="H153" s="31"/>
      <c r="I153" s="26" t="str">
        <f t="shared" si="5"/>
        <v>--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3"/>
      <c r="B154" s="1"/>
      <c r="C154" s="24" t="str">
        <f t="shared" si="6"/>
        <v>--</v>
      </c>
      <c r="D154" s="26" t="str">
        <f t="shared" si="2"/>
        <v>--</v>
      </c>
      <c r="E154" s="26" t="str">
        <f t="shared" si="3"/>
        <v>--</v>
      </c>
      <c r="F154" s="31" t="str">
        <f t="shared" si="4"/>
        <v>--</v>
      </c>
      <c r="G154" s="31"/>
      <c r="H154" s="31"/>
      <c r="I154" s="26" t="str">
        <f t="shared" si="5"/>
        <v>--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3"/>
      <c r="B155" s="1"/>
      <c r="C155" s="24" t="str">
        <f t="shared" si="6"/>
        <v>--</v>
      </c>
      <c r="D155" s="26" t="str">
        <f t="shared" si="2"/>
        <v>--</v>
      </c>
      <c r="E155" s="26" t="str">
        <f t="shared" si="3"/>
        <v>--</v>
      </c>
      <c r="F155" s="31" t="str">
        <f t="shared" si="4"/>
        <v>--</v>
      </c>
      <c r="G155" s="31"/>
      <c r="H155" s="31"/>
      <c r="I155" s="26" t="str">
        <f t="shared" si="5"/>
        <v>--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3"/>
      <c r="B156" s="1"/>
      <c r="C156" s="24" t="str">
        <f t="shared" si="6"/>
        <v>--</v>
      </c>
      <c r="D156" s="26" t="str">
        <f t="shared" si="2"/>
        <v>--</v>
      </c>
      <c r="E156" s="26" t="str">
        <f t="shared" si="3"/>
        <v>--</v>
      </c>
      <c r="F156" s="31" t="str">
        <f t="shared" si="4"/>
        <v>--</v>
      </c>
      <c r="G156" s="31"/>
      <c r="H156" s="31"/>
      <c r="I156" s="26" t="str">
        <f t="shared" si="5"/>
        <v>--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3"/>
      <c r="B157" s="1"/>
      <c r="C157" s="24" t="str">
        <f t="shared" si="6"/>
        <v>--</v>
      </c>
      <c r="D157" s="26" t="str">
        <f t="shared" si="2"/>
        <v>--</v>
      </c>
      <c r="E157" s="26" t="str">
        <f t="shared" si="3"/>
        <v>--</v>
      </c>
      <c r="F157" s="31" t="str">
        <f t="shared" si="4"/>
        <v>--</v>
      </c>
      <c r="G157" s="31"/>
      <c r="H157" s="31"/>
      <c r="I157" s="26" t="str">
        <f t="shared" si="5"/>
        <v>--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3"/>
      <c r="B158" s="1"/>
      <c r="C158" s="24" t="str">
        <f t="shared" si="6"/>
        <v>--</v>
      </c>
      <c r="D158" s="26" t="str">
        <f t="shared" si="2"/>
        <v>--</v>
      </c>
      <c r="E158" s="26" t="str">
        <f t="shared" si="3"/>
        <v>--</v>
      </c>
      <c r="F158" s="31" t="str">
        <f t="shared" si="4"/>
        <v>--</v>
      </c>
      <c r="G158" s="31"/>
      <c r="H158" s="31"/>
      <c r="I158" s="26" t="str">
        <f t="shared" si="5"/>
        <v>--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3"/>
      <c r="B159" s="1"/>
      <c r="C159" s="5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</sheetData>
  <sheetProtection algorithmName="SHA-512" hashValue="y9JoXoWNp+OW64OIIcCWaZnxZp0rJsnqMFy2cKRNT35N7vifJyC8PN1YfoEvobisD0bhEghDaAhBUE2O5DJ3Dw==" saltValue="Gmg++vMKtAA/UM466daeZA==" spinCount="100000" sheet="1" objects="1" scenarios="1"/>
  <mergeCells count="65">
    <mergeCell ref="F158:H158"/>
    <mergeCell ref="F147:H147"/>
    <mergeCell ref="F148:H148"/>
    <mergeCell ref="F149:H149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46:H146"/>
    <mergeCell ref="F135:H135"/>
    <mergeCell ref="F136:H136"/>
    <mergeCell ref="F137:H137"/>
    <mergeCell ref="F138:H138"/>
    <mergeCell ref="F139:H139"/>
    <mergeCell ref="F140:H140"/>
    <mergeCell ref="F141:H141"/>
    <mergeCell ref="F142:H142"/>
    <mergeCell ref="F143:H143"/>
    <mergeCell ref="F144:H144"/>
    <mergeCell ref="F145:H145"/>
    <mergeCell ref="F134:H134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18:H118"/>
    <mergeCell ref="F119:H119"/>
    <mergeCell ref="F120:H120"/>
    <mergeCell ref="F121:H121"/>
    <mergeCell ref="F122:H122"/>
    <mergeCell ref="F117:H117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05:H105"/>
    <mergeCell ref="A1:A2"/>
    <mergeCell ref="B1:H2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Paul Game</cp:lastModifiedBy>
  <cp:revision>0</cp:revision>
  <dcterms:created xsi:type="dcterms:W3CDTF">2022-08-16T22:01:00Z</dcterms:created>
  <dcterms:modified xsi:type="dcterms:W3CDTF">2024-12-17T16:59:02Z</dcterms:modified>
</cp:coreProperties>
</file>