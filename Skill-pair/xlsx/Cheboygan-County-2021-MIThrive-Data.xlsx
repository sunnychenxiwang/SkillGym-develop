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fileSharing readOnlyRecommended="1"/>
  <workbookPr defaultThemeVersion="166925"/>
  <mc:AlternateContent xmlns:mc="http://schemas.openxmlformats.org/markup-compatibility/2006">
    <mc:Choice Requires="x15">
      <x15ac:absPath xmlns:x15ac="http://schemas.microsoft.com/office/spreadsheetml/2010/11/ac" url="C:\Users\ebarrett\Desktop\MiThrive Data Files for Website Upload\"/>
    </mc:Choice>
  </mc:AlternateContent>
  <xr:revisionPtr revIDLastSave="0" documentId="13_ncr:1_{445C13F8-CE45-44B1-A30D-98B461B64C60}" xr6:coauthVersionLast="47" xr6:coauthVersionMax="47" xr10:uidLastSave="{00000000-0000-0000-0000-000000000000}"/>
  <bookViews>
    <workbookView xWindow="-28920" yWindow="-120" windowWidth="29040" windowHeight="15840" tabRatio="931" firstSheet="1" activeTab="1" xr2:uid="{00D6253B-E7C6-498B-8D5F-087F642988C4}"/>
  </bookViews>
  <sheets>
    <sheet name=" Cheboygan County Cover Sheet" sheetId="10" r:id="rId1"/>
    <sheet name="CHSA" sheetId="6" r:id="rId2"/>
    <sheet name="CHSA Sources" sheetId="2" r:id="rId3"/>
    <sheet name="CSA" sheetId="3" r:id="rId4"/>
    <sheet name="CTSA-Aging Survey" sheetId="9" r:id="rId5"/>
    <sheet name="CTSA-Children Survey" sheetId="14" r:id="rId6"/>
    <sheet name="CTSA-Disability Survey" sheetId="13" r:id="rId7"/>
    <sheet name="CTSA-Economic Survey" sheetId="15" r:id="rId8"/>
    <sheet name="CTSA-Community Demographics" sheetId="11" r:id="rId9"/>
    <sheet name="CTSA-Community Data" sheetId="16" r:id="rId10"/>
    <sheet name="CTSA-Provider Survey" sheetId="17"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6" i="15" l="1"/>
  <c r="O6" i="13"/>
  <c r="O6" i="14"/>
  <c r="O6" i="9"/>
  <c r="U13" i="16"/>
  <c r="Z13" i="17"/>
  <c r="Q28" i="11"/>
  <c r="Y43" i="17"/>
  <c r="S18" i="17"/>
  <c r="L48" i="17"/>
  <c r="AT38" i="17"/>
  <c r="Z33" i="17"/>
  <c r="N28" i="17"/>
  <c r="AO23" i="17"/>
  <c r="V8" i="17"/>
  <c r="L3" i="17"/>
  <c r="P3" i="11"/>
  <c r="AV28" i="16"/>
  <c r="W23" i="16"/>
  <c r="T18" i="16"/>
  <c r="AT8" i="16"/>
  <c r="Y3" i="16"/>
  <c r="P43" i="11" l="1"/>
  <c r="O38" i="11"/>
  <c r="L33" i="11"/>
  <c r="U23" i="11"/>
  <c r="R18" i="11"/>
  <c r="P13" i="11"/>
  <c r="N8" i="11"/>
</calcChain>
</file>

<file path=xl/sharedStrings.xml><?xml version="1.0" encoding="utf-8"?>
<sst xmlns="http://schemas.openxmlformats.org/spreadsheetml/2006/main" count="1642" uniqueCount="952">
  <si>
    <t>Assessments</t>
  </si>
  <si>
    <t>How do I use this data?</t>
  </si>
  <si>
    <t>Descriptive Statistics</t>
  </si>
  <si>
    <r>
      <t>The </t>
    </r>
    <r>
      <rPr>
        <b/>
        <sz val="11"/>
        <color rgb="FF359239"/>
        <rFont val="Calibri"/>
        <family val="2"/>
        <scheme val="minor"/>
      </rPr>
      <t>Community Health Status Assessment (CHSA) </t>
    </r>
    <r>
      <rPr>
        <sz val="11"/>
        <color rgb="FF000000"/>
        <rFont val="Calibri"/>
        <family val="2"/>
        <scheme val="minor"/>
      </rPr>
      <t>aims to answer the following questions: How healthy are our residents?​
What does the health status of our community look like?</t>
    </r>
  </si>
  <si>
    <r>
      <t xml:space="preserve">This tab contains secondary indicators separated by topic area: Demographics, Economic Stability, Education, Healthcare Access and Quality, Neighborhood and Built Environment, Social and Community Context, Morbidity, and Mortality. Sources, descriptions, and source links are provided in addition to calculations if our team calculated a value. Associated sheets in the workbook include: </t>
    </r>
    <r>
      <rPr>
        <b/>
        <sz val="11"/>
        <color theme="1"/>
        <rFont val="Calibri"/>
        <family val="2"/>
        <scheme val="minor"/>
      </rPr>
      <t>CHSA</t>
    </r>
    <r>
      <rPr>
        <sz val="11"/>
        <color theme="1"/>
        <rFont val="Calibri"/>
        <family val="2"/>
        <scheme val="minor"/>
      </rPr>
      <t xml:space="preserve"> and </t>
    </r>
    <r>
      <rPr>
        <b/>
        <sz val="11"/>
        <color theme="1"/>
        <rFont val="Calibri"/>
        <family val="2"/>
        <scheme val="minor"/>
      </rPr>
      <t>CHSA Sources</t>
    </r>
    <r>
      <rPr>
        <sz val="11"/>
        <color theme="1"/>
        <rFont val="Calibri"/>
        <family val="2"/>
        <scheme val="minor"/>
      </rPr>
      <t>.</t>
    </r>
  </si>
  <si>
    <r>
      <t>The </t>
    </r>
    <r>
      <rPr>
        <b/>
        <sz val="12"/>
        <color rgb="FFED7D31"/>
        <rFont val="Calibri"/>
        <family val="2"/>
      </rPr>
      <t>Community System Assessment (CSA)</t>
    </r>
    <r>
      <rPr>
        <sz val="12"/>
        <color rgb="FF000000"/>
        <rFont val="Calibri"/>
        <family val="2"/>
      </rPr>
      <t> aims to answer the following question:</t>
    </r>
    <r>
      <rPr>
        <sz val="12"/>
        <rFont val="Calibri"/>
        <family val="2"/>
      </rPr>
      <t>​</t>
    </r>
    <r>
      <rPr>
        <sz val="12"/>
        <color rgb="FF000000"/>
        <rFont val="Calibri"/>
        <family val="2"/>
      </rPr>
      <t xml:space="preserve"> What are the components, activities, competencies, and capacities in our local systems?</t>
    </r>
  </si>
  <si>
    <t>6 individuals from Cheboygan participated in the county collaborative meeting.</t>
  </si>
  <si>
    <r>
      <t>The </t>
    </r>
    <r>
      <rPr>
        <b/>
        <sz val="12"/>
        <color rgb="FF0070C0"/>
        <rFont val="Calibri"/>
        <family val="2"/>
        <scheme val="minor"/>
      </rPr>
      <t>Community Themes and Strengths Assessment (CTSA) </t>
    </r>
    <r>
      <rPr>
        <sz val="12"/>
        <color rgb="FF000000"/>
        <rFont val="Calibri"/>
        <family val="2"/>
        <scheme val="minor"/>
      </rPr>
      <t>aims to answer the following questions: What is important to the community?​
How is quality of life perceived in the community?​
What assets does the community have that can be used to improve community health?</t>
    </r>
  </si>
  <si>
    <r>
      <rPr>
        <b/>
        <sz val="12"/>
        <color rgb="FF002060"/>
        <rFont val="Calibri"/>
        <family val="2"/>
      </rPr>
      <t>Pulse Survey Series</t>
    </r>
    <r>
      <rPr>
        <b/>
        <sz val="12"/>
        <color rgb="FF000000"/>
        <rFont val="Calibri"/>
        <family val="2"/>
      </rPr>
      <t>: </t>
    </r>
    <r>
      <rPr>
        <sz val="12"/>
        <color rgb="FF000000"/>
        <rFont val="Calibri"/>
        <family val="2"/>
      </rPr>
      <t>Four, three question mini client interviews conducted by community partners with clients and patients. Topics included education, aging, disability, and economic security.</t>
    </r>
    <r>
      <rPr>
        <sz val="12"/>
        <rFont val="Calibri"/>
        <family val="2"/>
      </rPr>
      <t>​</t>
    </r>
    <r>
      <rPr>
        <b/>
        <sz val="12"/>
        <color rgb="FF000000"/>
        <rFont val="Calibri"/>
        <family val="2"/>
      </rPr>
      <t xml:space="preserve"> </t>
    </r>
    <r>
      <rPr>
        <sz val="12"/>
        <color rgb="FF000000"/>
        <rFont val="Calibri"/>
        <family val="2"/>
      </rPr>
      <t xml:space="preserve">Associated sheets in this workbook include: </t>
    </r>
    <r>
      <rPr>
        <b/>
        <sz val="12"/>
        <color rgb="FF000000"/>
        <rFont val="Calibri"/>
        <family val="2"/>
      </rPr>
      <t>CTSA-Aging Survey</t>
    </r>
    <r>
      <rPr>
        <sz val="12"/>
        <color rgb="FF000000"/>
        <rFont val="Calibri"/>
        <family val="2"/>
      </rPr>
      <t xml:space="preserve">, </t>
    </r>
    <r>
      <rPr>
        <b/>
        <sz val="12"/>
        <color rgb="FF000000"/>
        <rFont val="Calibri"/>
        <family val="2"/>
      </rPr>
      <t>CTSA-Children Survey</t>
    </r>
    <r>
      <rPr>
        <sz val="12"/>
        <color rgb="FF000000"/>
        <rFont val="Calibri"/>
        <family val="2"/>
      </rPr>
      <t xml:space="preserve">, </t>
    </r>
    <r>
      <rPr>
        <b/>
        <sz val="12"/>
        <color rgb="FF000000"/>
        <rFont val="Calibri"/>
        <family val="2"/>
      </rPr>
      <t>CTSA-Disability Survey</t>
    </r>
    <r>
      <rPr>
        <sz val="12"/>
        <color rgb="FF000000"/>
        <rFont val="Calibri"/>
        <family val="2"/>
      </rPr>
      <t xml:space="preserve">, and </t>
    </r>
    <r>
      <rPr>
        <b/>
        <sz val="12"/>
        <color rgb="FF000000"/>
        <rFont val="Calibri"/>
        <family val="2"/>
      </rPr>
      <t>CTSA-Ecomonic Survey</t>
    </r>
    <r>
      <rPr>
        <sz val="12"/>
        <color rgb="FF000000"/>
        <rFont val="Calibri"/>
        <family val="2"/>
      </rPr>
      <t xml:space="preserve">. </t>
    </r>
  </si>
  <si>
    <t>For Cheboygan:  2 respondents to the Aging survey, 3 respondents to the Children survey, 1 respondent to the Disability survey, and 2 respondents to the Economic survey.</t>
  </si>
  <si>
    <r>
      <rPr>
        <b/>
        <sz val="12"/>
        <color rgb="FF0070C0"/>
        <rFont val="Calibri"/>
        <family val="2"/>
        <scheme val="minor"/>
      </rPr>
      <t>Community Survey</t>
    </r>
    <r>
      <rPr>
        <b/>
        <sz val="12"/>
        <color rgb="FF000000"/>
        <rFont val="Calibri"/>
        <family val="2"/>
        <scheme val="minor"/>
      </rPr>
      <t>: </t>
    </r>
    <r>
      <rPr>
        <sz val="12"/>
        <color rgb="FF000000"/>
        <rFont val="Calibri"/>
        <family val="2"/>
        <scheme val="minor"/>
      </rPr>
      <t xml:space="preserve">This survey was conducted through an online format and targeted individuals providing direct care and services.  The associated sheet in this workbook is titled </t>
    </r>
    <r>
      <rPr>
        <b/>
        <sz val="12"/>
        <color rgb="FF000000"/>
        <rFont val="Calibri"/>
        <family val="2"/>
        <scheme val="minor"/>
      </rPr>
      <t xml:space="preserve">CTSA-Community Demographics </t>
    </r>
    <r>
      <rPr>
        <sz val="12"/>
        <color rgb="FF000000"/>
        <rFont val="Calibri"/>
        <family val="2"/>
        <scheme val="minor"/>
      </rPr>
      <t>and</t>
    </r>
    <r>
      <rPr>
        <b/>
        <sz val="12"/>
        <color rgb="FF000000"/>
        <rFont val="Calibri"/>
        <family val="2"/>
        <scheme val="minor"/>
      </rPr>
      <t xml:space="preserve"> CSTA - Community Data</t>
    </r>
    <r>
      <rPr>
        <sz val="12"/>
        <color rgb="FF000000"/>
        <rFont val="Calibri"/>
        <family val="2"/>
        <scheme val="minor"/>
      </rPr>
      <t>.</t>
    </r>
  </si>
  <si>
    <t>119 residents from Cheboygan responded to the CTSA Community Survey.</t>
  </si>
  <si>
    <r>
      <rPr>
        <b/>
        <sz val="12"/>
        <color rgb="FF00B0F0"/>
        <rFont val="Calibri"/>
        <family val="2"/>
        <scheme val="minor"/>
      </rPr>
      <t>Provider Survey</t>
    </r>
    <r>
      <rPr>
        <b/>
        <sz val="12"/>
        <color rgb="FF000000"/>
        <rFont val="Calibri"/>
        <family val="2"/>
        <scheme val="minor"/>
      </rPr>
      <t>: </t>
    </r>
    <r>
      <rPr>
        <sz val="12"/>
        <color rgb="FF000000"/>
        <rFont val="Calibri"/>
        <family val="2"/>
        <scheme val="minor"/>
      </rPr>
      <t xml:space="preserve">This survey was conducted through an online format and targeted individuals providing direct care and services.  The associated sheet in this workbook is titled </t>
    </r>
    <r>
      <rPr>
        <b/>
        <sz val="12"/>
        <color rgb="FF000000"/>
        <rFont val="Calibri"/>
        <family val="2"/>
        <scheme val="minor"/>
      </rPr>
      <t>CTSA-Provider Survey</t>
    </r>
    <r>
      <rPr>
        <sz val="12"/>
        <color rgb="FF000000"/>
        <rFont val="Calibri"/>
        <family val="2"/>
        <scheme val="minor"/>
      </rPr>
      <t>.</t>
    </r>
  </si>
  <si>
    <t>30 providers that offer services in Cheboygan responded to the CTSA Provider Survey.</t>
  </si>
  <si>
    <r>
      <t xml:space="preserve">The </t>
    </r>
    <r>
      <rPr>
        <b/>
        <sz val="12"/>
        <color rgb="FF9966FF"/>
        <rFont val="Calibri"/>
        <family val="2"/>
        <scheme val="minor"/>
      </rPr>
      <t>Forces of Change Assessment (FOCA)</t>
    </r>
    <r>
      <rPr>
        <sz val="12"/>
        <color rgb="FF000000"/>
        <rFont val="Calibri"/>
        <family val="2"/>
        <scheme val="minor"/>
      </rPr>
      <t xml:space="preserve"> was designed to identify emerging threats and opportunities that impact the health and wellbeing of community members.                                                                           What trends or events in the community may influence the health  of residents but remain outside of their control?</t>
    </r>
  </si>
  <si>
    <t>Table: Cheboygan CHSA Data</t>
  </si>
  <si>
    <t>CHIR Region</t>
  </si>
  <si>
    <t>US</t>
  </si>
  <si>
    <t>MI</t>
  </si>
  <si>
    <t>NE</t>
  </si>
  <si>
    <r>
      <t xml:space="preserve">Quartile </t>
    </r>
    <r>
      <rPr>
        <b/>
        <sz val="8"/>
        <color theme="1"/>
        <rFont val="Calibri"/>
        <family val="2"/>
        <scheme val="minor"/>
      </rPr>
      <t>(from 31 Northern Lower MI Counties)</t>
    </r>
  </si>
  <si>
    <t>Indicator</t>
  </si>
  <si>
    <t>Cheboygan County</t>
  </si>
  <si>
    <t>Total Population</t>
  </si>
  <si>
    <t>Female (%)</t>
  </si>
  <si>
    <t>Male (%)</t>
  </si>
  <si>
    <t>Under 5 years old(%)</t>
  </si>
  <si>
    <t>Under 18 years old(%)</t>
  </si>
  <si>
    <t>19-64 years old(%)</t>
  </si>
  <si>
    <t>65 years and over(%)</t>
  </si>
  <si>
    <t>Black or African American  (%)</t>
  </si>
  <si>
    <t>American Indian and Alaska Native  (%)</t>
  </si>
  <si>
    <t>Asian  (%)</t>
  </si>
  <si>
    <t>Native Hawaiian/Other Pacific Islander (%)</t>
  </si>
  <si>
    <t>*</t>
  </si>
  <si>
    <t>Hispanic or Latino  (%)</t>
  </si>
  <si>
    <t>Non-Hispanic White (%)</t>
  </si>
  <si>
    <t>Total Households</t>
  </si>
  <si>
    <t>Not Proficient in English  (%)</t>
  </si>
  <si>
    <t>N/A</t>
  </si>
  <si>
    <t>With a disability (%)</t>
  </si>
  <si>
    <t>Urban/Rural Population (% rural)</t>
  </si>
  <si>
    <t>Median household income (dollars)</t>
  </si>
  <si>
    <t>ALICE Households (%)</t>
  </si>
  <si>
    <t xml:space="preserve">Households below federal poverty level (FPL) (%) </t>
  </si>
  <si>
    <t>Families living below poverty level (%)</t>
  </si>
  <si>
    <t>Population below the poverty level (%)</t>
  </si>
  <si>
    <t>Children below poverty level (%)</t>
  </si>
  <si>
    <t>Unemployment rate (%)</t>
  </si>
  <si>
    <t>Income inequality</t>
  </si>
  <si>
    <t>Children enrolled in early education(%)</t>
  </si>
  <si>
    <t>Students Not Proficient in Grade 4 English (%)</t>
  </si>
  <si>
    <t>Children 0-5 in Special Education (%)</t>
  </si>
  <si>
    <t>Special Education (% Child Find)</t>
  </si>
  <si>
    <t>High School Graduation Rate (%)</t>
  </si>
  <si>
    <t>High school graduate or higher (%)</t>
  </si>
  <si>
    <t>Bachelor's Degree or higher (%)</t>
  </si>
  <si>
    <t>Uninsured (%)</t>
  </si>
  <si>
    <t>Adults: No personal health check up in the past year (%)</t>
  </si>
  <si>
    <t>Preventable Hospital Stays (per 100,000 Medicare enrollees)</t>
  </si>
  <si>
    <t>Average HSPA Score - Primary Care</t>
  </si>
  <si>
    <t>Average HSPA Score - Dental Health</t>
  </si>
  <si>
    <t>Average HSPA Score - Mental Health</t>
  </si>
  <si>
    <t>Fully immunized toddlers aged 19-35 mo (%)</t>
  </si>
  <si>
    <t>Homes with broadband internet (%)</t>
  </si>
  <si>
    <t>Severe quality problems with housing (%)</t>
  </si>
  <si>
    <t>Median value of owner-occupied homes (dollars)</t>
  </si>
  <si>
    <t>Renters (% of all occupied homes)</t>
  </si>
  <si>
    <t>Gross rent is &gt;=35% of household income (%)</t>
  </si>
  <si>
    <t>Gross mortgage is &gt;=35% of household income (%)</t>
  </si>
  <si>
    <t>Number of Evictions (rate,calculated)</t>
  </si>
  <si>
    <t>Vacant Housing Units (%)</t>
  </si>
  <si>
    <t>Child abuse/Neglect Rate (per 1,000)</t>
  </si>
  <si>
    <t>Teens with 2+ ACES (%)</t>
  </si>
  <si>
    <t>Child food insecurity (%)</t>
  </si>
  <si>
    <t>Population food insecurity (%)</t>
  </si>
  <si>
    <t>Children 0-4 receiving WIC (%)</t>
  </si>
  <si>
    <t>Teens with 5+ fruits/veg per day (%)</t>
  </si>
  <si>
    <t>SNAP-authorized stores/1,000 pop</t>
  </si>
  <si>
    <t>No household vehicle (%)</t>
  </si>
  <si>
    <t>Political Participation, (2020 voter turnout  as a proportion of pop &gt;=18) (%)</t>
  </si>
  <si>
    <t>All cancer incidence (per 100,000)</t>
  </si>
  <si>
    <t>Breast Cancer (per 100,000)</t>
  </si>
  <si>
    <t>Colorectal Cancer (per 100,000)</t>
  </si>
  <si>
    <t>Oral Cavity and pharynx cancer (per 100,000)</t>
  </si>
  <si>
    <t>Lung and bronchus cancer (per 100,000)</t>
  </si>
  <si>
    <t>Ever told diabetes (adults) (%)</t>
  </si>
  <si>
    <t>Heart Disease Diagnosis Rate (adults) (per 10,000)</t>
  </si>
  <si>
    <t>Ever told COPD (adults)  (%)</t>
  </si>
  <si>
    <t>Asthma (teens) (%)</t>
  </si>
  <si>
    <t>Self-reported health assessment fair or poor (%)</t>
  </si>
  <si>
    <t>Pneumonia Diagnosis Rate (per 10,000)</t>
  </si>
  <si>
    <t>Major depressive episode (teens) (%)</t>
  </si>
  <si>
    <t>Poor mental health 14+ days (adults)  (%)</t>
  </si>
  <si>
    <t>Obesity (teens) (%)</t>
  </si>
  <si>
    <t>Obesity (adults) (%)</t>
  </si>
  <si>
    <t>Overweight (teens) (%)</t>
  </si>
  <si>
    <t>Overweight(adults) (%)</t>
  </si>
  <si>
    <t>Binge drinking (adults) (%)</t>
  </si>
  <si>
    <t>Used prescription drugs without prescription (teens) (%)</t>
  </si>
  <si>
    <t>Used marijuana in past 30 days (teens) (%)</t>
  </si>
  <si>
    <t>Had a drink of alcohol in past 30 days (teens) (%)</t>
  </si>
  <si>
    <t>Smoked cigarettes in past 30 days (teens) (%)</t>
  </si>
  <si>
    <t>Used chew tobacco etc. in past 30 days (teens) (%)</t>
  </si>
  <si>
    <t>Vaped in past 30 days (teens) (%)</t>
  </si>
  <si>
    <t>Opioid Related Hospitalizations</t>
  </si>
  <si>
    <t>Opioid Related Hospitalizations (per 100,000)</t>
  </si>
  <si>
    <t>All causes of death (per 100,000)</t>
  </si>
  <si>
    <t>All Cancer (per 100,000)</t>
  </si>
  <si>
    <t>Diabetes Mortality Rate (per 100,000)</t>
  </si>
  <si>
    <t>Heart Disease Mortality Rate (per 100,000)</t>
  </si>
  <si>
    <t>YPLL Pneumonia/Flu (rate per 100,000)</t>
  </si>
  <si>
    <t>Injury Mortality Rate (per 100,000)</t>
  </si>
  <si>
    <t>Motor vehicle crash Mortality Rate (per 100,000)</t>
  </si>
  <si>
    <t>Motor vehicle crashes involving alcohol (%)</t>
  </si>
  <si>
    <t>Unintentional Injury Mortality</t>
  </si>
  <si>
    <t>Unintentional Injury Mortality Rate (per 100,000)</t>
  </si>
  <si>
    <t>Intentional Self-harm Mortality</t>
  </si>
  <si>
    <t>Intentional Self-harm Mortality Rate (per 100,000)</t>
  </si>
  <si>
    <t>Alzheimer's/Dementia Mortality Rate (per 100,000)</t>
  </si>
  <si>
    <t>Chronic Lower Respiratory Disease Mortality Rate (per 100,000)</t>
  </si>
  <si>
    <t>Kidney Disease Mortality Rate (per 100,000)</t>
  </si>
  <si>
    <t>Chronic Liver Disease and Cirrhosis Mortality Rate (per 100,000)</t>
  </si>
  <si>
    <t>Drug-Induced Mortality</t>
  </si>
  <si>
    <t>Drug-Induced Mortality Rate (per 100,000)</t>
  </si>
  <si>
    <t>Alcohol-Induced Mortality</t>
  </si>
  <si>
    <t>Alcohol-induced Mortality Rate (per 100,000)</t>
  </si>
  <si>
    <t>Table: CHSA Data Sources</t>
  </si>
  <si>
    <t>Domain</t>
  </si>
  <si>
    <t>Measure</t>
  </si>
  <si>
    <t>Description</t>
  </si>
  <si>
    <t>Data Set Name</t>
  </si>
  <si>
    <t>Source Name</t>
  </si>
  <si>
    <t>Source Link</t>
  </si>
  <si>
    <t>Data Year(s)</t>
  </si>
  <si>
    <t>Additional Info</t>
  </si>
  <si>
    <t>Demographics</t>
  </si>
  <si>
    <t>Total Population (count)</t>
  </si>
  <si>
    <t>US Census Bureau Quick Facts</t>
  </si>
  <si>
    <t>United States Census Bureau</t>
  </si>
  <si>
    <t>https://www.census.gov/quickfacts/alconacountymichigan</t>
  </si>
  <si>
    <t>Under 18 years old (%)</t>
  </si>
  <si>
    <t>Percent of population under 18 years old</t>
  </si>
  <si>
    <t>65 years and over (%)</t>
  </si>
  <si>
    <t>Percent of population age 65 or over</t>
  </si>
  <si>
    <t>White alone (%)</t>
  </si>
  <si>
    <t>Percent of population identifying race as white alone</t>
  </si>
  <si>
    <t>Percent of population identifying race as black or African American alone</t>
  </si>
  <si>
    <t>Percent of population identifying race as American Indian and Alaska Native alone</t>
  </si>
  <si>
    <t>Percent of population identifying race as Asian alone</t>
  </si>
  <si>
    <t>Percent of population identifying ethnicity as Hispanic or Latino</t>
  </si>
  <si>
    <t>Percent of the population that is female</t>
  </si>
  <si>
    <t>Under 5 years old (%)</t>
  </si>
  <si>
    <t>% of population under 5 years old</t>
  </si>
  <si>
    <t>A household includes all the persons who occupy a housing unit as their usual place of residence. A housing unit is a house, an apartment, a mobile home, a group of rooms, or a single room that is occupied (or if vacant, is intended for occupancy) as separate living quarters. Separate living quarters are those in which the occupants live and eat separately from any other persons in the building and which have direct access from outside the building or through a common hall. The occupants may be a single family, one person living alone, two or more families living together, or any other group of related or unrelated persons who share living arrangements. (People not living in households are classified as living in group quarters.)</t>
  </si>
  <si>
    <t>2015-2019</t>
  </si>
  <si>
    <t>Percent of population identifying ethnicity as non-Hispanic/Latino and race as White</t>
  </si>
  <si>
    <t>A person having origins in any of the original peoples of Hawaii, Guam, Samoa, or other Pacific Islands. It includes people who reported their race as "Fijian," "Guamanian or Chamorro," "Marshallese," "Native Hawaiian," "Samoan," "Tongan," and "Other Pacific Islander" or provide other detailed Pacific Islander responses.</t>
  </si>
  <si>
    <t>Percent of population not proficient in English</t>
  </si>
  <si>
    <t>2019 Michigan Data</t>
  </si>
  <si>
    <t>County Health Rankings</t>
  </si>
  <si>
    <t>http://www.countyhealthrankings.org/app/michigan/2018/downloads</t>
  </si>
  <si>
    <t>2012-2016</t>
  </si>
  <si>
    <t>American Community Survey, 5-year estimates</t>
  </si>
  <si>
    <t>Total Civilian Noninstitutionalized Population, with a disability; percent</t>
  </si>
  <si>
    <t>Table DP02</t>
  </si>
  <si>
    <t>Urban/Rural Population (%)</t>
  </si>
  <si>
    <t>Percent; Rural</t>
  </si>
  <si>
    <t>Added back in, hospitals need for tax requirement</t>
  </si>
  <si>
    <t>Economic Stability</t>
  </si>
  <si>
    <t>Percent; Population 16 years and over - In Civilian labor force - Unemployed</t>
  </si>
  <si>
    <t>Table CP03</t>
  </si>
  <si>
    <t>PERCENTAGE OF FAMILIES WHOSE INCOME IN THE PAST 12 MONTHS IS BELOW THE POVERTY LEVEL</t>
  </si>
  <si>
    <t>Table DP03</t>
  </si>
  <si>
    <t>https://data.census.gov/cedsci/table?q=cp03&amp;g=0100000US_0400000US26,26.050000&amp;tid=ACSCP5Y2019.CP03&amp;hidePreview=true</t>
  </si>
  <si>
    <t>All families</t>
  </si>
  <si>
    <t>Percent; PERCENTAGE OF ALL PEOPLE WHOSE INCOME IN THE PAST 12 MONTHS IS BELOW THE POVERTY LEVEL</t>
  </si>
  <si>
    <t>All people</t>
  </si>
  <si>
    <t>Children under 18 years old living below the poverty level</t>
  </si>
  <si>
    <t>Table CP03: Comparative Economic Characteristics</t>
  </si>
  <si>
    <t>Decided to stick with this table due to being a 5-year estimate and therefore more reliable</t>
  </si>
  <si>
    <t>Adults 65+ below poverty level (%)</t>
  </si>
  <si>
    <t>PERCENTAGE OF  PEOPLE 65 years and over WHOSE INCOME IN THE PAST 12 MONTHS IS BELOW THE POVERTY LEVEL</t>
  </si>
  <si>
    <t>ALICE Households</t>
  </si>
  <si>
    <t>ALICE – an acronym for Asset Limited, Income Constrained, Employed. ALICE households have incomes above the FPL, but still struggle to afford basic household necessities.</t>
  </si>
  <si>
    <t>DataSheet_MI</t>
  </si>
  <si>
    <t>United for ALICE</t>
  </si>
  <si>
    <t>unitedforalice.org/state-overview/Michigan</t>
  </si>
  <si>
    <t>Download the excel data sheet for Michigan State Overview - navigate to "County 2010-2019" tab and filter by 2019. Perform calculations by dividing ALICE household/Household x 100</t>
  </si>
  <si>
    <t>Households below federal poverty level (%)</t>
  </si>
  <si>
    <t>The Census Bureau uses a set of money income thresholds that vary by family size and compostion to determine who is in poverty. If a family's total income is less than the family's threshold, then that family and every individual in it is considered in poverty. The official poverty thresholds do not vary geographically, but they are updated for inflation using Consumer Price Index (CPI-U). The official poverty definition uses money income before taxes and does not include capital gains or noncash benefits (such as public housing, Medicaid, and food stamps)</t>
  </si>
  <si>
    <t>Download the excel data sheet for Michigan State Overview - navigate to "County 2010-2019" tab and filter by 2019. Perform calculations by dividing Poverty Household/Household x100</t>
  </si>
  <si>
    <t>ACS DP03</t>
  </si>
  <si>
    <t>Graphics available in the US Census Bureau SAIPE Interactive Tool</t>
  </si>
  <si>
    <t>Estimated inequality of household income according to the Gini Index, between 2015-2019</t>
  </si>
  <si>
    <t>ACS B19083</t>
  </si>
  <si>
    <t xml:space="preserve">https://www.policymap.com/maps </t>
  </si>
  <si>
    <t>The Gini Index is a summary measure of income inequality. The Gini coefficient incorporates the detailed shares data into a single statistic, which summarizes the dispersion of income across the entire income distribution. The Gini coefficient ranges from 0, indicating perfect equality (where everyone receives an equal share), to 1, perfect inequality (where only one recipient or group of recipients receives all the income). The Gini is based on the difference between the Lorenz curve (the observed cumulative income distribution) and the notion of a perfectly equal income distribution</t>
  </si>
  <si>
    <t>Education</t>
  </si>
  <si>
    <t>Special Education - Child Find</t>
  </si>
  <si>
    <t>Percentage of initial evaluations completed within 30 school days (MI timeframe) whether found elgibile or ineligible for special education services</t>
  </si>
  <si>
    <t>MI School Data Special Education Indicator Report Summary</t>
  </si>
  <si>
    <t>MI School Data</t>
  </si>
  <si>
    <t xml:space="preserve">By Educational Service District </t>
  </si>
  <si>
    <t xml:space="preserve">The percent of test-taker students who did not meet standards on the English Language Arts section of the Michigan Student Test of Educational Progress (M-STEP). </t>
  </si>
  <si>
    <t>Michigan Indicators</t>
  </si>
  <si>
    <t>Kids Count Data Center</t>
  </si>
  <si>
    <t>https://datacenter.kidscount.org/data#MI/5/0/char/0</t>
  </si>
  <si>
    <t>Michigan Department of Education, Center for Educational Performance Information.</t>
  </si>
  <si>
    <t>Children enrolled in early education</t>
  </si>
  <si>
    <t>Unduplicated number (count) of children enrolled in early childhood education divided by the population &lt;5 years of age (count) = %population &lt;5 years old enrolled in early childhood education</t>
  </si>
  <si>
    <t xml:space="preserve">Early Childhood Program Participation </t>
  </si>
  <si>
    <t>https://www.mischooldata.org/</t>
  </si>
  <si>
    <t>2019-2020</t>
  </si>
  <si>
    <t xml:space="preserve">See calculations tab </t>
  </si>
  <si>
    <t>Children 0-5 in Special Education(%)</t>
  </si>
  <si>
    <t>The number of children ages 0-5 who are in Special Education. The percent is based on the population ages 0-5.</t>
  </si>
  <si>
    <t>Michigan Department of Education</t>
  </si>
  <si>
    <t>% of population 25+ with Bachelor's Degree or higher</t>
  </si>
  <si>
    <t>American Community Survey, 5-year estimates Table S1501</t>
  </si>
  <si>
    <t>High school graduation rate/ old indicator = On-Time High School Graduation (%)</t>
  </si>
  <si>
    <t>The percent represents students who graduated four years after entering 9th grade. The percent is based on the cohort of students entering 9th grade four years earlier. (Some county totals include virtual schools whose students come from many counties, so this can lower their graduation rates. The counties most affected are Leelanau, Manistee and Berrien. )</t>
  </si>
  <si>
    <t>% Population 25 years and over - High school graduate (includes equivalency)</t>
  </si>
  <si>
    <t>Healthcare Access &amp; Quality</t>
  </si>
  <si>
    <t>Adults: No personal health check-up in the past year/old indicator = No personal health care provider (%)</t>
  </si>
  <si>
    <t>Adults who do not have at least 1 health care provider (Do you have one person you think of as your personal doctor or health care provider?)</t>
  </si>
  <si>
    <t>BRFS 2015-2019 MiThrive County</t>
  </si>
  <si>
    <t>Michigan Behavioral Risk Factor Surveillance Survey</t>
  </si>
  <si>
    <t xml:space="preserve">MI &amp; US values: https://chronicdata.cdc.gov/Behavioral-Risk-Factors/Behavioral-Risk-Factor-Surveillance-System-BRFSS-P/dttw-5yxu </t>
  </si>
  <si>
    <t>Not available online. Aggregate county-level data provided by MiBRFS epidemiologist</t>
  </si>
  <si>
    <t>Number of hospital stays for ambulatory-care sensitive conditions per 100,000 Medicare enrollees</t>
  </si>
  <si>
    <t>2021 Michigan Data</t>
  </si>
  <si>
    <t>Original Source: Dartmouth Atlas of Health Care (2015)</t>
  </si>
  <si>
    <t>% of civilian noninstitutionalized population of any age or ethnicity without health insurance</t>
  </si>
  <si>
    <t>Table S2701: Selected Charactersitics of Health Insurance Coverage in the United States</t>
  </si>
  <si>
    <t>https://data.census.gov/cedsci/table?q=uninsured&amp;tid=ACSST5Y2019.S2701&amp;hidePreview=true</t>
  </si>
  <si>
    <t>Underinsured</t>
  </si>
  <si>
    <t>% of persons without health insurance, under age 65 years</t>
  </si>
  <si>
    <t>https://www.census.gov/quickfacts/fact/table/charlevoixcountymichigan,alconacountymichigan/PST045219</t>
  </si>
  <si>
    <t>Provided link to census quick facts only reports uninsured, not underinsured</t>
  </si>
  <si>
    <t>Average HPSA Score - Primary Care</t>
  </si>
  <si>
    <t>Health Professional Shortage Area (HPSA) Designation Status (Designated)</t>
  </si>
  <si>
    <t>HPSA Status</t>
  </si>
  <si>
    <t>DHHS HRSA Data Warehouse</t>
  </si>
  <si>
    <t>https://data.hrsa.gov/tools/shortage-area/hpsa-find</t>
  </si>
  <si>
    <t>Varies by county (2016 - 2020)</t>
  </si>
  <si>
    <t>Averaage HPSA Score - Dental Health</t>
  </si>
  <si>
    <t>Average HPSA Score - Mental Health</t>
  </si>
  <si>
    <t>Fully immunized toddlers (%)</t>
  </si>
  <si>
    <t>Children 19-35 months of age who recieved the combined (4:3:1:3:3:1:4) vaccine series includes ≥4 doses of DTaP, ≥3 doses of poliovirus vaccine, ≥1 dose of measles-containing vaccine, full series of Hib vaccine (≥3 or ≥4 doses, depending on product type), ≥3 doses of HepB, ≥1 dose of varicella vaccine, and ≥4 doses of PCV.</t>
  </si>
  <si>
    <t>Current Immunization Profile by County: MCIR ages 19-36 Months: July 2021</t>
  </si>
  <si>
    <t>Michigan Care Improvement Registry (MCIR)</t>
  </si>
  <si>
    <t>https://www.mcir.org/providers/local-health-departments-lhd/county-data/</t>
  </si>
  <si>
    <t>Average from July 2020-July 2021</t>
  </si>
  <si>
    <t>Neighborhood &amp; Built Environment</t>
  </si>
  <si>
    <t>Gross rent is 35% or more of household income (%)</t>
  </si>
  <si>
    <t>Gross rent is 35% or more of household income as a proprotion of renting households where gross rent as a percentage of household income could be calculated</t>
  </si>
  <si>
    <t>Table DP04</t>
  </si>
  <si>
    <t>https://data.census.gov/cedsci/table?q=dp04&amp;g=0100000US_0400000US26_0500000US26001,26007,26009,26011,26019,26029,26031,26033,26035,26039,26047,26051,26055,26069,26073,26079,26085,26089,26097,26101,26105,26107,26113,26119,26123,26127,26129,26133,26135,26137,26141,26143,26165&amp;d=ACS%205-Year%20Estimates%20Data%20Profiles&amp;tid=ACSDP5Y2019.DP04&amp;hidePreview=true</t>
  </si>
  <si>
    <t>Gross mortgage is 35% or more of household income (%)</t>
  </si>
  <si>
    <t>Gross mortgage is 35% or more of household income as a proportion of households with mortgages where selected monthly owner costs as a percentage of household income could be computed</t>
  </si>
  <si>
    <t>Median Value of Owner-Occupied Homes</t>
  </si>
  <si>
    <t>Value is the respondent's estimate of how much the property (house and lot) would sell for if it were for sale. Includes only specified owner-occupied housing units--one-family houses on less than 10 acres without a business or medical office on the property (exclude mobile homes, houses with a business or medical office, houses on 10 or more acres, and housing units in multi-unit structures).</t>
  </si>
  <si>
    <t>Median value of owner-occupied housing units, 2015-2019</t>
  </si>
  <si>
    <t>Estimated from 3.5 million responses, and variable margin of error from county to county.</t>
  </si>
  <si>
    <t>Renters</t>
  </si>
  <si>
    <t>Percentage calculated from renter-occupied housing units as a proportion of total occupied housing units.</t>
  </si>
  <si>
    <t>https://data.census.gov/cedsci/table?q=dp04&amp;g=0100000US_0400000US26_0500000US26001,26007,26009,26011,26019,26029,26031,26033,26035,26039,26047,26051,26055,26069,26073,26079,26085,26089,26097,26101,26105,26107,26113,26119,26123,26127,26133,26135,26137,26141,26143,26165&amp;tid=ACSDP5Y2019.DP04&amp;hidePreview=true</t>
  </si>
  <si>
    <t>Vacant housing units (%)</t>
  </si>
  <si>
    <t>Vacant housing units expressed as a perfect of the total number of housing units in an area, both for ownership and renting</t>
  </si>
  <si>
    <t>American Community Survey, 5 year estimates</t>
  </si>
  <si>
    <t>https://data.census.gov/cedsci/table?q=housing%20availability&amp;t=Housing%3AHousing%20Units&amp;g=0100000US_0400000US26_0500000US26001,26007,26009,26011,26019,26029,26031,26033,26035,26039,26047,26051,26055,26069,26073,26079,26085,26089,26097,26101,26105,26107,26113,26119,26123,26127,26129,26133,26135,26137,26141,26143,26165&amp;d=ACS%205-Year%20Estimates%20Data%20Profiles&amp;tid=ACSDP5Y2019.DP04&amp;hidePreview=true</t>
  </si>
  <si>
    <t>The ACS includes people at the address where they are at the time of the survey if they have been there or will be there more than two months. A housing unit occupied at the time of interview entirely by people who will be there for 2 months or less is classified as “Vacant - Current Residence Elsewhere”.  Such units are included in the estimated number of vacant units.</t>
  </si>
  <si>
    <t>Number of Evictions (count)</t>
  </si>
  <si>
    <t>State Reported Cases of Evictions</t>
  </si>
  <si>
    <t>Court Statistics – Introduction Page</t>
  </si>
  <si>
    <t>Princeton Eviction Lab</t>
  </si>
  <si>
    <t>https://evictionlab.org/map/#/2016?geography=states&amp;bounds=-190.672,6.413,-44.648,62.45&amp;type=er&amp;locations=26,-87.449,45.693</t>
  </si>
  <si>
    <t>Original Source: Michigan State Judiciary</t>
  </si>
  <si>
    <t>Households with severe housing quality problems (%)</t>
  </si>
  <si>
    <t>Percentage of households with at least 1 of 4 housing problems: overcrowding, high housing costs, or lack of kitchen or plumbing facilities</t>
  </si>
  <si>
    <t>2018 Michigan Data</t>
  </si>
  <si>
    <t>2013-2017</t>
  </si>
  <si>
    <t>Original Source: Comprehensive Housing Affordability Strategy (CHAS) data (2010-2014)</t>
  </si>
  <si>
    <t>Households with broadband internet (%)</t>
  </si>
  <si>
    <t>% of households with a broadband internet subscription</t>
  </si>
  <si>
    <t>Table S2802</t>
  </si>
  <si>
    <t>Child Abuse/Neglect Rate per 1,000</t>
  </si>
  <si>
    <t>These numbers reflect an unduplicated count of children in a given fiscal year where alleged abuse or neglect is confirmed after an investigation. (These numbers reflect all categories where alleged abuse or neglect has been confirmed.) The rate is per 1,000 children ages 0-17.</t>
  </si>
  <si>
    <t>Children Ages 0-17 in Investigated Families in Michigan</t>
  </si>
  <si>
    <t>Social &amp; Community Context</t>
  </si>
  <si>
    <t>Child Food Insecurity  (%)</t>
  </si>
  <si>
    <t>% of children experiencing food insecurity</t>
  </si>
  <si>
    <t>Map the Meal Gap 2019</t>
  </si>
  <si>
    <t>Feeding America</t>
  </si>
  <si>
    <t>https://www.feedingamerica.org/research/map-the-meal-gap/by-county</t>
  </si>
  <si>
    <t>Population Food Insecurity  (%)</t>
  </si>
  <si>
    <t>% of population experiencing food insecurity</t>
  </si>
  <si>
    <t>SNAP-authorized stores/1,000 pop, 2017</t>
  </si>
  <si>
    <t>The average monthly number of stores in the county authorized to accept SNAP (Supplemental Nutrition Assistance Program, previously called Food Stamp Program) per 1,000 county residents.</t>
  </si>
  <si>
    <t>Food Environment Atlas &gt; Data Access and Documentation Downloads &gt; Current Version</t>
  </si>
  <si>
    <t>United States Department of Agriculture: Economic Research Service</t>
  </si>
  <si>
    <t>https://www.ers.usda.gov/data-products/food-environment-atlas/data-access-and-documentation-downloads/#Current%20Version</t>
  </si>
  <si>
    <t>Children 0-4 Receiving WIC (%)</t>
  </si>
  <si>
    <t>The percent of children who received benefits under the Women, Infants and Children program. The percent is based on the population ages 0-4.</t>
  </si>
  <si>
    <t>Michigan Department of Health and Human Services, Michigan WIC Program.</t>
  </si>
  <si>
    <t>Teens: 5+ servings per day of fruit, veg (%)</t>
  </si>
  <si>
    <t>Percentage of middle &amp; high school students who ate five or more servings per day of fruits and vegetables during the past seven days</t>
  </si>
  <si>
    <t>Weight &amp; Nutrition: Summary Table - MS &amp;HS combined</t>
  </si>
  <si>
    <t>Michigan Profile for Healthy Youth</t>
  </si>
  <si>
    <t>https://mdoe.state.mi.us/schoolhealthsurveys/ExternalReports/CountyReportGeneration.aspx</t>
  </si>
  <si>
    <t>20219-2020 (school year)</t>
  </si>
  <si>
    <t xml:space="preserve">Includes 7th, 9th &amp; 11th grade students surveyed. For MiPHY data, some counties were aggregated - the same value was used for each county separately (Alpena/Montmorency/Alcona; Chippewa/Luce/Mackinac; Crawford/Ogemaw/Roscomme/Oscoda) *Charlevoix county only has HS available </t>
  </si>
  <si>
    <t>Teens: 2 or more ACEs (Adverse Childhood Experiences) (%)</t>
  </si>
  <si>
    <t xml:space="preserve">Percentage of middle &amp; high school students who reported 2 or more of the following things happened to them during their life: -Death of a parent or care giver; Mental abuse; Physical abuse; Sexual abuse; Saw violence in home or neighborhood; Lived with person who had mental illness or attempted suicide; Lived with person who was an alcoholic or used drugs; Lived with person who </t>
  </si>
  <si>
    <t>Violence: Summary Table - MS &amp; HS combined</t>
  </si>
  <si>
    <t>2019-2020 (school year)</t>
  </si>
  <si>
    <t xml:space="preserve">Includes 7th, 9th &amp; 11th grade students surveyed. For MiPHY data, some counties were aggregated - the same value was used for each county separately (Alpena/Montmorency/Alcona; Chippewa/Luce/Mackinac; Crawford/Ogemaw/Roscommon/Oscoda) * Charlevoix County did not have MS number available, percentage is for HS only </t>
  </si>
  <si>
    <t>No Household Vehicle Available (%)</t>
  </si>
  <si>
    <t>% of occupied housing units with no vehicle available</t>
  </si>
  <si>
    <t>2019: ACS 5-Year Estimates Subject Tables Table S2504</t>
  </si>
  <si>
    <t>https://data.census.gov/cedsci/table?q=vehicle%20ownership&amp;g=0400000US26.050000&amp;tid=ACSST5Y2019.S2504&amp;hidePreview=true</t>
  </si>
  <si>
    <t>Political Participation, (2020 voter turnout  as a proportion of pop &gt;=18)</t>
  </si>
  <si>
    <t>2020 general election voter turnout by county as a proportion of the resident population who are at least 18 years old (%)</t>
  </si>
  <si>
    <t>2020 Michigan Election Voter Turnout by County</t>
  </si>
  <si>
    <t xml:space="preserve">Michigan Secretary of State </t>
  </si>
  <si>
    <t>https://mielections.us/election/results/2020GEN_CENR_TURNOUT.html#</t>
  </si>
  <si>
    <t xml:space="preserve">Additional population data for calculation gathered from https://www.census.gov/quickfacts/alconacountymichigan (total population and population &lt;18 years old). United States 2020 voter turnout gathered from www.electproject.org/2020g where the figure was calculated as the sum of total ballots counted for all states and DC. See calculations sheet of this document for each formula. </t>
  </si>
  <si>
    <t>Morbidity</t>
  </si>
  <si>
    <t>All Cancer Incidence Rate per 100,000</t>
  </si>
  <si>
    <t xml:space="preserve">All rates per 100,000.   Age-Adjusted to the 2000 US Standard Million Population. </t>
  </si>
  <si>
    <t>Age-Adjusted All Cancer Incidence Rates in Michigan: All Sites, 2011-2015</t>
  </si>
  <si>
    <t>© 2018 Michigan Cancer Surveillance Program.</t>
  </si>
  <si>
    <t>https://www.cancer-rates.info/mi/</t>
  </si>
  <si>
    <t>maps available</t>
  </si>
  <si>
    <t>Breast Cancer Incidence Rate per 100,000</t>
  </si>
  <si>
    <t>Age-Adjusted All Cancer Incidence Rates in Michigan: Breast (male&amp;female), 2011-2015</t>
  </si>
  <si>
    <t>Colorectal Cancer Incidence Rate per 100,000</t>
  </si>
  <si>
    <t>Age-Adjusted All Cancer Incidence Rates in Michigan: Colorectal, 2011-2015</t>
  </si>
  <si>
    <t>Lung and Bronchus Cancer Incidence Rate per 100,000</t>
  </si>
  <si>
    <t>Age-Adjusted All Cancer Incidence Rates in Michigan: Lung &amp; Bronchus, 2011-2015</t>
  </si>
  <si>
    <t>Oral Cavity and Pharynx Cancer Incidence Rate per 100,000</t>
  </si>
  <si>
    <t>Age-Adjusted All Cancer Incidence Rates in Michigan: Oral &amp; Pharynx, 2011-2015</t>
  </si>
  <si>
    <t>Cancer: 65+ (%)</t>
  </si>
  <si>
    <t>Prevalence</t>
  </si>
  <si>
    <t>Chronic Conditions Prevalence State/County Report: All Fee-for-Service Beneficiaries by Age, 2015</t>
  </si>
  <si>
    <t>Centers for Medicare &amp; Medicaid Services (CMS)</t>
  </si>
  <si>
    <t>https://www.cms.gov/Research-Statistics-Data-and-Systems/Statistics-Trends-and-Reports/Chronic-Conditions/CC_Main.html</t>
  </si>
  <si>
    <t>Adult: Ever told Diabetes (%)</t>
  </si>
  <si>
    <t>Have you ever been told by a doctor that you have diabetes? - Yes</t>
  </si>
  <si>
    <t>2015-2019 Aggregated</t>
  </si>
  <si>
    <t>Heart Disease (Adults)</t>
  </si>
  <si>
    <t>Diagnosis Rate per 10,000 population</t>
  </si>
  <si>
    <t>Hospitalizations by Diagnosis, Michigan 2019</t>
  </si>
  <si>
    <t>Michigan Health Statistics</t>
  </si>
  <si>
    <t>https://vitalstats.michigan.gov/osr/CHI/HOSPDX/FRAME.HTML</t>
  </si>
  <si>
    <t>Age group: All ages</t>
  </si>
  <si>
    <t>Teens: symptoms of a major depressive episode (%)</t>
  </si>
  <si>
    <t>Percentage of high school students who felt so sad or hopeless almost every day for two weeks or more in a row that they stopped doing some usual activities during the past 12 months</t>
  </si>
  <si>
    <t>Violence: Summary Table - HS</t>
  </si>
  <si>
    <t>Includes 9th &amp; 11th grade students surveyed. For MiPHY data, some counties were aggregated - the same value was used for each county separately (Alpena/Montmorency/Alcona; Chippewa/Luce/Mackinac; Crawford/Ogemaw/Roscomme/Oscoda; Mason/Lake</t>
  </si>
  <si>
    <t>Adult: Poor Mental Health on at Least 14 Days in the Past Month (%)</t>
  </si>
  <si>
    <t>2.2 Poor Mental Heatlh on at Least 14 Days in the Past Month</t>
  </si>
  <si>
    <t>Teens: Overweight  (%)</t>
  </si>
  <si>
    <t>Percentage of high school students who are overweight (at or above the 85th percentile and below the 95th percentile for BMI by age and sex)</t>
  </si>
  <si>
    <t>Weight and Nutrition: Summary Table - HS</t>
  </si>
  <si>
    <t>Teens: Obese  (%)</t>
  </si>
  <si>
    <t>Percentage of high school students who are obese (at or above the 95th percentile for BMI by age and sex)</t>
  </si>
  <si>
    <t>Adults: Obese (%)</t>
  </si>
  <si>
    <t>Obese (bmi 30.0 - 99.8). Weight classification by Body Mass Index (BMI) (variable calculated from one or more BRFSS questions)</t>
  </si>
  <si>
    <t>Adults: overweight (%)</t>
  </si>
  <si>
    <t>Overweight (bmi 25.0-29.9). Weight classification by Body Mass Index (BMI) (variable calculated from one or more BRFSS questions)</t>
  </si>
  <si>
    <t>Teens: Current asthma (%)</t>
  </si>
  <si>
    <t>Percentage of high school students who had been told by a doctor or nurse that they had asthma and still have asthma (i.e. current asthma)</t>
  </si>
  <si>
    <t>Tobacco: Summary Table - HS</t>
  </si>
  <si>
    <t>Adult: Ever told you had COPD (%)</t>
  </si>
  <si>
    <t>Percent of adults who have ever been told by a doctor that they have COPD</t>
  </si>
  <si>
    <t>COPD: 65+ (%)</t>
  </si>
  <si>
    <t>Self-Reported General Health Assessment: Poor or Fair (%)</t>
  </si>
  <si>
    <t>Self-Reported Health Status: Poor or Fair (variable calculated from one or more BRFSS questions)</t>
  </si>
  <si>
    <t>Pneumonia</t>
  </si>
  <si>
    <t>Teens: had at least one drink of alcohol during the past 30 days (%)</t>
  </si>
  <si>
    <t>Percentage of middle &amp; high school students who had at least one drink of alcohol during the past 30 days</t>
  </si>
  <si>
    <t>Alcohol &amp; Other Drugs: Summary Table - MS &amp; HS</t>
  </si>
  <si>
    <t>Includes 7th, 9th &amp; 11th grade students surveyed. For MiPHY data, some counties were aggregated - the same value was used for each county separately (Alpena/Montmorency/Alcona; Chippewa/Luce/Mackinac; Crawford/Ogemaw/Roscomme/Oscoda) *Charlevoix has HS only available</t>
  </si>
  <si>
    <t>Teens: took a prescription drug not prescribed to them, including painkillers, during the past 30 days (%)</t>
  </si>
  <si>
    <t>Percentage of middle &amp; high school students who took a prescription drug not prescribed to them, including painkillers, during the past 30 days</t>
  </si>
  <si>
    <t>Teens: used marijuana during the past 30 days (%)</t>
  </si>
  <si>
    <t>Percentage of middle &amp; high school students who used marijuana during the past 30 days</t>
  </si>
  <si>
    <t>Teens: smoked cigarettes during the past 30 days (%)</t>
  </si>
  <si>
    <t>Percentage of high school students who smoked cigarettes during the past 30 days</t>
  </si>
  <si>
    <t>Teens: chewing tobacco, snuff, dip, snus, or dissolvable tobacco products during the past 30 days (%)</t>
  </si>
  <si>
    <t>Percentage of high school students who used chewing tobacco, snuff, dip, snus, or dissolvable tobacco products during the past 30 days</t>
  </si>
  <si>
    <t>Teen: Vaping past 30 days (%)</t>
  </si>
  <si>
    <t>Percentage of high school students who used an electronic vapor product during the past 30 days</t>
  </si>
  <si>
    <t>Adult: Binge Drinking (%)</t>
  </si>
  <si>
    <t>Binge drinkers (males having five or more drinks on one occasion, females having four or more drinks on one occasion) (variable calculated from one or more BRFSS questions)</t>
  </si>
  <si>
    <t>Not available online. Aggregate county-level data provided by MiBRFS epidemiologist Yan Tian</t>
  </si>
  <si>
    <t>Number of hospital stays involving natural/semi-synthetic opioids, methadone, or synthetic opioids by any intent (accidental, intentional self-harm, assualt, or undetermined intent</t>
  </si>
  <si>
    <t>Michigan Substance Use Disorder Data Repository</t>
  </si>
  <si>
    <t>mi-suddr.com</t>
  </si>
  <si>
    <t xml:space="preserve">Mortality </t>
  </si>
  <si>
    <t>All causes of Death (Mortality Rate per 100,000)</t>
  </si>
  <si>
    <t>All Cuases of Death (Mortality Rate per 100,000)</t>
  </si>
  <si>
    <t>All Causes Death and Death Rates, Michigan Residents, Five-Year Age-Adjusted Mortaility Rate</t>
  </si>
  <si>
    <t>MDHHS Vital Records</t>
  </si>
  <si>
    <t>https://vitalstats.michigan.gov/osr/CHI/CRI/frame.asp</t>
  </si>
  <si>
    <t xml:space="preserve"> Cancer (Mortality Rate per 100,000)</t>
  </si>
  <si>
    <t>Rates are per 100,000 population. One of the 10 leading causes of death for Michigan residents in 2012-2016.</t>
  </si>
  <si>
    <t>Cancer Deaths and Death Rates, Michigan Residents, Five-year Average Age-adjusted Mortality Rate</t>
  </si>
  <si>
    <t xml:space="preserve"> Diabetes Mellitus (Mortality Rate per 100,000)</t>
  </si>
  <si>
    <t>Diabetes Mellitus Deaths and Death Rates</t>
  </si>
  <si>
    <t>2015-2019 (5yr avg)</t>
  </si>
  <si>
    <t xml:space="preserve"> Heart Disease (Mortality Rate per 100,000)</t>
  </si>
  <si>
    <t>Heart Disease Deaths and Death Rates</t>
  </si>
  <si>
    <t xml:space="preserve"> Influenza and pneumonia (Years potential life lost per 100,000)</t>
  </si>
  <si>
    <t>Rates are per 100,000 population under 75. Note: The years of potential life lost (YPLL) below age 75 is a measure of mortality designed to emphasize mortality which is prevalent among persons under age 75. The number of years of potential life lost is calculated as the number of years between the age at death and 75 years of age for persons dying before their 75th year.</t>
  </si>
  <si>
    <t xml:space="preserve">Five-year Average Rates of Years of Potential Life Lost Below Age 75 </t>
  </si>
  <si>
    <t>https://www.mdch.state.mi.us/osr/chi/deaths/frame.asp?Topic=13</t>
  </si>
  <si>
    <t>2015-2019 (5 yr avg)</t>
  </si>
  <si>
    <t>5-year average</t>
  </si>
  <si>
    <t>Injury Death Rate per 100,000</t>
  </si>
  <si>
    <t>Injury mortality per 100,000</t>
  </si>
  <si>
    <t>2013-2019</t>
  </si>
  <si>
    <t>Original Source: CDC WONDER mortality data (2012-2016)</t>
  </si>
  <si>
    <t>Motor Vehicle Crash Death Rate per 100,000</t>
  </si>
  <si>
    <t>per 100,000 people</t>
  </si>
  <si>
    <t>CDC WONDER mortality data</t>
  </si>
  <si>
    <t xml:space="preserve"> Unintentional Injuries (Mortality Rate per 100,000)</t>
  </si>
  <si>
    <t xml:space="preserve"> Intentional Self-harm (Suicide) (Mortality Rate per 100,000)</t>
  </si>
  <si>
    <t xml:space="preserve"> Chronic Lower Respiratory Diseases (Mortality Rate per 100,000)</t>
  </si>
  <si>
    <t>Chronic Lower Respiratory Diseases Deaths and Death Rates</t>
  </si>
  <si>
    <t xml:space="preserve"> Alzheimer's Disease (Mortality Rate per 100,000)</t>
  </si>
  <si>
    <t>Alzheimer's Disease Deaths and Death Rates</t>
  </si>
  <si>
    <t xml:space="preserve"> Kidney Disease (Mortality Rate per 100,000)</t>
  </si>
  <si>
    <t>Kidney Disease Deaths and Death Rates</t>
  </si>
  <si>
    <t xml:space="preserve"> Chronic Liver Disease and Cirrhosis (Mortality Rate per 100,000)</t>
  </si>
  <si>
    <t>Chronic Liver Disease Deaths and Death Rates</t>
  </si>
  <si>
    <t>2012-2016 (5yr avg)</t>
  </si>
  <si>
    <t>Motor vehicle deaths involving alcohol-impaired  (%)</t>
  </si>
  <si>
    <t>Percentage of driving deaths with alcohol involvement</t>
  </si>
  <si>
    <t>Fatality Analysis Reporting System</t>
  </si>
  <si>
    <t xml:space="preserve">Drug Use Mortality </t>
  </si>
  <si>
    <t>Number of drug-induced deaths by county</t>
  </si>
  <si>
    <t>MDCH Mortality Statistics</t>
  </si>
  <si>
    <t>JP changed data source d/t no updated data from Global Health Exchange</t>
  </si>
  <si>
    <t>Number of alcohol-induced deaths by county</t>
  </si>
  <si>
    <t>Table: Cheboygan County CSA Participant Responses</t>
  </si>
  <si>
    <t>Figure: Cheboygan County CSA Participant Votes for Most Important Focus Area</t>
  </si>
  <si>
    <t>Questions</t>
  </si>
  <si>
    <t>What comments resonated with you regarding strengths and opportunities?</t>
  </si>
  <si>
    <t>Where are you in agreement with the performance measure strengths and opportunities?</t>
  </si>
  <si>
    <t>To improve the performance measure score what changes need to be made?</t>
  </si>
  <si>
    <t>What challenges will need to be overcome?</t>
  </si>
  <si>
    <t>What are we really committed to working on to improve the community system?</t>
  </si>
  <si>
    <t>What are the first steps we need to take to move to action?</t>
  </si>
  <si>
    <t>Responses                       .</t>
  </si>
  <si>
    <t>Reduce Stigma</t>
  </si>
  <si>
    <t xml:space="preserve">Staff changes are a huge obstacle </t>
  </si>
  <si>
    <t>Significant transportation changes</t>
  </si>
  <si>
    <t>Clients getting over their pride to seek resources – It is not just stigma</t>
  </si>
  <si>
    <t>Talk with local county boards/leaders (x4)</t>
  </si>
  <si>
    <t>Encourage the community-at-large to advocate for positive change</t>
  </si>
  <si>
    <t>Stigma, stigma, stigma</t>
  </si>
  <si>
    <t>Sigma is an issue</t>
  </si>
  <si>
    <t>Housing (x4)</t>
  </si>
  <si>
    <t xml:space="preserve">Funding </t>
  </si>
  <si>
    <t>Resource guide - online and getting info out to the community (x3)</t>
  </si>
  <si>
    <t>Educating legislators on changes needed</t>
  </si>
  <si>
    <t>Community resource guide (x2)</t>
  </si>
  <si>
    <t>More info to the public is needed</t>
  </si>
  <si>
    <t>Childcare centers</t>
  </si>
  <si>
    <t>Community participation – recognizing how helping vulnerable populations helps the community as a whole</t>
  </si>
  <si>
    <t xml:space="preserve">Share the need </t>
  </si>
  <si>
    <t>Focus Area</t>
  </si>
  <si>
    <t>Votes for "What Focus Area stood out as most important?"</t>
  </si>
  <si>
    <t xml:space="preserve"> Identifying populations with barriers through community outreach and events</t>
  </si>
  <si>
    <t>Getting clients to utilize our free services</t>
  </si>
  <si>
    <t>The community not wanting to change</t>
  </si>
  <si>
    <t>Find a way top communicate in ONE place resources that are available for both internal (organizations) and external (clients)    - website, 211, other?</t>
  </si>
  <si>
    <t xml:space="preserve">Transportation Improvements </t>
  </si>
  <si>
    <t>Collaboration</t>
  </si>
  <si>
    <t>Information hub/clearinghouse – one place to call for referrals to correct agencies</t>
  </si>
  <si>
    <t>Staffing/Time</t>
  </si>
  <si>
    <t>Funding is needed</t>
  </si>
  <si>
    <t>Increase getting information out to the public</t>
  </si>
  <si>
    <t>Better communication to help with stigma issues</t>
  </si>
  <si>
    <t>We have always done it this way</t>
  </si>
  <si>
    <t>More participation in the community to help with improvements in resources</t>
  </si>
  <si>
    <t xml:space="preserve">Resource guide is needed </t>
  </si>
  <si>
    <t>Hand holding – some clients need more assistance than others (x3)</t>
  </si>
  <si>
    <r>
      <t xml:space="preserve">All organizations would </t>
    </r>
    <r>
      <rPr>
        <u/>
        <sz val="11"/>
        <color theme="1"/>
        <rFont val="Calibri"/>
        <family val="2"/>
        <scheme val="minor"/>
      </rPr>
      <t>Actively participate</t>
    </r>
    <r>
      <rPr>
        <sz val="11"/>
        <color theme="1"/>
        <rFont val="Calibri"/>
        <family val="2"/>
        <scheme val="minor"/>
      </rPr>
      <t xml:space="preserve"> in the HSCB or another entity – better collaboration, support, communication (x3)</t>
    </r>
  </si>
  <si>
    <t>Helping people become licensed daycare providers, education, funding</t>
  </si>
  <si>
    <t xml:space="preserve">Affordable Housing </t>
  </si>
  <si>
    <t>Workforce</t>
  </si>
  <si>
    <t>An HSCB website with resources</t>
  </si>
  <si>
    <t>Better communication with clients on what is available to them (free services)</t>
  </si>
  <si>
    <t>Proper training for workers</t>
  </si>
  <si>
    <t>Opportunities for better electronic communication (broadband coverage)</t>
  </si>
  <si>
    <t>Increase HSCB attendance and collaboration (employers valuing the collaboration and making it part of someone’s job</t>
  </si>
  <si>
    <t>Table: Cheboygan County CTSA-Aging Survey Comments by Associated Likert Scale Response</t>
  </si>
  <si>
    <t>Figure: Cheboygan County CTSA-Aging Survey Likert Scale Responses</t>
  </si>
  <si>
    <t>Likert Scale Response</t>
  </si>
  <si>
    <t>1 = "Strongly disagree"</t>
  </si>
  <si>
    <t>2 = "Mostly disagree"</t>
  </si>
  <si>
    <t>3 = "Neither agree nor disagree"</t>
  </si>
  <si>
    <t>4 - "Mostly agree"</t>
  </si>
  <si>
    <t>5= "Strongly agree"</t>
  </si>
  <si>
    <t>Comment Summaries</t>
  </si>
  <si>
    <t>Lack of housing, medical care providers for seniors</t>
  </si>
  <si>
    <t xml:space="preserve">I never thought about it </t>
  </si>
  <si>
    <t>Respondent Agreement with the following statement: "My community is a good place to age."</t>
  </si>
  <si>
    <t>1="Strongly disagree"</t>
  </si>
  <si>
    <t>2="Mostly disagree"</t>
  </si>
  <si>
    <t>3="Neither agree nor disagree"</t>
  </si>
  <si>
    <t>4="Mostly agree"</t>
  </si>
  <si>
    <t>5="Strongly agree"</t>
  </si>
  <si>
    <t>Total Responses</t>
  </si>
  <si>
    <t>Number of Responses</t>
  </si>
  <si>
    <t>Table: Cheboygan County CTSA-Children Survey Comments by Associated Likert Scale Response</t>
  </si>
  <si>
    <t>Figure: Cheboygan County CTSA-Children Survey Likert Scale Responses</t>
  </si>
  <si>
    <t>Severe lack of childcare optiopns</t>
  </si>
  <si>
    <t>There are not a lot of good resources available that work together, especially school and child care.</t>
  </si>
  <si>
    <t>Strong community togetherness when needs arise</t>
  </si>
  <si>
    <t>Respondent Agreement with the following statement: "This community is a good place to raise children."</t>
  </si>
  <si>
    <t>Table: Cheboygan County CTSA-Disability Survey Comments by Associated Likert Scale Response</t>
  </si>
  <si>
    <t>Figure: Cheboygan County CTSA-Disability Survey Likert Scale Responses</t>
  </si>
  <si>
    <t>Poor people</t>
  </si>
  <si>
    <t>Respondent Agreement with the following statement: "In this community, a person with a disability can live a full life."</t>
  </si>
  <si>
    <t>Table: Cheboygan County CTSA-Economic Survey Comments by Associated Likert Scale Response</t>
  </si>
  <si>
    <t>Figure: Cheboygan County CTSA-Economic Survey Likert Scale Responses</t>
  </si>
  <si>
    <t xml:space="preserve">Everyone is hiring </t>
  </si>
  <si>
    <t xml:space="preserve">Employed, 30 minute commute </t>
  </si>
  <si>
    <t>Respondent Agreement with the following statement: "There is economic opportunity in the community."</t>
  </si>
  <si>
    <t>Figure: Bar Graph of Zip Codes for Respondents to the CTSA-Community Survey in Cheboygan County</t>
  </si>
  <si>
    <t>Table: Zip Codes for Respondents to the CTSA-Community Survey in Cheboygan County</t>
  </si>
  <si>
    <t>What is your zip code?</t>
  </si>
  <si>
    <t>Zip Codes</t>
  </si>
  <si>
    <t>Other</t>
  </si>
  <si>
    <t>Total</t>
  </si>
  <si>
    <t>Figure: Bar Graph of Age Demographics for Respondents to the CTSA-Community Survey in Cheboygan County</t>
  </si>
  <si>
    <t>Table: Age Demographics for Respondents to the CTSA-Community Survey in Cheboygan County</t>
  </si>
  <si>
    <t>How old are you?</t>
  </si>
  <si>
    <t>Age Ranges (years)</t>
  </si>
  <si>
    <t>18-24</t>
  </si>
  <si>
    <t>25-39</t>
  </si>
  <si>
    <t>40-64</t>
  </si>
  <si>
    <t>65 and older</t>
  </si>
  <si>
    <t>Figure: Bar Graph of Health Insurance Plans of Respondents to the CTSA-Community Survey in Cheboygan County</t>
  </si>
  <si>
    <t>Table: Health Insurance Plans of Respondents to the CTSA-Community Survey in Cheboygan County</t>
  </si>
  <si>
    <t>What kind of health insurance do you have? (Select all that apply)</t>
  </si>
  <si>
    <t>Type of Health Insurance</t>
  </si>
  <si>
    <t>Medicaid and Health Michigan Plans</t>
  </si>
  <si>
    <t>Medicare</t>
  </si>
  <si>
    <t>Private/Employer-Sponsored Insurance</t>
  </si>
  <si>
    <t>Uninsured</t>
  </si>
  <si>
    <t>Unknown</t>
  </si>
  <si>
    <t>Other- Write In</t>
  </si>
  <si>
    <t>Write In Options Given</t>
  </si>
  <si>
    <t>Tricare Veteran (1)</t>
  </si>
  <si>
    <t>Figure: Bar Graph of Ethnicity Demographics for Respondents to the CTSA-Community Survey in Cheboygan County</t>
  </si>
  <si>
    <t>Table: Ethnicity Demographics for Respondents to the CTSA-Community Survey in Cheboygan County</t>
  </si>
  <si>
    <t>Which of the following best describes you? (Select all that apply)</t>
  </si>
  <si>
    <t>Ethnicity</t>
  </si>
  <si>
    <t>American Indian or Alaskan Native</t>
  </si>
  <si>
    <t>Asian</t>
  </si>
  <si>
    <t>Black or African American</t>
  </si>
  <si>
    <t>Hispanic or Latino/a/x</t>
  </si>
  <si>
    <t>Native Hawaiian or Other Pacific Islander</t>
  </si>
  <si>
    <t>White</t>
  </si>
  <si>
    <t xml:space="preserve">Prefer not to say </t>
  </si>
  <si>
    <t>Prefer to self-describe</t>
  </si>
  <si>
    <t xml:space="preserve">Self-describe </t>
  </si>
  <si>
    <t>German (1)</t>
  </si>
  <si>
    <t>Figure: Bar Graph of Income Demographics for Respondents to the CTSA-Community Survey in Cheboygan County</t>
  </si>
  <si>
    <t>Table: Income Demographics for Respondents to the CTSA-Community Survey in Cheboygan County</t>
  </si>
  <si>
    <t>What is your yearly household income?</t>
  </si>
  <si>
    <t>Income Range</t>
  </si>
  <si>
    <t>Less than $10,000</t>
  </si>
  <si>
    <t>$10,000 to $19,999</t>
  </si>
  <si>
    <t>$20,000 to $29,999</t>
  </si>
  <si>
    <t>$30,000 to $39,999</t>
  </si>
  <si>
    <t>$40,000 to $49,999</t>
  </si>
  <si>
    <t>$50,000 to $59,999</t>
  </si>
  <si>
    <t>$60,000 to $69,999</t>
  </si>
  <si>
    <t>$70,000 to $79,999</t>
  </si>
  <si>
    <t>$80,000 to $89,999</t>
  </si>
  <si>
    <t>$90,000 to $99,999</t>
  </si>
  <si>
    <t>Over $100,000</t>
  </si>
  <si>
    <t>Figure: Bar Graph of Number of Household Members (Including Self) for Respondents to the CTSA-Community Survey in Cheboygan County</t>
  </si>
  <si>
    <t>Table: Number of Household Members (Including Self) for Respondents to the CTSA-Community Survey in Cheboygan County</t>
  </si>
  <si>
    <t>Including yourself, how many people live in your household?</t>
  </si>
  <si>
    <t>Number of Household Members (Including Self)</t>
  </si>
  <si>
    <t>&gt;7</t>
  </si>
  <si>
    <t>Figure: Bar Graph of the Number of Respondents to the CTSA-Community Survey in Cheboygan County that Identify as Having a Disability</t>
  </si>
  <si>
    <t>Table: Number of Respondents to the CTSA-Community Survey in Cheboygan County that Identify as Having a Disability</t>
  </si>
  <si>
    <t>Do you identify as having a disability?</t>
  </si>
  <si>
    <t>Response</t>
  </si>
  <si>
    <t>Yes</t>
  </si>
  <si>
    <t>No</t>
  </si>
  <si>
    <t>Figure: Bar Graph of Self-Identified Disability Demographics for Respondents to the CTSA-Community Survey in Cheboygan County</t>
  </si>
  <si>
    <t>Table: Self-Identified Disability Demographics for Respondents to the CTSA-Community Survey in Cheboygan County</t>
  </si>
  <si>
    <t>(Based on previous question) Select all that apply.</t>
  </si>
  <si>
    <t>Type of Disability</t>
  </si>
  <si>
    <t>Physical Disability</t>
  </si>
  <si>
    <t>Mental Disability</t>
  </si>
  <si>
    <t>Emotional Disabiltiy</t>
  </si>
  <si>
    <t>Prefer not to say</t>
  </si>
  <si>
    <t>Self-describe</t>
  </si>
  <si>
    <t>After 4 knee surgeries, I see my vulnerability as a challenge (1), Visual (1)</t>
  </si>
  <si>
    <t>Figure: Bar Graph of Gender Demographics for Respondents to the CTSA-Community Survey in Cheboygan County</t>
  </si>
  <si>
    <t>Table: Gender Demographics for Respondents to the CTSA-Community Survey in Cheboygan County</t>
  </si>
  <si>
    <t>How do you identify your gender? (Select all that apply)</t>
  </si>
  <si>
    <t>Gender</t>
  </si>
  <si>
    <t>Female</t>
  </si>
  <si>
    <t>Male</t>
  </si>
  <si>
    <t>Non-binary</t>
  </si>
  <si>
    <t>Transgender</t>
  </si>
  <si>
    <t>Prefer not to answer</t>
  </si>
  <si>
    <t>Figure: Bar Graph of the Most Important Factors for a Thriving Community According to Respondents to the CTSA-Community Survey in Cheboygan County</t>
  </si>
  <si>
    <t>Table: Most Important Factors for a Thriving Community According to Respondents to the CTSA-Community Survey in CheboyganCounty</t>
  </si>
  <si>
    <t>In the following list, what do you think are the three most important factors for a thriving community? Select only three:</t>
  </si>
  <si>
    <t>Values</t>
  </si>
  <si>
    <t>Access to quality healthcare services</t>
  </si>
  <si>
    <t>Access to nutritious food</t>
  </si>
  <si>
    <t>Access to quality behavioral health services</t>
  </si>
  <si>
    <t>Disease and illness prevention</t>
  </si>
  <si>
    <t>Freedom from trauma, violence, and addiction</t>
  </si>
  <si>
    <t>Parks and green spaces</t>
  </si>
  <si>
    <t>Meaningful and rewarding work</t>
  </si>
  <si>
    <t>Clean environment</t>
  </si>
  <si>
    <t>Civic engagement</t>
  </si>
  <si>
    <t>Lifelong learning: Cradle to career</t>
  </si>
  <si>
    <t>Safe and affordable housing</t>
  </si>
  <si>
    <t>Reliable transportation</t>
  </si>
  <si>
    <t>Arts and cultural events</t>
  </si>
  <si>
    <t>Belonging and inclusion</t>
  </si>
  <si>
    <t>Disability accessibility</t>
  </si>
  <si>
    <t>Figure: Bar Graph of the Most Important Issues Impacting the Community According to Respondents to the CTSA-Community Survey in Cheboygan County</t>
  </si>
  <si>
    <t>Table: Most Important Issues Impacting the Community According to Respondents to the CTSA-Community Survey in Cheboygan County</t>
  </si>
  <si>
    <t>In the following list, what do you think are the three most important issues impacting your community? Check only three:</t>
  </si>
  <si>
    <t>Aging problems (e.g. arthritis, hearing/vision loss, etc.)</t>
  </si>
  <si>
    <t>Cancer</t>
  </si>
  <si>
    <t>Child abuse/neglect</t>
  </si>
  <si>
    <t>COVID-19</t>
  </si>
  <si>
    <t>Dental problems</t>
  </si>
  <si>
    <t>Diabetes</t>
  </si>
  <si>
    <t>Domestic violence</t>
  </si>
  <si>
    <t>Economic instability</t>
  </si>
  <si>
    <t>Heart disease and stroke</t>
  </si>
  <si>
    <t>Lack of access to healthcare services</t>
  </si>
  <si>
    <t>High blood pressure</t>
  </si>
  <si>
    <t>HIV/AIDS</t>
  </si>
  <si>
    <t>Homicide</t>
  </si>
  <si>
    <t>Infant death</t>
  </si>
  <si>
    <t>Infectious diseases (e.g. hepatitis, tuberculosis, etc.)</t>
  </si>
  <si>
    <t>Racism and discrimination</t>
  </si>
  <si>
    <t>Rape/sexual assault</t>
  </si>
  <si>
    <t>Respiratory/lung disease</t>
  </si>
  <si>
    <t>Sexually transmitted infections (STIs)</t>
  </si>
  <si>
    <t>Lack of quality healthcare services</t>
  </si>
  <si>
    <t>Substance use</t>
  </si>
  <si>
    <t>Teenage pregnancy</t>
  </si>
  <si>
    <t>Poor environmental health</t>
  </si>
  <si>
    <t>Lack of access to education</t>
  </si>
  <si>
    <t>Firearm-related injuries</t>
  </si>
  <si>
    <t>Lack of access to behavioral health services</t>
  </si>
  <si>
    <t>Motor vehicle crash injuries</t>
  </si>
  <si>
    <t>Neighborhood and built environment</t>
  </si>
  <si>
    <t>Lack of access to nutrious food</t>
  </si>
  <si>
    <t>Obesity</t>
  </si>
  <si>
    <t>Unreliable transportantion</t>
  </si>
  <si>
    <t>Lack of quality behavioral health services</t>
  </si>
  <si>
    <t>Lack of quality education</t>
  </si>
  <si>
    <t>Lack of safe and affortable housing</t>
  </si>
  <si>
    <t>Sucicide</t>
  </si>
  <si>
    <t>Write-in</t>
  </si>
  <si>
    <t xml:space="preserve">Write-in options given </t>
  </si>
  <si>
    <t>Lack of motivation to work (1), Lack of quality, affordable childcare (1), Lacking in strong sense of community (1), Lack of decent paying jobs (1)</t>
  </si>
  <si>
    <t>Figure: Bar Graph of Self-Reported Current Cantril Ladder Step for Respondents to the CTSA-Community Survey in Cheboygan County</t>
  </si>
  <si>
    <t>Table: Self-Reported Current Cantril Ladder Step for Respondents to the CTSA-Community Survey in Cheboygan County</t>
  </si>
  <si>
    <t>On which step of the ladder would you say you personally feel you stand at this time? (Cantril Ladder)</t>
  </si>
  <si>
    <t>Cantril Ladder Step</t>
  </si>
  <si>
    <t>Step 0</t>
  </si>
  <si>
    <t>Step 1</t>
  </si>
  <si>
    <t>Step 2</t>
  </si>
  <si>
    <t>Step 3</t>
  </si>
  <si>
    <t>Step 4</t>
  </si>
  <si>
    <t>Step 5</t>
  </si>
  <si>
    <t>Step 6</t>
  </si>
  <si>
    <t xml:space="preserve">Step 7 </t>
  </si>
  <si>
    <t>Step 8</t>
  </si>
  <si>
    <t>Step 9</t>
  </si>
  <si>
    <t>Step 10</t>
  </si>
  <si>
    <t>Figure: Bar Graph of Self-Reported Three Year Prospective Cantril Ladder Step for Respondents to the CTSA-Community Survey in Cheboygan County</t>
  </si>
  <si>
    <t>Table: Self-Reported Three Year Prospective Cantril Ladder Step for Respondents to the CTSA-Community Survey in Cheboygan County</t>
  </si>
  <si>
    <t>(Based on previous question) On which step of the ladder do you think you will stand about three years from now? (Cantril Ladder)</t>
  </si>
  <si>
    <t>Figure: Bar Graph of the Top Issues that Prevent Residents from Engaging in Physical Activity for Respondents to the CTSA-Community Survey in Cheboygan County</t>
  </si>
  <si>
    <t>Table: Top Issues that Prevent Residents from Engaging in Physical Activity for Respondents to the CTSA-Community Survey in Cheboygan County</t>
  </si>
  <si>
    <t>Think about your level of physical activity and ability to bike, walk, or roll from one place to another. Do any of the following issues prevent you from being more active in your community? (Select all that apply)</t>
  </si>
  <si>
    <t>Not enough sidewalks</t>
  </si>
  <si>
    <t>Not enough pedestrian paths, trails, or walkways</t>
  </si>
  <si>
    <t>Not enough bike lanes</t>
  </si>
  <si>
    <t>Not enough greenspaces</t>
  </si>
  <si>
    <t>Not enough wayfinding signage</t>
  </si>
  <si>
    <t>Not enough affordable recreation facilities</t>
  </si>
  <si>
    <t>Not enough affordable physical activity programs</t>
  </si>
  <si>
    <t>I feel unsafe in my community</t>
  </si>
  <si>
    <t>Not enough street lights</t>
  </si>
  <si>
    <t>Low accessibility</t>
  </si>
  <si>
    <t>I live a great distance from places in my community</t>
  </si>
  <si>
    <t>Other - Write in</t>
  </si>
  <si>
    <t>I don't experience any of these</t>
  </si>
  <si>
    <t>Write in options given</t>
  </si>
  <si>
    <t>Dying trees infecting the land &amp; public health (1), I have good income, a safe home (1)</t>
  </si>
  <si>
    <t>Figure: Bar Graph of Available Community Assets Identified by Respondents to the CTSA-Community Survey in Cheboygan County</t>
  </si>
  <si>
    <t>Table: Available Community Assets Identified by Respondents to the CTSA-Community Survey in Cheboygan County</t>
  </si>
  <si>
    <t>Check the box next to each asset you know is in your community (feel free to check as many or as few options as you wany):</t>
  </si>
  <si>
    <t>Community Center</t>
  </si>
  <si>
    <t>Seniors' Group/Services</t>
  </si>
  <si>
    <t>Special Interest Group</t>
  </si>
  <si>
    <t>Colleges or Universities</t>
  </si>
  <si>
    <t>Community College</t>
  </si>
  <si>
    <t>Before-/After-School Program</t>
  </si>
  <si>
    <t>Vocational/ Technical Education Program</t>
  </si>
  <si>
    <t>Hospital</t>
  </si>
  <si>
    <t>Healthcare Clinic</t>
  </si>
  <si>
    <t>Health Department</t>
  </si>
  <si>
    <t>Library</t>
  </si>
  <si>
    <t>Police Department</t>
  </si>
  <si>
    <t>Fire Department</t>
  </si>
  <si>
    <t>Emergency Medical Services</t>
  </si>
  <si>
    <t>Housing Organizations</t>
  </si>
  <si>
    <t>Food Pantry/ Kitchens</t>
  </si>
  <si>
    <t>Emergency Housing Shelters</t>
  </si>
  <si>
    <t>Halfway Houses</t>
  </si>
  <si>
    <t>Domestic Violence Shelters</t>
  </si>
  <si>
    <t>Advocacy Groups/ Coalitions</t>
  </si>
  <si>
    <t>Relgious Organizations</t>
  </si>
  <si>
    <t>Parks</t>
  </si>
  <si>
    <t>Public Pools</t>
  </si>
  <si>
    <t>Vacant Private Building or Lot</t>
  </si>
  <si>
    <t>Public Lake or Coastline</t>
  </si>
  <si>
    <t>Community Gardens</t>
  </si>
  <si>
    <t>Farmers' Market</t>
  </si>
  <si>
    <t>Cultural Organizations</t>
  </si>
  <si>
    <t>Hunting/. Sportsman Leagues</t>
  </si>
  <si>
    <t>United Way</t>
  </si>
  <si>
    <t>Community or Philanthropic Foundation</t>
  </si>
  <si>
    <t>Local Artists/ Musicians</t>
  </si>
  <si>
    <t>Community Leader</t>
  </si>
  <si>
    <t>Celebrity or Influential Figure</t>
  </si>
  <si>
    <t>Amateur Sports Leagues</t>
  </si>
  <si>
    <t>Political Organizations</t>
  </si>
  <si>
    <t>Behavioral Health Services</t>
  </si>
  <si>
    <t>Other - Write In (Required)</t>
  </si>
  <si>
    <t>12 (1), Activities square (1), Video games (1)</t>
  </si>
  <si>
    <t>Table: Names of Community Centers Identified by Respondents to the CTSA-Community Survey in Cheboygan County</t>
  </si>
  <si>
    <r>
      <rPr>
        <sz val="20"/>
        <rFont val="Calibri"/>
        <family val="2"/>
      </rPr>
      <t>•</t>
    </r>
    <r>
      <rPr>
        <sz val="12"/>
        <rFont val="Calibri"/>
        <family val="2"/>
      </rPr>
      <t xml:space="preserve"> </t>
    </r>
    <r>
      <rPr>
        <sz val="20"/>
        <rFont val="Calibri"/>
        <family val="2"/>
        <scheme val="minor"/>
      </rPr>
      <t xml:space="preserve">Cheboygan Recreation Center 
</t>
    </r>
    <r>
      <rPr>
        <sz val="20"/>
        <rFont val="Calibri"/>
        <family val="2"/>
      </rPr>
      <t>•</t>
    </r>
    <r>
      <rPr>
        <sz val="12"/>
        <rFont val="Calibri"/>
        <family val="2"/>
      </rPr>
      <t xml:space="preserve"> </t>
    </r>
    <r>
      <rPr>
        <sz val="20"/>
        <rFont val="Calibri"/>
        <family val="2"/>
        <scheme val="minor"/>
      </rPr>
      <t xml:space="preserve">Cheboygan Youth Center  </t>
    </r>
  </si>
  <si>
    <t>Table: Names of Seniors' Group/Services Identified by Respondents to the CTSA-Community Survey in Cheboygan County</t>
  </si>
  <si>
    <r>
      <rPr>
        <sz val="20"/>
        <rFont val="Calibri"/>
        <family val="2"/>
      </rPr>
      <t xml:space="preserve">• </t>
    </r>
    <r>
      <rPr>
        <sz val="20"/>
        <rFont val="Calibri"/>
        <family val="2"/>
        <scheme val="minor"/>
      </rPr>
      <t xml:space="preserve">Cheboygan County Council on Aging  
</t>
    </r>
    <r>
      <rPr>
        <sz val="20"/>
        <rFont val="Calibri"/>
        <family val="2"/>
      </rPr>
      <t xml:space="preserve">• </t>
    </r>
    <r>
      <rPr>
        <sz val="20"/>
        <rFont val="Calibri"/>
        <family val="2"/>
        <scheme val="minor"/>
      </rPr>
      <t xml:space="preserve">Wawatam Area Senior Center </t>
    </r>
  </si>
  <si>
    <t>Table: Names of Special Interest Groups Identified by Respondents to the CTSA-Community Survey in Cheboygan County</t>
  </si>
  <si>
    <r>
      <rPr>
        <sz val="20"/>
        <rFont val="Calibri"/>
        <family val="2"/>
      </rPr>
      <t xml:space="preserve">• </t>
    </r>
    <r>
      <rPr>
        <sz val="20"/>
        <rFont val="Calibri"/>
        <family val="2"/>
        <scheme val="minor"/>
      </rPr>
      <t xml:space="preserve">Alcona County Chamber of Commerce 
</t>
    </r>
    <r>
      <rPr>
        <sz val="20"/>
        <rFont val="Calibri"/>
        <family val="2"/>
      </rPr>
      <t xml:space="preserve">• </t>
    </r>
    <r>
      <rPr>
        <sz val="20"/>
        <rFont val="Calibri"/>
        <family val="2"/>
        <scheme val="minor"/>
      </rPr>
      <t xml:space="preserve">Mackinaw Women’s Club </t>
    </r>
  </si>
  <si>
    <t>Table: Names of Colleges/Universities Identified by Respondents to the CTSA-Community Survey in Cheboygan County</t>
  </si>
  <si>
    <t>• None Identified</t>
  </si>
  <si>
    <t>Table: Names of Community Colleges Identified by Respondents to the CTSA-Community Survey in Cheboygan County</t>
  </si>
  <si>
    <r>
      <rPr>
        <sz val="20"/>
        <color theme="1"/>
        <rFont val="Calibri"/>
        <family val="2"/>
      </rPr>
      <t>•</t>
    </r>
    <r>
      <rPr>
        <sz val="20"/>
        <color theme="1"/>
        <rFont val="Calibri"/>
        <family val="2"/>
        <scheme val="minor"/>
      </rPr>
      <t>North Central Michigan College – Cheboygan Center</t>
    </r>
    <r>
      <rPr>
        <sz val="11"/>
        <color theme="1"/>
        <rFont val="Calibri"/>
        <family val="2"/>
        <scheme val="minor"/>
      </rPr>
      <t xml:space="preserve"> </t>
    </r>
  </si>
  <si>
    <t>Table: Names of Before-/After- School Programs Identified by Respondents to the CTSA-Community Survey in Cheboygan County</t>
  </si>
  <si>
    <t>Table: Names of Vocational/Technical Education Programs Identified by Respondents to the CTSA-Community Survey in Cheboygan County</t>
  </si>
  <si>
    <t>Table: Names of Hospitals Identified by Respondents to the CTSA-Community Survey in Cheboygan County</t>
  </si>
  <si>
    <r>
      <rPr>
        <sz val="20"/>
        <color theme="1"/>
        <rFont val="Calibri"/>
        <family val="2"/>
      </rPr>
      <t>•</t>
    </r>
    <r>
      <rPr>
        <sz val="20"/>
        <color theme="1"/>
        <rFont val="Calibri"/>
        <family val="2"/>
        <scheme val="minor"/>
      </rPr>
      <t xml:space="preserve"> McLaren Northern Michigan – Cheboygan Campus </t>
    </r>
  </si>
  <si>
    <t>Table: Names of Healthcare Clinics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</si>
  <si>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Alcona Health Center  
</t>
    </r>
    <r>
      <rPr>
        <sz val="20"/>
        <color theme="1"/>
        <rFont val="Calibri"/>
        <family val="2"/>
      </rPr>
      <t>•</t>
    </r>
    <r>
      <rPr>
        <sz val="12"/>
        <color theme="1"/>
        <rFont val="Calibri"/>
        <family val="2"/>
      </rPr>
      <t xml:space="preserve"> </t>
    </r>
    <r>
      <rPr>
        <sz val="20"/>
        <color theme="1"/>
        <rFont val="Calibri"/>
        <family val="2"/>
        <scheme val="minor"/>
      </rPr>
      <t xml:space="preserve">Rivertown Medical Clinic 
</t>
    </r>
    <r>
      <rPr>
        <sz val="20"/>
        <color theme="1"/>
        <rFont val="Calibri"/>
        <family val="2"/>
      </rPr>
      <t>•</t>
    </r>
    <r>
      <rPr>
        <sz val="12"/>
        <color theme="1"/>
        <rFont val="Calibri"/>
        <family val="2"/>
      </rPr>
      <t xml:space="preserve"> </t>
    </r>
    <r>
      <rPr>
        <sz val="20"/>
        <color theme="1"/>
        <rFont val="Calibri"/>
        <family val="2"/>
        <scheme val="minor"/>
      </rPr>
      <t xml:space="preserve">Thunder Bay Community Health Service, Inc.  </t>
    </r>
  </si>
  <si>
    <t>Table: Names of Substance Abuse Clinics Identified by Respondents to the CTSA-Community Survey in Cheboygan County</t>
  </si>
  <si>
    <t>Table: Names of Health Departments Identified by Respondents to the CTSA-Community Survey in Cheboygan County</t>
  </si>
  <si>
    <r>
      <rPr>
        <sz val="20"/>
        <color theme="1"/>
        <rFont val="Calibri"/>
        <family val="2"/>
      </rPr>
      <t xml:space="preserve">• </t>
    </r>
    <r>
      <rPr>
        <sz val="20"/>
        <color theme="1"/>
        <rFont val="Calibri"/>
        <family val="2"/>
        <scheme val="minor"/>
      </rPr>
      <t xml:space="preserve">District Health Department #4 </t>
    </r>
  </si>
  <si>
    <t>Table: Names of Libraries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</si>
  <si>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Cheboygan Public Library  
</t>
    </r>
    <r>
      <rPr>
        <sz val="20"/>
        <color theme="1"/>
        <rFont val="Calibri"/>
        <family val="2"/>
      </rPr>
      <t>•</t>
    </r>
    <r>
      <rPr>
        <sz val="12"/>
        <color theme="1"/>
        <rFont val="Calibri"/>
        <family val="2"/>
      </rPr>
      <t xml:space="preserve"> </t>
    </r>
    <r>
      <rPr>
        <sz val="20"/>
        <color theme="1"/>
        <rFont val="Calibri"/>
        <family val="2"/>
        <scheme val="minor"/>
      </rPr>
      <t xml:space="preserve">Mackinaw Area Public Library  
</t>
    </r>
    <r>
      <rPr>
        <sz val="20"/>
        <color theme="1"/>
        <rFont val="Calibri"/>
        <family val="2"/>
      </rPr>
      <t>•</t>
    </r>
    <r>
      <rPr>
        <sz val="12"/>
        <color theme="1"/>
        <rFont val="Calibri"/>
        <family val="2"/>
      </rPr>
      <t xml:space="preserve"> </t>
    </r>
    <r>
      <rPr>
        <sz val="20"/>
        <color theme="1"/>
        <rFont val="Calibri"/>
        <family val="2"/>
        <scheme val="minor"/>
      </rPr>
      <t xml:space="preserve">Indian River Area Library  
</t>
    </r>
    <r>
      <rPr>
        <sz val="20"/>
        <color theme="1"/>
        <rFont val="Calibri"/>
        <family val="2"/>
      </rPr>
      <t>•</t>
    </r>
    <r>
      <rPr>
        <sz val="12"/>
        <color theme="1"/>
        <rFont val="Calibri"/>
        <family val="2"/>
      </rPr>
      <t xml:space="preserve"> </t>
    </r>
    <r>
      <rPr>
        <sz val="20"/>
        <color theme="1"/>
        <rFont val="Calibri"/>
        <family val="2"/>
        <scheme val="minor"/>
      </rPr>
      <t xml:space="preserve">Topinabee Public Library </t>
    </r>
  </si>
  <si>
    <t>Table: Names of Police Departments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</si>
  <si>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Cheboygan Police Department  
</t>
    </r>
    <r>
      <rPr>
        <sz val="20"/>
        <color theme="1"/>
        <rFont val="Calibri"/>
        <family val="2"/>
      </rPr>
      <t>•</t>
    </r>
    <r>
      <rPr>
        <sz val="12"/>
        <color theme="1"/>
        <rFont val="Calibri"/>
        <family val="2"/>
      </rPr>
      <t xml:space="preserve"> </t>
    </r>
    <r>
      <rPr>
        <sz val="20"/>
        <color theme="1"/>
        <rFont val="Calibri"/>
        <family val="2"/>
        <scheme val="minor"/>
      </rPr>
      <t xml:space="preserve">Cheboygan County Sheriff’s Office 
</t>
    </r>
    <r>
      <rPr>
        <sz val="20"/>
        <color theme="1"/>
        <rFont val="Calibri"/>
        <family val="2"/>
      </rPr>
      <t>•</t>
    </r>
    <r>
      <rPr>
        <sz val="12"/>
        <color theme="1"/>
        <rFont val="Calibri"/>
        <family val="2"/>
      </rPr>
      <t xml:space="preserve"> </t>
    </r>
    <r>
      <rPr>
        <sz val="20"/>
        <color theme="1"/>
        <rFont val="Calibri"/>
        <family val="2"/>
        <scheme val="minor"/>
      </rPr>
      <t xml:space="preserve">Mackinaw City Police Department  
</t>
    </r>
    <r>
      <rPr>
        <sz val="20"/>
        <color theme="1"/>
        <rFont val="Calibri"/>
        <family val="2"/>
      </rPr>
      <t>•</t>
    </r>
    <r>
      <rPr>
        <sz val="12"/>
        <color theme="1"/>
        <rFont val="Calibri"/>
        <family val="2"/>
      </rPr>
      <t xml:space="preserve"> </t>
    </r>
    <r>
      <rPr>
        <sz val="20"/>
        <color theme="1"/>
        <rFont val="Calibri"/>
        <family val="2"/>
        <scheme val="minor"/>
      </rPr>
      <t xml:space="preserve">Michigan State Police District 7 
</t>
    </r>
    <r>
      <rPr>
        <sz val="20"/>
        <color theme="1"/>
        <rFont val="Calibri"/>
        <family val="2"/>
      </rPr>
      <t>•</t>
    </r>
    <r>
      <rPr>
        <sz val="12"/>
        <color theme="1"/>
        <rFont val="Calibri"/>
        <family val="2"/>
      </rPr>
      <t xml:space="preserve"> </t>
    </r>
    <r>
      <rPr>
        <sz val="20"/>
        <color theme="1"/>
        <rFont val="Calibri"/>
        <family val="2"/>
        <scheme val="minor"/>
      </rPr>
      <t xml:space="preserve">Tuscarora Township Police Department </t>
    </r>
  </si>
  <si>
    <t>Table: Names of Fire Departments Identified by Respondents to the CTSA-Community Survey in CheboyganCounty</t>
  </si>
  <si>
    <t>Table: Names of Emergency Medical Services Identified by Respondents to the CTSA-Community Survey in Cheboygan County</t>
  </si>
  <si>
    <r>
      <rPr>
        <sz val="20"/>
        <color theme="1"/>
        <rFont val="Calibri"/>
        <family val="2"/>
      </rPr>
      <t>•</t>
    </r>
    <r>
      <rPr>
        <sz val="20"/>
        <color theme="1"/>
        <rFont val="Calibri"/>
        <family val="2"/>
        <scheme val="minor"/>
      </rPr>
      <t xml:space="preserve"> Cheboygan Life Support Systems  </t>
    </r>
  </si>
  <si>
    <t>Table: Names of Housing Organizations Identified by Respondents to the CTSA-Community Survey in Cheboygan County</t>
  </si>
  <si>
    <t xml:space="preserve">• Cheboygan Housing Commission  
• Cheboygan County Habitat for Humanity  
• Northeast Michigan Community Service Agency (NEMCSA) </t>
  </si>
  <si>
    <t>Table: Names of Food Pantries/Kitchens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</si>
  <si>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Cheboygan Compassionate Ministries, Inc and The Lord’s Kitchen  
• Church of the Straits – Food Pantry  
• Awaken Church – Courtesy Club Food Pantry  
• St. Thomas Food Pantry – Food Distribution Center  
• Black River Full Gospel Community – Food Pantry  </t>
    </r>
  </si>
  <si>
    <t>Table: Names of Emergency Housing Shelters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</si>
  <si>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Women’s Resource Center of Northern Michigan, Inc. – Cheboygan Office </t>
    </r>
  </si>
  <si>
    <t>Table: Names of Halfway Houses Identified by Respondents to the CTSA-Community Survey in Cheboygan County</t>
  </si>
  <si>
    <t>Table: Names of Domestic Violence Shelters Identified by Respondents to the CTSA-Community Survey in Cheboygan County</t>
  </si>
  <si>
    <r>
      <rPr>
        <sz val="20"/>
        <color theme="1"/>
        <rFont val="Calibri"/>
        <family val="2"/>
      </rPr>
      <t xml:space="preserve">• </t>
    </r>
    <r>
      <rPr>
        <sz val="20"/>
        <color theme="1"/>
        <rFont val="Calibri"/>
        <family val="2"/>
        <scheme val="minor"/>
      </rPr>
      <t xml:space="preserve">Women’s Resource Center of Northern Michigan, Inc. – Cheboygan Office </t>
    </r>
  </si>
  <si>
    <t>Table: Names of Advocacy Groups/Coalitions Identified by Respondents to the CTSA-Community Survey in Cheboygan County</t>
  </si>
  <si>
    <r>
      <rPr>
        <sz val="20"/>
        <color theme="1"/>
        <rFont val="Calibri"/>
        <family val="2"/>
      </rPr>
      <t xml:space="preserve">• </t>
    </r>
    <r>
      <rPr>
        <sz val="20"/>
        <color theme="1"/>
        <rFont val="Calibri"/>
        <family val="2"/>
        <scheme val="minor"/>
      </rPr>
      <t xml:space="preserve">Cheboygan County Habitat for Humanity  
</t>
    </r>
    <r>
      <rPr>
        <sz val="20"/>
        <color theme="1"/>
        <rFont val="Calibri"/>
        <family val="2"/>
      </rPr>
      <t xml:space="preserve">• </t>
    </r>
    <r>
      <rPr>
        <sz val="20"/>
        <color theme="1"/>
        <rFont val="Calibri"/>
        <family val="2"/>
        <scheme val="minor"/>
      </rPr>
      <t xml:space="preserve">Human Services Coordinating Body – Cheboygan 
</t>
    </r>
    <r>
      <rPr>
        <sz val="20"/>
        <color theme="1"/>
        <rFont val="Calibri"/>
        <family val="2"/>
      </rPr>
      <t xml:space="preserve">• </t>
    </r>
    <r>
      <rPr>
        <sz val="20"/>
        <color theme="1"/>
        <rFont val="Calibri"/>
        <family val="2"/>
        <scheme val="minor"/>
      </rPr>
      <t xml:space="preserve">Women’s Resource Center of Northern Michigan, Inc. – Cheboygan Office </t>
    </r>
  </si>
  <si>
    <t>Table: Names of Religious Organizations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</si>
  <si>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Mackinaw City Bible Church  
</t>
    </r>
    <r>
      <rPr>
        <sz val="20"/>
        <color theme="1"/>
        <rFont val="Calibri"/>
        <family val="2"/>
      </rPr>
      <t>•</t>
    </r>
    <r>
      <rPr>
        <sz val="12"/>
        <color theme="1"/>
        <rFont val="Calibri"/>
        <family val="2"/>
      </rPr>
      <t xml:space="preserve"> </t>
    </r>
    <r>
      <rPr>
        <sz val="20"/>
        <color theme="1"/>
        <rFont val="Calibri"/>
        <family val="2"/>
        <scheme val="minor"/>
      </rPr>
      <t xml:space="preserve">Saint Mary/ Saint Charles Catholic Church, Cheboygan 
</t>
    </r>
    <r>
      <rPr>
        <sz val="20"/>
        <color theme="1"/>
        <rFont val="Calibri"/>
        <family val="2"/>
      </rPr>
      <t>•</t>
    </r>
    <r>
      <rPr>
        <sz val="20"/>
        <color theme="1"/>
        <rFont val="Calibri"/>
        <family val="2"/>
        <scheme val="minor"/>
      </rPr>
      <t xml:space="preserve"> Church of the Straits 
</t>
    </r>
    <r>
      <rPr>
        <sz val="20"/>
        <color theme="1"/>
        <rFont val="Calibri"/>
        <family val="2"/>
      </rPr>
      <t xml:space="preserve">• </t>
    </r>
    <r>
      <rPr>
        <sz val="20"/>
        <color theme="1"/>
        <rFont val="Calibri"/>
        <family val="2"/>
        <scheme val="minor"/>
      </rPr>
      <t xml:space="preserve">St. Paul United Methodist  
</t>
    </r>
    <r>
      <rPr>
        <sz val="20"/>
        <color theme="1"/>
        <rFont val="Calibri"/>
        <family val="2"/>
      </rPr>
      <t>•</t>
    </r>
    <r>
      <rPr>
        <sz val="12"/>
        <color theme="1"/>
        <rFont val="Calibri"/>
        <family val="2"/>
      </rPr>
      <t xml:space="preserve"> </t>
    </r>
    <r>
      <rPr>
        <sz val="20"/>
        <color theme="1"/>
        <rFont val="Calibri"/>
        <family val="2"/>
        <scheme val="minor"/>
      </rPr>
      <t xml:space="preserve">St. John Lutheran Church </t>
    </r>
  </si>
  <si>
    <t>Table: Names of Parks Identified by Respondents to the CTSA-Community Survey in Cheboygan County</t>
  </si>
  <si>
    <t>Table: Names of Public Pools Identified by Respondents to the CTSA-Community Survey in Cheboygan County</t>
  </si>
  <si>
    <t>Table: Names of Vacant Private Buildings or Lots Identified by Respondents to the CTSA-Community Survey in Cheboygan County</t>
  </si>
  <si>
    <t>Table: Names of Public Lakes or Coastlines Identified by Respondents to the CTSA-Community Survey in Cheboygan County</t>
  </si>
  <si>
    <t>Table: Names of Community Gardens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</si>
  <si>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Mackinaw Area Historical Society Heritage Village  
</t>
    </r>
    <r>
      <rPr>
        <sz val="20"/>
        <color theme="1"/>
        <rFont val="Calibri"/>
        <family val="2"/>
      </rPr>
      <t>•</t>
    </r>
    <r>
      <rPr>
        <sz val="12"/>
        <color theme="1"/>
        <rFont val="Calibri"/>
        <family val="2"/>
      </rPr>
      <t xml:space="preserve"> </t>
    </r>
    <r>
      <rPr>
        <sz val="20"/>
        <color theme="1"/>
        <rFont val="Calibri"/>
        <family val="2"/>
        <scheme val="minor"/>
      </rPr>
      <t xml:space="preserve">The Eastside Community Garden </t>
    </r>
  </si>
  <si>
    <t>Table: Names of Farmers Markets Identified by Respondents to the CTSA-Community Survey in Cheboygan County</t>
  </si>
  <si>
    <r>
      <rPr>
        <sz val="20"/>
        <color theme="1"/>
        <rFont val="Calibri"/>
        <family val="2"/>
      </rPr>
      <t xml:space="preserve">• </t>
    </r>
    <r>
      <rPr>
        <sz val="20"/>
        <color theme="1"/>
        <rFont val="Calibri"/>
        <family val="2"/>
        <scheme val="minor"/>
      </rPr>
      <t xml:space="preserve">Cheboygan Farmers Market  </t>
    </r>
  </si>
  <si>
    <t>Table: Names of Cultural Organizations Identified by Respondents to the CTSA-Community Survey in Cheboygan County</t>
  </si>
  <si>
    <r>
      <rPr>
        <sz val="20"/>
        <color theme="1"/>
        <rFont val="Calibri"/>
        <family val="2"/>
      </rPr>
      <t xml:space="preserve">• </t>
    </r>
    <r>
      <rPr>
        <sz val="20"/>
        <color theme="1"/>
        <rFont val="Calibri"/>
        <family val="2"/>
        <scheme val="minor"/>
      </rPr>
      <t xml:space="preserve">Mackinaw Area Historical Society Heritage Village 
</t>
    </r>
    <r>
      <rPr>
        <sz val="20"/>
        <color theme="1"/>
        <rFont val="Calibri"/>
        <family val="2"/>
      </rPr>
      <t xml:space="preserve">• </t>
    </r>
    <r>
      <rPr>
        <sz val="20"/>
        <color theme="1"/>
        <rFont val="Calibri"/>
        <family val="2"/>
        <scheme val="minor"/>
      </rPr>
      <t xml:space="preserve">Mackinaw City Area Arts Council </t>
    </r>
  </si>
  <si>
    <t>Table: Names of Hunting/Sportsman Leagues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</si>
  <si>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Cheboygan Sportsmans Club 
</t>
    </r>
    <r>
      <rPr>
        <sz val="20"/>
        <color theme="1"/>
        <rFont val="Calibri"/>
        <family val="2"/>
      </rPr>
      <t>•</t>
    </r>
    <r>
      <rPr>
        <sz val="12"/>
        <color theme="1"/>
        <rFont val="Calibri"/>
        <family val="2"/>
      </rPr>
      <t xml:space="preserve"> </t>
    </r>
    <r>
      <rPr>
        <sz val="20"/>
        <color theme="1"/>
        <rFont val="Calibri"/>
        <family val="2"/>
        <scheme val="minor"/>
      </rPr>
      <t xml:space="preserve">Black Lake Sportsmen’s Club – Onaway, Michigan 
</t>
    </r>
    <r>
      <rPr>
        <sz val="20"/>
        <color theme="1"/>
        <rFont val="Calibri"/>
        <family val="2"/>
      </rPr>
      <t>•</t>
    </r>
    <r>
      <rPr>
        <sz val="12"/>
        <color theme="1"/>
        <rFont val="Calibri"/>
        <family val="2"/>
      </rPr>
      <t xml:space="preserve"> </t>
    </r>
    <r>
      <rPr>
        <sz val="20"/>
        <color theme="1"/>
        <rFont val="Calibri"/>
        <family val="2"/>
        <scheme val="minor"/>
      </rPr>
      <t xml:space="preserve">Indian River Sportsman's Club 
</t>
    </r>
    <r>
      <rPr>
        <sz val="20"/>
        <color theme="1"/>
        <rFont val="Calibri"/>
        <family val="2"/>
      </rPr>
      <t>•</t>
    </r>
    <r>
      <rPr>
        <sz val="12"/>
        <color theme="1"/>
        <rFont val="Calibri"/>
        <family val="2"/>
      </rPr>
      <t xml:space="preserve"> </t>
    </r>
    <r>
      <rPr>
        <sz val="20"/>
        <color theme="1"/>
        <rFont val="Calibri"/>
        <family val="2"/>
        <scheme val="minor"/>
      </rPr>
      <t xml:space="preserve">Ducks Unlimited – Cheboygan County  </t>
    </r>
  </si>
  <si>
    <t>Table: Names of United Ways Identified by Respondents to the CTSA-Community Survey in Cheboygan County</t>
  </si>
  <si>
    <r>
      <rPr>
        <sz val="20"/>
        <color theme="1"/>
        <rFont val="Calibri"/>
        <family val="2"/>
      </rPr>
      <t xml:space="preserve">• </t>
    </r>
    <r>
      <rPr>
        <sz val="20"/>
        <color theme="1"/>
        <rFont val="Calibri"/>
        <family val="2"/>
        <scheme val="minor"/>
      </rPr>
      <t xml:space="preserve">Cheboygan County United Way  </t>
    </r>
  </si>
  <si>
    <t>Table: Names of Community or Philanthropic Organizations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</si>
  <si>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Straits Area Youth Advisory Council (YAC) Grants  
</t>
    </r>
    <r>
      <rPr>
        <sz val="20"/>
        <color theme="1"/>
        <rFont val="Calibri"/>
        <family val="2"/>
      </rPr>
      <t>•</t>
    </r>
    <r>
      <rPr>
        <sz val="12"/>
        <color theme="1"/>
        <rFont val="Calibri"/>
        <family val="2"/>
      </rPr>
      <t xml:space="preserve"> </t>
    </r>
    <r>
      <rPr>
        <sz val="20"/>
        <color theme="1"/>
        <rFont val="Calibri"/>
        <family val="2"/>
        <scheme val="minor"/>
      </rPr>
      <t xml:space="preserve">Strait Area Community Foundation  </t>
    </r>
  </si>
  <si>
    <t>Table: Names of Local Artists/Muscians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</si>
  <si>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Nate King – Local Musician 
</t>
    </r>
    <r>
      <rPr>
        <sz val="20"/>
        <color theme="1"/>
        <rFont val="Calibri"/>
        <family val="2"/>
      </rPr>
      <t>•</t>
    </r>
    <r>
      <rPr>
        <sz val="12"/>
        <color theme="1"/>
        <rFont val="Calibri"/>
        <family val="2"/>
      </rPr>
      <t xml:space="preserve"> </t>
    </r>
    <r>
      <rPr>
        <sz val="20"/>
        <color theme="1"/>
        <rFont val="Calibri"/>
        <family val="2"/>
        <scheme val="minor"/>
      </rPr>
      <t xml:space="preserve">Evan Archambo – Local Musician  
</t>
    </r>
    <r>
      <rPr>
        <sz val="20"/>
        <color theme="1"/>
        <rFont val="Calibri"/>
        <family val="2"/>
      </rPr>
      <t>•</t>
    </r>
    <r>
      <rPr>
        <sz val="12"/>
        <color theme="1"/>
        <rFont val="Calibri"/>
        <family val="2"/>
      </rPr>
      <t xml:space="preserve"> </t>
    </r>
    <r>
      <rPr>
        <sz val="20"/>
        <color theme="1"/>
        <rFont val="Calibri"/>
        <family val="2"/>
        <scheme val="minor"/>
      </rPr>
      <t xml:space="preserve">Dale Rieger – Local Musician 
</t>
    </r>
    <r>
      <rPr>
        <sz val="20"/>
        <color theme="1"/>
        <rFont val="Calibri"/>
        <family val="2"/>
      </rPr>
      <t>•</t>
    </r>
    <r>
      <rPr>
        <sz val="12"/>
        <color theme="1"/>
        <rFont val="Calibri"/>
        <family val="2"/>
      </rPr>
      <t xml:space="preserve"> </t>
    </r>
    <r>
      <rPr>
        <sz val="20"/>
        <color theme="1"/>
        <rFont val="Calibri"/>
        <family val="2"/>
        <scheme val="minor"/>
      </rPr>
      <t xml:space="preserve">Billy Jewell Band – Local Musicians 
</t>
    </r>
    <r>
      <rPr>
        <sz val="20"/>
        <color theme="1"/>
        <rFont val="Calibri"/>
        <family val="2"/>
      </rPr>
      <t>•</t>
    </r>
    <r>
      <rPr>
        <sz val="12"/>
        <color theme="1"/>
        <rFont val="Calibri"/>
        <family val="2"/>
      </rPr>
      <t xml:space="preserve"> </t>
    </r>
    <r>
      <rPr>
        <sz val="20"/>
        <color theme="1"/>
        <rFont val="Calibri"/>
        <family val="2"/>
        <scheme val="minor"/>
      </rPr>
      <t>Leslie A. Tebo – Mayor</t>
    </r>
    <r>
      <rPr>
        <sz val="11"/>
        <color theme="1"/>
        <rFont val="Calibri"/>
        <family val="2"/>
        <scheme val="minor"/>
      </rPr>
      <t xml:space="preserve">  </t>
    </r>
  </si>
  <si>
    <t>Table: Names of Community Leaders Identified by Respondents to the CTSA-Community Survey in Cheboygan County</t>
  </si>
  <si>
    <r>
      <rPr>
        <sz val="18"/>
        <color theme="1"/>
        <rFont val="Calibri"/>
        <family val="2"/>
      </rPr>
      <t xml:space="preserve">• </t>
    </r>
    <r>
      <rPr>
        <sz val="18"/>
        <color theme="1"/>
        <rFont val="Calibri"/>
        <family val="2"/>
        <scheme val="minor"/>
      </rPr>
      <t xml:space="preserve">Robert John Butts – Cheboygan County Probate and Family Court Judge  
</t>
    </r>
    <r>
      <rPr>
        <sz val="18"/>
        <color theme="1"/>
        <rFont val="Calibri"/>
        <family val="2"/>
      </rPr>
      <t xml:space="preserve">• </t>
    </r>
    <r>
      <rPr>
        <sz val="18"/>
        <color theme="1"/>
        <rFont val="Calibri"/>
        <family val="2"/>
        <scheme val="minor"/>
      </rPr>
      <t xml:space="preserve">Mandy Martin – Executive Director of Cheboygan County Habitat for Humanity  
</t>
    </r>
    <r>
      <rPr>
        <sz val="18"/>
        <color theme="1"/>
        <rFont val="Calibri"/>
        <family val="2"/>
      </rPr>
      <t xml:space="preserve">• </t>
    </r>
    <r>
      <rPr>
        <sz val="18"/>
        <color theme="1"/>
        <rFont val="Calibri"/>
        <family val="2"/>
        <scheme val="minor"/>
      </rPr>
      <t xml:space="preserve">Polly Schneider – Executive Director for Cheboygan Area Chamber of Commerce 
</t>
    </r>
    <r>
      <rPr>
        <sz val="18"/>
        <color theme="1"/>
        <rFont val="Calibri"/>
        <family val="2"/>
      </rPr>
      <t xml:space="preserve">• </t>
    </r>
    <r>
      <rPr>
        <sz val="18"/>
        <color theme="1"/>
        <rFont val="Calibri"/>
        <family val="2"/>
        <scheme val="minor"/>
      </rPr>
      <t xml:space="preserve">Catherin Schulz – Director of Cheboygan Housing Commission 
</t>
    </r>
    <r>
      <rPr>
        <sz val="18"/>
        <color theme="1"/>
        <rFont val="Calibri"/>
        <family val="2"/>
      </rPr>
      <t xml:space="preserve">• </t>
    </r>
    <r>
      <rPr>
        <sz val="18"/>
        <color theme="1"/>
        <rFont val="Calibri"/>
        <family val="2"/>
        <scheme val="minor"/>
      </rPr>
      <t xml:space="preserve">Leigh Ann Theunick – 4-H Program Coordinator  </t>
    </r>
  </si>
  <si>
    <t>Table: Names of Celebrities or Influential Figures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</si>
  <si>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Susan Melton – Program Director &amp; Air Personality for 102.9 Big County 
</t>
    </r>
    <r>
      <rPr>
        <sz val="20"/>
        <color theme="1"/>
        <rFont val="Calibri"/>
        <family val="2"/>
      </rPr>
      <t>•</t>
    </r>
    <r>
      <rPr>
        <sz val="12"/>
        <color theme="1"/>
        <rFont val="Calibri"/>
        <family val="2"/>
      </rPr>
      <t xml:space="preserve"> </t>
    </r>
    <r>
      <rPr>
        <sz val="20"/>
        <color theme="1"/>
        <rFont val="Calibri"/>
        <family val="2"/>
        <scheme val="minor"/>
      </rPr>
      <t xml:space="preserve">Marcella Costin &amp; John Costin – Public Figure </t>
    </r>
  </si>
  <si>
    <t>Table: Names of Amatuer Sports Leagues Identified by Respondents to the CTSA-Community Survey in Cheboygan County</t>
  </si>
  <si>
    <t>Table: Names of Political Organizations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</si>
  <si>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Cheboygan County Democratic Party  
</t>
    </r>
    <r>
      <rPr>
        <sz val="20"/>
        <color theme="1"/>
        <rFont val="Calibri"/>
        <family val="2"/>
      </rPr>
      <t>•</t>
    </r>
    <r>
      <rPr>
        <sz val="12"/>
        <color theme="1"/>
        <rFont val="Calibri"/>
        <family val="2"/>
      </rPr>
      <t xml:space="preserve"> </t>
    </r>
    <r>
      <rPr>
        <sz val="20"/>
        <color theme="1"/>
        <rFont val="Calibri"/>
        <family val="2"/>
        <scheme val="minor"/>
      </rPr>
      <t xml:space="preserve">Cheboygan County Republican Party </t>
    </r>
    <r>
      <rPr>
        <sz val="11"/>
        <color theme="1"/>
        <rFont val="Calibri"/>
        <family val="2"/>
        <scheme val="minor"/>
      </rPr>
      <t xml:space="preserve"> </t>
    </r>
  </si>
  <si>
    <t>Table: Names of Behavioral Health Services Identified by Respondents to the CTSA-Community Survey in Cheboygan County</t>
  </si>
  <si>
    <r>
      <rPr>
        <sz val="20"/>
        <color theme="1"/>
        <rFont val="Calibri"/>
        <family val="2"/>
      </rPr>
      <t>•</t>
    </r>
    <r>
      <rPr>
        <sz val="12"/>
        <color theme="1"/>
        <rFont val="Calibri"/>
        <family val="2"/>
      </rPr>
      <t xml:space="preserve"> </t>
    </r>
    <r>
      <rPr>
        <sz val="20"/>
        <color theme="1"/>
        <rFont val="Calibri"/>
        <family val="2"/>
        <scheme val="minor"/>
      </rPr>
      <t xml:space="preserve">North Country Community Mental Health  
</t>
    </r>
    <r>
      <rPr>
        <sz val="20"/>
        <color theme="1"/>
        <rFont val="Calibri"/>
        <family val="2"/>
      </rPr>
      <t>•</t>
    </r>
    <r>
      <rPr>
        <sz val="12"/>
        <color theme="1"/>
        <rFont val="Calibri"/>
        <family val="2"/>
      </rPr>
      <t xml:space="preserve"> </t>
    </r>
    <r>
      <rPr>
        <sz val="20"/>
        <color theme="1"/>
        <rFont val="Calibri"/>
        <family val="2"/>
        <scheme val="minor"/>
      </rPr>
      <t xml:space="preserve">Alcona Health Center Cheboygan Campus  
</t>
    </r>
    <r>
      <rPr>
        <sz val="20"/>
        <color theme="1"/>
        <rFont val="Calibri"/>
        <family val="2"/>
      </rPr>
      <t>•</t>
    </r>
    <r>
      <rPr>
        <sz val="12"/>
        <color theme="1"/>
        <rFont val="Calibri"/>
        <family val="2"/>
      </rPr>
      <t xml:space="preserve"> </t>
    </r>
    <r>
      <rPr>
        <sz val="20"/>
        <color theme="1"/>
        <rFont val="Calibri"/>
        <family val="2"/>
        <scheme val="minor"/>
      </rPr>
      <t xml:space="preserve">Catholic Human Services Inc. 
</t>
    </r>
    <r>
      <rPr>
        <sz val="20"/>
        <color theme="1"/>
        <rFont val="Calibri"/>
        <family val="2"/>
      </rPr>
      <t>•</t>
    </r>
    <r>
      <rPr>
        <sz val="12"/>
        <color theme="1"/>
        <rFont val="Calibri"/>
        <family val="2"/>
      </rPr>
      <t xml:space="preserve"> </t>
    </r>
    <r>
      <rPr>
        <sz val="20"/>
        <color theme="1"/>
        <rFont val="Calibri"/>
        <family val="2"/>
        <scheme val="minor"/>
      </rPr>
      <t xml:space="preserve">Forward Path Counseling PLLC  
</t>
    </r>
    <r>
      <rPr>
        <sz val="20"/>
        <color theme="1"/>
        <rFont val="Calibri"/>
        <family val="2"/>
      </rPr>
      <t>•</t>
    </r>
    <r>
      <rPr>
        <sz val="12"/>
        <color theme="1"/>
        <rFont val="Calibri"/>
        <family val="2"/>
      </rPr>
      <t xml:space="preserve"> </t>
    </r>
    <r>
      <rPr>
        <sz val="20"/>
        <color theme="1"/>
        <rFont val="Calibri"/>
        <family val="2"/>
        <scheme val="minor"/>
      </rPr>
      <t xml:space="preserve">Thunder Bay Community Health Service, Inc  </t>
    </r>
  </si>
  <si>
    <t>Table: Names of Other Organizations Not Otherwise Categorized but Identified by Respondents to the CTSA-Community Survey in Cheboygan County</t>
  </si>
  <si>
    <t>Figure: Bar Graph Direct Care Respondents to the CTSA-Providers Survey in Cheboygan County</t>
  </si>
  <si>
    <t>Table: Direct Care Respondents to the CTSA-Providers Survey in Cheboygan County</t>
  </si>
  <si>
    <t>Do you provide direct care or services for clients or patients?</t>
  </si>
  <si>
    <t xml:space="preserve"> Total</t>
  </si>
  <si>
    <t>Figure: Bar Graph of Associated Local Organizations for Respondents to the CTSA-Provider Survey in Cheboygan County</t>
  </si>
  <si>
    <t>Table: Associated Local Organizations for Respondents to the CTSA-Provider Survey in Cheboygan County</t>
  </si>
  <si>
    <t>What health system, organization, or entity do you work for (please avoid using abbreviations)</t>
  </si>
  <si>
    <t>Organization</t>
  </si>
  <si>
    <t>Digestive Health Associates</t>
  </si>
  <si>
    <t>Munson Healthcare</t>
  </si>
  <si>
    <t>District Health Department No. 4</t>
  </si>
  <si>
    <t xml:space="preserve">Alcona Health Center </t>
  </si>
  <si>
    <t xml:space="preserve">Northern Country Community Mental Health </t>
  </si>
  <si>
    <t xml:space="preserve">OMH Medical Group </t>
  </si>
  <si>
    <t>McLaren</t>
  </si>
  <si>
    <t xml:space="preserve">Alpine Cardiology </t>
  </si>
  <si>
    <t>Northern Michigan Neurology</t>
  </si>
  <si>
    <t xml:space="preserve">Council on Aging </t>
  </si>
  <si>
    <t>Private Practice</t>
  </si>
  <si>
    <t xml:space="preserve">Behavioral Health </t>
  </si>
  <si>
    <t>Figure:Bar Graph of Primary Roles for Respondents to the CTSA-Provider Survey in Cheboygan County</t>
  </si>
  <si>
    <t>Table: Primary Roles for Respondents to the CTSA-Provider Survey in Cheboygan County</t>
  </si>
  <si>
    <t>What is your primary role?</t>
  </si>
  <si>
    <t>Role</t>
  </si>
  <si>
    <t>Clinical Social Worker</t>
  </si>
  <si>
    <t>Doctor of Medicine or Osteophathy</t>
  </si>
  <si>
    <t>Pharmacist</t>
  </si>
  <si>
    <t>Physician's Assistant</t>
  </si>
  <si>
    <t>Dental Hygenist</t>
  </si>
  <si>
    <t>Public Health Educator</t>
  </si>
  <si>
    <t>Community Health Worker</t>
  </si>
  <si>
    <t>Nurse Practictioner</t>
  </si>
  <si>
    <t>Chiropractor</t>
  </si>
  <si>
    <t>Nurse</t>
  </si>
  <si>
    <t>Clinical Psychologist</t>
  </si>
  <si>
    <t>Podiatrist</t>
  </si>
  <si>
    <t>Dentist</t>
  </si>
  <si>
    <t>Optometrist</t>
  </si>
  <si>
    <t>Nurse - Midwife</t>
  </si>
  <si>
    <t>Other - Write In</t>
  </si>
  <si>
    <t>Co Nursing Director (1), Executive director (1), Licensed professional counselor (1), Nurse Anesthetist (1), Peer recovery coach (1), Supervisor (1), Supports coordinator (1)</t>
  </si>
  <si>
    <t>Figure: Bar Graph of Specialties for Respondents/Organizations to the CTSA-Provider Survey in Cheboygan County</t>
  </si>
  <si>
    <t>Table: Specialties for Respondents/Organizations to the CTSA-Provider Survey in Cheboygan County</t>
  </si>
  <si>
    <t>Please check the boxes that define your specialty or that of your practice (Check all that apply)</t>
  </si>
  <si>
    <t>Specialty</t>
  </si>
  <si>
    <t>Primary Care</t>
  </si>
  <si>
    <t>Pediatrics</t>
  </si>
  <si>
    <t>Dental</t>
  </si>
  <si>
    <t>Preventative Medicine</t>
  </si>
  <si>
    <t>Behavioral Health</t>
  </si>
  <si>
    <t>Surgery</t>
  </si>
  <si>
    <t>Obstetrics and Gynecology</t>
  </si>
  <si>
    <t>Public Health</t>
  </si>
  <si>
    <t>Endocrinology (1), Gastroenterology (1), Walk-in clinic (2), Oncology (2), Pathology (1), Neurology (1) Support Coordinator/Case Manager (1), Anesthesia (1), Midwife care (1), Family Medicine, Mental Health (1), In-home care (1)</t>
  </si>
  <si>
    <t>Figure: Bar Graph Service Counties for Respondents to the CTSA-Provider Survey in Cheboygan County</t>
  </si>
  <si>
    <t>Table: Service Counties for Respondents to the CTSA-Provider Survey in Cheboygan County</t>
  </si>
  <si>
    <t>Which County(ies) do you provide direct care or services in? (Check all that apply)</t>
  </si>
  <si>
    <t>Counties</t>
  </si>
  <si>
    <t>Alcona</t>
  </si>
  <si>
    <t>Alpena</t>
  </si>
  <si>
    <t>Antrim</t>
  </si>
  <si>
    <t>Arenac</t>
  </si>
  <si>
    <t>Benzie</t>
  </si>
  <si>
    <t>Charlevoix</t>
  </si>
  <si>
    <t>Cheboygan</t>
  </si>
  <si>
    <t>Clare</t>
  </si>
  <si>
    <t>Crawford</t>
  </si>
  <si>
    <t>Emmet</t>
  </si>
  <si>
    <t>Gladwin</t>
  </si>
  <si>
    <t>Grand Traverse</t>
  </si>
  <si>
    <t>Iosco</t>
  </si>
  <si>
    <t>Isabella</t>
  </si>
  <si>
    <t>Kalkaska</t>
  </si>
  <si>
    <t>Lake</t>
  </si>
  <si>
    <t>Leelanau</t>
  </si>
  <si>
    <t>Manistee</t>
  </si>
  <si>
    <t>Mason</t>
  </si>
  <si>
    <t>Mecosta</t>
  </si>
  <si>
    <t>Missaukee</t>
  </si>
  <si>
    <t>Montmorency</t>
  </si>
  <si>
    <t>Newaygo</t>
  </si>
  <si>
    <t>Oceana</t>
  </si>
  <si>
    <t>Ogemaw</t>
  </si>
  <si>
    <t>Osceola</t>
  </si>
  <si>
    <t>Oscoda</t>
  </si>
  <si>
    <t>Otsego</t>
  </si>
  <si>
    <t>Presque Isle</t>
  </si>
  <si>
    <t>Roscommon</t>
  </si>
  <si>
    <t>Wexford</t>
  </si>
  <si>
    <t>Figure: Bar Graph of the Reported Percentage of Patient Population on Medicaid for Respondents to the CTSA-Provider Survey in Cheboygan County</t>
  </si>
  <si>
    <t>Table: Reported Percentage of Patient Population on Medicaid for Respondents to the CTSA-Provider Survey in Cheboygan County</t>
  </si>
  <si>
    <t>Approximately what percentage of the patients you serve are on Medicaid?</t>
  </si>
  <si>
    <t>Percentage Range</t>
  </si>
  <si>
    <t>0 - 15%</t>
  </si>
  <si>
    <t>16 - 30%</t>
  </si>
  <si>
    <t>31 - 50%</t>
  </si>
  <si>
    <t>&gt;50%</t>
  </si>
  <si>
    <t>Figure: Bar Graph of the Most Important Factors for a Thriving Community According to Respondents to the CTSA-Provider Survey in Cheboygan County</t>
  </si>
  <si>
    <t>Table: Most Important Factors for a Thriving Community According to Respondents to the CTSA-Provider Survey in Cheboygan County</t>
  </si>
  <si>
    <t>Thinking about the population you serve, what do you think are the three most important factors for a thriving community? Check only three:</t>
  </si>
  <si>
    <t>Getting, training, and keeping adequate staffing for their homes and community (1)</t>
  </si>
  <si>
    <t>Table: Bar Graph of the Most Important Issues Impacting the Community According to Respondents to the CTSA-Community Survey in Cheboygan County</t>
  </si>
  <si>
    <t>What do you think are the three most important issues impacting patients/clients in the community(ies) you serve? Check only three:</t>
  </si>
  <si>
    <t>Suicide</t>
  </si>
  <si>
    <t>Excess reliance on government and lack of self motivation (1), Lack of staff, Wheelchair accessible group homes and staff, The Republican party is a primary driver of misinformation, partisanship, and lack of healthcare and educational opportunity (1)</t>
  </si>
  <si>
    <t>Figure: Bar Graph of Resources and Services that would Benefit the Community According to Respondents to the CTSA-Community Survey in Cheboygan County</t>
  </si>
  <si>
    <t>Table: Resources and Services that would Benefit the Community According to Respondents to the CTSA-Community Survey in Cheboygan County</t>
  </si>
  <si>
    <t>From the list below which resources or services are missing in your community that would benefit your patients/clients? (Check all that apply)</t>
  </si>
  <si>
    <t>Resources</t>
  </si>
  <si>
    <t>Housing</t>
  </si>
  <si>
    <t>Food</t>
  </si>
  <si>
    <t>Transportation</t>
  </si>
  <si>
    <t>Mental Health</t>
  </si>
  <si>
    <t>Financial Support</t>
  </si>
  <si>
    <t>Domestic Violence Services</t>
  </si>
  <si>
    <t>Translation</t>
  </si>
  <si>
    <t>Employment Navigation</t>
  </si>
  <si>
    <t>Childcare</t>
  </si>
  <si>
    <t>Substance Abuse Services</t>
  </si>
  <si>
    <t>Dental Health</t>
  </si>
  <si>
    <t>I feel there are enough services and resources to refer my patients/clients to.</t>
  </si>
  <si>
    <t>Jobs that pay a living wage (1), Direct care staffing, AFC homes, wheelchair accessible AFC homes</t>
  </si>
  <si>
    <t>Figure: Bar Graph of Interest in Further Activities to Support Community Health for Respondents to the CTSA-Community Survey in Cheboygan County</t>
  </si>
  <si>
    <t>Table: Interest in Further Activities to Support Community Health for Respondents to the CTSA-Community Survey in Cheboygan County</t>
  </si>
  <si>
    <t>Are you interested in additional opportunities to provide feedback or participate in opportunities to support health improvement efforts in your community?</t>
  </si>
  <si>
    <r>
      <t xml:space="preserve">County level data for this assessment was collected through facilitated converstaions at community collaboratives. Qualitative data is separated into columns by topic area. The associated sheet in this workbook is titled </t>
    </r>
    <r>
      <rPr>
        <b/>
        <sz val="11"/>
        <color theme="1"/>
        <rFont val="Calibri"/>
        <family val="2"/>
        <scheme val="minor"/>
      </rPr>
      <t>CSA</t>
    </r>
    <r>
      <rPr>
        <sz val="11"/>
        <color theme="1"/>
        <rFont val="Calibri"/>
        <family val="2"/>
        <scheme val="minor"/>
      </rPr>
      <t xml:space="preserve">. Further information can be found on the MIThrive website: </t>
    </r>
    <r>
      <rPr>
        <b/>
        <sz val="11"/>
        <color theme="1"/>
        <rFont val="Calibri"/>
        <family val="2"/>
        <scheme val="minor"/>
      </rPr>
      <t>https://northernmichiganchir.org/mithrive/</t>
    </r>
  </si>
  <si>
    <r>
      <t xml:space="preserve">Data from the FOCA was not included in this workbook, as the county level data could not be seperated from the larger data set. Instead, please find the results of the FOCA on the MIThrive website: </t>
    </r>
    <r>
      <rPr>
        <b/>
        <sz val="11"/>
        <color theme="1"/>
        <rFont val="Calibri"/>
        <family val="2"/>
        <scheme val="minor"/>
      </rPr>
      <t>https://northernmichiganchir.org/mithrive/</t>
    </r>
  </si>
  <si>
    <r>
      <t xml:space="preserve">If you would like assistance with analyzing this data, </t>
    </r>
    <r>
      <rPr>
        <b/>
        <sz val="14"/>
        <color theme="1"/>
        <rFont val="Arial Nova Light"/>
        <family val="2"/>
      </rPr>
      <t>our team is here to help</t>
    </r>
    <r>
      <rPr>
        <sz val="14"/>
        <color theme="1"/>
        <rFont val="Arial Nova Light"/>
        <family val="2"/>
      </rPr>
      <t xml:space="preserve">! Please submit an ad-hoc request by writing an email to </t>
    </r>
    <r>
      <rPr>
        <b/>
        <sz val="14"/>
        <color theme="1"/>
        <rFont val="Arial Nova Light"/>
        <family val="2"/>
      </rPr>
      <t>mithrive@northernmichiganchir.org</t>
    </r>
    <r>
      <rPr>
        <sz val="14"/>
        <color theme="1"/>
        <rFont val="Arial Nova Light"/>
        <family val="2"/>
      </rPr>
      <t>. We will attempt to respond within 5 business days, but may need up to 4 weeks to process your request.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</si>
</sst>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4" formatCode="_(&quot;$&quot;* #,##0.00_);_(&quot;$&quot;* \(#,##0.00\);_(&quot;$&quot;* &quot;-&quot;??_);_(@_)"/>
  </numFmts>
  <fonts count="45"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name val="Calibri"/>
      <family val="2"/>
      <scheme val="minor"/>
    </font>
    <font>
      <b/>
      <sz val="11"/>
      <name val="Calibri"/>
      <family val="2"/>
      <scheme val="minor"/>
    </font>
    <font>
      <u/>
      <sz val="11"/>
      <color rgb="FF0563C1"/>
      <name val="Calibri"/>
      <family val="2"/>
      <scheme val="minor"/>
    </font>
    <font>
      <u/>
      <sz val="11"/>
      <color rgb="FF000000"/>
      <name val="Calibri"/>
      <family val="2"/>
      <scheme val="minor"/>
    </font>
    <font>
      <u/>
      <sz val="11"/>
      <name val="Calibri"/>
      <family val="2"/>
      <scheme val="minor"/>
    </font>
    <font>
      <sz val="13.5"/>
      <color rgb="FF000000"/>
      <name val="Calibri"/>
      <family val="2"/>
      <scheme val="minor"/>
    </font>
    <font>
      <u/>
      <sz val="11"/>
      <color theme="10"/>
      <name val="Calibri"/>
      <family val="2"/>
      <scheme val="minor"/>
    </font>
    <font>
      <b/>
      <sz val="9"/>
      <name val="Calibri"/>
      <family val="2"/>
      <scheme val="minor"/>
    </font>
    <font>
      <i/>
      <sz val="11"/>
      <color theme="1"/>
      <name val="Calibri"/>
      <family val="2"/>
      <scheme val="minor"/>
    </font>
    <font>
      <b/>
      <i/>
      <sz val="11"/>
      <color theme="2"/>
      <name val="Calibri"/>
      <family val="2"/>
      <scheme val="minor"/>
    </font>
    <font>
      <b/>
      <sz val="11"/>
      <color theme="2"/>
      <name val="Calibri"/>
      <family val="2"/>
      <scheme val="minor"/>
    </font>
    <font>
      <b/>
      <sz val="11"/>
      <color theme="0"/>
      <name val="Calibri"/>
      <family val="2"/>
      <scheme val="minor"/>
    </font>
    <font>
      <b/>
      <sz val="8"/>
      <color theme="1"/>
      <name val="Calibri"/>
      <family val="2"/>
      <scheme val="minor"/>
    </font>
    <font>
      <b/>
      <sz val="12"/>
      <color rgb="FF000000"/>
      <name val="Calibri"/>
      <family val="2"/>
      <scheme val="minor"/>
    </font>
    <font>
      <sz val="12"/>
      <color rgb="FF000000"/>
      <name val="Calibri"/>
      <family val="2"/>
      <scheme val="minor"/>
    </font>
    <font>
      <b/>
      <sz val="12"/>
      <color rgb="FF000000"/>
      <name val="Calibri"/>
      <family val="2"/>
    </font>
    <font>
      <sz val="12"/>
      <color rgb="FF000000"/>
      <name val="Calibri"/>
      <family val="2"/>
    </font>
    <font>
      <sz val="12"/>
      <name val="Calibri"/>
      <family val="2"/>
    </font>
    <font>
      <b/>
      <sz val="12"/>
      <color rgb="FF0070C0"/>
      <name val="Calibri"/>
      <family val="2"/>
      <scheme val="minor"/>
    </font>
    <font>
      <b/>
      <sz val="12"/>
      <color rgb="FFED7D31"/>
      <name val="Calibri"/>
      <family val="2"/>
    </font>
    <font>
      <b/>
      <sz val="11"/>
      <color rgb="FF359239"/>
      <name val="Calibri"/>
      <family val="2"/>
      <scheme val="minor"/>
    </font>
    <font>
      <sz val="14"/>
      <color theme="1"/>
      <name val="Arial Nova Light"/>
      <family val="2"/>
    </font>
    <font>
      <b/>
      <sz val="14"/>
      <color theme="1"/>
      <name val="Arial Nova Light"/>
      <family val="2"/>
    </font>
    <font>
      <sz val="14"/>
      <color rgb="FF000000"/>
      <name val="Times New Roman"/>
      <family val="1"/>
    </font>
    <font>
      <sz val="10"/>
      <color theme="1"/>
      <name val="Calibri"/>
      <family val="2"/>
      <scheme val="minor"/>
    </font>
    <font>
      <sz val="11"/>
      <color theme="1"/>
      <name val="Calibri"/>
      <family val="2"/>
      <scheme val="minor"/>
    </font>
    <font>
      <u/>
      <sz val="11"/>
      <color theme="1"/>
      <name val="Calibri"/>
      <family val="2"/>
      <scheme val="minor"/>
    </font>
    <font>
      <b/>
      <sz val="12"/>
      <color rgb="FF9966FF"/>
      <name val="Calibri"/>
      <family val="2"/>
      <scheme val="minor"/>
    </font>
    <font>
      <b/>
      <sz val="12"/>
      <color rgb="FF002060"/>
      <name val="Calibri"/>
      <family val="2"/>
    </font>
    <font>
      <b/>
      <sz val="12"/>
      <color rgb="FF00B0F0"/>
      <name val="Calibri"/>
      <family val="2"/>
      <scheme val="minor"/>
    </font>
    <font>
      <sz val="20"/>
      <name val="Calibri"/>
      <family val="2"/>
      <scheme val="minor"/>
    </font>
    <font>
      <sz val="20"/>
      <name val="Calibri"/>
      <family val="2"/>
    </font>
    <font>
      <i/>
      <sz val="20"/>
      <name val="Calibri"/>
      <family val="2"/>
    </font>
    <font>
      <sz val="12"/>
      <color theme="1"/>
      <name val="Calibri"/>
      <family val="2"/>
    </font>
    <font>
      <sz val="20"/>
      <color theme="1"/>
      <name val="Calibri"/>
      <family val="2"/>
    </font>
    <font>
      <sz val="20"/>
      <color theme="1"/>
      <name val="Calibri"/>
      <family val="2"/>
      <scheme val="minor"/>
    </font>
    <font>
      <i/>
      <sz val="20"/>
      <color theme="1"/>
      <name val="Calibri"/>
      <family val="2"/>
      <scheme val="minor"/>
    </font>
    <font>
      <sz val="18"/>
      <color theme="1"/>
      <name val="Calibri"/>
      <family val="2"/>
      <scheme val="minor"/>
    </font>
    <font>
      <sz val="18"/>
      <color theme="1"/>
      <name val="Calibri"/>
      <family val="2"/>
    </font>
    <font>
      <i/>
      <sz val="20"/>
      <color theme="1"/>
      <name val="Calibri"/>
      <family val="2"/>
    </font>
  </fonts>
  <fills count="21">
    <fill>
      <patternFill patternType="none"/>
    </fill>
    <fill>
      <patternFill patternType="gray125"/>
    </fill>
    <fill>
      <patternFill patternType="solid">
        <fgColor rgb="FFD9D9D9"/>
        <bgColor rgb="FF000000"/>
      </patternFill>
    </fill>
    <fill>
      <patternFill patternType="solid">
        <fgColor rgb="FFD9D9D9"/>
        <bgColor rgb="FFD9D9D9"/>
      </patternFill>
    </fill>
    <fill>
      <patternFill patternType="solid">
        <fgColor rgb="FFFFFFFF"/>
        <bgColor rgb="FF000000"/>
      </patternFill>
    </fill>
    <fill>
      <patternFill patternType="solid">
        <fgColor rgb="FFDBDBDB"/>
        <bgColor rgb="FF000000"/>
      </patternFill>
    </fill>
    <fill>
      <patternFill patternType="solid">
        <fgColor theme="0" tint="-0.14999847407452621"/>
        <bgColor rgb="FF000000"/>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rgb="FFF5B11E"/>
        <bgColor indexed="64"/>
      </patternFill>
    </fill>
    <fill>
      <patternFill patternType="solid">
        <fgColor rgb="FFFF6F23"/>
        <bgColor indexed="64"/>
      </patternFill>
    </fill>
    <fill>
      <patternFill patternType="solid">
        <fgColor rgb="FF32A5B7"/>
        <bgColor indexed="64"/>
      </patternFill>
    </fill>
    <fill>
      <patternFill patternType="solid">
        <fgColor rgb="FFFA9023"/>
        <bgColor indexed="64"/>
      </patternFill>
    </fill>
    <fill>
      <patternFill patternType="solid">
        <fgColor rgb="FF96AA64"/>
        <bgColor indexed="64"/>
      </patternFill>
    </fill>
    <fill>
      <patternFill patternType="solid">
        <fgColor theme="0"/>
        <bgColor indexed="64"/>
      </patternFill>
    </fill>
    <fill>
      <patternFill patternType="solid">
        <fgColor rgb="FF009EDE"/>
        <bgColor indexed="64"/>
      </patternFill>
    </fill>
    <fill>
      <patternFill patternType="solid">
        <fgColor theme="7" tint="0.79998168889431442"/>
        <bgColor indexed="64"/>
      </patternFill>
    </fill>
    <fill>
      <patternFill patternType="solid">
        <fgColor theme="6" tint="0.59999389629810485"/>
        <bgColor indexed="64"/>
      </patternFill>
    </fill>
  </fills>
  <borders count="5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theme="0"/>
      </right>
      <top/>
      <bottom style="thin">
        <color theme="0"/>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0"/>
      </left>
      <right style="thin">
        <color theme="0"/>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1" fillId="0" borderId="0" applyNumberFormat="0" applyFill="0" applyBorder="0" applyAlignment="0" applyProtection="0"/>
    <xf numFmtId="44" fontId="30" fillId="0" borderId="0" applyFont="0" applyFill="0" applyBorder="0" applyAlignment="0" applyProtection="0"/>
  </cellStyleXfs>
  <cellXfs count="273">
    <xf numFmtId="0" fontId="0" fillId="0" borderId="0" xfId="0"/>
    <xf numFmtId="0" fontId="4" fillId="0" borderId="4" xfId="0" applyFont="1" applyBorder="1" applyAlignment="1">
      <alignment horizontal="center" wrapText="1"/>
    </xf>
    <xf numFmtId="0" fontId="5" fillId="2" borderId="2" xfId="0" applyFont="1" applyFill="1" applyBorder="1" applyAlignment="1">
      <alignment horizontal="center" wrapText="1"/>
    </xf>
    <xf numFmtId="0" fontId="5" fillId="0" borderId="4" xfId="0" applyFont="1" applyBorder="1" applyAlignment="1">
      <alignment horizontal="center" wrapText="1"/>
    </xf>
    <xf numFmtId="0" fontId="5" fillId="0" borderId="2" xfId="0" applyFont="1" applyBorder="1" applyAlignment="1">
      <alignment horizontal="center" wrapText="1"/>
    </xf>
    <xf numFmtId="0" fontId="5" fillId="3" borderId="2" xfId="0" applyFont="1" applyFill="1" applyBorder="1" applyAlignment="1">
      <alignment horizontal="center" wrapText="1"/>
    </xf>
    <xf numFmtId="0" fontId="5" fillId="0" borderId="11" xfId="0" applyFont="1" applyBorder="1" applyAlignment="1">
      <alignment horizontal="center" wrapText="1"/>
    </xf>
    <xf numFmtId="0" fontId="5" fillId="3" borderId="11" xfId="0" applyFont="1" applyFill="1" applyBorder="1" applyAlignment="1">
      <alignment horizontal="center" wrapText="1"/>
    </xf>
    <xf numFmtId="0" fontId="5" fillId="4" borderId="2" xfId="0" applyFont="1" applyFill="1" applyBorder="1" applyAlignment="1">
      <alignment horizontal="center" wrapText="1"/>
    </xf>
    <xf numFmtId="0" fontId="6" fillId="3" borderId="8" xfId="0" applyFont="1" applyFill="1" applyBorder="1" applyAlignment="1">
      <alignment horizontal="right" wrapText="1"/>
    </xf>
    <xf numFmtId="0" fontId="6" fillId="3" borderId="10" xfId="0" applyFont="1" applyFill="1" applyBorder="1" applyAlignment="1">
      <alignment horizontal="right" wrapText="1"/>
    </xf>
    <xf numFmtId="0" fontId="6" fillId="0" borderId="3" xfId="0" applyFont="1" applyBorder="1" applyAlignment="1">
      <alignment horizontal="right" wrapText="1"/>
    </xf>
    <xf numFmtId="0" fontId="6" fillId="0" borderId="4" xfId="0" applyFont="1" applyBorder="1" applyAlignment="1">
      <alignment horizontal="right" wrapText="1"/>
    </xf>
    <xf numFmtId="0" fontId="6" fillId="3" borderId="3" xfId="0" applyFont="1" applyFill="1" applyBorder="1" applyAlignment="1">
      <alignment horizontal="right" wrapText="1"/>
    </xf>
    <xf numFmtId="0" fontId="6" fillId="3" borderId="4" xfId="0" applyFont="1" applyFill="1" applyBorder="1" applyAlignment="1">
      <alignment horizontal="right" wrapText="1"/>
    </xf>
    <xf numFmtId="0" fontId="6" fillId="4" borderId="3" xfId="0" applyFont="1" applyFill="1" applyBorder="1" applyAlignment="1">
      <alignment horizontal="right" wrapText="1"/>
    </xf>
    <xf numFmtId="0" fontId="6" fillId="4" borderId="4" xfId="0" applyFont="1" applyFill="1" applyBorder="1" applyAlignment="1">
      <alignment horizontal="right" wrapText="1"/>
    </xf>
    <xf numFmtId="0" fontId="3" fillId="0" borderId="4" xfId="0" applyFont="1" applyBorder="1" applyAlignment="1">
      <alignment horizontal="right" wrapText="1"/>
    </xf>
    <xf numFmtId="0" fontId="3" fillId="3" borderId="3" xfId="0" applyFont="1" applyFill="1" applyBorder="1" applyAlignment="1">
      <alignment horizontal="right" wrapText="1"/>
    </xf>
    <xf numFmtId="0" fontId="3" fillId="3" borderId="4" xfId="0" applyFont="1" applyFill="1" applyBorder="1" applyAlignment="1">
      <alignment horizontal="right" wrapText="1"/>
    </xf>
    <xf numFmtId="0" fontId="6" fillId="2" borderId="3" xfId="0" applyFont="1" applyFill="1" applyBorder="1" applyAlignment="1">
      <alignment horizontal="right" wrapText="1"/>
    </xf>
    <xf numFmtId="0" fontId="6" fillId="2" borderId="4" xfId="0" applyFont="1" applyFill="1" applyBorder="1" applyAlignment="1">
      <alignment horizontal="right" wrapText="1"/>
    </xf>
    <xf numFmtId="0" fontId="3" fillId="0" borderId="3" xfId="0" applyFont="1" applyBorder="1" applyAlignment="1">
      <alignment horizontal="right" wrapText="1"/>
    </xf>
    <xf numFmtId="0" fontId="6" fillId="0" borderId="5" xfId="0" applyFont="1" applyBorder="1" applyAlignment="1">
      <alignment horizontal="right" wrapText="1"/>
    </xf>
    <xf numFmtId="0" fontId="6" fillId="0" borderId="7" xfId="0" applyFont="1" applyBorder="1" applyAlignment="1">
      <alignment horizontal="right" wrapText="1"/>
    </xf>
    <xf numFmtId="0" fontId="6" fillId="0" borderId="16" xfId="0" applyFont="1" applyBorder="1" applyAlignment="1">
      <alignment horizontal="center" wrapText="1"/>
    </xf>
    <xf numFmtId="0" fontId="6" fillId="0" borderId="17" xfId="0" applyFont="1" applyBorder="1" applyAlignment="1">
      <alignment horizontal="center" wrapText="1"/>
    </xf>
    <xf numFmtId="0" fontId="5" fillId="3" borderId="13" xfId="0" applyFont="1" applyFill="1" applyBorder="1" applyAlignment="1">
      <alignment horizontal="center" wrapText="1"/>
    </xf>
    <xf numFmtId="0" fontId="5" fillId="3" borderId="9" xfId="0" applyFont="1" applyFill="1" applyBorder="1" applyAlignment="1">
      <alignment horizontal="center" wrapText="1"/>
    </xf>
    <xf numFmtId="0" fontId="11" fillId="3" borderId="9" xfId="1" applyFill="1" applyBorder="1" applyAlignment="1">
      <alignment horizontal="center" wrapText="1"/>
    </xf>
    <xf numFmtId="0" fontId="11" fillId="0" borderId="2" xfId="1" applyBorder="1" applyAlignment="1">
      <alignment horizontal="center" wrapText="1"/>
    </xf>
    <xf numFmtId="0" fontId="11" fillId="3" borderId="2" xfId="1" applyFill="1" applyBorder="1" applyAlignment="1">
      <alignment horizontal="center" wrapText="1"/>
    </xf>
    <xf numFmtId="0" fontId="5" fillId="4" borderId="11" xfId="0" applyFont="1" applyFill="1" applyBorder="1" applyAlignment="1">
      <alignment horizontal="center" wrapText="1"/>
    </xf>
    <xf numFmtId="0" fontId="4" fillId="0" borderId="2" xfId="0" applyFont="1" applyBorder="1" applyAlignment="1">
      <alignment horizontal="center" wrapText="1"/>
    </xf>
    <xf numFmtId="0" fontId="7" fillId="0" borderId="2" xfId="0" applyFont="1" applyBorder="1" applyAlignment="1">
      <alignment horizontal="center" wrapText="1"/>
    </xf>
    <xf numFmtId="0" fontId="4" fillId="3" borderId="11" xfId="0" applyFont="1" applyFill="1" applyBorder="1" applyAlignment="1">
      <alignment horizontal="center" wrapText="1"/>
    </xf>
    <xf numFmtId="0" fontId="4" fillId="3" borderId="2" xfId="0" applyFont="1" applyFill="1" applyBorder="1" applyAlignment="1">
      <alignment horizontal="center" wrapText="1"/>
    </xf>
    <xf numFmtId="0" fontId="7" fillId="3" borderId="2" xfId="0" applyFont="1" applyFill="1" applyBorder="1" applyAlignment="1">
      <alignment horizontal="center" wrapText="1"/>
    </xf>
    <xf numFmtId="0" fontId="11" fillId="2" borderId="11" xfId="1" applyFill="1" applyBorder="1" applyAlignment="1">
      <alignment horizontal="center" wrapText="1"/>
    </xf>
    <xf numFmtId="0" fontId="11" fillId="2" borderId="2" xfId="1" applyFill="1" applyBorder="1" applyAlignment="1">
      <alignment horizontal="center" wrapText="1"/>
    </xf>
    <xf numFmtId="0" fontId="11" fillId="0" borderId="11" xfId="1" applyBorder="1" applyAlignment="1">
      <alignment horizontal="center" wrapText="1"/>
    </xf>
    <xf numFmtId="0" fontId="4" fillId="0" borderId="11" xfId="0" applyFont="1" applyBorder="1" applyAlignment="1">
      <alignment horizontal="center" wrapText="1"/>
    </xf>
    <xf numFmtId="0" fontId="5" fillId="2" borderId="11" xfId="0" applyFont="1" applyFill="1" applyBorder="1" applyAlignment="1">
      <alignment horizontal="center" wrapText="1"/>
    </xf>
    <xf numFmtId="0" fontId="5" fillId="5" borderId="11" xfId="0" applyFont="1" applyFill="1" applyBorder="1" applyAlignment="1">
      <alignment horizontal="center" wrapText="1"/>
    </xf>
    <xf numFmtId="0" fontId="5" fillId="5" borderId="2" xfId="0" applyFont="1" applyFill="1" applyBorder="1" applyAlignment="1">
      <alignment horizontal="center" wrapText="1"/>
    </xf>
    <xf numFmtId="0" fontId="11" fillId="5" borderId="2" xfId="1" applyFill="1" applyBorder="1" applyAlignment="1">
      <alignment horizontal="center" wrapText="1"/>
    </xf>
    <xf numFmtId="0" fontId="4" fillId="2" borderId="11" xfId="0" applyFont="1" applyFill="1" applyBorder="1" applyAlignment="1">
      <alignment horizontal="center" wrapText="1"/>
    </xf>
    <xf numFmtId="0" fontId="8" fillId="0" borderId="11" xfId="0" applyFont="1" applyBorder="1" applyAlignment="1">
      <alignment horizontal="center" wrapText="1"/>
    </xf>
    <xf numFmtId="0" fontId="10" fillId="3" borderId="2" xfId="0" applyFont="1" applyFill="1" applyBorder="1" applyAlignment="1">
      <alignment horizontal="center" wrapText="1"/>
    </xf>
    <xf numFmtId="0" fontId="9" fillId="3" borderId="2" xfId="0" applyFont="1" applyFill="1" applyBorder="1" applyAlignment="1">
      <alignment horizontal="center" wrapText="1"/>
    </xf>
    <xf numFmtId="0" fontId="5" fillId="0" borderId="12" xfId="0" applyFont="1" applyBorder="1" applyAlignment="1">
      <alignment horizontal="center" wrapText="1"/>
    </xf>
    <xf numFmtId="0" fontId="5" fillId="0" borderId="6" xfId="0" applyFont="1" applyBorder="1" applyAlignment="1">
      <alignment horizontal="center" wrapText="1"/>
    </xf>
    <xf numFmtId="0" fontId="9" fillId="0" borderId="6" xfId="0" applyFont="1" applyBorder="1" applyAlignment="1">
      <alignment horizontal="center" wrapText="1"/>
    </xf>
    <xf numFmtId="0" fontId="6" fillId="0" borderId="14" xfId="0" applyFont="1" applyBorder="1" applyAlignment="1">
      <alignment horizontal="center" wrapText="1"/>
    </xf>
    <xf numFmtId="0" fontId="6" fillId="0" borderId="15" xfId="0" applyFont="1" applyBorder="1" applyAlignment="1">
      <alignment horizontal="center" wrapText="1"/>
    </xf>
    <xf numFmtId="0" fontId="6" fillId="0" borderId="19" xfId="0" applyFont="1" applyBorder="1" applyAlignment="1">
      <alignment horizontal="right" vertical="center"/>
    </xf>
    <xf numFmtId="0" fontId="6" fillId="0" borderId="20" xfId="0" applyFont="1" applyBorder="1" applyAlignment="1">
      <alignment horizontal="right"/>
    </xf>
    <xf numFmtId="0" fontId="6" fillId="0" borderId="20" xfId="0" applyFont="1" applyBorder="1" applyAlignment="1">
      <alignment horizontal="right" vertical="center"/>
    </xf>
    <xf numFmtId="0" fontId="3" fillId="0" borderId="20" xfId="0" applyFont="1" applyBorder="1" applyAlignment="1">
      <alignment horizontal="right"/>
    </xf>
    <xf numFmtId="0" fontId="12" fillId="0" borderId="20" xfId="0" applyFont="1" applyBorder="1" applyAlignment="1">
      <alignment horizontal="right"/>
    </xf>
    <xf numFmtId="0" fontId="5" fillId="0" borderId="7" xfId="0" applyFont="1" applyBorder="1" applyAlignment="1">
      <alignment horizontal="center" wrapText="1"/>
    </xf>
    <xf numFmtId="0" fontId="5" fillId="6" borderId="2" xfId="0" applyFont="1" applyFill="1" applyBorder="1" applyAlignment="1">
      <alignment horizontal="center"/>
    </xf>
    <xf numFmtId="3" fontId="5" fillId="6" borderId="2" xfId="0" applyNumberFormat="1" applyFont="1" applyFill="1" applyBorder="1" applyAlignment="1">
      <alignment horizontal="center"/>
    </xf>
    <xf numFmtId="0" fontId="5" fillId="6" borderId="6" xfId="0" applyFont="1" applyFill="1" applyBorder="1" applyAlignment="1">
      <alignment horizontal="center"/>
    </xf>
    <xf numFmtId="3" fontId="5" fillId="6" borderId="9" xfId="0" applyNumberFormat="1" applyFont="1" applyFill="1" applyBorder="1" applyAlignment="1">
      <alignment horizontal="center"/>
    </xf>
    <xf numFmtId="0" fontId="0" fillId="0" borderId="2" xfId="0" applyBorder="1" applyAlignment="1">
      <alignment wrapText="1"/>
    </xf>
    <xf numFmtId="0" fontId="0" fillId="7" borderId="2" xfId="0" applyFill="1" applyBorder="1" applyAlignment="1">
      <alignment wrapText="1"/>
    </xf>
    <xf numFmtId="0" fontId="0" fillId="7" borderId="2" xfId="0" applyFill="1" applyBorder="1" applyAlignment="1">
      <alignment horizontal="right" wrapText="1"/>
    </xf>
    <xf numFmtId="0" fontId="0" fillId="8" borderId="2" xfId="0" applyFill="1" applyBorder="1" applyAlignment="1">
      <alignment horizontal="right" wrapText="1"/>
    </xf>
    <xf numFmtId="0" fontId="0" fillId="0" borderId="0" xfId="0" applyAlignment="1">
      <alignment horizontal="center" vertical="center" wrapText="1"/>
    </xf>
    <xf numFmtId="0" fontId="0" fillId="10" borderId="2" xfId="0" applyFill="1" applyBorder="1" applyAlignment="1">
      <alignment horizontal="center" wrapText="1"/>
    </xf>
    <xf numFmtId="0" fontId="0" fillId="9" borderId="2" xfId="0" applyFill="1" applyBorder="1" applyAlignment="1">
      <alignment horizontal="right" wrapText="1"/>
    </xf>
    <xf numFmtId="0" fontId="5" fillId="3" borderId="10" xfId="0" applyFont="1" applyFill="1" applyBorder="1" applyAlignment="1">
      <alignment horizontal="center" wrapText="1"/>
    </xf>
    <xf numFmtId="0" fontId="5" fillId="3" borderId="4" xfId="0" applyFont="1" applyFill="1" applyBorder="1" applyAlignment="1">
      <alignment horizontal="center" wrapText="1"/>
    </xf>
    <xf numFmtId="0" fontId="5" fillId="4" borderId="4" xfId="0" applyFont="1" applyFill="1" applyBorder="1" applyAlignment="1">
      <alignment horizontal="center" wrapText="1"/>
    </xf>
    <xf numFmtId="0" fontId="4" fillId="3" borderId="4" xfId="0" applyFont="1" applyFill="1" applyBorder="1" applyAlignment="1">
      <alignment horizontal="center" wrapText="1"/>
    </xf>
    <xf numFmtId="0" fontId="5" fillId="2" borderId="4" xfId="0" applyFont="1" applyFill="1" applyBorder="1" applyAlignment="1">
      <alignment horizontal="center" wrapText="1"/>
    </xf>
    <xf numFmtId="0" fontId="4" fillId="2" borderId="4" xfId="0" applyFont="1" applyFill="1" applyBorder="1" applyAlignment="1">
      <alignment horizontal="center" wrapText="1"/>
    </xf>
    <xf numFmtId="0" fontId="14" fillId="11" borderId="25" xfId="0" applyFont="1" applyFill="1" applyBorder="1" applyAlignment="1">
      <alignment horizontal="right"/>
    </xf>
    <xf numFmtId="0" fontId="15" fillId="7" borderId="26" xfId="0" applyFont="1" applyFill="1" applyBorder="1"/>
    <xf numFmtId="0" fontId="2" fillId="0" borderId="0" xfId="0" applyFont="1" applyAlignment="1">
      <alignment textRotation="90" wrapText="1"/>
    </xf>
    <xf numFmtId="0" fontId="0" fillId="0" borderId="2" xfId="0" applyBorder="1"/>
    <xf numFmtId="38" fontId="5" fillId="6" borderId="2" xfId="0" applyNumberFormat="1" applyFont="1" applyFill="1" applyBorder="1" applyAlignment="1">
      <alignment horizontal="center"/>
    </xf>
    <xf numFmtId="0" fontId="4" fillId="6" borderId="2" xfId="0" applyFont="1" applyFill="1" applyBorder="1" applyAlignment="1">
      <alignment horizontal="center"/>
    </xf>
    <xf numFmtId="0" fontId="0" fillId="17" borderId="0" xfId="0" applyFill="1"/>
    <xf numFmtId="0" fontId="6" fillId="0" borderId="21" xfId="0" applyFont="1" applyBorder="1" applyAlignment="1">
      <alignment horizontal="right"/>
    </xf>
    <xf numFmtId="0" fontId="0" fillId="7" borderId="2" xfId="0" applyFill="1" applyBorder="1" applyAlignment="1">
      <alignment horizontal="center" wrapText="1"/>
    </xf>
    <xf numFmtId="0" fontId="0" fillId="7" borderId="2" xfId="0" applyFill="1" applyBorder="1" applyAlignment="1">
      <alignment horizontal="center" vertical="center" wrapText="1"/>
    </xf>
    <xf numFmtId="0" fontId="0" fillId="9" borderId="2" xfId="0" applyFill="1" applyBorder="1" applyAlignment="1">
      <alignment wrapText="1"/>
    </xf>
    <xf numFmtId="0" fontId="0" fillId="9" borderId="2" xfId="0" applyFill="1" applyBorder="1"/>
    <xf numFmtId="6" fontId="0" fillId="8" borderId="2" xfId="0" applyNumberFormat="1" applyFill="1" applyBorder="1" applyAlignment="1">
      <alignment horizontal="center" vertical="center" wrapText="1"/>
    </xf>
    <xf numFmtId="0" fontId="0" fillId="8" borderId="2" xfId="0" applyFill="1" applyBorder="1" applyAlignment="1">
      <alignment horizontal="center" vertical="center" wrapText="1"/>
    </xf>
    <xf numFmtId="0" fontId="0" fillId="7" borderId="2" xfId="0" applyFill="1" applyBorder="1" applyAlignment="1">
      <alignment horizontal="center" vertical="center"/>
    </xf>
    <xf numFmtId="0" fontId="0" fillId="8" borderId="2" xfId="0" applyFill="1" applyBorder="1" applyAlignment="1">
      <alignment vertical="center" wrapText="1"/>
    </xf>
    <xf numFmtId="0" fontId="0" fillId="7" borderId="2" xfId="0" applyFill="1" applyBorder="1" applyAlignment="1">
      <alignment vertical="center" wrapText="1"/>
    </xf>
    <xf numFmtId="0" fontId="0" fillId="0" borderId="13" xfId="0" applyBorder="1"/>
    <xf numFmtId="0" fontId="0" fillId="0" borderId="35" xfId="0" applyBorder="1" applyAlignment="1">
      <alignment horizontal="center" vertical="center" wrapText="1"/>
    </xf>
    <xf numFmtId="0" fontId="0" fillId="0" borderId="18" xfId="0" applyBorder="1" applyAlignment="1">
      <alignment horizontal="center" vertical="center" wrapText="1"/>
    </xf>
    <xf numFmtId="0" fontId="0" fillId="0" borderId="1" xfId="0" applyBorder="1" applyAlignment="1">
      <alignment horizontal="center" vertical="center" wrapText="1"/>
    </xf>
    <xf numFmtId="0" fontId="0" fillId="0" borderId="36" xfId="0" applyBorder="1" applyAlignment="1">
      <alignment horizontal="center" vertical="center" wrapText="1"/>
    </xf>
    <xf numFmtId="0" fontId="0" fillId="0" borderId="39" xfId="0" applyBorder="1"/>
    <xf numFmtId="0" fontId="0" fillId="0" borderId="38" xfId="0" applyBorder="1"/>
    <xf numFmtId="0" fontId="4" fillId="0" borderId="0" xfId="0" applyFont="1" applyAlignment="1">
      <alignment vertical="center" wrapText="1"/>
    </xf>
    <xf numFmtId="0" fontId="5" fillId="6" borderId="28" xfId="0" applyFont="1" applyFill="1" applyBorder="1" applyAlignment="1">
      <alignment horizontal="center"/>
    </xf>
    <xf numFmtId="0" fontId="5" fillId="6" borderId="26" xfId="0" applyFont="1" applyFill="1" applyBorder="1" applyAlignment="1">
      <alignment horizontal="center"/>
    </xf>
    <xf numFmtId="0" fontId="2" fillId="12" borderId="28" xfId="0" applyFont="1" applyFill="1" applyBorder="1" applyAlignment="1">
      <alignment horizontal="center" vertical="center" wrapText="1"/>
    </xf>
    <xf numFmtId="0" fontId="2" fillId="13" borderId="28" xfId="0" applyFont="1" applyFill="1" applyBorder="1" applyAlignment="1">
      <alignment horizontal="center" vertical="center" wrapText="1"/>
    </xf>
    <xf numFmtId="0" fontId="2" fillId="14" borderId="28" xfId="0" applyFont="1" applyFill="1" applyBorder="1" applyAlignment="1">
      <alignment horizontal="center" vertical="center" wrapText="1"/>
    </xf>
    <xf numFmtId="0" fontId="0" fillId="0" borderId="37" xfId="0" applyBorder="1" applyAlignment="1">
      <alignment horizontal="center" vertical="center" wrapText="1"/>
    </xf>
    <xf numFmtId="0" fontId="2" fillId="16" borderId="28" xfId="0" applyFont="1" applyFill="1" applyBorder="1" applyAlignment="1">
      <alignment horizontal="center" vertical="center" wrapText="1"/>
    </xf>
    <xf numFmtId="0" fontId="2" fillId="15" borderId="28" xfId="0" applyFont="1" applyFill="1" applyBorder="1" applyAlignment="1">
      <alignment horizontal="center" vertical="center" wrapText="1"/>
    </xf>
    <xf numFmtId="0" fontId="2" fillId="13" borderId="28" xfId="0" applyFont="1" applyFill="1" applyBorder="1" applyAlignment="1">
      <alignment vertical="center"/>
    </xf>
    <xf numFmtId="0" fontId="4" fillId="0" borderId="0" xfId="0" applyFont="1" applyAlignment="1">
      <alignment wrapText="1"/>
    </xf>
    <xf numFmtId="0" fontId="4" fillId="0" borderId="37" xfId="0" applyFont="1" applyBorder="1" applyAlignment="1">
      <alignment vertical="center" wrapText="1"/>
    </xf>
    <xf numFmtId="0" fontId="13" fillId="0" borderId="36" xfId="0" applyFont="1" applyBorder="1" applyAlignment="1">
      <alignment vertical="center" wrapText="1"/>
    </xf>
    <xf numFmtId="0" fontId="13" fillId="0" borderId="38" xfId="0" applyFont="1" applyBorder="1" applyAlignment="1">
      <alignment vertical="center" wrapText="1"/>
    </xf>
    <xf numFmtId="0" fontId="4" fillId="0" borderId="39" xfId="0" applyFont="1" applyBorder="1" applyAlignment="1">
      <alignment vertical="center" wrapText="1"/>
    </xf>
    <xf numFmtId="0" fontId="4" fillId="0" borderId="36" xfId="0" applyFont="1" applyBorder="1" applyAlignment="1">
      <alignment vertical="center" wrapText="1"/>
    </xf>
    <xf numFmtId="0" fontId="4" fillId="0" borderId="38" xfId="0" applyFont="1" applyBorder="1" applyAlignment="1">
      <alignment vertical="center" wrapText="1"/>
    </xf>
    <xf numFmtId="0" fontId="4" fillId="0" borderId="35" xfId="0" applyFont="1" applyBorder="1" applyAlignment="1">
      <alignment vertical="center" wrapText="1"/>
    </xf>
    <xf numFmtId="0" fontId="4" fillId="0" borderId="18" xfId="0" applyFont="1" applyBorder="1" applyAlignment="1">
      <alignment vertical="center" wrapText="1"/>
    </xf>
    <xf numFmtId="0" fontId="4" fillId="0" borderId="1" xfId="0" applyFont="1" applyBorder="1" applyAlignment="1">
      <alignment vertical="center" wrapText="1"/>
    </xf>
    <xf numFmtId="0" fontId="4" fillId="0" borderId="13" xfId="0" applyFont="1" applyBorder="1" applyAlignment="1">
      <alignment vertical="center" wrapText="1"/>
    </xf>
    <xf numFmtId="0" fontId="0" fillId="19" borderId="2" xfId="0" applyFill="1" applyBorder="1" applyAlignment="1">
      <alignment horizontal="center" vertical="center" wrapText="1"/>
    </xf>
    <xf numFmtId="0" fontId="4" fillId="19" borderId="2" xfId="0" applyFont="1" applyFill="1" applyBorder="1" applyAlignment="1">
      <alignment vertical="center" wrapText="1"/>
    </xf>
    <xf numFmtId="0" fontId="4" fillId="19" borderId="2" xfId="0" applyFont="1" applyFill="1" applyBorder="1" applyAlignment="1">
      <alignment horizontal="center" vertical="center" wrapText="1"/>
    </xf>
    <xf numFmtId="0" fontId="0" fillId="0" borderId="1" xfId="0" applyBorder="1" applyAlignment="1">
      <alignment wrapText="1"/>
    </xf>
    <xf numFmtId="0" fontId="0" fillId="0" borderId="18" xfId="0" applyBorder="1" applyAlignment="1">
      <alignment wrapText="1"/>
    </xf>
    <xf numFmtId="0" fontId="0" fillId="19" borderId="11" xfId="0" applyFill="1" applyBorder="1" applyAlignment="1">
      <alignment horizontal="center" vertical="center" wrapText="1"/>
    </xf>
    <xf numFmtId="0" fontId="0" fillId="19" borderId="33" xfId="0" applyFill="1" applyBorder="1" applyAlignment="1">
      <alignment horizontal="center" vertical="center" wrapText="1"/>
    </xf>
    <xf numFmtId="0" fontId="0" fillId="19" borderId="28" xfId="0" applyFill="1" applyBorder="1" applyAlignment="1">
      <alignment horizontal="center" vertical="center" wrapText="1"/>
    </xf>
    <xf numFmtId="0" fontId="2" fillId="0" borderId="39" xfId="0" applyFont="1" applyBorder="1" applyAlignment="1">
      <alignment textRotation="90" wrapText="1"/>
    </xf>
    <xf numFmtId="0" fontId="0" fillId="19" borderId="2" xfId="2" applyNumberFormat="1" applyFont="1" applyFill="1" applyBorder="1" applyAlignment="1">
      <alignment horizontal="center" vertical="center" wrapText="1"/>
    </xf>
    <xf numFmtId="0" fontId="2" fillId="0" borderId="35" xfId="0" applyFont="1" applyBorder="1" applyAlignment="1">
      <alignment textRotation="90" wrapText="1"/>
    </xf>
    <xf numFmtId="0" fontId="0" fillId="0" borderId="35" xfId="0" applyBorder="1" applyAlignment="1">
      <alignment wrapText="1"/>
    </xf>
    <xf numFmtId="0" fontId="0" fillId="0" borderId="39" xfId="0" applyBorder="1" applyAlignment="1">
      <alignment wrapText="1"/>
    </xf>
    <xf numFmtId="0" fontId="0" fillId="0" borderId="13" xfId="0" applyBorder="1" applyAlignment="1">
      <alignment wrapText="1"/>
    </xf>
    <xf numFmtId="0" fontId="0" fillId="20" borderId="41" xfId="0" applyFill="1" applyBorder="1" applyAlignment="1">
      <alignment horizontal="center"/>
    </xf>
    <xf numFmtId="0" fontId="0" fillId="20" borderId="40" xfId="0" applyFill="1" applyBorder="1" applyAlignment="1">
      <alignment horizontal="center"/>
    </xf>
    <xf numFmtId="0" fontId="0" fillId="17" borderId="2" xfId="0" applyFill="1" applyBorder="1" applyAlignment="1">
      <alignment horizontal="right" wrapText="1"/>
    </xf>
    <xf numFmtId="0" fontId="2" fillId="7" borderId="2" xfId="0" applyFont="1" applyFill="1" applyBorder="1" applyAlignment="1">
      <alignment horizontal="right" vertical="center" textRotation="90" wrapText="1"/>
    </xf>
    <xf numFmtId="0" fontId="0" fillId="8" borderId="2" xfId="0" applyFill="1" applyBorder="1" applyAlignment="1">
      <alignment horizontal="center" vertical="center"/>
    </xf>
    <xf numFmtId="0" fontId="0" fillId="0" borderId="43" xfId="0" applyBorder="1"/>
    <xf numFmtId="0" fontId="1" fillId="0" borderId="43" xfId="0" applyFont="1" applyBorder="1"/>
    <xf numFmtId="0" fontId="2" fillId="0" borderId="43" xfId="0" applyFont="1" applyBorder="1"/>
    <xf numFmtId="0" fontId="0" fillId="0" borderId="43" xfId="0" applyBorder="1" applyAlignment="1">
      <alignment horizontal="center"/>
    </xf>
    <xf numFmtId="0" fontId="2" fillId="0" borderId="43" xfId="0" applyFont="1" applyBorder="1" applyAlignment="1">
      <alignment horizontal="right" wrapText="1"/>
    </xf>
    <xf numFmtId="0" fontId="0" fillId="0" borderId="43" xfId="0" applyBorder="1" applyAlignment="1">
      <alignment horizontal="center" wrapText="1"/>
    </xf>
    <xf numFmtId="0" fontId="0" fillId="0" borderId="43" xfId="0" applyBorder="1" applyAlignment="1">
      <alignment wrapText="1"/>
    </xf>
    <xf numFmtId="0" fontId="0" fillId="0" borderId="43" xfId="0" applyBorder="1" applyAlignment="1">
      <alignment horizontal="center" vertical="center" wrapText="1"/>
    </xf>
    <xf numFmtId="0" fontId="2" fillId="0" borderId="43" xfId="0" applyFont="1" applyBorder="1" applyAlignment="1">
      <alignment vertical="center" textRotation="90" wrapText="1"/>
    </xf>
    <xf numFmtId="0" fontId="0" fillId="0" borderId="44" xfId="0" applyBorder="1" applyAlignment="1">
      <alignment wrapText="1"/>
    </xf>
    <xf numFmtId="0" fontId="0" fillId="0" borderId="45" xfId="0" applyBorder="1" applyAlignment="1">
      <alignment wrapText="1"/>
    </xf>
    <xf numFmtId="0" fontId="0" fillId="0" borderId="46" xfId="0" applyBorder="1" applyAlignment="1">
      <alignment wrapText="1"/>
    </xf>
    <xf numFmtId="0" fontId="0" fillId="0" borderId="43" xfId="0" applyBorder="1" applyAlignment="1">
      <alignment vertical="center" wrapText="1"/>
    </xf>
    <xf numFmtId="0" fontId="0" fillId="0" borderId="43" xfId="0" applyBorder="1" applyAlignment="1">
      <alignment horizontal="right" wrapText="1"/>
    </xf>
    <xf numFmtId="0" fontId="0" fillId="0" borderId="43" xfId="0" applyBorder="1" applyAlignment="1">
      <alignment horizontal="right" vertical="center" textRotation="90" wrapText="1"/>
    </xf>
    <xf numFmtId="0" fontId="0" fillId="0" borderId="44" xfId="0" applyBorder="1"/>
    <xf numFmtId="0" fontId="0" fillId="0" borderId="45" xfId="0" applyBorder="1"/>
    <xf numFmtId="0" fontId="0" fillId="0" borderId="46" xfId="0" applyBorder="1" applyAlignment="1">
      <alignment vertical="center" wrapText="1"/>
    </xf>
    <xf numFmtId="0" fontId="0" fillId="0" borderId="46" xfId="0" applyBorder="1" applyAlignment="1">
      <alignment horizontal="right" wrapText="1"/>
    </xf>
    <xf numFmtId="0" fontId="0" fillId="0" borderId="46" xfId="0" applyBorder="1" applyAlignment="1">
      <alignment horizontal="center" wrapText="1"/>
    </xf>
    <xf numFmtId="0" fontId="2" fillId="0" borderId="43" xfId="0" applyFont="1" applyBorder="1" applyAlignment="1">
      <alignment vertical="center"/>
    </xf>
    <xf numFmtId="0" fontId="16" fillId="0" borderId="43" xfId="0" applyFont="1" applyBorder="1" applyAlignment="1">
      <alignment vertical="center"/>
    </xf>
    <xf numFmtId="0" fontId="2" fillId="0" borderId="45" xfId="0" applyFont="1" applyBorder="1" applyAlignment="1">
      <alignment vertical="center"/>
    </xf>
    <xf numFmtId="0" fontId="0" fillId="0" borderId="46" xfId="0" applyBorder="1"/>
    <xf numFmtId="0" fontId="2" fillId="0" borderId="47" xfId="0" applyFont="1" applyBorder="1" applyAlignment="1">
      <alignment vertical="center"/>
    </xf>
    <xf numFmtId="0" fontId="0" fillId="0" borderId="48" xfId="0" applyBorder="1"/>
    <xf numFmtId="0" fontId="2" fillId="0" borderId="49" xfId="0" applyFont="1" applyBorder="1" applyAlignment="1">
      <alignment vertical="center"/>
    </xf>
    <xf numFmtId="0" fontId="2" fillId="0" borderId="48" xfId="0" applyFont="1" applyBorder="1" applyAlignment="1">
      <alignment vertical="center"/>
    </xf>
    <xf numFmtId="0" fontId="0" fillId="0" borderId="49" xfId="0" applyBorder="1"/>
    <xf numFmtId="0" fontId="0" fillId="0" borderId="47" xfId="0" applyBorder="1"/>
    <xf numFmtId="0" fontId="0" fillId="0" borderId="34" xfId="0" applyBorder="1"/>
    <xf numFmtId="0" fontId="0" fillId="0" borderId="45" xfId="0" applyBorder="1" applyAlignment="1">
      <alignment horizontal="center" vertical="center" wrapText="1"/>
    </xf>
    <xf numFmtId="0" fontId="5" fillId="0" borderId="43" xfId="0" applyFont="1" applyBorder="1"/>
    <xf numFmtId="0" fontId="5" fillId="0" borderId="43" xfId="0" applyFont="1" applyBorder="1" applyAlignment="1">
      <alignment vertical="center"/>
    </xf>
    <xf numFmtId="0" fontId="5" fillId="0" borderId="43" xfId="0" applyFont="1" applyBorder="1" applyAlignment="1">
      <alignment vertical="center" wrapText="1"/>
    </xf>
    <xf numFmtId="0" fontId="5" fillId="0" borderId="43" xfId="0" applyFont="1" applyBorder="1" applyAlignment="1">
      <alignment horizontal="right" wrapText="1"/>
    </xf>
    <xf numFmtId="0" fontId="5" fillId="0" borderId="43" xfId="0" applyFont="1" applyBorder="1" applyAlignment="1">
      <alignment horizontal="center" vertical="center" wrapText="1"/>
    </xf>
    <xf numFmtId="0" fontId="5" fillId="0" borderId="43" xfId="0" applyFont="1" applyBorder="1" applyAlignment="1">
      <alignment wrapText="1"/>
    </xf>
    <xf numFmtId="0" fontId="5" fillId="0" borderId="45" xfId="0" applyFont="1" applyBorder="1"/>
    <xf numFmtId="0" fontId="0" fillId="0" borderId="50" xfId="0" applyBorder="1"/>
    <xf numFmtId="0" fontId="5" fillId="0" borderId="50" xfId="0" applyFont="1" applyBorder="1"/>
    <xf numFmtId="0" fontId="16" fillId="0" borderId="45" xfId="0" applyFont="1" applyBorder="1" applyAlignment="1">
      <alignment vertical="center" wrapText="1"/>
    </xf>
    <xf numFmtId="0" fontId="0" fillId="0" borderId="43" xfId="0" applyBorder="1" applyAlignment="1">
      <alignment horizontal="center" vertical="center"/>
    </xf>
    <xf numFmtId="0" fontId="0" fillId="0" borderId="46" xfId="0" applyBorder="1" applyAlignment="1">
      <alignment horizontal="center" vertical="center" wrapText="1"/>
    </xf>
    <xf numFmtId="0" fontId="0" fillId="0" borderId="34" xfId="0" applyBorder="1" applyAlignment="1">
      <alignment horizontal="center" vertical="center" wrapText="1"/>
    </xf>
    <xf numFmtId="0" fontId="6" fillId="0" borderId="32" xfId="0" applyFont="1" applyBorder="1" applyAlignment="1">
      <alignment horizontal="center"/>
    </xf>
    <xf numFmtId="0" fontId="6" fillId="0" borderId="7" xfId="0" applyFont="1" applyBorder="1" applyAlignment="1">
      <alignment horizontal="center"/>
    </xf>
    <xf numFmtId="0" fontId="5" fillId="0" borderId="2" xfId="0" applyFont="1" applyBorder="1" applyAlignment="1">
      <alignment horizontal="center" vertical="center" wrapText="1"/>
    </xf>
    <xf numFmtId="0" fontId="4" fillId="0" borderId="2" xfId="0" applyFont="1" applyBorder="1" applyAlignment="1">
      <alignment horizontal="center" vertical="center" wrapText="1"/>
    </xf>
    <xf numFmtId="3" fontId="4" fillId="0" borderId="2" xfId="0" applyNumberFormat="1" applyFont="1" applyBorder="1" applyAlignment="1">
      <alignment horizontal="center" vertical="center" wrapText="1"/>
    </xf>
    <xf numFmtId="0" fontId="0" fillId="0" borderId="41" xfId="0" applyBorder="1" applyAlignment="1">
      <alignment horizontal="center"/>
    </xf>
    <xf numFmtId="0" fontId="0" fillId="0" borderId="42" xfId="0" applyBorder="1" applyAlignment="1">
      <alignment horizontal="center"/>
    </xf>
    <xf numFmtId="0" fontId="29" fillId="19" borderId="2" xfId="0" applyFont="1" applyFill="1" applyBorder="1" applyAlignment="1">
      <alignment horizontal="center" vertical="center" wrapText="1"/>
    </xf>
    <xf numFmtId="0" fontId="0" fillId="0" borderId="0" xfId="0" applyAlignment="1">
      <alignment wrapText="1"/>
    </xf>
    <xf numFmtId="0" fontId="2" fillId="0" borderId="46" xfId="0" applyFont="1" applyBorder="1" applyAlignment="1">
      <alignment horizontal="right" textRotation="90" wrapText="1"/>
    </xf>
    <xf numFmtId="0" fontId="2" fillId="0" borderId="46" xfId="0" applyFont="1" applyBorder="1" applyAlignment="1">
      <alignment horizontal="center" wrapText="1"/>
    </xf>
    <xf numFmtId="0" fontId="0" fillId="19" borderId="9" xfId="0" applyFill="1" applyBorder="1" applyAlignment="1">
      <alignment horizontal="center" vertical="center" wrapText="1"/>
    </xf>
    <xf numFmtId="0" fontId="0" fillId="0" borderId="46" xfId="0" applyBorder="1" applyAlignment="1">
      <alignment horizontal="right" vertical="center" textRotation="90" wrapText="1"/>
    </xf>
    <xf numFmtId="0" fontId="4" fillId="0" borderId="46" xfId="0" applyFont="1" applyBorder="1" applyAlignment="1">
      <alignment vertical="center" wrapText="1"/>
    </xf>
    <xf numFmtId="0" fontId="2" fillId="0" borderId="46" xfId="0" applyFont="1" applyBorder="1" applyAlignment="1">
      <alignment vertical="center" textRotation="90" wrapText="1"/>
    </xf>
    <xf numFmtId="0" fontId="4" fillId="0" borderId="6" xfId="0" applyFont="1" applyBorder="1" applyAlignment="1">
      <alignment horizontal="center" vertical="center" wrapText="1"/>
    </xf>
    <xf numFmtId="3" fontId="5" fillId="0" borderId="2" xfId="0" applyNumberFormat="1" applyFont="1" applyBorder="1" applyAlignment="1">
      <alignment horizontal="center" vertical="center" wrapText="1"/>
    </xf>
    <xf numFmtId="0" fontId="2" fillId="17" borderId="52" xfId="0" applyFont="1" applyFill="1" applyBorder="1" applyAlignment="1">
      <alignment horizontal="center" vertical="center"/>
    </xf>
    <xf numFmtId="0" fontId="0" fillId="17" borderId="52" xfId="0" applyFill="1" applyBorder="1" applyAlignment="1">
      <alignment horizontal="center" vertical="center" wrapText="1"/>
    </xf>
    <xf numFmtId="0" fontId="0" fillId="17" borderId="52" xfId="0" applyFill="1" applyBorder="1" applyAlignment="1">
      <alignment vertical="center" wrapText="1"/>
    </xf>
    <xf numFmtId="0" fontId="0" fillId="17" borderId="52" xfId="0" applyFill="1" applyBorder="1"/>
    <xf numFmtId="0" fontId="0" fillId="17" borderId="0" xfId="0" applyFill="1" applyBorder="1"/>
    <xf numFmtId="0" fontId="20"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0" fillId="17" borderId="2" xfId="0" applyFill="1" applyBorder="1" applyAlignment="1">
      <alignment horizontal="center" vertical="center" wrapText="1"/>
    </xf>
    <xf numFmtId="3" fontId="5" fillId="0" borderId="9" xfId="0" applyNumberFormat="1" applyFont="1" applyBorder="1" applyAlignment="1">
      <alignment horizontal="center" vertical="center" wrapText="1"/>
    </xf>
    <xf numFmtId="0" fontId="0" fillId="0" borderId="2" xfId="0" applyFill="1" applyBorder="1" applyAlignment="1">
      <alignment wrapText="1"/>
    </xf>
    <xf numFmtId="0" fontId="19" fillId="0" borderId="52" xfId="0" applyFont="1" applyBorder="1" applyAlignment="1">
      <alignment horizontal="center" vertical="center" wrapText="1"/>
    </xf>
    <xf numFmtId="0" fontId="0" fillId="17" borderId="2" xfId="0" applyFill="1" applyBorder="1" applyAlignment="1">
      <alignment horizontal="center" vertical="center" wrapText="1"/>
    </xf>
    <xf numFmtId="0" fontId="28" fillId="0" borderId="52" xfId="0" applyFont="1" applyBorder="1" applyAlignment="1">
      <alignment horizontal="center" vertical="center"/>
    </xf>
    <xf numFmtId="0" fontId="26" fillId="0" borderId="52" xfId="0" applyFont="1" applyBorder="1" applyAlignment="1">
      <alignment horizontal="center" vertical="center" wrapText="1"/>
    </xf>
    <xf numFmtId="0" fontId="2" fillId="17" borderId="52" xfId="0" applyFont="1" applyFill="1" applyBorder="1" applyAlignment="1">
      <alignment horizontal="center" vertical="center"/>
    </xf>
    <xf numFmtId="0" fontId="4" fillId="0" borderId="52" xfId="0" applyFont="1" applyBorder="1" applyAlignment="1">
      <alignment horizontal="center" vertical="center" wrapText="1"/>
    </xf>
    <xf numFmtId="0" fontId="21" fillId="0" borderId="52" xfId="0" applyFont="1" applyBorder="1" applyAlignment="1">
      <alignment horizontal="center" vertical="center" wrapText="1"/>
    </xf>
    <xf numFmtId="0" fontId="0" fillId="17" borderId="52" xfId="0" applyFill="1" applyBorder="1" applyAlignment="1">
      <alignment horizontal="center" vertical="center" wrapText="1"/>
    </xf>
    <xf numFmtId="0" fontId="6" fillId="6" borderId="24" xfId="0" applyFont="1" applyFill="1" applyBorder="1" applyAlignment="1">
      <alignment horizontal="center"/>
    </xf>
    <xf numFmtId="0" fontId="6" fillId="6" borderId="27" xfId="0" applyFont="1" applyFill="1" applyBorder="1" applyAlignment="1">
      <alignment horizontal="center"/>
    </xf>
    <xf numFmtId="0" fontId="6" fillId="6" borderId="22" xfId="0" applyFont="1" applyFill="1" applyBorder="1" applyAlignment="1">
      <alignment horizontal="center"/>
    </xf>
    <xf numFmtId="0" fontId="6" fillId="6" borderId="23" xfId="0" applyFont="1" applyFill="1" applyBorder="1" applyAlignment="1">
      <alignment horizontal="center"/>
    </xf>
    <xf numFmtId="0" fontId="2" fillId="20" borderId="19" xfId="0" applyFont="1" applyFill="1" applyBorder="1" applyAlignment="1">
      <alignment horizontal="center" wrapText="1"/>
    </xf>
    <xf numFmtId="0" fontId="2" fillId="20" borderId="21" xfId="0" applyFont="1" applyFill="1" applyBorder="1" applyAlignment="1">
      <alignment horizontal="center" wrapText="1"/>
    </xf>
    <xf numFmtId="0" fontId="16" fillId="18" borderId="29" xfId="0" applyFont="1" applyFill="1" applyBorder="1" applyAlignment="1">
      <alignment horizontal="center" vertical="center"/>
    </xf>
    <xf numFmtId="0" fontId="16" fillId="18" borderId="30" xfId="0" applyFont="1" applyFill="1" applyBorder="1" applyAlignment="1">
      <alignment horizontal="center" vertical="center"/>
    </xf>
    <xf numFmtId="0" fontId="16" fillId="18" borderId="31" xfId="0" applyFont="1" applyFill="1" applyBorder="1" applyAlignment="1">
      <alignment horizontal="center" vertical="center"/>
    </xf>
    <xf numFmtId="0" fontId="16" fillId="18" borderId="29" xfId="0" applyFont="1" applyFill="1" applyBorder="1" applyAlignment="1">
      <alignment horizontal="center" vertical="center" wrapText="1"/>
    </xf>
    <xf numFmtId="0" fontId="16" fillId="18" borderId="30" xfId="0" applyFont="1" applyFill="1" applyBorder="1" applyAlignment="1">
      <alignment horizontal="center" vertical="center" wrapText="1"/>
    </xf>
    <xf numFmtId="0" fontId="16" fillId="18" borderId="31" xfId="0" applyFont="1" applyFill="1" applyBorder="1" applyAlignment="1">
      <alignment horizontal="center" vertical="center" wrapText="1"/>
    </xf>
    <xf numFmtId="0" fontId="16" fillId="18" borderId="2" xfId="0" applyFont="1" applyFill="1" applyBorder="1" applyAlignment="1">
      <alignment horizontal="center" vertical="center" wrapText="1"/>
    </xf>
    <xf numFmtId="0" fontId="0" fillId="19" borderId="28" xfId="0" applyFill="1" applyBorder="1" applyAlignment="1">
      <alignment horizontal="center" vertical="center" wrapText="1"/>
    </xf>
    <xf numFmtId="0" fontId="0" fillId="19" borderId="9" xfId="0" applyFill="1" applyBorder="1" applyAlignment="1">
      <alignment horizontal="center" vertical="center" wrapText="1"/>
    </xf>
    <xf numFmtId="0" fontId="2" fillId="7" borderId="28" xfId="0" applyFont="1" applyFill="1" applyBorder="1" applyAlignment="1">
      <alignment horizontal="center" vertical="top" textRotation="90" wrapText="1"/>
    </xf>
    <xf numFmtId="0" fontId="2" fillId="7" borderId="51" xfId="0" applyFont="1" applyFill="1" applyBorder="1" applyAlignment="1">
      <alignment horizontal="center" vertical="top" textRotation="90" wrapText="1"/>
    </xf>
    <xf numFmtId="0" fontId="2" fillId="7" borderId="9" xfId="0" applyFont="1" applyFill="1" applyBorder="1" applyAlignment="1">
      <alignment horizontal="center" vertical="top" textRotation="90" wrapText="1"/>
    </xf>
    <xf numFmtId="0" fontId="0" fillId="0" borderId="43" xfId="0" applyBorder="1" applyAlignment="1">
      <alignment horizontal="right" vertical="center" textRotation="90" wrapText="1"/>
    </xf>
    <xf numFmtId="0" fontId="0" fillId="9" borderId="28" xfId="0" applyFill="1" applyBorder="1" applyAlignment="1">
      <alignment horizontal="center" vertical="center" wrapText="1"/>
    </xf>
    <xf numFmtId="0" fontId="0" fillId="9" borderId="9" xfId="0" applyFill="1" applyBorder="1" applyAlignment="1">
      <alignment horizontal="center" vertical="center" wrapText="1"/>
    </xf>
    <xf numFmtId="0" fontId="2" fillId="7" borderId="2" xfId="0" applyFont="1" applyFill="1" applyBorder="1" applyAlignment="1">
      <alignment horizontal="right" vertical="center" textRotation="90" wrapText="1"/>
    </xf>
    <xf numFmtId="0" fontId="16" fillId="18" borderId="2" xfId="0" applyFont="1" applyFill="1" applyBorder="1" applyAlignment="1">
      <alignment horizontal="center" vertical="center"/>
    </xf>
    <xf numFmtId="0" fontId="2" fillId="7" borderId="33" xfId="0" applyFont="1" applyFill="1" applyBorder="1" applyAlignment="1">
      <alignment horizontal="right" vertical="center" textRotation="90" wrapText="1"/>
    </xf>
    <xf numFmtId="0" fontId="2" fillId="7" borderId="28" xfId="0" applyFont="1" applyFill="1" applyBorder="1" applyAlignment="1">
      <alignment horizontal="center" vertical="center" textRotation="90" wrapText="1"/>
    </xf>
    <xf numFmtId="0" fontId="2" fillId="7" borderId="51" xfId="0" applyFont="1" applyFill="1" applyBorder="1" applyAlignment="1">
      <alignment horizontal="center" vertical="center" textRotation="90" wrapText="1"/>
    </xf>
    <xf numFmtId="0" fontId="2" fillId="7" borderId="9" xfId="0" applyFont="1" applyFill="1" applyBorder="1" applyAlignment="1">
      <alignment horizontal="center" vertical="center" textRotation="90" wrapText="1"/>
    </xf>
    <xf numFmtId="0" fontId="0" fillId="9" borderId="2" xfId="0" applyFill="1" applyBorder="1" applyAlignment="1">
      <alignment horizontal="center" vertical="center" wrapText="1"/>
    </xf>
    <xf numFmtId="0" fontId="16" fillId="18" borderId="28" xfId="0" applyFont="1" applyFill="1" applyBorder="1" applyAlignment="1">
      <alignment horizontal="center" vertical="center" wrapText="1"/>
    </xf>
    <xf numFmtId="0" fontId="0" fillId="8" borderId="2" xfId="0" applyFill="1" applyBorder="1" applyAlignment="1">
      <alignment horizontal="center" vertical="center" wrapText="1"/>
    </xf>
    <xf numFmtId="0" fontId="0" fillId="0" borderId="2" xfId="0" applyBorder="1" applyAlignment="1">
      <alignment horizontal="center"/>
    </xf>
    <xf numFmtId="0" fontId="0" fillId="8" borderId="2" xfId="0" applyFill="1" applyBorder="1" applyAlignment="1">
      <alignment horizontal="center"/>
    </xf>
    <xf numFmtId="0" fontId="5" fillId="18" borderId="2" xfId="0" applyFont="1" applyFill="1" applyBorder="1" applyAlignment="1">
      <alignment horizontal="center" vertical="center" wrapText="1"/>
    </xf>
    <xf numFmtId="0" fontId="40" fillId="0" borderId="2" xfId="0" applyFont="1" applyBorder="1" applyAlignment="1">
      <alignment horizontal="center" vertical="center" wrapText="1"/>
    </xf>
    <xf numFmtId="0" fontId="0" fillId="0" borderId="2" xfId="0" applyBorder="1" applyAlignment="1">
      <alignment horizontal="center" vertical="center"/>
    </xf>
    <xf numFmtId="0" fontId="44"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0" fillId="0" borderId="2" xfId="0" applyBorder="1" applyAlignment="1">
      <alignment horizontal="center" vertical="center" wrapText="1"/>
    </xf>
    <xf numFmtId="0" fontId="29" fillId="9" borderId="2" xfId="0" applyFont="1" applyFill="1" applyBorder="1" applyAlignment="1">
      <alignment horizontal="center" vertical="center" wrapText="1"/>
    </xf>
    <xf numFmtId="0" fontId="35" fillId="0" borderId="2" xfId="0" applyFont="1" applyBorder="1" applyAlignment="1">
      <alignment horizontal="center" vertical="center" wrapText="1"/>
    </xf>
    <xf numFmtId="0" fontId="35" fillId="0" borderId="2" xfId="0" applyFont="1" applyBorder="1" applyAlignment="1">
      <alignment horizontal="center" vertical="center"/>
    </xf>
    <xf numFmtId="0" fontId="41" fillId="0" borderId="2" xfId="0" applyFont="1" applyBorder="1" applyAlignment="1">
      <alignment horizontal="center" vertical="center"/>
    </xf>
    <xf numFmtId="0" fontId="13" fillId="0" borderId="2" xfId="0" applyFont="1" applyBorder="1" applyAlignment="1">
      <alignment horizontal="center" vertical="center"/>
    </xf>
    <xf numFmtId="0" fontId="40" fillId="0" borderId="2" xfId="0" applyFont="1" applyBorder="1" applyAlignment="1">
      <alignment horizontal="center" vertical="center"/>
    </xf>
    <xf numFmtId="0" fontId="5" fillId="0" borderId="2" xfId="0" applyFont="1" applyBorder="1" applyAlignment="1">
      <alignment horizontal="center" vertical="center"/>
    </xf>
    <xf numFmtId="0" fontId="37" fillId="0" borderId="2" xfId="0" applyFont="1" applyBorder="1" applyAlignment="1">
      <alignment horizontal="center" vertical="center"/>
    </xf>
    <xf numFmtId="0" fontId="44" fillId="0" borderId="2" xfId="0" applyFont="1" applyBorder="1" applyAlignment="1">
      <alignment horizontal="center" vertical="center"/>
    </xf>
    <xf numFmtId="0" fontId="39" fillId="0" borderId="2" xfId="0" applyFont="1" applyBorder="1" applyAlignment="1">
      <alignment horizontal="center" vertical="center" wrapText="1"/>
    </xf>
    <xf numFmtId="0" fontId="42" fillId="0" borderId="2" xfId="0" applyFont="1" applyBorder="1" applyAlignment="1">
      <alignment horizontal="center" vertical="center" wrapText="1"/>
    </xf>
    <xf numFmtId="0" fontId="42" fillId="0" borderId="2" xfId="0" applyFont="1" applyBorder="1" applyAlignment="1">
      <alignment horizontal="center" vertical="center"/>
    </xf>
    <xf numFmtId="0" fontId="0" fillId="8" borderId="2" xfId="0" applyFill="1" applyBorder="1" applyAlignment="1">
      <alignment horizontal="center" vertical="center"/>
    </xf>
  </cellXfs>
  <cellStyles count="3">
    <cellStyle name="Currency" xfId="2" builtinId="4"/>
    <cellStyle name="Hyperlink" xfId="1" builtinId="8"/>
    <cellStyle name="Normal" xfId="0" builtinId="0"/>
  </cellStyles>
  <dxfs count="0"/>
  <tableStyles count="0" defaultTableStyle="TableStyleMedium2" defaultPivotStyle="PivotStyleLight16"/>
  <colors>
    <mruColors>
      <color rgb="FF32A5B7"/>
      <color rgb="FF009EDE"/>
      <color rgb="FFFF6F23"/>
      <color rgb="FFF5B11E"/>
      <color rgb="FFFA9023"/>
      <color rgb="FF003E66"/>
      <color rgb="FF96AA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CSA!$J$5</c:f>
              <c:strCache>
                <c:ptCount val="1"/>
                <c:pt idx="0">
                  <c:v>Votes for "What Focus Area stood out as most important?"</c:v>
                </c:pt>
              </c:strCache>
            </c:strRef>
          </c:tx>
          <c:spPr>
            <a:solidFill>
              <a:srgbClr val="009EDE"/>
            </a:solidFill>
          </c:spPr>
          <c:dPt>
            <c:idx val="0"/>
            <c:bubble3D val="0"/>
            <c:spPr>
              <a:solidFill>
                <a:srgbClr val="003E66"/>
              </a:solidFill>
              <a:ln w="19050">
                <a:solidFill>
                  <a:schemeClr val="lt1"/>
                </a:solidFill>
              </a:ln>
              <a:effectLst/>
            </c:spPr>
            <c:extLst>
              <c:ext xmlns:c16="http://schemas.microsoft.com/office/drawing/2014/chart" uri="{C3380CC4-5D6E-409C-BE32-E72D297353CC}">
                <c16:uniqueId val="{00000001-535C-4D9E-BEF8-64D77CC62EB8}"/>
              </c:ext>
            </c:extLst>
          </c:dPt>
          <c:dPt>
            <c:idx val="1"/>
            <c:bubble3D val="0"/>
            <c:spPr>
              <a:solidFill>
                <a:srgbClr val="009EDE"/>
              </a:solidFill>
              <a:ln w="19050">
                <a:solidFill>
                  <a:schemeClr val="lt1"/>
                </a:solidFill>
              </a:ln>
              <a:effectLst/>
            </c:spPr>
            <c:extLst>
              <c:ext xmlns:c16="http://schemas.microsoft.com/office/drawing/2014/chart" uri="{C3380CC4-5D6E-409C-BE32-E72D297353CC}">
                <c16:uniqueId val="{00000003-535C-4D9E-BEF8-64D77CC62EB8}"/>
              </c:ext>
            </c:extLst>
          </c:dPt>
          <c:dPt>
            <c:idx val="2"/>
            <c:bubble3D val="0"/>
            <c:spPr>
              <a:solidFill>
                <a:srgbClr val="009EDE"/>
              </a:solidFill>
              <a:ln w="19050">
                <a:solidFill>
                  <a:schemeClr val="lt1"/>
                </a:solidFill>
              </a:ln>
              <a:effectLst/>
            </c:spPr>
            <c:extLst>
              <c:ext xmlns:c16="http://schemas.microsoft.com/office/drawing/2014/chart" uri="{C3380CC4-5D6E-409C-BE32-E72D297353CC}">
                <c16:uniqueId val="{00000005-7EA2-41CC-B951-D64644C66F69}"/>
              </c:ext>
            </c:extLst>
          </c:dPt>
          <c:dPt>
            <c:idx val="3"/>
            <c:bubble3D val="0"/>
            <c:spPr>
              <a:solidFill>
                <a:srgbClr val="009EDE"/>
              </a:solidFill>
              <a:ln w="19050">
                <a:solidFill>
                  <a:schemeClr val="lt1"/>
                </a:solidFill>
              </a:ln>
              <a:effectLst/>
            </c:spPr>
            <c:extLst>
              <c:ext xmlns:c16="http://schemas.microsoft.com/office/drawing/2014/chart" uri="{C3380CC4-5D6E-409C-BE32-E72D297353CC}">
                <c16:uniqueId val="{00000007-7EA2-41CC-B951-D64644C66F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CSA!$I$6:$I$9</c:f>
              <c:strCache>
                <c:ptCount val="4"/>
                <c:pt idx="0">
                  <c:v>Transportation Improvements </c:v>
                </c:pt>
                <c:pt idx="1">
                  <c:v>Funding is needed</c:v>
                </c:pt>
                <c:pt idx="2">
                  <c:v>Resource guide is needed </c:v>
                </c:pt>
                <c:pt idx="3">
                  <c:v>Affordable Housing </c:v>
                </c:pt>
              </c:strCache>
            </c:strRef>
          </c:cat>
          <c:val>
            <c:numRef>
              <c:f>CSA!$J$6:$J$9</c:f>
              <c:numCache>
                <c:formatCode>General</c:formatCode>
                <c:ptCount val="4"/>
                <c:pt idx="0">
                  <c:v>4</c:v>
                </c:pt>
                <c:pt idx="1">
                  <c:v>5</c:v>
                </c:pt>
                <c:pt idx="2">
                  <c:v>3</c:v>
                </c:pt>
                <c:pt idx="3">
                  <c:v>3</c:v>
                </c:pt>
              </c:numCache>
            </c:numRef>
          </c:val>
          <c:extLst>
            <c:ext xmlns:c16="http://schemas.microsoft.com/office/drawing/2014/chart" uri="{C3380CC4-5D6E-409C-BE32-E72D297353CC}">
              <c16:uniqueId val="{00000000-EB18-4A3F-8160-FD99A7071E0D}"/>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Respondent Agreement with the following statement: "My community is a good place to age.</a:t>
            </a:r>
            <a:r>
              <a:rPr lang="en-US"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'CTSA-Aging Survey'!$I$6</c:f>
              <c:strCache>
                <c:ptCount val="1"/>
                <c:pt idx="0">
                  <c:v>Number of Responses</c:v>
                </c:pt>
              </c:strCache>
            </c:strRef>
          </c:tx>
          <c:spPr>
            <a:solidFill>
              <a:schemeClr val="accent1"/>
            </a:solidFill>
            <a:ln>
              <a:noFill/>
            </a:ln>
            <a:effectLst/>
          </c:spPr>
          <c:invertIfNegative val="0"/>
          <c:cat>
            <c:strRef>
              <c:f>'CTSA-Aging Survey'!$J$5:$N$5</c:f>
              <c:strCache>
                <c:ptCount val="5"/>
                <c:pt idx="0">
                  <c:v>1="Strongly disagree"</c:v>
                </c:pt>
                <c:pt idx="1">
                  <c:v>2="Mostly disagree"</c:v>
                </c:pt>
                <c:pt idx="2">
                  <c:v>3="Neither agree nor disagree"</c:v>
                </c:pt>
                <c:pt idx="3">
                  <c:v>4="Mostly agree"</c:v>
                </c:pt>
                <c:pt idx="4">
                  <c:v>5="Strongly agree"</c:v>
                </c:pt>
              </c:strCache>
            </c:strRef>
          </c:cat>
          <c:val>
            <c:numRef>
              <c:f>'CTSA-Aging Survey'!$J$6:$N$6</c:f>
              <c:numCache>
                <c:formatCode>General</c:formatCode>
                <c:ptCount val="5"/>
                <c:pt idx="0">
                  <c:v>0</c:v>
                </c:pt>
                <c:pt idx="1">
                  <c:v>1</c:v>
                </c:pt>
                <c:pt idx="2">
                  <c:v>1</c:v>
                </c:pt>
                <c:pt idx="3">
                  <c:v>0</c:v>
                </c:pt>
                <c:pt idx="4">
                  <c:v>0</c:v>
                </c:pt>
              </c:numCache>
            </c:numRef>
          </c:val>
          <c:extLst>
            <c:ext xmlns:c16="http://schemas.microsoft.com/office/drawing/2014/chart" uri="{C3380CC4-5D6E-409C-BE32-E72D297353CC}">
              <c16:uniqueId val="{00000000-9A9C-43FE-96B5-DA63A264EF88}"/>
            </c:ext>
          </c:extLst>
        </c:ser>
        <c:dLbls>
          <c:showLegendKey val="0"/>
          <c:showVal val="0"/>
          <c:showCatName val="0"/>
          <c:showSerName val="0"/>
          <c:showPercent val="0"/>
          <c:showBubbleSize val="0"/>
        </c:dLbls>
        <c:gapWidth val="219"/>
        <c:overlap val="-27"/>
        <c:axId val="390800728"/>
        <c:axId val="390800400"/>
      </c:barChart>
      <c:catAx>
        <c:axId val="390800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00400"/>
        <c:crosses val="autoZero"/>
        <c:auto val="1"/>
        <c:lblAlgn val="ctr"/>
        <c:lblOffset val="100"/>
        <c:noMultiLvlLbl val="0"/>
      </c:catAx>
      <c:valAx>
        <c:axId val="39080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00728"/>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Respondent Agreement with the following statement: "This community is a good place to raise children.</a:t>
            </a:r>
            <a:r>
              <a:rPr lang="en-US"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'CTSA-Children Survey'!$I$6</c:f>
              <c:strCache>
                <c:ptCount val="1"/>
                <c:pt idx="0">
                  <c:v>Number of Responses</c:v>
                </c:pt>
              </c:strCache>
            </c:strRef>
          </c:tx>
          <c:spPr>
            <a:solidFill>
              <a:schemeClr val="accent1"/>
            </a:solidFill>
            <a:ln>
              <a:noFill/>
            </a:ln>
            <a:effectLst/>
          </c:spPr>
          <c:invertIfNegative val="0"/>
          <c:cat>
            <c:strRef>
              <c:f>'CTSA-Children Survey'!$J$5:$N$5</c:f>
              <c:strCache>
                <c:ptCount val="5"/>
                <c:pt idx="0">
                  <c:v>1="Strongly disagree"</c:v>
                </c:pt>
                <c:pt idx="1">
                  <c:v>2="Mostly disagree"</c:v>
                </c:pt>
                <c:pt idx="2">
                  <c:v>3="Neither agree nor disagree"</c:v>
                </c:pt>
                <c:pt idx="3">
                  <c:v>4="Mostly agree"</c:v>
                </c:pt>
                <c:pt idx="4">
                  <c:v>5="Strongly agree"</c:v>
                </c:pt>
              </c:strCache>
            </c:strRef>
          </c:cat>
          <c:val>
            <c:numRef>
              <c:f>'CTSA-Children Survey'!$J$6:$N$6</c:f>
              <c:numCache>
                <c:formatCode>General</c:formatCode>
                <c:ptCount val="5"/>
                <c:pt idx="0">
                  <c:v>0</c:v>
                </c:pt>
                <c:pt idx="1">
                  <c:v>1</c:v>
                </c:pt>
                <c:pt idx="2">
                  <c:v>1</c:v>
                </c:pt>
                <c:pt idx="3">
                  <c:v>1</c:v>
                </c:pt>
                <c:pt idx="4">
                  <c:v>0</c:v>
                </c:pt>
              </c:numCache>
            </c:numRef>
          </c:val>
          <c:extLst>
            <c:ext xmlns:c16="http://schemas.microsoft.com/office/drawing/2014/chart" uri="{C3380CC4-5D6E-409C-BE32-E72D297353CC}">
              <c16:uniqueId val="{00000000-302E-4E4C-B154-F9D237582BB8}"/>
            </c:ext>
          </c:extLst>
        </c:ser>
        <c:dLbls>
          <c:showLegendKey val="0"/>
          <c:showVal val="0"/>
          <c:showCatName val="0"/>
          <c:showSerName val="0"/>
          <c:showPercent val="0"/>
          <c:showBubbleSize val="0"/>
        </c:dLbls>
        <c:gapWidth val="219"/>
        <c:overlap val="-27"/>
        <c:axId val="390800728"/>
        <c:axId val="390800400"/>
      </c:barChart>
      <c:catAx>
        <c:axId val="390800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00400"/>
        <c:crosses val="autoZero"/>
        <c:auto val="1"/>
        <c:lblAlgn val="ctr"/>
        <c:lblOffset val="100"/>
        <c:noMultiLvlLbl val="0"/>
      </c:catAx>
      <c:valAx>
        <c:axId val="39080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00728"/>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Respondent Agreement with the following statement: "In this community, a person with a disability can live a full life.</a:t>
            </a:r>
            <a:r>
              <a:rPr lang="en-US"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'CTSA-Disability Survey'!$I$6</c:f>
              <c:strCache>
                <c:ptCount val="1"/>
                <c:pt idx="0">
                  <c:v>Number of Responses</c:v>
                </c:pt>
              </c:strCache>
            </c:strRef>
          </c:tx>
          <c:spPr>
            <a:solidFill>
              <a:schemeClr val="accent1"/>
            </a:solidFill>
            <a:ln>
              <a:noFill/>
            </a:ln>
            <a:effectLst/>
          </c:spPr>
          <c:invertIfNegative val="0"/>
          <c:cat>
            <c:strRef>
              <c:f>'CTSA-Disability Survey'!$J$5:$N$5</c:f>
              <c:strCache>
                <c:ptCount val="5"/>
                <c:pt idx="0">
                  <c:v>1="Strongly disagree"</c:v>
                </c:pt>
                <c:pt idx="1">
                  <c:v>2="Mostly disagree"</c:v>
                </c:pt>
                <c:pt idx="2">
                  <c:v>3="Neither agree nor disagree"</c:v>
                </c:pt>
                <c:pt idx="3">
                  <c:v>4="Mostly agree"</c:v>
                </c:pt>
                <c:pt idx="4">
                  <c:v>5="Strongly agree"</c:v>
                </c:pt>
              </c:strCache>
            </c:strRef>
          </c:cat>
          <c:val>
            <c:numRef>
              <c:f>'CTSA-Disability Survey'!$J$6:$N$6</c:f>
              <c:numCache>
                <c:formatCode>General</c:formatCode>
                <c:ptCount val="5"/>
                <c:pt idx="0">
                  <c:v>0</c:v>
                </c:pt>
                <c:pt idx="1">
                  <c:v>0</c:v>
                </c:pt>
                <c:pt idx="2">
                  <c:v>1</c:v>
                </c:pt>
                <c:pt idx="3">
                  <c:v>0</c:v>
                </c:pt>
                <c:pt idx="4">
                  <c:v>0</c:v>
                </c:pt>
              </c:numCache>
            </c:numRef>
          </c:val>
          <c:extLst>
            <c:ext xmlns:c16="http://schemas.microsoft.com/office/drawing/2014/chart" uri="{C3380CC4-5D6E-409C-BE32-E72D297353CC}">
              <c16:uniqueId val="{00000000-5CCE-4848-B97D-7CC3C28E29F5}"/>
            </c:ext>
          </c:extLst>
        </c:ser>
        <c:dLbls>
          <c:showLegendKey val="0"/>
          <c:showVal val="0"/>
          <c:showCatName val="0"/>
          <c:showSerName val="0"/>
          <c:showPercent val="0"/>
          <c:showBubbleSize val="0"/>
        </c:dLbls>
        <c:gapWidth val="219"/>
        <c:overlap val="-27"/>
        <c:axId val="390800728"/>
        <c:axId val="390800400"/>
      </c:barChart>
      <c:catAx>
        <c:axId val="390800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00400"/>
        <c:crosses val="autoZero"/>
        <c:auto val="1"/>
        <c:lblAlgn val="ctr"/>
        <c:lblOffset val="100"/>
        <c:noMultiLvlLbl val="0"/>
      </c:catAx>
      <c:valAx>
        <c:axId val="39080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00728"/>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Respondent Agreement with the following statement: "There is economic opportunity in the community.</a:t>
            </a:r>
            <a:r>
              <a:rPr lang="en-US"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'CTSA-Economic Survey'!$I$6</c:f>
              <c:strCache>
                <c:ptCount val="1"/>
                <c:pt idx="0">
                  <c:v>Number of Responses</c:v>
                </c:pt>
              </c:strCache>
            </c:strRef>
          </c:tx>
          <c:spPr>
            <a:solidFill>
              <a:schemeClr val="accent1"/>
            </a:solidFill>
            <a:ln>
              <a:noFill/>
            </a:ln>
            <a:effectLst/>
          </c:spPr>
          <c:invertIfNegative val="0"/>
          <c:cat>
            <c:strRef>
              <c:f>'CTSA-Economic Survey'!$J$5:$N$5</c:f>
              <c:strCache>
                <c:ptCount val="5"/>
                <c:pt idx="0">
                  <c:v>1="Strongly disagree"</c:v>
                </c:pt>
                <c:pt idx="1">
                  <c:v>2="Mostly disagree"</c:v>
                </c:pt>
                <c:pt idx="2">
                  <c:v>3="Neither agree nor disagree"</c:v>
                </c:pt>
                <c:pt idx="3">
                  <c:v>4="Mostly agree"</c:v>
                </c:pt>
                <c:pt idx="4">
                  <c:v>5="Strongly agree"</c:v>
                </c:pt>
              </c:strCache>
            </c:strRef>
          </c:cat>
          <c:val>
            <c:numRef>
              <c:f>'CTSA-Economic Survey'!$J$6:$N$6</c:f>
              <c:numCache>
                <c:formatCode>General</c:formatCode>
                <c:ptCount val="5"/>
                <c:pt idx="0">
                  <c:v>0</c:v>
                </c:pt>
                <c:pt idx="1">
                  <c:v>0</c:v>
                </c:pt>
                <c:pt idx="2">
                  <c:v>0</c:v>
                </c:pt>
                <c:pt idx="3">
                  <c:v>2</c:v>
                </c:pt>
                <c:pt idx="4">
                  <c:v>0</c:v>
                </c:pt>
              </c:numCache>
            </c:numRef>
          </c:val>
          <c:extLst>
            <c:ext xmlns:c16="http://schemas.microsoft.com/office/drawing/2014/chart" uri="{C3380CC4-5D6E-409C-BE32-E72D297353CC}">
              <c16:uniqueId val="{00000000-2257-4A99-9B9A-77005C441821}"/>
            </c:ext>
          </c:extLst>
        </c:ser>
        <c:dLbls>
          <c:showLegendKey val="0"/>
          <c:showVal val="0"/>
          <c:showCatName val="0"/>
          <c:showSerName val="0"/>
          <c:showPercent val="0"/>
          <c:showBubbleSize val="0"/>
        </c:dLbls>
        <c:gapWidth val="219"/>
        <c:overlap val="-27"/>
        <c:axId val="390800728"/>
        <c:axId val="390800400"/>
      </c:barChart>
      <c:catAx>
        <c:axId val="390800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00400"/>
        <c:crosses val="autoZero"/>
        <c:auto val="1"/>
        <c:lblAlgn val="ctr"/>
        <c:lblOffset val="100"/>
        <c:noMultiLvlLbl val="0"/>
      </c:catAx>
      <c:valAx>
        <c:axId val="39080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00728"/>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Demographics'!$I$8</c:f>
              <c:strCache>
                <c:ptCount val="1"/>
                <c:pt idx="0">
                  <c:v>Number of Responses</c:v>
                </c:pt>
              </c:strCache>
            </c:strRef>
          </c:tx>
          <c:spPr>
            <a:solidFill>
              <a:schemeClr val="accent1"/>
            </a:solidFill>
            <a:ln>
              <a:noFill/>
            </a:ln>
            <a:effectLst/>
          </c:spPr>
          <c:invertIfNegative val="0"/>
          <c:cat>
            <c:strRef>
              <c:f>'CTSA-Community Demographics'!$J$7:$M$7</c:f>
              <c:strCache>
                <c:ptCount val="4"/>
                <c:pt idx="0">
                  <c:v>18-24</c:v>
                </c:pt>
                <c:pt idx="1">
                  <c:v>25-39</c:v>
                </c:pt>
                <c:pt idx="2">
                  <c:v>40-64</c:v>
                </c:pt>
                <c:pt idx="3">
                  <c:v>65 and older</c:v>
                </c:pt>
              </c:strCache>
            </c:strRef>
          </c:cat>
          <c:val>
            <c:numRef>
              <c:f>'CTSA-Community Demographics'!$J$8:$M$8</c:f>
              <c:numCache>
                <c:formatCode>General</c:formatCode>
                <c:ptCount val="4"/>
                <c:pt idx="0">
                  <c:v>15</c:v>
                </c:pt>
                <c:pt idx="1">
                  <c:v>69</c:v>
                </c:pt>
                <c:pt idx="2">
                  <c:v>28</c:v>
                </c:pt>
                <c:pt idx="3">
                  <c:v>7</c:v>
                </c:pt>
              </c:numCache>
            </c:numRef>
          </c:val>
          <c:extLst>
            <c:ext xmlns:c16="http://schemas.microsoft.com/office/drawing/2014/chart" uri="{C3380CC4-5D6E-409C-BE32-E72D297353CC}">
              <c16:uniqueId val="{00000000-9891-4CB2-ADF3-7CDB07C6592B}"/>
            </c:ext>
          </c:extLst>
        </c:ser>
        <c:dLbls>
          <c:showLegendKey val="0"/>
          <c:showVal val="0"/>
          <c:showCatName val="0"/>
          <c:showSerName val="0"/>
          <c:showPercent val="0"/>
          <c:showBubbleSize val="0"/>
        </c:dLbls>
        <c:gapWidth val="219"/>
        <c:overlap val="-27"/>
        <c:axId val="534163128"/>
        <c:axId val="534165096"/>
      </c:barChart>
      <c:catAx>
        <c:axId val="534163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165096"/>
        <c:crosses val="autoZero"/>
        <c:auto val="1"/>
        <c:lblAlgn val="ctr"/>
        <c:lblOffset val="100"/>
        <c:noMultiLvlLbl val="0"/>
      </c:catAx>
      <c:valAx>
        <c:axId val="534165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163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Demographics'!$I$13</c:f>
              <c:strCache>
                <c:ptCount val="1"/>
                <c:pt idx="0">
                  <c:v>Number of Responses</c:v>
                </c:pt>
              </c:strCache>
            </c:strRef>
          </c:tx>
          <c:spPr>
            <a:solidFill>
              <a:schemeClr val="accent1"/>
            </a:solidFill>
            <a:ln>
              <a:noFill/>
            </a:ln>
            <a:effectLst/>
          </c:spPr>
          <c:invertIfNegative val="0"/>
          <c:cat>
            <c:strRef>
              <c:f>'CTSA-Community Demographics'!$J$12:$O$12</c:f>
              <c:strCache>
                <c:ptCount val="6"/>
                <c:pt idx="0">
                  <c:v>Medicaid and Health Michigan Plans</c:v>
                </c:pt>
                <c:pt idx="1">
                  <c:v>Medicare</c:v>
                </c:pt>
                <c:pt idx="2">
                  <c:v>Private/Employer-Sponsored Insurance</c:v>
                </c:pt>
                <c:pt idx="3">
                  <c:v>Uninsured</c:v>
                </c:pt>
                <c:pt idx="4">
                  <c:v>Unknown</c:v>
                </c:pt>
                <c:pt idx="5">
                  <c:v>Other- Write In</c:v>
                </c:pt>
              </c:strCache>
            </c:strRef>
          </c:cat>
          <c:val>
            <c:numRef>
              <c:f>'CTSA-Community Demographics'!$J$13:$O$13</c:f>
              <c:numCache>
                <c:formatCode>General</c:formatCode>
                <c:ptCount val="6"/>
                <c:pt idx="0">
                  <c:v>40</c:v>
                </c:pt>
                <c:pt idx="1">
                  <c:v>57</c:v>
                </c:pt>
                <c:pt idx="2">
                  <c:v>51</c:v>
                </c:pt>
                <c:pt idx="3">
                  <c:v>4</c:v>
                </c:pt>
                <c:pt idx="4">
                  <c:v>2</c:v>
                </c:pt>
                <c:pt idx="5">
                  <c:v>1</c:v>
                </c:pt>
              </c:numCache>
            </c:numRef>
          </c:val>
          <c:extLst>
            <c:ext xmlns:c16="http://schemas.microsoft.com/office/drawing/2014/chart" uri="{C3380CC4-5D6E-409C-BE32-E72D297353CC}">
              <c16:uniqueId val="{00000000-D042-49CF-94E2-7958367E428C}"/>
            </c:ext>
          </c:extLst>
        </c:ser>
        <c:dLbls>
          <c:showLegendKey val="0"/>
          <c:showVal val="0"/>
          <c:showCatName val="0"/>
          <c:showSerName val="0"/>
          <c:showPercent val="0"/>
          <c:showBubbleSize val="0"/>
        </c:dLbls>
        <c:gapWidth val="219"/>
        <c:overlap val="-27"/>
        <c:axId val="416496376"/>
        <c:axId val="416497032"/>
      </c:barChart>
      <c:catAx>
        <c:axId val="416496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97032"/>
        <c:crosses val="autoZero"/>
        <c:auto val="1"/>
        <c:lblAlgn val="ctr"/>
        <c:lblOffset val="50"/>
        <c:noMultiLvlLbl val="0"/>
      </c:catAx>
      <c:valAx>
        <c:axId val="416497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96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Demographics'!$I$18</c:f>
              <c:strCache>
                <c:ptCount val="1"/>
                <c:pt idx="0">
                  <c:v>Number of Responses</c:v>
                </c:pt>
              </c:strCache>
            </c:strRef>
          </c:tx>
          <c:spPr>
            <a:solidFill>
              <a:schemeClr val="accent1"/>
            </a:solidFill>
            <a:ln>
              <a:noFill/>
            </a:ln>
            <a:effectLst/>
          </c:spPr>
          <c:invertIfNegative val="0"/>
          <c:cat>
            <c:strRef>
              <c:f>'CTSA-Community Demographics'!$J$17:$Q$17</c:f>
              <c:strCache>
                <c:ptCount val="8"/>
                <c:pt idx="0">
                  <c:v>American Indian or Alaskan Native</c:v>
                </c:pt>
                <c:pt idx="1">
                  <c:v>Asian</c:v>
                </c:pt>
                <c:pt idx="2">
                  <c:v>Black or African American</c:v>
                </c:pt>
                <c:pt idx="3">
                  <c:v>Hispanic or Latino/a/x</c:v>
                </c:pt>
                <c:pt idx="4">
                  <c:v>Native Hawaiian or Other Pacific Islander</c:v>
                </c:pt>
                <c:pt idx="5">
                  <c:v>White</c:v>
                </c:pt>
                <c:pt idx="6">
                  <c:v>Prefer not to say </c:v>
                </c:pt>
                <c:pt idx="7">
                  <c:v>Prefer to self-describe</c:v>
                </c:pt>
              </c:strCache>
            </c:strRef>
          </c:cat>
          <c:val>
            <c:numRef>
              <c:f>'CTSA-Community Demographics'!$J$18:$Q$18</c:f>
              <c:numCache>
                <c:formatCode>General</c:formatCode>
                <c:ptCount val="8"/>
                <c:pt idx="0">
                  <c:v>16</c:v>
                </c:pt>
                <c:pt idx="1">
                  <c:v>8</c:v>
                </c:pt>
                <c:pt idx="2">
                  <c:v>11</c:v>
                </c:pt>
                <c:pt idx="3">
                  <c:v>11</c:v>
                </c:pt>
                <c:pt idx="4">
                  <c:v>7</c:v>
                </c:pt>
                <c:pt idx="5">
                  <c:v>76</c:v>
                </c:pt>
                <c:pt idx="6">
                  <c:v>5</c:v>
                </c:pt>
                <c:pt idx="7">
                  <c:v>1</c:v>
                </c:pt>
              </c:numCache>
            </c:numRef>
          </c:val>
          <c:extLst>
            <c:ext xmlns:c16="http://schemas.microsoft.com/office/drawing/2014/chart" uri="{C3380CC4-5D6E-409C-BE32-E72D297353CC}">
              <c16:uniqueId val="{00000000-13B9-4056-9B26-3F80D73B2C2B}"/>
            </c:ext>
          </c:extLst>
        </c:ser>
        <c:dLbls>
          <c:showLegendKey val="0"/>
          <c:showVal val="0"/>
          <c:showCatName val="0"/>
          <c:showSerName val="0"/>
          <c:showPercent val="0"/>
          <c:showBubbleSize val="0"/>
        </c:dLbls>
        <c:gapWidth val="219"/>
        <c:overlap val="-27"/>
        <c:axId val="525741248"/>
        <c:axId val="525733376"/>
      </c:barChart>
      <c:catAx>
        <c:axId val="52574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33376"/>
        <c:crosses val="autoZero"/>
        <c:auto val="1"/>
        <c:lblAlgn val="ctr"/>
        <c:lblOffset val="100"/>
        <c:noMultiLvlLbl val="0"/>
      </c:catAx>
      <c:valAx>
        <c:axId val="52573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41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Demographics'!$I$23</c:f>
              <c:strCache>
                <c:ptCount val="1"/>
                <c:pt idx="0">
                  <c:v>Number of Responses</c:v>
                </c:pt>
              </c:strCache>
            </c:strRef>
          </c:tx>
          <c:spPr>
            <a:solidFill>
              <a:schemeClr val="accent1"/>
            </a:solidFill>
            <a:ln>
              <a:noFill/>
            </a:ln>
            <a:effectLst/>
          </c:spPr>
          <c:invertIfNegative val="0"/>
          <c:cat>
            <c:strRef>
              <c:f>'CTSA-Community Demographics'!$J$22:$T$22</c:f>
              <c:strCache>
                <c:ptCount val="11"/>
                <c:pt idx="0">
                  <c:v>Less than $10,000</c:v>
                </c:pt>
                <c:pt idx="1">
                  <c:v>$10,000 to $19,999</c:v>
                </c:pt>
                <c:pt idx="2">
                  <c:v>$20,000 to $29,999</c:v>
                </c:pt>
                <c:pt idx="3">
                  <c:v>$30,000 to $39,999</c:v>
                </c:pt>
                <c:pt idx="4">
                  <c:v>$40,000 to $49,999</c:v>
                </c:pt>
                <c:pt idx="5">
                  <c:v>$50,000 to $59,999</c:v>
                </c:pt>
                <c:pt idx="6">
                  <c:v>$60,000 to $69,999</c:v>
                </c:pt>
                <c:pt idx="7">
                  <c:v>$70,000 to $79,999</c:v>
                </c:pt>
                <c:pt idx="8">
                  <c:v>$80,000 to $89,999</c:v>
                </c:pt>
                <c:pt idx="9">
                  <c:v>$90,000 to $99,999</c:v>
                </c:pt>
                <c:pt idx="10">
                  <c:v>Over $100,000</c:v>
                </c:pt>
              </c:strCache>
            </c:strRef>
          </c:cat>
          <c:val>
            <c:numRef>
              <c:f>'CTSA-Community Demographics'!$J$23:$T$23</c:f>
              <c:numCache>
                <c:formatCode>General</c:formatCode>
                <c:ptCount val="11"/>
                <c:pt idx="0">
                  <c:v>3</c:v>
                </c:pt>
                <c:pt idx="1">
                  <c:v>14</c:v>
                </c:pt>
                <c:pt idx="2">
                  <c:v>16</c:v>
                </c:pt>
                <c:pt idx="3">
                  <c:v>16</c:v>
                </c:pt>
                <c:pt idx="4">
                  <c:v>15</c:v>
                </c:pt>
                <c:pt idx="5">
                  <c:v>11</c:v>
                </c:pt>
                <c:pt idx="6">
                  <c:v>8</c:v>
                </c:pt>
                <c:pt idx="7">
                  <c:v>14</c:v>
                </c:pt>
                <c:pt idx="8">
                  <c:v>6</c:v>
                </c:pt>
                <c:pt idx="9">
                  <c:v>4</c:v>
                </c:pt>
                <c:pt idx="10">
                  <c:v>11</c:v>
                </c:pt>
              </c:numCache>
            </c:numRef>
          </c:val>
          <c:extLst>
            <c:ext xmlns:c16="http://schemas.microsoft.com/office/drawing/2014/chart" uri="{C3380CC4-5D6E-409C-BE32-E72D297353CC}">
              <c16:uniqueId val="{00000000-7CAE-4CF0-9654-18331BEA6FDD}"/>
            </c:ext>
          </c:extLst>
        </c:ser>
        <c:dLbls>
          <c:showLegendKey val="0"/>
          <c:showVal val="0"/>
          <c:showCatName val="0"/>
          <c:showSerName val="0"/>
          <c:showPercent val="0"/>
          <c:showBubbleSize val="0"/>
        </c:dLbls>
        <c:gapWidth val="219"/>
        <c:overlap val="-27"/>
        <c:axId val="689059984"/>
        <c:axId val="689057688"/>
      </c:barChart>
      <c:catAx>
        <c:axId val="68905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57688"/>
        <c:crosses val="autoZero"/>
        <c:auto val="1"/>
        <c:lblAlgn val="ctr"/>
        <c:lblOffset val="100"/>
        <c:noMultiLvlLbl val="0"/>
      </c:catAx>
      <c:valAx>
        <c:axId val="689057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59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Demographics'!$I$28</c:f>
              <c:strCache>
                <c:ptCount val="1"/>
                <c:pt idx="0">
                  <c:v>Number of Responses</c:v>
                </c:pt>
              </c:strCache>
            </c:strRef>
          </c:tx>
          <c:spPr>
            <a:solidFill>
              <a:schemeClr val="accent1"/>
            </a:solidFill>
            <a:ln>
              <a:noFill/>
            </a:ln>
            <a:effectLst/>
          </c:spPr>
          <c:invertIfNegative val="0"/>
          <c:cat>
            <c:strRef>
              <c:f>'CTSA-Community Demographics'!$J$27:$P$27</c:f>
              <c:strCache>
                <c:ptCount val="7"/>
                <c:pt idx="0">
                  <c:v>1</c:v>
                </c:pt>
                <c:pt idx="1">
                  <c:v>2</c:v>
                </c:pt>
                <c:pt idx="2">
                  <c:v>3</c:v>
                </c:pt>
                <c:pt idx="3">
                  <c:v>4</c:v>
                </c:pt>
                <c:pt idx="4">
                  <c:v>5</c:v>
                </c:pt>
                <c:pt idx="5">
                  <c:v>6</c:v>
                </c:pt>
                <c:pt idx="6">
                  <c:v>&gt;7</c:v>
                </c:pt>
              </c:strCache>
            </c:strRef>
          </c:cat>
          <c:val>
            <c:numRef>
              <c:f>'CTSA-Community Demographics'!$J$28:$P$28</c:f>
              <c:numCache>
                <c:formatCode>General</c:formatCode>
                <c:ptCount val="7"/>
                <c:pt idx="0">
                  <c:v>8</c:v>
                </c:pt>
                <c:pt idx="1">
                  <c:v>12</c:v>
                </c:pt>
                <c:pt idx="2">
                  <c:v>29</c:v>
                </c:pt>
                <c:pt idx="3">
                  <c:v>47</c:v>
                </c:pt>
                <c:pt idx="4">
                  <c:v>17</c:v>
                </c:pt>
                <c:pt idx="5">
                  <c:v>5</c:v>
                </c:pt>
                <c:pt idx="6">
                  <c:v>1</c:v>
                </c:pt>
              </c:numCache>
            </c:numRef>
          </c:val>
          <c:extLst>
            <c:ext xmlns:c16="http://schemas.microsoft.com/office/drawing/2014/chart" uri="{C3380CC4-5D6E-409C-BE32-E72D297353CC}">
              <c16:uniqueId val="{00000000-70E8-4E07-8B99-93992A5757AE}"/>
            </c:ext>
          </c:extLst>
        </c:ser>
        <c:dLbls>
          <c:showLegendKey val="0"/>
          <c:showVal val="0"/>
          <c:showCatName val="0"/>
          <c:showSerName val="0"/>
          <c:showPercent val="0"/>
          <c:showBubbleSize val="0"/>
        </c:dLbls>
        <c:gapWidth val="219"/>
        <c:overlap val="-27"/>
        <c:axId val="525752728"/>
        <c:axId val="525747808"/>
      </c:barChart>
      <c:catAx>
        <c:axId val="525752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47808"/>
        <c:crosses val="autoZero"/>
        <c:auto val="1"/>
        <c:lblAlgn val="ctr"/>
        <c:lblOffset val="100"/>
        <c:noMultiLvlLbl val="0"/>
      </c:catAx>
      <c:valAx>
        <c:axId val="52574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52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Demographics'!$I$33</c:f>
              <c:strCache>
                <c:ptCount val="1"/>
                <c:pt idx="0">
                  <c:v>Number of Responses</c:v>
                </c:pt>
              </c:strCache>
            </c:strRef>
          </c:tx>
          <c:spPr>
            <a:solidFill>
              <a:schemeClr val="accent1"/>
            </a:solidFill>
            <a:ln>
              <a:noFill/>
            </a:ln>
            <a:effectLst/>
          </c:spPr>
          <c:invertIfNegative val="0"/>
          <c:cat>
            <c:strRef>
              <c:f>'CTSA-Community Demographics'!$J$32:$K$32</c:f>
              <c:strCache>
                <c:ptCount val="2"/>
                <c:pt idx="0">
                  <c:v>Yes</c:v>
                </c:pt>
                <c:pt idx="1">
                  <c:v>No</c:v>
                </c:pt>
              </c:strCache>
            </c:strRef>
          </c:cat>
          <c:val>
            <c:numRef>
              <c:f>'CTSA-Community Demographics'!$J$33:$K$33</c:f>
              <c:numCache>
                <c:formatCode>General</c:formatCode>
                <c:ptCount val="2"/>
                <c:pt idx="0">
                  <c:v>16</c:v>
                </c:pt>
                <c:pt idx="1">
                  <c:v>90</c:v>
                </c:pt>
              </c:numCache>
            </c:numRef>
          </c:val>
          <c:extLst>
            <c:ext xmlns:c16="http://schemas.microsoft.com/office/drawing/2014/chart" uri="{C3380CC4-5D6E-409C-BE32-E72D297353CC}">
              <c16:uniqueId val="{00000000-25C3-4C9B-8D6F-1661780D01C8}"/>
            </c:ext>
          </c:extLst>
        </c:ser>
        <c:dLbls>
          <c:showLegendKey val="0"/>
          <c:showVal val="0"/>
          <c:showCatName val="0"/>
          <c:showSerName val="0"/>
          <c:showPercent val="0"/>
          <c:showBubbleSize val="0"/>
        </c:dLbls>
        <c:gapWidth val="219"/>
        <c:overlap val="-27"/>
        <c:axId val="1151762200"/>
        <c:axId val="1151760560"/>
      </c:barChart>
      <c:catAx>
        <c:axId val="1151762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60560"/>
        <c:crosses val="autoZero"/>
        <c:auto val="1"/>
        <c:lblAlgn val="ctr"/>
        <c:lblOffset val="100"/>
        <c:noMultiLvlLbl val="0"/>
      </c:catAx>
      <c:valAx>
        <c:axId val="115176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62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Demographics'!$I$38</c:f>
              <c:strCache>
                <c:ptCount val="1"/>
                <c:pt idx="0">
                  <c:v>Number of Responses</c:v>
                </c:pt>
              </c:strCache>
            </c:strRef>
          </c:tx>
          <c:spPr>
            <a:solidFill>
              <a:schemeClr val="accent1"/>
            </a:solidFill>
            <a:ln>
              <a:noFill/>
            </a:ln>
            <a:effectLst/>
          </c:spPr>
          <c:invertIfNegative val="0"/>
          <c:cat>
            <c:strRef>
              <c:f>'CTSA-Community Demographics'!$J$37:$N$37</c:f>
              <c:strCache>
                <c:ptCount val="5"/>
                <c:pt idx="0">
                  <c:v>Physical Disability</c:v>
                </c:pt>
                <c:pt idx="1">
                  <c:v>Mental Disability</c:v>
                </c:pt>
                <c:pt idx="2">
                  <c:v>Emotional Disabiltiy</c:v>
                </c:pt>
                <c:pt idx="3">
                  <c:v>Prefer to self-describe</c:v>
                </c:pt>
                <c:pt idx="4">
                  <c:v>Prefer not to say</c:v>
                </c:pt>
              </c:strCache>
            </c:strRef>
          </c:cat>
          <c:val>
            <c:numRef>
              <c:f>'CTSA-Community Demographics'!$J$38:$N$38</c:f>
              <c:numCache>
                <c:formatCode>General</c:formatCode>
                <c:ptCount val="5"/>
                <c:pt idx="0">
                  <c:v>5</c:v>
                </c:pt>
                <c:pt idx="1">
                  <c:v>8</c:v>
                </c:pt>
                <c:pt idx="2">
                  <c:v>2</c:v>
                </c:pt>
                <c:pt idx="3">
                  <c:v>2</c:v>
                </c:pt>
                <c:pt idx="4">
                  <c:v>1</c:v>
                </c:pt>
              </c:numCache>
            </c:numRef>
          </c:val>
          <c:extLst>
            <c:ext xmlns:c16="http://schemas.microsoft.com/office/drawing/2014/chart" uri="{C3380CC4-5D6E-409C-BE32-E72D297353CC}">
              <c16:uniqueId val="{00000000-1CDD-4AA3-9E72-9C987F578E45}"/>
            </c:ext>
          </c:extLst>
        </c:ser>
        <c:dLbls>
          <c:showLegendKey val="0"/>
          <c:showVal val="0"/>
          <c:showCatName val="0"/>
          <c:showSerName val="0"/>
          <c:showPercent val="0"/>
          <c:showBubbleSize val="0"/>
        </c:dLbls>
        <c:gapWidth val="219"/>
        <c:overlap val="-27"/>
        <c:axId val="934446024"/>
        <c:axId val="934455864"/>
      </c:barChart>
      <c:catAx>
        <c:axId val="934446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455864"/>
        <c:crosses val="autoZero"/>
        <c:auto val="1"/>
        <c:lblAlgn val="ctr"/>
        <c:lblOffset val="100"/>
        <c:noMultiLvlLbl val="0"/>
      </c:catAx>
      <c:valAx>
        <c:axId val="93445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446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Demographics'!$I$43</c:f>
              <c:strCache>
                <c:ptCount val="1"/>
                <c:pt idx="0">
                  <c:v>Number of Responses</c:v>
                </c:pt>
              </c:strCache>
            </c:strRef>
          </c:tx>
          <c:spPr>
            <a:solidFill>
              <a:schemeClr val="accent1"/>
            </a:solidFill>
            <a:ln>
              <a:noFill/>
            </a:ln>
            <a:effectLst/>
          </c:spPr>
          <c:invertIfNegative val="0"/>
          <c:cat>
            <c:strRef>
              <c:f>'CTSA-Community Demographics'!$J$42:$O$42</c:f>
              <c:strCache>
                <c:ptCount val="6"/>
                <c:pt idx="0">
                  <c:v>Female</c:v>
                </c:pt>
                <c:pt idx="1">
                  <c:v>Male</c:v>
                </c:pt>
                <c:pt idx="2">
                  <c:v>Non-binary</c:v>
                </c:pt>
                <c:pt idx="3">
                  <c:v>Transgender</c:v>
                </c:pt>
                <c:pt idx="4">
                  <c:v>Prefer to self-describe</c:v>
                </c:pt>
                <c:pt idx="5">
                  <c:v>Prefer not to answer</c:v>
                </c:pt>
              </c:strCache>
            </c:strRef>
          </c:cat>
          <c:val>
            <c:numRef>
              <c:f>'CTSA-Community Demographics'!$J$43:$O$43</c:f>
              <c:numCache>
                <c:formatCode>General</c:formatCode>
                <c:ptCount val="6"/>
                <c:pt idx="0">
                  <c:v>63</c:v>
                </c:pt>
                <c:pt idx="1">
                  <c:v>54</c:v>
                </c:pt>
                <c:pt idx="2">
                  <c:v>4</c:v>
                </c:pt>
                <c:pt idx="3">
                  <c:v>2</c:v>
                </c:pt>
                <c:pt idx="4">
                  <c:v>0</c:v>
                </c:pt>
                <c:pt idx="5">
                  <c:v>0</c:v>
                </c:pt>
              </c:numCache>
            </c:numRef>
          </c:val>
          <c:extLst>
            <c:ext xmlns:c16="http://schemas.microsoft.com/office/drawing/2014/chart" uri="{C3380CC4-5D6E-409C-BE32-E72D297353CC}">
              <c16:uniqueId val="{00000000-D159-4FE6-8ABC-4358273DFCA6}"/>
            </c:ext>
          </c:extLst>
        </c:ser>
        <c:dLbls>
          <c:showLegendKey val="0"/>
          <c:showVal val="0"/>
          <c:showCatName val="0"/>
          <c:showSerName val="0"/>
          <c:showPercent val="0"/>
          <c:showBubbleSize val="0"/>
        </c:dLbls>
        <c:gapWidth val="219"/>
        <c:overlap val="-27"/>
        <c:axId val="416517696"/>
        <c:axId val="416515072"/>
      </c:barChart>
      <c:catAx>
        <c:axId val="41651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15072"/>
        <c:crosses val="autoZero"/>
        <c:auto val="1"/>
        <c:lblAlgn val="ctr"/>
        <c:lblOffset val="100"/>
        <c:noMultiLvlLbl val="0"/>
      </c:catAx>
      <c:valAx>
        <c:axId val="41651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1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Demographics'!$I$3</c:f>
              <c:strCache>
                <c:ptCount val="1"/>
                <c:pt idx="0">
                  <c:v>Number of Responses</c:v>
                </c:pt>
              </c:strCache>
            </c:strRef>
          </c:tx>
          <c:spPr>
            <a:solidFill>
              <a:schemeClr val="accent1"/>
            </a:solidFill>
            <a:ln>
              <a:noFill/>
            </a:ln>
            <a:effectLst/>
          </c:spPr>
          <c:invertIfNegative val="0"/>
          <c:cat>
            <c:strRef>
              <c:f>'CTSA-Community Demographics'!$J$2:$O$2</c:f>
              <c:strCache>
                <c:ptCount val="6"/>
                <c:pt idx="0">
                  <c:v>49721</c:v>
                </c:pt>
                <c:pt idx="1">
                  <c:v>49799</c:v>
                </c:pt>
                <c:pt idx="2">
                  <c:v>49705</c:v>
                </c:pt>
                <c:pt idx="3">
                  <c:v>49701</c:v>
                </c:pt>
                <c:pt idx="4">
                  <c:v>49749</c:v>
                </c:pt>
                <c:pt idx="5">
                  <c:v>Other</c:v>
                </c:pt>
              </c:strCache>
            </c:strRef>
          </c:cat>
          <c:val>
            <c:numRef>
              <c:f>'CTSA-Community Demographics'!$J$3:$O$3</c:f>
              <c:numCache>
                <c:formatCode>General</c:formatCode>
                <c:ptCount val="6"/>
                <c:pt idx="0">
                  <c:v>27</c:v>
                </c:pt>
                <c:pt idx="1">
                  <c:v>1</c:v>
                </c:pt>
                <c:pt idx="2">
                  <c:v>1</c:v>
                </c:pt>
                <c:pt idx="3">
                  <c:v>2</c:v>
                </c:pt>
                <c:pt idx="4">
                  <c:v>1</c:v>
                </c:pt>
                <c:pt idx="5">
                  <c:v>76</c:v>
                </c:pt>
              </c:numCache>
            </c:numRef>
          </c:val>
          <c:extLst>
            <c:ext xmlns:c16="http://schemas.microsoft.com/office/drawing/2014/chart" uri="{C3380CC4-5D6E-409C-BE32-E72D297353CC}">
              <c16:uniqueId val="{00000000-0243-4E09-A235-002DC8620591}"/>
            </c:ext>
          </c:extLst>
        </c:ser>
        <c:dLbls>
          <c:showLegendKey val="0"/>
          <c:showVal val="0"/>
          <c:showCatName val="0"/>
          <c:showSerName val="0"/>
          <c:showPercent val="0"/>
          <c:showBubbleSize val="0"/>
        </c:dLbls>
        <c:gapWidth val="219"/>
        <c:overlap val="-27"/>
        <c:axId val="521064688"/>
        <c:axId val="521064272"/>
      </c:barChart>
      <c:catAx>
        <c:axId val="52106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064272"/>
        <c:crosses val="autoZero"/>
        <c:auto val="1"/>
        <c:lblAlgn val="ctr"/>
        <c:lblOffset val="100"/>
        <c:noMultiLvlLbl val="0"/>
      </c:catAx>
      <c:valAx>
        <c:axId val="52106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06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Data'!$I$3</c:f>
              <c:strCache>
                <c:ptCount val="1"/>
                <c:pt idx="0">
                  <c:v>Number of Responses</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5-CAC4-4548-B316-7ED460B64C2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863E-4F01-96A5-B3519E2353AB}"/>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7-4CB2-4CDE-AEDC-456279632BF2}"/>
              </c:ext>
            </c:extLst>
          </c:dPt>
          <c:dPt>
            <c:idx val="10"/>
            <c:invertIfNegative val="0"/>
            <c:bubble3D val="0"/>
            <c:spPr>
              <a:solidFill>
                <a:schemeClr val="accent4"/>
              </a:solidFill>
              <a:ln>
                <a:noFill/>
              </a:ln>
              <a:effectLst/>
            </c:spPr>
            <c:extLst>
              <c:ext xmlns:c16="http://schemas.microsoft.com/office/drawing/2014/chart" uri="{C3380CC4-5D6E-409C-BE32-E72D297353CC}">
                <c16:uniqueId val="{00000002-863E-4F01-96A5-B3519E2353AB}"/>
              </c:ext>
            </c:extLst>
          </c:dPt>
          <c:cat>
            <c:strRef>
              <c:f>'CTSA-Community Data'!$J$2:$X$2</c:f>
              <c:strCache>
                <c:ptCount val="15"/>
                <c:pt idx="0">
                  <c:v>Access to quality healthcare services</c:v>
                </c:pt>
                <c:pt idx="1">
                  <c:v>Access to nutritious food</c:v>
                </c:pt>
                <c:pt idx="2">
                  <c:v>Access to quality behavioral health services</c:v>
                </c:pt>
                <c:pt idx="3">
                  <c:v>Disease and illness prevention</c:v>
                </c:pt>
                <c:pt idx="4">
                  <c:v>Freedom from trauma, violence, and addiction</c:v>
                </c:pt>
                <c:pt idx="5">
                  <c:v>Parks and green spaces</c:v>
                </c:pt>
                <c:pt idx="6">
                  <c:v>Meaningful and rewarding work</c:v>
                </c:pt>
                <c:pt idx="7">
                  <c:v>Clean environment</c:v>
                </c:pt>
                <c:pt idx="8">
                  <c:v>Civic engagement</c:v>
                </c:pt>
                <c:pt idx="9">
                  <c:v>Lifelong learning: Cradle to career</c:v>
                </c:pt>
                <c:pt idx="10">
                  <c:v>Safe and affordable housing</c:v>
                </c:pt>
                <c:pt idx="11">
                  <c:v>Reliable transportation</c:v>
                </c:pt>
                <c:pt idx="12">
                  <c:v>Arts and cultural events</c:v>
                </c:pt>
                <c:pt idx="13">
                  <c:v>Belonging and inclusion</c:v>
                </c:pt>
                <c:pt idx="14">
                  <c:v>Disability accessibility</c:v>
                </c:pt>
              </c:strCache>
            </c:strRef>
          </c:cat>
          <c:val>
            <c:numRef>
              <c:f>'CTSA-Community Data'!$J$3:$X$3</c:f>
              <c:numCache>
                <c:formatCode>General</c:formatCode>
                <c:ptCount val="15"/>
                <c:pt idx="0">
                  <c:v>28</c:v>
                </c:pt>
                <c:pt idx="1">
                  <c:v>20</c:v>
                </c:pt>
                <c:pt idx="2">
                  <c:v>27</c:v>
                </c:pt>
                <c:pt idx="3">
                  <c:v>18</c:v>
                </c:pt>
                <c:pt idx="4">
                  <c:v>27</c:v>
                </c:pt>
                <c:pt idx="5">
                  <c:v>26</c:v>
                </c:pt>
                <c:pt idx="6">
                  <c:v>32</c:v>
                </c:pt>
                <c:pt idx="7">
                  <c:v>24</c:v>
                </c:pt>
                <c:pt idx="8">
                  <c:v>11</c:v>
                </c:pt>
                <c:pt idx="9">
                  <c:v>17</c:v>
                </c:pt>
                <c:pt idx="10">
                  <c:v>37</c:v>
                </c:pt>
                <c:pt idx="11">
                  <c:v>17</c:v>
                </c:pt>
                <c:pt idx="12">
                  <c:v>23</c:v>
                </c:pt>
                <c:pt idx="13">
                  <c:v>15</c:v>
                </c:pt>
                <c:pt idx="14">
                  <c:v>14</c:v>
                </c:pt>
              </c:numCache>
            </c:numRef>
          </c:val>
          <c:extLst>
            <c:ext xmlns:c16="http://schemas.microsoft.com/office/drawing/2014/chart" uri="{C3380CC4-5D6E-409C-BE32-E72D297353CC}">
              <c16:uniqueId val="{00000000-863E-4F01-96A5-B3519E2353AB}"/>
            </c:ext>
          </c:extLst>
        </c:ser>
        <c:dLbls>
          <c:showLegendKey val="0"/>
          <c:showVal val="0"/>
          <c:showCatName val="0"/>
          <c:showSerName val="0"/>
          <c:showPercent val="0"/>
          <c:showBubbleSize val="0"/>
        </c:dLbls>
        <c:gapWidth val="219"/>
        <c:overlap val="-27"/>
        <c:axId val="416504576"/>
        <c:axId val="416506872"/>
      </c:barChart>
      <c:catAx>
        <c:axId val="41650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06872"/>
        <c:crosses val="autoZero"/>
        <c:auto val="1"/>
        <c:lblAlgn val="ctr"/>
        <c:lblOffset val="100"/>
        <c:noMultiLvlLbl val="0"/>
      </c:catAx>
      <c:valAx>
        <c:axId val="416506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04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Data'!$I$8</c:f>
              <c:strCache>
                <c:ptCount val="1"/>
                <c:pt idx="0">
                  <c:v>Number of Responses</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1-F646-4697-B17F-93EF7E6C3178}"/>
              </c:ext>
            </c:extLst>
          </c:dPt>
          <c:dPt>
            <c:idx val="7"/>
            <c:invertIfNegative val="0"/>
            <c:bubble3D val="0"/>
            <c:spPr>
              <a:solidFill>
                <a:schemeClr val="accent4"/>
              </a:solidFill>
              <a:ln>
                <a:noFill/>
              </a:ln>
              <a:effectLst/>
            </c:spPr>
            <c:extLst>
              <c:ext xmlns:c16="http://schemas.microsoft.com/office/drawing/2014/chart" uri="{C3380CC4-5D6E-409C-BE32-E72D297353CC}">
                <c16:uniqueId val="{00000003-F646-4697-B17F-93EF7E6C3178}"/>
              </c:ext>
            </c:extLst>
          </c:dPt>
          <c:dPt>
            <c:idx val="14"/>
            <c:invertIfNegative val="0"/>
            <c:bubble3D val="0"/>
            <c:spPr>
              <a:solidFill>
                <a:schemeClr val="accent1"/>
              </a:solidFill>
              <a:ln>
                <a:noFill/>
              </a:ln>
              <a:effectLst/>
            </c:spPr>
            <c:extLst>
              <c:ext xmlns:c16="http://schemas.microsoft.com/office/drawing/2014/chart" uri="{C3380CC4-5D6E-409C-BE32-E72D297353CC}">
                <c16:uniqueId val="{00000002-F646-4697-B17F-93EF7E6C3178}"/>
              </c:ext>
            </c:extLst>
          </c:dPt>
          <c:dPt>
            <c:idx val="18"/>
            <c:invertIfNegative val="0"/>
            <c:bubble3D val="0"/>
            <c:spPr>
              <a:solidFill>
                <a:schemeClr val="accent1"/>
              </a:solidFill>
              <a:ln>
                <a:noFill/>
              </a:ln>
              <a:effectLst/>
            </c:spPr>
            <c:extLst>
              <c:ext xmlns:c16="http://schemas.microsoft.com/office/drawing/2014/chart" uri="{C3380CC4-5D6E-409C-BE32-E72D297353CC}">
                <c16:uniqueId val="{00000004-F646-4697-B17F-93EF7E6C3178}"/>
              </c:ext>
            </c:extLst>
          </c:dPt>
          <c:dPt>
            <c:idx val="20"/>
            <c:invertIfNegative val="0"/>
            <c:bubble3D val="0"/>
            <c:spPr>
              <a:solidFill>
                <a:schemeClr val="accent4"/>
              </a:solidFill>
              <a:ln>
                <a:noFill/>
              </a:ln>
              <a:effectLst/>
            </c:spPr>
            <c:extLst>
              <c:ext xmlns:c16="http://schemas.microsoft.com/office/drawing/2014/chart" uri="{C3380CC4-5D6E-409C-BE32-E72D297353CC}">
                <c16:uniqueId val="{0000000C-C96D-4414-92F3-EA186FCEAC43}"/>
              </c:ext>
            </c:extLst>
          </c:dPt>
          <c:dPt>
            <c:idx val="22"/>
            <c:invertIfNegative val="0"/>
            <c:bubble3D val="0"/>
            <c:spPr>
              <a:solidFill>
                <a:schemeClr val="accent1"/>
              </a:solidFill>
              <a:ln>
                <a:noFill/>
              </a:ln>
              <a:effectLst/>
            </c:spPr>
            <c:extLst>
              <c:ext xmlns:c16="http://schemas.microsoft.com/office/drawing/2014/chart" uri="{C3380CC4-5D6E-409C-BE32-E72D297353CC}">
                <c16:uniqueId val="{00000005-F646-4697-B17F-93EF7E6C3178}"/>
              </c:ext>
            </c:extLst>
          </c:dPt>
          <c:dPt>
            <c:idx val="33"/>
            <c:invertIfNegative val="0"/>
            <c:bubble3D val="0"/>
            <c:spPr>
              <a:solidFill>
                <a:schemeClr val="accent4"/>
              </a:solidFill>
              <a:ln>
                <a:noFill/>
              </a:ln>
              <a:effectLst/>
            </c:spPr>
            <c:extLst>
              <c:ext xmlns:c16="http://schemas.microsoft.com/office/drawing/2014/chart" uri="{C3380CC4-5D6E-409C-BE32-E72D297353CC}">
                <c16:uniqueId val="{0000000B-C96D-4414-92F3-EA186FCEAC43}"/>
              </c:ext>
            </c:extLst>
          </c:dPt>
          <c:cat>
            <c:strRef>
              <c:f>'CTSA-Community Data'!$J$7:$AS$7</c:f>
              <c:strCache>
                <c:ptCount val="36"/>
                <c:pt idx="0">
                  <c:v>Aging problems (e.g. arthritis, hearing/vision loss, etc.)</c:v>
                </c:pt>
                <c:pt idx="1">
                  <c:v>Cancer</c:v>
                </c:pt>
                <c:pt idx="2">
                  <c:v>Child abuse/neglect</c:v>
                </c:pt>
                <c:pt idx="3">
                  <c:v>COVID-19</c:v>
                </c:pt>
                <c:pt idx="4">
                  <c:v>Dental problems</c:v>
                </c:pt>
                <c:pt idx="5">
                  <c:v>Diabetes</c:v>
                </c:pt>
                <c:pt idx="6">
                  <c:v>Domestic violence</c:v>
                </c:pt>
                <c:pt idx="7">
                  <c:v>Economic instability</c:v>
                </c:pt>
                <c:pt idx="8">
                  <c:v>Heart disease and stroke</c:v>
                </c:pt>
                <c:pt idx="9">
                  <c:v>Lack of access to healthcare services</c:v>
                </c:pt>
                <c:pt idx="10">
                  <c:v>High blood pressure</c:v>
                </c:pt>
                <c:pt idx="11">
                  <c:v>HIV/AIDS</c:v>
                </c:pt>
                <c:pt idx="12">
                  <c:v>Homicide</c:v>
                </c:pt>
                <c:pt idx="13">
                  <c:v>Infant death</c:v>
                </c:pt>
                <c:pt idx="14">
                  <c:v>Infectious diseases (e.g. hepatitis, tuberculosis, etc.)</c:v>
                </c:pt>
                <c:pt idx="15">
                  <c:v>Racism and discrimination</c:v>
                </c:pt>
                <c:pt idx="16">
                  <c:v>Rape/sexual assault</c:v>
                </c:pt>
                <c:pt idx="17">
                  <c:v>Respiratory/lung disease</c:v>
                </c:pt>
                <c:pt idx="18">
                  <c:v>Sexually transmitted infections (STIs)</c:v>
                </c:pt>
                <c:pt idx="19">
                  <c:v>Lack of quality healthcare services</c:v>
                </c:pt>
                <c:pt idx="20">
                  <c:v>Substance use</c:v>
                </c:pt>
                <c:pt idx="21">
                  <c:v>Teenage pregnancy</c:v>
                </c:pt>
                <c:pt idx="22">
                  <c:v>Poor environmental health</c:v>
                </c:pt>
                <c:pt idx="23">
                  <c:v>Lack of access to education</c:v>
                </c:pt>
                <c:pt idx="24">
                  <c:v>Firearm-related injuries</c:v>
                </c:pt>
                <c:pt idx="25">
                  <c:v>Lack of access to behavioral health services</c:v>
                </c:pt>
                <c:pt idx="26">
                  <c:v>Motor vehicle crash injuries</c:v>
                </c:pt>
                <c:pt idx="27">
                  <c:v>Neighborhood and built environment</c:v>
                </c:pt>
                <c:pt idx="28">
                  <c:v>Lack of access to nutrious food</c:v>
                </c:pt>
                <c:pt idx="29">
                  <c:v>Obesity</c:v>
                </c:pt>
                <c:pt idx="30">
                  <c:v>Unreliable transportantion</c:v>
                </c:pt>
                <c:pt idx="31">
                  <c:v>Lack of quality behavioral health services</c:v>
                </c:pt>
                <c:pt idx="32">
                  <c:v>Lack of quality education</c:v>
                </c:pt>
                <c:pt idx="33">
                  <c:v>Lack of safe and affortable housing</c:v>
                </c:pt>
                <c:pt idx="34">
                  <c:v>Sucicide</c:v>
                </c:pt>
                <c:pt idx="35">
                  <c:v>Write-in</c:v>
                </c:pt>
              </c:strCache>
            </c:strRef>
          </c:cat>
          <c:val>
            <c:numRef>
              <c:f>'CTSA-Community Data'!$J$8:$AS$8</c:f>
              <c:numCache>
                <c:formatCode>General</c:formatCode>
                <c:ptCount val="36"/>
                <c:pt idx="0">
                  <c:v>10</c:v>
                </c:pt>
                <c:pt idx="1">
                  <c:v>1</c:v>
                </c:pt>
                <c:pt idx="2">
                  <c:v>8</c:v>
                </c:pt>
                <c:pt idx="3">
                  <c:v>14</c:v>
                </c:pt>
                <c:pt idx="4">
                  <c:v>4</c:v>
                </c:pt>
                <c:pt idx="5">
                  <c:v>4</c:v>
                </c:pt>
                <c:pt idx="6">
                  <c:v>7</c:v>
                </c:pt>
                <c:pt idx="7">
                  <c:v>27</c:v>
                </c:pt>
                <c:pt idx="8">
                  <c:v>4</c:v>
                </c:pt>
                <c:pt idx="9">
                  <c:v>14</c:v>
                </c:pt>
                <c:pt idx="10">
                  <c:v>6</c:v>
                </c:pt>
                <c:pt idx="11">
                  <c:v>5</c:v>
                </c:pt>
                <c:pt idx="12">
                  <c:v>5</c:v>
                </c:pt>
                <c:pt idx="13">
                  <c:v>2</c:v>
                </c:pt>
                <c:pt idx="14">
                  <c:v>9</c:v>
                </c:pt>
                <c:pt idx="15">
                  <c:v>12</c:v>
                </c:pt>
                <c:pt idx="16">
                  <c:v>3</c:v>
                </c:pt>
                <c:pt idx="17">
                  <c:v>0</c:v>
                </c:pt>
                <c:pt idx="18">
                  <c:v>5</c:v>
                </c:pt>
                <c:pt idx="19">
                  <c:v>12</c:v>
                </c:pt>
                <c:pt idx="20">
                  <c:v>21</c:v>
                </c:pt>
                <c:pt idx="21">
                  <c:v>9</c:v>
                </c:pt>
                <c:pt idx="22">
                  <c:v>13</c:v>
                </c:pt>
                <c:pt idx="23">
                  <c:v>10</c:v>
                </c:pt>
                <c:pt idx="24">
                  <c:v>9</c:v>
                </c:pt>
                <c:pt idx="25">
                  <c:v>14</c:v>
                </c:pt>
                <c:pt idx="26">
                  <c:v>7</c:v>
                </c:pt>
                <c:pt idx="27">
                  <c:v>11</c:v>
                </c:pt>
                <c:pt idx="28">
                  <c:v>9</c:v>
                </c:pt>
                <c:pt idx="29">
                  <c:v>3</c:v>
                </c:pt>
                <c:pt idx="30">
                  <c:v>14</c:v>
                </c:pt>
                <c:pt idx="31">
                  <c:v>11</c:v>
                </c:pt>
                <c:pt idx="32">
                  <c:v>13</c:v>
                </c:pt>
                <c:pt idx="33">
                  <c:v>25</c:v>
                </c:pt>
                <c:pt idx="34">
                  <c:v>4</c:v>
                </c:pt>
                <c:pt idx="35">
                  <c:v>4</c:v>
                </c:pt>
              </c:numCache>
            </c:numRef>
          </c:val>
          <c:extLst>
            <c:ext xmlns:c16="http://schemas.microsoft.com/office/drawing/2014/chart" uri="{C3380CC4-5D6E-409C-BE32-E72D297353CC}">
              <c16:uniqueId val="{00000000-4462-4A20-99BE-7681741603A9}"/>
            </c:ext>
          </c:extLst>
        </c:ser>
        <c:dLbls>
          <c:showLegendKey val="0"/>
          <c:showVal val="0"/>
          <c:showCatName val="0"/>
          <c:showSerName val="0"/>
          <c:showPercent val="0"/>
          <c:showBubbleSize val="0"/>
        </c:dLbls>
        <c:gapWidth val="219"/>
        <c:overlap val="-27"/>
        <c:axId val="411814080"/>
        <c:axId val="411815064"/>
      </c:barChart>
      <c:catAx>
        <c:axId val="41181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15064"/>
        <c:crosses val="autoZero"/>
        <c:auto val="1"/>
        <c:lblAlgn val="ctr"/>
        <c:lblOffset val="100"/>
        <c:noMultiLvlLbl val="0"/>
      </c:catAx>
      <c:valAx>
        <c:axId val="411815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1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Data'!$I$13</c:f>
              <c:strCache>
                <c:ptCount val="1"/>
                <c:pt idx="0">
                  <c:v>Number of Responses</c:v>
                </c:pt>
              </c:strCache>
            </c:strRef>
          </c:tx>
          <c:spPr>
            <a:solidFill>
              <a:schemeClr val="accent1"/>
            </a:solidFill>
            <a:ln>
              <a:noFill/>
            </a:ln>
            <a:effectLst/>
          </c:spPr>
          <c:invertIfNegative val="0"/>
          <c:cat>
            <c:strRef>
              <c:f>'CTSA-Community Data'!$K$12:$T$12</c:f>
              <c:strCache>
                <c:ptCount val="10"/>
                <c:pt idx="0">
                  <c:v>Step 1</c:v>
                </c:pt>
                <c:pt idx="1">
                  <c:v>Step 2</c:v>
                </c:pt>
                <c:pt idx="2">
                  <c:v>Step 3</c:v>
                </c:pt>
                <c:pt idx="3">
                  <c:v>Step 4</c:v>
                </c:pt>
                <c:pt idx="4">
                  <c:v>Step 5</c:v>
                </c:pt>
                <c:pt idx="5">
                  <c:v>Step 6</c:v>
                </c:pt>
                <c:pt idx="6">
                  <c:v>Step 7 </c:v>
                </c:pt>
                <c:pt idx="7">
                  <c:v>Step 8</c:v>
                </c:pt>
                <c:pt idx="8">
                  <c:v>Step 9</c:v>
                </c:pt>
                <c:pt idx="9">
                  <c:v>Step 10</c:v>
                </c:pt>
              </c:strCache>
            </c:strRef>
          </c:cat>
          <c:val>
            <c:numRef>
              <c:f>'CTSA-Community Data'!$K$13:$T$13</c:f>
              <c:numCache>
                <c:formatCode>General</c:formatCode>
                <c:ptCount val="10"/>
                <c:pt idx="0">
                  <c:v>1</c:v>
                </c:pt>
                <c:pt idx="1">
                  <c:v>2</c:v>
                </c:pt>
                <c:pt idx="2">
                  <c:v>7</c:v>
                </c:pt>
                <c:pt idx="3">
                  <c:v>15</c:v>
                </c:pt>
                <c:pt idx="4">
                  <c:v>17</c:v>
                </c:pt>
                <c:pt idx="5">
                  <c:v>20</c:v>
                </c:pt>
                <c:pt idx="6">
                  <c:v>26</c:v>
                </c:pt>
                <c:pt idx="7">
                  <c:v>18</c:v>
                </c:pt>
                <c:pt idx="8">
                  <c:v>10</c:v>
                </c:pt>
                <c:pt idx="9">
                  <c:v>2</c:v>
                </c:pt>
              </c:numCache>
            </c:numRef>
          </c:val>
          <c:extLst>
            <c:ext xmlns:c16="http://schemas.microsoft.com/office/drawing/2014/chart" uri="{C3380CC4-5D6E-409C-BE32-E72D297353CC}">
              <c16:uniqueId val="{00000000-4D51-4595-B625-EC3338B53A22}"/>
            </c:ext>
          </c:extLst>
        </c:ser>
        <c:dLbls>
          <c:showLegendKey val="0"/>
          <c:showVal val="0"/>
          <c:showCatName val="0"/>
          <c:showSerName val="0"/>
          <c:showPercent val="0"/>
          <c:showBubbleSize val="0"/>
        </c:dLbls>
        <c:gapWidth val="219"/>
        <c:overlap val="-27"/>
        <c:axId val="1159619264"/>
        <c:axId val="1159619920"/>
      </c:barChart>
      <c:catAx>
        <c:axId val="115961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619920"/>
        <c:crosses val="autoZero"/>
        <c:auto val="1"/>
        <c:lblAlgn val="ctr"/>
        <c:lblOffset val="100"/>
        <c:noMultiLvlLbl val="0"/>
      </c:catAx>
      <c:valAx>
        <c:axId val="115961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61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Data'!$I$18</c:f>
              <c:strCache>
                <c:ptCount val="1"/>
                <c:pt idx="0">
                  <c:v>Number of Responses</c:v>
                </c:pt>
              </c:strCache>
            </c:strRef>
          </c:tx>
          <c:spPr>
            <a:solidFill>
              <a:schemeClr val="accent1"/>
            </a:solidFill>
            <a:ln>
              <a:noFill/>
            </a:ln>
            <a:effectLst/>
          </c:spPr>
          <c:invertIfNegative val="0"/>
          <c:cat>
            <c:strRef>
              <c:f>'CTSA-Community Data'!$J$17:$S$17</c:f>
              <c:strCache>
                <c:ptCount val="10"/>
                <c:pt idx="0">
                  <c:v>Step 1</c:v>
                </c:pt>
                <c:pt idx="1">
                  <c:v>Step 2</c:v>
                </c:pt>
                <c:pt idx="2">
                  <c:v>Step 3</c:v>
                </c:pt>
                <c:pt idx="3">
                  <c:v>Step 4</c:v>
                </c:pt>
                <c:pt idx="4">
                  <c:v>Step 5</c:v>
                </c:pt>
                <c:pt idx="5">
                  <c:v>Step 6</c:v>
                </c:pt>
                <c:pt idx="6">
                  <c:v>Step 7 </c:v>
                </c:pt>
                <c:pt idx="7">
                  <c:v>Step 8</c:v>
                </c:pt>
                <c:pt idx="8">
                  <c:v>Step 9</c:v>
                </c:pt>
                <c:pt idx="9">
                  <c:v>Step 10</c:v>
                </c:pt>
              </c:strCache>
            </c:strRef>
          </c:cat>
          <c:val>
            <c:numRef>
              <c:f>'CTSA-Community Data'!$J$18:$S$18</c:f>
              <c:numCache>
                <c:formatCode>General</c:formatCode>
                <c:ptCount val="10"/>
                <c:pt idx="0">
                  <c:v>0</c:v>
                </c:pt>
                <c:pt idx="1">
                  <c:v>0</c:v>
                </c:pt>
                <c:pt idx="2">
                  <c:v>3</c:v>
                </c:pt>
                <c:pt idx="3">
                  <c:v>3</c:v>
                </c:pt>
                <c:pt idx="4">
                  <c:v>15</c:v>
                </c:pt>
                <c:pt idx="5">
                  <c:v>24</c:v>
                </c:pt>
                <c:pt idx="6">
                  <c:v>14</c:v>
                </c:pt>
                <c:pt idx="7">
                  <c:v>28</c:v>
                </c:pt>
                <c:pt idx="8">
                  <c:v>20</c:v>
                </c:pt>
                <c:pt idx="9">
                  <c:v>11</c:v>
                </c:pt>
              </c:numCache>
            </c:numRef>
          </c:val>
          <c:extLst>
            <c:ext xmlns:c16="http://schemas.microsoft.com/office/drawing/2014/chart" uri="{C3380CC4-5D6E-409C-BE32-E72D297353CC}">
              <c16:uniqueId val="{00000000-71BE-429D-AAC2-5C7CEDDFD430}"/>
            </c:ext>
          </c:extLst>
        </c:ser>
        <c:dLbls>
          <c:showLegendKey val="0"/>
          <c:showVal val="0"/>
          <c:showCatName val="0"/>
          <c:showSerName val="0"/>
          <c:showPercent val="0"/>
          <c:showBubbleSize val="0"/>
        </c:dLbls>
        <c:gapWidth val="219"/>
        <c:overlap val="-27"/>
        <c:axId val="534167064"/>
        <c:axId val="534167720"/>
      </c:barChart>
      <c:catAx>
        <c:axId val="534167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167720"/>
        <c:crosses val="autoZero"/>
        <c:auto val="1"/>
        <c:lblAlgn val="ctr"/>
        <c:lblOffset val="100"/>
        <c:noMultiLvlLbl val="0"/>
      </c:catAx>
      <c:valAx>
        <c:axId val="534167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167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Data'!$I$23</c:f>
              <c:strCache>
                <c:ptCount val="1"/>
                <c:pt idx="0">
                  <c:v>Number of Responses</c:v>
                </c:pt>
              </c:strCache>
            </c:strRef>
          </c:tx>
          <c:spPr>
            <a:solidFill>
              <a:schemeClr val="accent1"/>
            </a:solidFill>
            <a:ln>
              <a:noFill/>
            </a:ln>
            <a:effectLst/>
          </c:spPr>
          <c:invertIfNegative val="0"/>
          <c:dPt>
            <c:idx val="5"/>
            <c:invertIfNegative val="0"/>
            <c:bubble3D val="0"/>
            <c:spPr>
              <a:solidFill>
                <a:schemeClr val="accent1"/>
              </a:solidFill>
              <a:ln>
                <a:noFill/>
              </a:ln>
              <a:effectLst/>
            </c:spPr>
            <c:extLst>
              <c:ext xmlns:c16="http://schemas.microsoft.com/office/drawing/2014/chart" uri="{C3380CC4-5D6E-409C-BE32-E72D297353CC}">
                <c16:uniqueId val="{00000002-C8DF-4002-A829-2DD8B070EA7D}"/>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1-C8DF-4002-A829-2DD8B070EA7D}"/>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3-C8DF-4002-A829-2DD8B070EA7D}"/>
              </c:ext>
            </c:extLst>
          </c:dPt>
          <c:cat>
            <c:strRef>
              <c:f>'CTSA-Community Data'!$J$22:$V$22</c:f>
              <c:strCache>
                <c:ptCount val="13"/>
                <c:pt idx="0">
                  <c:v>Not enough sidewalks</c:v>
                </c:pt>
                <c:pt idx="1">
                  <c:v>Not enough pedestrian paths, trails, or walkways</c:v>
                </c:pt>
                <c:pt idx="2">
                  <c:v>Not enough bike lanes</c:v>
                </c:pt>
                <c:pt idx="3">
                  <c:v>Not enough greenspaces</c:v>
                </c:pt>
                <c:pt idx="4">
                  <c:v>Not enough wayfinding signage</c:v>
                </c:pt>
                <c:pt idx="5">
                  <c:v>Not enough affordable recreation facilities</c:v>
                </c:pt>
                <c:pt idx="6">
                  <c:v>Not enough affordable physical activity programs</c:v>
                </c:pt>
                <c:pt idx="7">
                  <c:v>I feel unsafe in my community</c:v>
                </c:pt>
                <c:pt idx="8">
                  <c:v>Not enough street lights</c:v>
                </c:pt>
                <c:pt idx="9">
                  <c:v>Low accessibility</c:v>
                </c:pt>
                <c:pt idx="10">
                  <c:v>I live a great distance from places in my community</c:v>
                </c:pt>
                <c:pt idx="11">
                  <c:v>Other - Write in</c:v>
                </c:pt>
                <c:pt idx="12">
                  <c:v>I don't experience any of these</c:v>
                </c:pt>
              </c:strCache>
            </c:strRef>
          </c:cat>
          <c:val>
            <c:numRef>
              <c:f>'CTSA-Community Data'!$J$23:$V$23</c:f>
              <c:numCache>
                <c:formatCode>General</c:formatCode>
                <c:ptCount val="13"/>
                <c:pt idx="0">
                  <c:v>13</c:v>
                </c:pt>
                <c:pt idx="1">
                  <c:v>18</c:v>
                </c:pt>
                <c:pt idx="2">
                  <c:v>18</c:v>
                </c:pt>
                <c:pt idx="3">
                  <c:v>23</c:v>
                </c:pt>
                <c:pt idx="4">
                  <c:v>25</c:v>
                </c:pt>
                <c:pt idx="5">
                  <c:v>31</c:v>
                </c:pt>
                <c:pt idx="6">
                  <c:v>35</c:v>
                </c:pt>
                <c:pt idx="7">
                  <c:v>18</c:v>
                </c:pt>
                <c:pt idx="8">
                  <c:v>21</c:v>
                </c:pt>
                <c:pt idx="9">
                  <c:v>18</c:v>
                </c:pt>
                <c:pt idx="10">
                  <c:v>30</c:v>
                </c:pt>
                <c:pt idx="11">
                  <c:v>2</c:v>
                </c:pt>
                <c:pt idx="12">
                  <c:v>12</c:v>
                </c:pt>
              </c:numCache>
            </c:numRef>
          </c:val>
          <c:extLst>
            <c:ext xmlns:c16="http://schemas.microsoft.com/office/drawing/2014/chart" uri="{C3380CC4-5D6E-409C-BE32-E72D297353CC}">
              <c16:uniqueId val="{00000000-D7F6-484A-9B03-299E91A5AFC5}"/>
            </c:ext>
          </c:extLst>
        </c:ser>
        <c:dLbls>
          <c:showLegendKey val="0"/>
          <c:showVal val="0"/>
          <c:showCatName val="0"/>
          <c:showSerName val="0"/>
          <c:showPercent val="0"/>
          <c:showBubbleSize val="0"/>
        </c:dLbls>
        <c:gapWidth val="219"/>
        <c:overlap val="-27"/>
        <c:axId val="411825888"/>
        <c:axId val="411825232"/>
      </c:barChart>
      <c:catAx>
        <c:axId val="41182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25232"/>
        <c:crosses val="autoZero"/>
        <c:auto val="1"/>
        <c:lblAlgn val="ctr"/>
        <c:lblOffset val="100"/>
        <c:noMultiLvlLbl val="0"/>
      </c:catAx>
      <c:valAx>
        <c:axId val="41182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25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'CTSA-Community Data'!$I$28</c:f>
              <c:strCache>
                <c:ptCount val="1"/>
                <c:pt idx="0">
                  <c:v>Number of Responses</c:v>
                </c:pt>
              </c:strCache>
            </c:strRef>
          </c:tx>
          <c:spPr>
            <a:solidFill>
              <a:schemeClr val="accent1"/>
            </a:solidFill>
            <a:ln>
              <a:noFill/>
            </a:ln>
            <a:effectLst/>
          </c:spPr>
          <c:invertIfNegative val="0"/>
          <c:cat>
            <c:strRef>
              <c:f>'CTSA-Community Data'!$J$27:$AU$27</c:f>
              <c:strCache>
                <c:ptCount val="38"/>
                <c:pt idx="0">
                  <c:v>Community Center</c:v>
                </c:pt>
                <c:pt idx="1">
                  <c:v>Seniors' Group/Services</c:v>
                </c:pt>
                <c:pt idx="2">
                  <c:v>Special Interest Group</c:v>
                </c:pt>
                <c:pt idx="3">
                  <c:v>Colleges or Universities</c:v>
                </c:pt>
                <c:pt idx="4">
                  <c:v>Community College</c:v>
                </c:pt>
                <c:pt idx="5">
                  <c:v>Before-/After-School Program</c:v>
                </c:pt>
                <c:pt idx="6">
                  <c:v>Vocational/ Technical Education Program</c:v>
                </c:pt>
                <c:pt idx="7">
                  <c:v>Hospital</c:v>
                </c:pt>
                <c:pt idx="8">
                  <c:v>Healthcare Clinic</c:v>
                </c:pt>
                <c:pt idx="9">
                  <c:v>Health Department</c:v>
                </c:pt>
                <c:pt idx="10">
                  <c:v>Library</c:v>
                </c:pt>
                <c:pt idx="11">
                  <c:v>Police Department</c:v>
                </c:pt>
                <c:pt idx="12">
                  <c:v>Fire Department</c:v>
                </c:pt>
                <c:pt idx="13">
                  <c:v>Emergency Medical Services</c:v>
                </c:pt>
                <c:pt idx="14">
                  <c:v>Housing Organizations</c:v>
                </c:pt>
                <c:pt idx="15">
                  <c:v>Food Pantry/ Kitchens</c:v>
                </c:pt>
                <c:pt idx="16">
                  <c:v>Emergency Housing Shelters</c:v>
                </c:pt>
                <c:pt idx="17">
                  <c:v>Halfway Houses</c:v>
                </c:pt>
                <c:pt idx="18">
                  <c:v>Domestic Violence Shelters</c:v>
                </c:pt>
                <c:pt idx="19">
                  <c:v>Advocacy Groups/ Coalitions</c:v>
                </c:pt>
                <c:pt idx="20">
                  <c:v>Relgious Organizations</c:v>
                </c:pt>
                <c:pt idx="21">
                  <c:v>Parks</c:v>
                </c:pt>
                <c:pt idx="22">
                  <c:v>Public Pools</c:v>
                </c:pt>
                <c:pt idx="23">
                  <c:v>Vacant Private Building or Lot</c:v>
                </c:pt>
                <c:pt idx="24">
                  <c:v>Public Lake or Coastline</c:v>
                </c:pt>
                <c:pt idx="25">
                  <c:v>Community Gardens</c:v>
                </c:pt>
                <c:pt idx="26">
                  <c:v>Farmers' Market</c:v>
                </c:pt>
                <c:pt idx="27">
                  <c:v>Cultural Organizations</c:v>
                </c:pt>
                <c:pt idx="28">
                  <c:v>Hunting/. Sportsman Leagues</c:v>
                </c:pt>
                <c:pt idx="29">
                  <c:v>United Way</c:v>
                </c:pt>
                <c:pt idx="30">
                  <c:v>Community or Philanthropic Foundation</c:v>
                </c:pt>
                <c:pt idx="31">
                  <c:v>Local Artists/ Musicians</c:v>
                </c:pt>
                <c:pt idx="32">
                  <c:v>Community Leader</c:v>
                </c:pt>
                <c:pt idx="33">
                  <c:v>Celebrity or Influential Figure</c:v>
                </c:pt>
                <c:pt idx="34">
                  <c:v>Amateur Sports Leagues</c:v>
                </c:pt>
                <c:pt idx="35">
                  <c:v>Political Organizations</c:v>
                </c:pt>
                <c:pt idx="36">
                  <c:v>Behavioral Health Services</c:v>
                </c:pt>
                <c:pt idx="37">
                  <c:v>Other - Write In (Required)</c:v>
                </c:pt>
              </c:strCache>
            </c:strRef>
          </c:cat>
          <c:val>
            <c:numRef>
              <c:f>'CTSA-Community Data'!$J$28:$AU$28</c:f>
              <c:numCache>
                <c:formatCode>General</c:formatCode>
                <c:ptCount val="38"/>
                <c:pt idx="0">
                  <c:v>34</c:v>
                </c:pt>
                <c:pt idx="1">
                  <c:v>25</c:v>
                </c:pt>
                <c:pt idx="2">
                  <c:v>13</c:v>
                </c:pt>
                <c:pt idx="3">
                  <c:v>8</c:v>
                </c:pt>
                <c:pt idx="4">
                  <c:v>34</c:v>
                </c:pt>
                <c:pt idx="5">
                  <c:v>22</c:v>
                </c:pt>
                <c:pt idx="6">
                  <c:v>22</c:v>
                </c:pt>
                <c:pt idx="7">
                  <c:v>29</c:v>
                </c:pt>
                <c:pt idx="8">
                  <c:v>40</c:v>
                </c:pt>
                <c:pt idx="9">
                  <c:v>27</c:v>
                </c:pt>
                <c:pt idx="10">
                  <c:v>45</c:v>
                </c:pt>
                <c:pt idx="11">
                  <c:v>39</c:v>
                </c:pt>
                <c:pt idx="12">
                  <c:v>39</c:v>
                </c:pt>
                <c:pt idx="13">
                  <c:v>33</c:v>
                </c:pt>
                <c:pt idx="14">
                  <c:v>33</c:v>
                </c:pt>
                <c:pt idx="15">
                  <c:v>43</c:v>
                </c:pt>
                <c:pt idx="16">
                  <c:v>13</c:v>
                </c:pt>
                <c:pt idx="17">
                  <c:v>3</c:v>
                </c:pt>
                <c:pt idx="18">
                  <c:v>10</c:v>
                </c:pt>
                <c:pt idx="19">
                  <c:v>13</c:v>
                </c:pt>
                <c:pt idx="20">
                  <c:v>37</c:v>
                </c:pt>
                <c:pt idx="21">
                  <c:v>46</c:v>
                </c:pt>
                <c:pt idx="22">
                  <c:v>8</c:v>
                </c:pt>
                <c:pt idx="23">
                  <c:v>19</c:v>
                </c:pt>
                <c:pt idx="24">
                  <c:v>34</c:v>
                </c:pt>
                <c:pt idx="25">
                  <c:v>27</c:v>
                </c:pt>
                <c:pt idx="26">
                  <c:v>31</c:v>
                </c:pt>
                <c:pt idx="27">
                  <c:v>14</c:v>
                </c:pt>
                <c:pt idx="28">
                  <c:v>15</c:v>
                </c:pt>
                <c:pt idx="29">
                  <c:v>12</c:v>
                </c:pt>
                <c:pt idx="30">
                  <c:v>19</c:v>
                </c:pt>
                <c:pt idx="31">
                  <c:v>24</c:v>
                </c:pt>
                <c:pt idx="32">
                  <c:v>18</c:v>
                </c:pt>
                <c:pt idx="33">
                  <c:v>5</c:v>
                </c:pt>
                <c:pt idx="34">
                  <c:v>14</c:v>
                </c:pt>
                <c:pt idx="35">
                  <c:v>19</c:v>
                </c:pt>
                <c:pt idx="36">
                  <c:v>21</c:v>
                </c:pt>
                <c:pt idx="37">
                  <c:v>3</c:v>
                </c:pt>
              </c:numCache>
            </c:numRef>
          </c:val>
          <c:extLst>
            <c:ext xmlns:c16="http://schemas.microsoft.com/office/drawing/2014/chart" uri="{C3380CC4-5D6E-409C-BE32-E72D297353CC}">
              <c16:uniqueId val="{00000000-2EFF-4B9E-90CD-999A731BCA60}"/>
            </c:ext>
          </c:extLst>
        </c:ser>
        <c:dLbls>
          <c:showLegendKey val="0"/>
          <c:showVal val="0"/>
          <c:showCatName val="0"/>
          <c:showSerName val="0"/>
          <c:showPercent val="0"/>
          <c:showBubbleSize val="0"/>
        </c:dLbls>
        <c:gapWidth val="219"/>
        <c:overlap val="-27"/>
        <c:axId val="416522288"/>
        <c:axId val="416523928"/>
      </c:barChart>
      <c:catAx>
        <c:axId val="41652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23928"/>
        <c:crosses val="autoZero"/>
        <c:auto val="1"/>
        <c:lblAlgn val="ctr"/>
        <c:lblOffset val="100"/>
        <c:noMultiLvlLbl val="0"/>
      </c:catAx>
      <c:valAx>
        <c:axId val="416523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2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'CTSA-Provider Survey'!$I$8</c:f>
              <c:strCache>
                <c:ptCount val="1"/>
                <c:pt idx="0">
                  <c:v>Number of Responses</c:v>
                </c:pt>
              </c:strCache>
            </c:strRef>
          </c:tx>
          <c:spPr>
            <a:solidFill>
              <a:schemeClr val="accent1"/>
            </a:solidFill>
            <a:ln>
              <a:noFill/>
            </a:ln>
            <a:effectLst/>
          </c:spPr>
          <c:invertIfNegative val="0"/>
          <c:cat>
            <c:strRef>
              <c:f>'CTSA-Provider Survey'!$J$7:$U$7</c:f>
              <c:strCache>
                <c:ptCount val="12"/>
                <c:pt idx="0">
                  <c:v>Digestive Health Associates</c:v>
                </c:pt>
                <c:pt idx="1">
                  <c:v>Munson Healthcare</c:v>
                </c:pt>
                <c:pt idx="2">
                  <c:v>District Health Department No. 4</c:v>
                </c:pt>
                <c:pt idx="3">
                  <c:v>Alcona Health Center </c:v>
                </c:pt>
                <c:pt idx="4">
                  <c:v>Northern Country Community Mental Health </c:v>
                </c:pt>
                <c:pt idx="5">
                  <c:v>OMH Medical Group </c:v>
                </c:pt>
                <c:pt idx="6">
                  <c:v>McLaren</c:v>
                </c:pt>
                <c:pt idx="7">
                  <c:v>Alpine Cardiology </c:v>
                </c:pt>
                <c:pt idx="8">
                  <c:v>Northern Michigan Neurology</c:v>
                </c:pt>
                <c:pt idx="9">
                  <c:v>Council on Aging </c:v>
                </c:pt>
                <c:pt idx="10">
                  <c:v>Private Practice</c:v>
                </c:pt>
                <c:pt idx="11">
                  <c:v>Behavioral Health </c:v>
                </c:pt>
              </c:strCache>
            </c:strRef>
          </c:cat>
          <c:val>
            <c:numRef>
              <c:f>'CTSA-Provider Survey'!$J$8:$U$8</c:f>
              <c:numCache>
                <c:formatCode>General</c:formatCode>
                <c:ptCount val="12"/>
                <c:pt idx="0">
                  <c:v>1</c:v>
                </c:pt>
                <c:pt idx="1">
                  <c:v>10</c:v>
                </c:pt>
                <c:pt idx="2">
                  <c:v>5</c:v>
                </c:pt>
                <c:pt idx="3">
                  <c:v>1</c:v>
                </c:pt>
                <c:pt idx="4">
                  <c:v>5</c:v>
                </c:pt>
                <c:pt idx="5">
                  <c:v>1</c:v>
                </c:pt>
                <c:pt idx="6">
                  <c:v>2</c:v>
                </c:pt>
                <c:pt idx="7">
                  <c:v>1</c:v>
                </c:pt>
                <c:pt idx="8">
                  <c:v>1</c:v>
                </c:pt>
                <c:pt idx="9">
                  <c:v>1</c:v>
                </c:pt>
                <c:pt idx="10">
                  <c:v>1</c:v>
                </c:pt>
                <c:pt idx="11">
                  <c:v>1</c:v>
                </c:pt>
              </c:numCache>
            </c:numRef>
          </c:val>
          <c:extLst>
            <c:ext xmlns:c16="http://schemas.microsoft.com/office/drawing/2014/chart" uri="{C3380CC4-5D6E-409C-BE32-E72D297353CC}">
              <c16:uniqueId val="{00000000-E06E-4C65-8326-71A23AEF5043}"/>
            </c:ext>
          </c:extLst>
        </c:ser>
        <c:dLbls>
          <c:showLegendKey val="0"/>
          <c:showVal val="0"/>
          <c:showCatName val="0"/>
          <c:showSerName val="0"/>
          <c:showPercent val="0"/>
          <c:showBubbleSize val="0"/>
        </c:dLbls>
        <c:gapWidth val="219"/>
        <c:overlap val="-27"/>
        <c:axId val="534163128"/>
        <c:axId val="534165096"/>
      </c:barChart>
      <c:catAx>
        <c:axId val="534163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165096"/>
        <c:crosses val="autoZero"/>
        <c:auto val="1"/>
        <c:lblAlgn val="ctr"/>
        <c:lblOffset val="100"/>
        <c:noMultiLvlLbl val="0"/>
      </c:catAx>
      <c:valAx>
        <c:axId val="534165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163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'CTSA-Provider Survey'!$I$13</c:f>
              <c:strCache>
                <c:ptCount val="1"/>
                <c:pt idx="0">
                  <c:v>Number of Responses</c:v>
                </c:pt>
              </c:strCache>
            </c:strRef>
          </c:tx>
          <c:spPr>
            <a:solidFill>
              <a:schemeClr val="accent1"/>
            </a:solidFill>
            <a:ln>
              <a:noFill/>
            </a:ln>
            <a:effectLst/>
          </c:spPr>
          <c:invertIfNegative val="0"/>
          <c:cat>
            <c:strRef>
              <c:f>'CTSA-Provider Survey'!$J$12:$Y$12</c:f>
              <c:strCache>
                <c:ptCount val="16"/>
                <c:pt idx="0">
                  <c:v>Clinical Social Worker</c:v>
                </c:pt>
                <c:pt idx="1">
                  <c:v>Doctor of Medicine or Osteophathy</c:v>
                </c:pt>
                <c:pt idx="2">
                  <c:v>Pharmacist</c:v>
                </c:pt>
                <c:pt idx="3">
                  <c:v>Physician's Assistant</c:v>
                </c:pt>
                <c:pt idx="4">
                  <c:v>Dental Hygenist</c:v>
                </c:pt>
                <c:pt idx="5">
                  <c:v>Public Health Educator</c:v>
                </c:pt>
                <c:pt idx="6">
                  <c:v>Community Health Worker</c:v>
                </c:pt>
                <c:pt idx="7">
                  <c:v>Nurse Practictioner</c:v>
                </c:pt>
                <c:pt idx="8">
                  <c:v>Chiropractor</c:v>
                </c:pt>
                <c:pt idx="9">
                  <c:v>Nurse</c:v>
                </c:pt>
                <c:pt idx="10">
                  <c:v>Clinical Psychologist</c:v>
                </c:pt>
                <c:pt idx="11">
                  <c:v>Podiatrist</c:v>
                </c:pt>
                <c:pt idx="12">
                  <c:v>Dentist</c:v>
                </c:pt>
                <c:pt idx="13">
                  <c:v>Optometrist</c:v>
                </c:pt>
                <c:pt idx="14">
                  <c:v>Nurse - Midwife</c:v>
                </c:pt>
                <c:pt idx="15">
                  <c:v>Other - Write In</c:v>
                </c:pt>
              </c:strCache>
            </c:strRef>
          </c:cat>
          <c:val>
            <c:numRef>
              <c:f>'CTSA-Provider Survey'!$J$13:$Y$13</c:f>
              <c:numCache>
                <c:formatCode>General</c:formatCode>
                <c:ptCount val="16"/>
                <c:pt idx="0">
                  <c:v>2</c:v>
                </c:pt>
                <c:pt idx="1">
                  <c:v>9</c:v>
                </c:pt>
                <c:pt idx="2">
                  <c:v>0</c:v>
                </c:pt>
                <c:pt idx="3">
                  <c:v>3</c:v>
                </c:pt>
                <c:pt idx="4">
                  <c:v>0</c:v>
                </c:pt>
                <c:pt idx="5">
                  <c:v>2</c:v>
                </c:pt>
                <c:pt idx="6">
                  <c:v>1</c:v>
                </c:pt>
                <c:pt idx="7">
                  <c:v>4</c:v>
                </c:pt>
                <c:pt idx="8">
                  <c:v>0</c:v>
                </c:pt>
                <c:pt idx="9">
                  <c:v>1</c:v>
                </c:pt>
                <c:pt idx="10">
                  <c:v>0</c:v>
                </c:pt>
                <c:pt idx="11">
                  <c:v>0</c:v>
                </c:pt>
                <c:pt idx="12">
                  <c:v>0</c:v>
                </c:pt>
                <c:pt idx="13">
                  <c:v>0</c:v>
                </c:pt>
                <c:pt idx="14">
                  <c:v>1</c:v>
                </c:pt>
                <c:pt idx="15">
                  <c:v>7</c:v>
                </c:pt>
              </c:numCache>
            </c:numRef>
          </c:val>
          <c:extLst>
            <c:ext xmlns:c16="http://schemas.microsoft.com/office/drawing/2014/chart" uri="{C3380CC4-5D6E-409C-BE32-E72D297353CC}">
              <c16:uniqueId val="{00000000-3698-419C-9F6F-BA42D45BD542}"/>
            </c:ext>
          </c:extLst>
        </c:ser>
        <c:dLbls>
          <c:showLegendKey val="0"/>
          <c:showVal val="0"/>
          <c:showCatName val="0"/>
          <c:showSerName val="0"/>
          <c:showPercent val="0"/>
          <c:showBubbleSize val="0"/>
        </c:dLbls>
        <c:gapWidth val="219"/>
        <c:overlap val="-27"/>
        <c:axId val="416496376"/>
        <c:axId val="416497032"/>
      </c:barChart>
      <c:catAx>
        <c:axId val="416496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97032"/>
        <c:crosses val="autoZero"/>
        <c:auto val="1"/>
        <c:lblAlgn val="ctr"/>
        <c:lblOffset val="50"/>
        <c:noMultiLvlLbl val="0"/>
      </c:catAx>
      <c:valAx>
        <c:axId val="416497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96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'CTSA-Provider Survey'!$I$18</c:f>
              <c:strCache>
                <c:ptCount val="1"/>
                <c:pt idx="0">
                  <c:v>Number of Responses</c:v>
                </c:pt>
              </c:strCache>
            </c:strRef>
          </c:tx>
          <c:spPr>
            <a:solidFill>
              <a:schemeClr val="accent1"/>
            </a:solidFill>
            <a:ln>
              <a:noFill/>
            </a:ln>
            <a:effectLst/>
          </c:spPr>
          <c:invertIfNegative val="0"/>
          <c:cat>
            <c:strRef>
              <c:f>'CTSA-Provider Survey'!$J$17:$R$17</c:f>
              <c:strCache>
                <c:ptCount val="9"/>
                <c:pt idx="0">
                  <c:v>Primary Care</c:v>
                </c:pt>
                <c:pt idx="1">
                  <c:v>Pediatrics</c:v>
                </c:pt>
                <c:pt idx="2">
                  <c:v>Dental</c:v>
                </c:pt>
                <c:pt idx="3">
                  <c:v>Preventative Medicine</c:v>
                </c:pt>
                <c:pt idx="4">
                  <c:v>Behavioral Health</c:v>
                </c:pt>
                <c:pt idx="5">
                  <c:v>Surgery</c:v>
                </c:pt>
                <c:pt idx="6">
                  <c:v>Obstetrics and Gynecology</c:v>
                </c:pt>
                <c:pt idx="7">
                  <c:v>Public Health</c:v>
                </c:pt>
                <c:pt idx="8">
                  <c:v>Other - Write In</c:v>
                </c:pt>
              </c:strCache>
            </c:strRef>
          </c:cat>
          <c:val>
            <c:numRef>
              <c:f>'CTSA-Provider Survey'!$J$18:$R$18</c:f>
              <c:numCache>
                <c:formatCode>General</c:formatCode>
                <c:ptCount val="9"/>
                <c:pt idx="0">
                  <c:v>7</c:v>
                </c:pt>
                <c:pt idx="1">
                  <c:v>0</c:v>
                </c:pt>
                <c:pt idx="2">
                  <c:v>0</c:v>
                </c:pt>
                <c:pt idx="3">
                  <c:v>1</c:v>
                </c:pt>
                <c:pt idx="4">
                  <c:v>5</c:v>
                </c:pt>
                <c:pt idx="5">
                  <c:v>2</c:v>
                </c:pt>
                <c:pt idx="6">
                  <c:v>1</c:v>
                </c:pt>
                <c:pt idx="7">
                  <c:v>5</c:v>
                </c:pt>
                <c:pt idx="8">
                  <c:v>14</c:v>
                </c:pt>
              </c:numCache>
            </c:numRef>
          </c:val>
          <c:extLst>
            <c:ext xmlns:c16="http://schemas.microsoft.com/office/drawing/2014/chart" uri="{C3380CC4-5D6E-409C-BE32-E72D297353CC}">
              <c16:uniqueId val="{00000000-8F4C-482F-BC83-5697179AD2F6}"/>
            </c:ext>
          </c:extLst>
        </c:ser>
        <c:dLbls>
          <c:showLegendKey val="0"/>
          <c:showVal val="0"/>
          <c:showCatName val="0"/>
          <c:showSerName val="0"/>
          <c:showPercent val="0"/>
          <c:showBubbleSize val="0"/>
        </c:dLbls>
        <c:gapWidth val="219"/>
        <c:overlap val="-27"/>
        <c:axId val="525741248"/>
        <c:axId val="525733376"/>
      </c:barChart>
      <c:catAx>
        <c:axId val="52574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33376"/>
        <c:crosses val="autoZero"/>
        <c:auto val="1"/>
        <c:lblAlgn val="ctr"/>
        <c:lblOffset val="100"/>
        <c:noMultiLvlLbl val="0"/>
      </c:catAx>
      <c:valAx>
        <c:axId val="52573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41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'CTSA-Provider Survey'!$I$23</c:f>
              <c:strCache>
                <c:ptCount val="1"/>
                <c:pt idx="0">
                  <c:v>Number of Responses</c:v>
                </c:pt>
              </c:strCache>
            </c:strRef>
          </c:tx>
          <c:spPr>
            <a:solidFill>
              <a:schemeClr val="accent1"/>
            </a:solidFill>
            <a:ln>
              <a:noFill/>
            </a:ln>
            <a:effectLst/>
          </c:spPr>
          <c:invertIfNegative val="0"/>
          <c:cat>
            <c:strRef>
              <c:f>'CTSA-Provider Survey'!$J$22:$AN$22</c:f>
              <c:strCache>
                <c:ptCount val="31"/>
                <c:pt idx="0">
                  <c:v>Alcona</c:v>
                </c:pt>
                <c:pt idx="1">
                  <c:v>Alpena</c:v>
                </c:pt>
                <c:pt idx="2">
                  <c:v>Antrim</c:v>
                </c:pt>
                <c:pt idx="3">
                  <c:v>Arenac</c:v>
                </c:pt>
                <c:pt idx="4">
                  <c:v>Benzie</c:v>
                </c:pt>
                <c:pt idx="5">
                  <c:v>Charlevoix</c:v>
                </c:pt>
                <c:pt idx="6">
                  <c:v>Cheboygan</c:v>
                </c:pt>
                <c:pt idx="7">
                  <c:v>Clare</c:v>
                </c:pt>
                <c:pt idx="8">
                  <c:v>Crawford</c:v>
                </c:pt>
                <c:pt idx="9">
                  <c:v>Emmet</c:v>
                </c:pt>
                <c:pt idx="10">
                  <c:v>Gladwin</c:v>
                </c:pt>
                <c:pt idx="11">
                  <c:v>Grand Traverse</c:v>
                </c:pt>
                <c:pt idx="12">
                  <c:v>Iosco</c:v>
                </c:pt>
                <c:pt idx="13">
                  <c:v>Isabella</c:v>
                </c:pt>
                <c:pt idx="14">
                  <c:v>Kalkaska</c:v>
                </c:pt>
                <c:pt idx="15">
                  <c:v>Lake</c:v>
                </c:pt>
                <c:pt idx="16">
                  <c:v>Leelanau</c:v>
                </c:pt>
                <c:pt idx="17">
                  <c:v>Manistee</c:v>
                </c:pt>
                <c:pt idx="18">
                  <c:v>Mason</c:v>
                </c:pt>
                <c:pt idx="19">
                  <c:v>Mecosta</c:v>
                </c:pt>
                <c:pt idx="20">
                  <c:v>Missaukee</c:v>
                </c:pt>
                <c:pt idx="21">
                  <c:v>Montmorency</c:v>
                </c:pt>
                <c:pt idx="22">
                  <c:v>Newaygo</c:v>
                </c:pt>
                <c:pt idx="23">
                  <c:v>Oceana</c:v>
                </c:pt>
                <c:pt idx="24">
                  <c:v>Ogemaw</c:v>
                </c:pt>
                <c:pt idx="25">
                  <c:v>Osceola</c:v>
                </c:pt>
                <c:pt idx="26">
                  <c:v>Oscoda</c:v>
                </c:pt>
                <c:pt idx="27">
                  <c:v>Otsego</c:v>
                </c:pt>
                <c:pt idx="28">
                  <c:v>Presque Isle</c:v>
                </c:pt>
                <c:pt idx="29">
                  <c:v>Roscommon</c:v>
                </c:pt>
                <c:pt idx="30">
                  <c:v>Wexford</c:v>
                </c:pt>
              </c:strCache>
            </c:strRef>
          </c:cat>
          <c:val>
            <c:numRef>
              <c:f>'CTSA-Provider Survey'!$J$23:$AN$23</c:f>
              <c:numCache>
                <c:formatCode>General</c:formatCode>
                <c:ptCount val="31"/>
                <c:pt idx="0">
                  <c:v>4</c:v>
                </c:pt>
                <c:pt idx="1">
                  <c:v>13</c:v>
                </c:pt>
                <c:pt idx="2">
                  <c:v>12</c:v>
                </c:pt>
                <c:pt idx="3">
                  <c:v>4</c:v>
                </c:pt>
                <c:pt idx="4">
                  <c:v>7</c:v>
                </c:pt>
                <c:pt idx="5">
                  <c:v>13</c:v>
                </c:pt>
                <c:pt idx="6">
                  <c:v>30</c:v>
                </c:pt>
                <c:pt idx="7">
                  <c:v>3</c:v>
                </c:pt>
                <c:pt idx="8">
                  <c:v>7</c:v>
                </c:pt>
                <c:pt idx="9">
                  <c:v>10</c:v>
                </c:pt>
                <c:pt idx="10">
                  <c:v>5</c:v>
                </c:pt>
                <c:pt idx="11">
                  <c:v>8</c:v>
                </c:pt>
                <c:pt idx="12">
                  <c:v>4</c:v>
                </c:pt>
                <c:pt idx="13">
                  <c:v>3</c:v>
                </c:pt>
                <c:pt idx="14">
                  <c:v>10</c:v>
                </c:pt>
                <c:pt idx="15">
                  <c:v>4</c:v>
                </c:pt>
                <c:pt idx="16">
                  <c:v>7</c:v>
                </c:pt>
                <c:pt idx="17">
                  <c:v>8</c:v>
                </c:pt>
                <c:pt idx="18">
                  <c:v>3</c:v>
                </c:pt>
                <c:pt idx="19">
                  <c:v>4</c:v>
                </c:pt>
                <c:pt idx="20">
                  <c:v>6</c:v>
                </c:pt>
                <c:pt idx="21">
                  <c:v>11</c:v>
                </c:pt>
                <c:pt idx="22">
                  <c:v>3</c:v>
                </c:pt>
                <c:pt idx="23">
                  <c:v>3</c:v>
                </c:pt>
                <c:pt idx="24">
                  <c:v>4</c:v>
                </c:pt>
                <c:pt idx="25">
                  <c:v>4</c:v>
                </c:pt>
                <c:pt idx="26">
                  <c:v>5</c:v>
                </c:pt>
                <c:pt idx="27">
                  <c:v>15</c:v>
                </c:pt>
                <c:pt idx="28">
                  <c:v>9</c:v>
                </c:pt>
                <c:pt idx="29">
                  <c:v>9</c:v>
                </c:pt>
                <c:pt idx="30">
                  <c:v>6</c:v>
                </c:pt>
              </c:numCache>
            </c:numRef>
          </c:val>
          <c:extLst>
            <c:ext xmlns:c16="http://schemas.microsoft.com/office/drawing/2014/chart" uri="{C3380CC4-5D6E-409C-BE32-E72D297353CC}">
              <c16:uniqueId val="{00000000-98E3-42DF-B2C3-71362CD639C4}"/>
            </c:ext>
          </c:extLst>
        </c:ser>
        <c:dLbls>
          <c:showLegendKey val="0"/>
          <c:showVal val="0"/>
          <c:showCatName val="0"/>
          <c:showSerName val="0"/>
          <c:showPercent val="0"/>
          <c:showBubbleSize val="0"/>
        </c:dLbls>
        <c:gapWidth val="219"/>
        <c:overlap val="-27"/>
        <c:axId val="689059984"/>
        <c:axId val="689057688"/>
      </c:barChart>
      <c:catAx>
        <c:axId val="68905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57688"/>
        <c:crosses val="autoZero"/>
        <c:auto val="1"/>
        <c:lblAlgn val="ctr"/>
        <c:lblOffset val="100"/>
        <c:noMultiLvlLbl val="0"/>
      </c:catAx>
      <c:valAx>
        <c:axId val="689057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59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'CTSA-Provider Survey'!$I$28</c:f>
              <c:strCache>
                <c:ptCount val="1"/>
                <c:pt idx="0">
                  <c:v>Number of Responses</c:v>
                </c:pt>
              </c:strCache>
            </c:strRef>
          </c:tx>
          <c:spPr>
            <a:solidFill>
              <a:schemeClr val="accent1"/>
            </a:solidFill>
            <a:ln>
              <a:noFill/>
            </a:ln>
            <a:effectLst/>
          </c:spPr>
          <c:invertIfNegative val="0"/>
          <c:cat>
            <c:strRef>
              <c:f>'CTSA-Provider Survey'!$J$27:$M$27</c:f>
              <c:strCache>
                <c:ptCount val="4"/>
                <c:pt idx="0">
                  <c:v>0 - 15%</c:v>
                </c:pt>
                <c:pt idx="1">
                  <c:v>16 - 30%</c:v>
                </c:pt>
                <c:pt idx="2">
                  <c:v>31 - 50%</c:v>
                </c:pt>
                <c:pt idx="3">
                  <c:v>&gt;50%</c:v>
                </c:pt>
              </c:strCache>
            </c:strRef>
          </c:cat>
          <c:val>
            <c:numRef>
              <c:f>'CTSA-Provider Survey'!$J$28:$M$28</c:f>
              <c:numCache>
                <c:formatCode>General</c:formatCode>
                <c:ptCount val="4"/>
                <c:pt idx="0">
                  <c:v>2</c:v>
                </c:pt>
                <c:pt idx="1">
                  <c:v>9</c:v>
                </c:pt>
                <c:pt idx="2">
                  <c:v>7</c:v>
                </c:pt>
                <c:pt idx="3">
                  <c:v>12</c:v>
                </c:pt>
              </c:numCache>
            </c:numRef>
          </c:val>
          <c:extLst>
            <c:ext xmlns:c16="http://schemas.microsoft.com/office/drawing/2014/chart" uri="{C3380CC4-5D6E-409C-BE32-E72D297353CC}">
              <c16:uniqueId val="{00000000-7E23-47CA-BABF-A59B5F1E56FB}"/>
            </c:ext>
          </c:extLst>
        </c:ser>
        <c:dLbls>
          <c:showLegendKey val="0"/>
          <c:showVal val="0"/>
          <c:showCatName val="0"/>
          <c:showSerName val="0"/>
          <c:showPercent val="0"/>
          <c:showBubbleSize val="0"/>
        </c:dLbls>
        <c:gapWidth val="219"/>
        <c:overlap val="-27"/>
        <c:axId val="525752728"/>
        <c:axId val="525747808"/>
      </c:barChart>
      <c:catAx>
        <c:axId val="525752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47808"/>
        <c:crosses val="autoZero"/>
        <c:auto val="1"/>
        <c:lblAlgn val="ctr"/>
        <c:lblOffset val="100"/>
        <c:noMultiLvlLbl val="0"/>
      </c:catAx>
      <c:valAx>
        <c:axId val="52574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52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'CTSA-Provider Survey'!$I$33</c:f>
              <c:strCache>
                <c:ptCount val="1"/>
                <c:pt idx="0">
                  <c:v>Number of Responses</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4-82A0-4656-950D-695FCC4B263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82A0-4656-950D-695FCC4B2631}"/>
              </c:ext>
            </c:extLst>
          </c:dPt>
          <c:dPt>
            <c:idx val="10"/>
            <c:invertIfNegative val="0"/>
            <c:bubble3D val="0"/>
            <c:spPr>
              <a:solidFill>
                <a:schemeClr val="accent4"/>
              </a:solidFill>
              <a:ln>
                <a:noFill/>
              </a:ln>
              <a:effectLst/>
            </c:spPr>
            <c:extLst>
              <c:ext xmlns:c16="http://schemas.microsoft.com/office/drawing/2014/chart" uri="{C3380CC4-5D6E-409C-BE32-E72D297353CC}">
                <c16:uniqueId val="{00000002-82A0-4656-950D-695FCC4B2631}"/>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07-140B-4DD3-BEC9-90542D44DC35}"/>
              </c:ext>
            </c:extLst>
          </c:dPt>
          <c:cat>
            <c:strRef>
              <c:f>'CTSA-Provider Survey'!$J$32:$Y$32</c:f>
              <c:strCache>
                <c:ptCount val="16"/>
                <c:pt idx="0">
                  <c:v>Access to quality healthcare services</c:v>
                </c:pt>
                <c:pt idx="1">
                  <c:v>Access to nutritious food</c:v>
                </c:pt>
                <c:pt idx="2">
                  <c:v>Access to quality behavioral health services</c:v>
                </c:pt>
                <c:pt idx="3">
                  <c:v>Disease and illness prevention</c:v>
                </c:pt>
                <c:pt idx="4">
                  <c:v>Freedom from trauma, violence, and addiction</c:v>
                </c:pt>
                <c:pt idx="5">
                  <c:v>Parks and green spaces</c:v>
                </c:pt>
                <c:pt idx="6">
                  <c:v>Meaningful and rewarding work</c:v>
                </c:pt>
                <c:pt idx="7">
                  <c:v>Clean environment</c:v>
                </c:pt>
                <c:pt idx="8">
                  <c:v>Civic engagement</c:v>
                </c:pt>
                <c:pt idx="9">
                  <c:v>Lifelong learning: Cradle to career</c:v>
                </c:pt>
                <c:pt idx="10">
                  <c:v>Safe and affordable housing</c:v>
                </c:pt>
                <c:pt idx="11">
                  <c:v>Reliable transportation</c:v>
                </c:pt>
                <c:pt idx="12">
                  <c:v>Arts and cultural events</c:v>
                </c:pt>
                <c:pt idx="13">
                  <c:v>Belonging and inclusion</c:v>
                </c:pt>
                <c:pt idx="14">
                  <c:v>Disability accessibility</c:v>
                </c:pt>
                <c:pt idx="15">
                  <c:v>Other - Write In</c:v>
                </c:pt>
              </c:strCache>
            </c:strRef>
          </c:cat>
          <c:val>
            <c:numRef>
              <c:f>'CTSA-Provider Survey'!$J$33:$Y$33</c:f>
              <c:numCache>
                <c:formatCode>General</c:formatCode>
                <c:ptCount val="16"/>
                <c:pt idx="0">
                  <c:v>16</c:v>
                </c:pt>
                <c:pt idx="1">
                  <c:v>9</c:v>
                </c:pt>
                <c:pt idx="2">
                  <c:v>5</c:v>
                </c:pt>
                <c:pt idx="3">
                  <c:v>6</c:v>
                </c:pt>
                <c:pt idx="4">
                  <c:v>7</c:v>
                </c:pt>
                <c:pt idx="5">
                  <c:v>1</c:v>
                </c:pt>
                <c:pt idx="6">
                  <c:v>7</c:v>
                </c:pt>
                <c:pt idx="7">
                  <c:v>2</c:v>
                </c:pt>
                <c:pt idx="8">
                  <c:v>0</c:v>
                </c:pt>
                <c:pt idx="9">
                  <c:v>2</c:v>
                </c:pt>
                <c:pt idx="10">
                  <c:v>19</c:v>
                </c:pt>
                <c:pt idx="11">
                  <c:v>9</c:v>
                </c:pt>
                <c:pt idx="12">
                  <c:v>1</c:v>
                </c:pt>
                <c:pt idx="13">
                  <c:v>2</c:v>
                </c:pt>
                <c:pt idx="14">
                  <c:v>2</c:v>
                </c:pt>
                <c:pt idx="15">
                  <c:v>1</c:v>
                </c:pt>
              </c:numCache>
            </c:numRef>
          </c:val>
          <c:extLst>
            <c:ext xmlns:c16="http://schemas.microsoft.com/office/drawing/2014/chart" uri="{C3380CC4-5D6E-409C-BE32-E72D297353CC}">
              <c16:uniqueId val="{00000000-82A0-4656-950D-695FCC4B2631}"/>
            </c:ext>
          </c:extLst>
        </c:ser>
        <c:dLbls>
          <c:showLegendKey val="0"/>
          <c:showVal val="0"/>
          <c:showCatName val="0"/>
          <c:showSerName val="0"/>
          <c:showPercent val="0"/>
          <c:showBubbleSize val="0"/>
        </c:dLbls>
        <c:gapWidth val="219"/>
        <c:overlap val="-27"/>
        <c:axId val="1151762200"/>
        <c:axId val="1151760560"/>
      </c:barChart>
      <c:catAx>
        <c:axId val="1151762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60560"/>
        <c:crosses val="autoZero"/>
        <c:auto val="1"/>
        <c:lblAlgn val="ctr"/>
        <c:lblOffset val="100"/>
        <c:noMultiLvlLbl val="0"/>
      </c:catAx>
      <c:valAx>
        <c:axId val="115176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62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'CTSA-Provider Survey'!$I$38</c:f>
              <c:strCache>
                <c:ptCount val="1"/>
                <c:pt idx="0">
                  <c:v>Number of Responses</c:v>
                </c:pt>
              </c:strCache>
            </c:strRef>
          </c:tx>
          <c:spPr>
            <a:solidFill>
              <a:schemeClr val="accent1"/>
            </a:solidFill>
            <a:ln>
              <a:noFill/>
            </a:ln>
            <a:effectLst/>
          </c:spPr>
          <c:invertIfNegative val="0"/>
          <c:dPt>
            <c:idx val="7"/>
            <c:invertIfNegative val="0"/>
            <c:bubble3D val="0"/>
            <c:spPr>
              <a:solidFill>
                <a:schemeClr val="accent4"/>
              </a:solidFill>
              <a:ln>
                <a:noFill/>
              </a:ln>
              <a:effectLst/>
            </c:spPr>
            <c:extLst>
              <c:ext xmlns:c16="http://schemas.microsoft.com/office/drawing/2014/chart" uri="{C3380CC4-5D6E-409C-BE32-E72D297353CC}">
                <c16:uniqueId val="{00000004-426D-4A98-85E6-48DA159A331C}"/>
              </c:ext>
            </c:extLst>
          </c:dPt>
          <c:dPt>
            <c:idx val="20"/>
            <c:invertIfNegative val="0"/>
            <c:bubble3D val="0"/>
            <c:spPr>
              <a:solidFill>
                <a:schemeClr val="accent4"/>
              </a:solidFill>
              <a:ln>
                <a:noFill/>
              </a:ln>
              <a:effectLst/>
            </c:spPr>
            <c:extLst>
              <c:ext xmlns:c16="http://schemas.microsoft.com/office/drawing/2014/chart" uri="{C3380CC4-5D6E-409C-BE32-E72D297353CC}">
                <c16:uniqueId val="{00000003-426D-4A98-85E6-48DA159A331C}"/>
              </c:ext>
            </c:extLst>
          </c:dPt>
          <c:dPt>
            <c:idx val="29"/>
            <c:invertIfNegative val="0"/>
            <c:bubble3D val="0"/>
            <c:spPr>
              <a:solidFill>
                <a:schemeClr val="accent1"/>
              </a:solidFill>
              <a:ln>
                <a:noFill/>
              </a:ln>
              <a:effectLst/>
            </c:spPr>
            <c:extLst>
              <c:ext xmlns:c16="http://schemas.microsoft.com/office/drawing/2014/chart" uri="{C3380CC4-5D6E-409C-BE32-E72D297353CC}">
                <c16:uniqueId val="{00000002-426D-4A98-85E6-48DA159A331C}"/>
              </c:ext>
            </c:extLst>
          </c:dPt>
          <c:dPt>
            <c:idx val="33"/>
            <c:invertIfNegative val="0"/>
            <c:bubble3D val="0"/>
            <c:spPr>
              <a:solidFill>
                <a:schemeClr val="accent4"/>
              </a:solidFill>
              <a:ln>
                <a:noFill/>
              </a:ln>
              <a:effectLst/>
            </c:spPr>
            <c:extLst>
              <c:ext xmlns:c16="http://schemas.microsoft.com/office/drawing/2014/chart" uri="{C3380CC4-5D6E-409C-BE32-E72D297353CC}">
                <c16:uniqueId val="{00000007-13D8-4106-9E7D-1AEBAEDC19FE}"/>
              </c:ext>
            </c:extLst>
          </c:dPt>
          <c:cat>
            <c:strRef>
              <c:f>'CTSA-Provider Survey'!$J$37:$AS$37</c:f>
              <c:strCache>
                <c:ptCount val="36"/>
                <c:pt idx="0">
                  <c:v>Aging problems (e.g. arthritis, hearing/vision loss, etc.)</c:v>
                </c:pt>
                <c:pt idx="1">
                  <c:v>Cancer</c:v>
                </c:pt>
                <c:pt idx="2">
                  <c:v>Child abuse/neglect</c:v>
                </c:pt>
                <c:pt idx="3">
                  <c:v>COVID-19</c:v>
                </c:pt>
                <c:pt idx="4">
                  <c:v>Dental problems</c:v>
                </c:pt>
                <c:pt idx="5">
                  <c:v>Diabetes</c:v>
                </c:pt>
                <c:pt idx="6">
                  <c:v>Domestic violence</c:v>
                </c:pt>
                <c:pt idx="7">
                  <c:v>Economic instability</c:v>
                </c:pt>
                <c:pt idx="8">
                  <c:v>Heart disease and stroke</c:v>
                </c:pt>
                <c:pt idx="9">
                  <c:v>Lack of access to healthcare services</c:v>
                </c:pt>
                <c:pt idx="10">
                  <c:v>High blood pressure</c:v>
                </c:pt>
                <c:pt idx="11">
                  <c:v>HIV/AIDS</c:v>
                </c:pt>
                <c:pt idx="12">
                  <c:v>Homicide</c:v>
                </c:pt>
                <c:pt idx="13">
                  <c:v>Infant death</c:v>
                </c:pt>
                <c:pt idx="14">
                  <c:v>Infectious diseases (e.g. hepatitis, tuberculosis, etc.)</c:v>
                </c:pt>
                <c:pt idx="15">
                  <c:v>Racism and discrimination</c:v>
                </c:pt>
                <c:pt idx="16">
                  <c:v>Rape/sexual assault</c:v>
                </c:pt>
                <c:pt idx="17">
                  <c:v>Respiratory/lung disease</c:v>
                </c:pt>
                <c:pt idx="18">
                  <c:v>Sexually transmitted infections (STIs)</c:v>
                </c:pt>
                <c:pt idx="19">
                  <c:v>Lack of quality healthcare services</c:v>
                </c:pt>
                <c:pt idx="20">
                  <c:v>Substance use</c:v>
                </c:pt>
                <c:pt idx="21">
                  <c:v>Teenage pregnancy</c:v>
                </c:pt>
                <c:pt idx="22">
                  <c:v>Poor environmental health</c:v>
                </c:pt>
                <c:pt idx="23">
                  <c:v>Lack of access to education</c:v>
                </c:pt>
                <c:pt idx="24">
                  <c:v>Firearm-related injuries</c:v>
                </c:pt>
                <c:pt idx="25">
                  <c:v>Lack of access to behavioral health services</c:v>
                </c:pt>
                <c:pt idx="26">
                  <c:v>Motor vehicle crash injuries</c:v>
                </c:pt>
                <c:pt idx="27">
                  <c:v>Neighborhood and built environment</c:v>
                </c:pt>
                <c:pt idx="28">
                  <c:v>Lack of access to nutrious food</c:v>
                </c:pt>
                <c:pt idx="29">
                  <c:v>Obesity</c:v>
                </c:pt>
                <c:pt idx="30">
                  <c:v>Unreliable transportantion</c:v>
                </c:pt>
                <c:pt idx="31">
                  <c:v>Lack of quality behavioral health services</c:v>
                </c:pt>
                <c:pt idx="32">
                  <c:v>Lack of quality education</c:v>
                </c:pt>
                <c:pt idx="33">
                  <c:v>Lack of safe and affortable housing</c:v>
                </c:pt>
                <c:pt idx="34">
                  <c:v>Suicide</c:v>
                </c:pt>
                <c:pt idx="35">
                  <c:v>Other - Write In</c:v>
                </c:pt>
              </c:strCache>
            </c:strRef>
          </c:cat>
          <c:val>
            <c:numRef>
              <c:f>'CTSA-Provider Survey'!$J$38:$AS$38</c:f>
              <c:numCache>
                <c:formatCode>General</c:formatCode>
                <c:ptCount val="36"/>
                <c:pt idx="0">
                  <c:v>4</c:v>
                </c:pt>
                <c:pt idx="1">
                  <c:v>2</c:v>
                </c:pt>
                <c:pt idx="2">
                  <c:v>1</c:v>
                </c:pt>
                <c:pt idx="3">
                  <c:v>5</c:v>
                </c:pt>
                <c:pt idx="4">
                  <c:v>0</c:v>
                </c:pt>
                <c:pt idx="5">
                  <c:v>4</c:v>
                </c:pt>
                <c:pt idx="6">
                  <c:v>1</c:v>
                </c:pt>
                <c:pt idx="7">
                  <c:v>10</c:v>
                </c:pt>
                <c:pt idx="8">
                  <c:v>1</c:v>
                </c:pt>
                <c:pt idx="9">
                  <c:v>6</c:v>
                </c:pt>
                <c:pt idx="11">
                  <c:v>0</c:v>
                </c:pt>
                <c:pt idx="12">
                  <c:v>0</c:v>
                </c:pt>
                <c:pt idx="13">
                  <c:v>0</c:v>
                </c:pt>
                <c:pt idx="14">
                  <c:v>1</c:v>
                </c:pt>
                <c:pt idx="15">
                  <c:v>1</c:v>
                </c:pt>
                <c:pt idx="16">
                  <c:v>1</c:v>
                </c:pt>
                <c:pt idx="17">
                  <c:v>1</c:v>
                </c:pt>
                <c:pt idx="18">
                  <c:v>0</c:v>
                </c:pt>
                <c:pt idx="19">
                  <c:v>1</c:v>
                </c:pt>
                <c:pt idx="20">
                  <c:v>10</c:v>
                </c:pt>
                <c:pt idx="21">
                  <c:v>0</c:v>
                </c:pt>
                <c:pt idx="22">
                  <c:v>1</c:v>
                </c:pt>
                <c:pt idx="23">
                  <c:v>1</c:v>
                </c:pt>
                <c:pt idx="24">
                  <c:v>0</c:v>
                </c:pt>
                <c:pt idx="25">
                  <c:v>2</c:v>
                </c:pt>
                <c:pt idx="26">
                  <c:v>0</c:v>
                </c:pt>
                <c:pt idx="27">
                  <c:v>1</c:v>
                </c:pt>
                <c:pt idx="28">
                  <c:v>3</c:v>
                </c:pt>
                <c:pt idx="29">
                  <c:v>6</c:v>
                </c:pt>
                <c:pt idx="30">
                  <c:v>5</c:v>
                </c:pt>
                <c:pt idx="31">
                  <c:v>4</c:v>
                </c:pt>
                <c:pt idx="32">
                  <c:v>3</c:v>
                </c:pt>
                <c:pt idx="33">
                  <c:v>11</c:v>
                </c:pt>
                <c:pt idx="34">
                  <c:v>0</c:v>
                </c:pt>
                <c:pt idx="35">
                  <c:v>4</c:v>
                </c:pt>
              </c:numCache>
            </c:numRef>
          </c:val>
          <c:extLst>
            <c:ext xmlns:c16="http://schemas.microsoft.com/office/drawing/2014/chart" uri="{C3380CC4-5D6E-409C-BE32-E72D297353CC}">
              <c16:uniqueId val="{00000000-426D-4A98-85E6-48DA159A331C}"/>
            </c:ext>
          </c:extLst>
        </c:ser>
        <c:dLbls>
          <c:showLegendKey val="0"/>
          <c:showVal val="0"/>
          <c:showCatName val="0"/>
          <c:showSerName val="0"/>
          <c:showPercent val="0"/>
          <c:showBubbleSize val="0"/>
        </c:dLbls>
        <c:gapWidth val="219"/>
        <c:overlap val="-27"/>
        <c:axId val="934446024"/>
        <c:axId val="934455864"/>
      </c:barChart>
      <c:catAx>
        <c:axId val="934446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455864"/>
        <c:crosses val="autoZero"/>
        <c:auto val="1"/>
        <c:lblAlgn val="ctr"/>
        <c:lblOffset val="100"/>
        <c:noMultiLvlLbl val="0"/>
      </c:catAx>
      <c:valAx>
        <c:axId val="93445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446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'CTSA-Provider Survey'!$I$43</c:f>
              <c:strCache>
                <c:ptCount val="1"/>
                <c:pt idx="0">
                  <c:v>Number of Responses</c:v>
                </c:pt>
              </c:strCache>
            </c:strRef>
          </c:tx>
          <c:spPr>
            <a:solidFill>
              <a:schemeClr val="accent1"/>
            </a:solidFill>
            <a:ln>
              <a:noFill/>
            </a:ln>
            <a:effectLst/>
          </c:spPr>
          <c:invertIfNegative val="0"/>
          <c:cat>
            <c:strRef>
              <c:f>'CTSA-Provider Survey'!$J$42:$X$42</c:f>
              <c:strCache>
                <c:ptCount val="15"/>
                <c:pt idx="0">
                  <c:v>Housing</c:v>
                </c:pt>
                <c:pt idx="1">
                  <c:v>Food</c:v>
                </c:pt>
                <c:pt idx="2">
                  <c:v>Transportation</c:v>
                </c:pt>
                <c:pt idx="3">
                  <c:v>Mental Health</c:v>
                </c:pt>
                <c:pt idx="4">
                  <c:v>Financial Support</c:v>
                </c:pt>
                <c:pt idx="5">
                  <c:v>Domestic Violence Services</c:v>
                </c:pt>
                <c:pt idx="6">
                  <c:v>Translation</c:v>
                </c:pt>
                <c:pt idx="7">
                  <c:v>Education</c:v>
                </c:pt>
                <c:pt idx="8">
                  <c:v>Primary Care</c:v>
                </c:pt>
                <c:pt idx="9">
                  <c:v>Employment Navigation</c:v>
                </c:pt>
                <c:pt idx="10">
                  <c:v>Childcare</c:v>
                </c:pt>
                <c:pt idx="11">
                  <c:v>Substance Abuse Services</c:v>
                </c:pt>
                <c:pt idx="12">
                  <c:v>Dental Health</c:v>
                </c:pt>
                <c:pt idx="13">
                  <c:v>Other - Write In</c:v>
                </c:pt>
                <c:pt idx="14">
                  <c:v>I feel there are enough services and resources to refer my patients/clients to.</c:v>
                </c:pt>
              </c:strCache>
            </c:strRef>
          </c:cat>
          <c:val>
            <c:numRef>
              <c:f>'CTSA-Provider Survey'!$J$43:$X$43</c:f>
              <c:numCache>
                <c:formatCode>General</c:formatCode>
                <c:ptCount val="15"/>
                <c:pt idx="0">
                  <c:v>16</c:v>
                </c:pt>
                <c:pt idx="1">
                  <c:v>5</c:v>
                </c:pt>
                <c:pt idx="2">
                  <c:v>19</c:v>
                </c:pt>
                <c:pt idx="3">
                  <c:v>14</c:v>
                </c:pt>
                <c:pt idx="4">
                  <c:v>14</c:v>
                </c:pt>
                <c:pt idx="5">
                  <c:v>3</c:v>
                </c:pt>
                <c:pt idx="6">
                  <c:v>0</c:v>
                </c:pt>
                <c:pt idx="7">
                  <c:v>8</c:v>
                </c:pt>
                <c:pt idx="8">
                  <c:v>7</c:v>
                </c:pt>
                <c:pt idx="9">
                  <c:v>4</c:v>
                </c:pt>
                <c:pt idx="10">
                  <c:v>9</c:v>
                </c:pt>
                <c:pt idx="11">
                  <c:v>11</c:v>
                </c:pt>
                <c:pt idx="12">
                  <c:v>5</c:v>
                </c:pt>
                <c:pt idx="13">
                  <c:v>2</c:v>
                </c:pt>
                <c:pt idx="14">
                  <c:v>0</c:v>
                </c:pt>
              </c:numCache>
            </c:numRef>
          </c:val>
          <c:extLst>
            <c:ext xmlns:c16="http://schemas.microsoft.com/office/drawing/2014/chart" uri="{C3380CC4-5D6E-409C-BE32-E72D297353CC}">
              <c16:uniqueId val="{00000000-3D2A-4097-98B9-729DC54D565B}"/>
            </c:ext>
          </c:extLst>
        </c:ser>
        <c:dLbls>
          <c:showLegendKey val="0"/>
          <c:showVal val="0"/>
          <c:showCatName val="0"/>
          <c:showSerName val="0"/>
          <c:showPercent val="0"/>
          <c:showBubbleSize val="0"/>
        </c:dLbls>
        <c:gapWidth val="219"/>
        <c:overlap val="-27"/>
        <c:axId val="416517696"/>
        <c:axId val="416515072"/>
      </c:barChart>
      <c:catAx>
        <c:axId val="41651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15072"/>
        <c:crosses val="autoZero"/>
        <c:auto val="1"/>
        <c:lblAlgn val="ctr"/>
        <c:lblOffset val="100"/>
        <c:noMultiLvlLbl val="0"/>
      </c:catAx>
      <c:valAx>
        <c:axId val="41651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1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'CTSA-Provider Survey'!$I$3</c:f>
              <c:strCache>
                <c:ptCount val="1"/>
                <c:pt idx="0">
                  <c:v>Number of Responses</c:v>
                </c:pt>
              </c:strCache>
            </c:strRef>
          </c:tx>
          <c:spPr>
            <a:solidFill>
              <a:schemeClr val="accent1"/>
            </a:solidFill>
            <a:ln>
              <a:noFill/>
            </a:ln>
            <a:effectLst/>
          </c:spPr>
          <c:invertIfNegative val="0"/>
          <c:cat>
            <c:strRef>
              <c:f>'CTSA-Provider Survey'!$J$2:$K$2</c:f>
              <c:strCache>
                <c:ptCount val="2"/>
                <c:pt idx="0">
                  <c:v>Yes</c:v>
                </c:pt>
                <c:pt idx="1">
                  <c:v>No</c:v>
                </c:pt>
              </c:strCache>
            </c:strRef>
          </c:cat>
          <c:val>
            <c:numRef>
              <c:f>'CTSA-Provider Survey'!$J$3:$K$3</c:f>
              <c:numCache>
                <c:formatCode>General</c:formatCode>
                <c:ptCount val="2"/>
                <c:pt idx="0">
                  <c:v>30</c:v>
                </c:pt>
                <c:pt idx="1">
                  <c:v>0</c:v>
                </c:pt>
              </c:numCache>
            </c:numRef>
          </c:val>
          <c:extLst>
            <c:ext xmlns:c16="http://schemas.microsoft.com/office/drawing/2014/chart" uri="{C3380CC4-5D6E-409C-BE32-E72D297353CC}">
              <c16:uniqueId val="{00000000-02D6-4A4D-84FF-33B3507659E9}"/>
            </c:ext>
          </c:extLst>
        </c:ser>
        <c:dLbls>
          <c:showLegendKey val="0"/>
          <c:showVal val="0"/>
          <c:showCatName val="0"/>
          <c:showSerName val="0"/>
          <c:showPercent val="0"/>
          <c:showBubbleSize val="0"/>
        </c:dLbls>
        <c:gapWidth val="219"/>
        <c:overlap val="-27"/>
        <c:axId val="521064688"/>
        <c:axId val="521064272"/>
      </c:barChart>
      <c:catAx>
        <c:axId val="52106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064272"/>
        <c:crosses val="autoZero"/>
        <c:auto val="1"/>
        <c:lblAlgn val="ctr"/>
        <c:lblOffset val="100"/>
        <c:noMultiLvlLbl val="0"/>
      </c:catAx>
      <c:valAx>
        <c:axId val="52106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06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'CTSA-Provider Survey'!$I$48</c:f>
              <c:strCache>
                <c:ptCount val="1"/>
                <c:pt idx="0">
                  <c:v>Number of Responses</c:v>
                </c:pt>
              </c:strCache>
            </c:strRef>
          </c:tx>
          <c:spPr>
            <a:solidFill>
              <a:schemeClr val="accent1"/>
            </a:solidFill>
            <a:ln>
              <a:noFill/>
            </a:ln>
            <a:effectLst/>
          </c:spPr>
          <c:invertIfNegative val="0"/>
          <c:cat>
            <c:strRef>
              <c:f>'CTSA-Provider Survey'!$J$47:$K$47</c:f>
              <c:strCache>
                <c:ptCount val="2"/>
                <c:pt idx="0">
                  <c:v>Yes</c:v>
                </c:pt>
                <c:pt idx="1">
                  <c:v>No</c:v>
                </c:pt>
              </c:strCache>
            </c:strRef>
          </c:cat>
          <c:val>
            <c:numRef>
              <c:f>'CTSA-Provider Survey'!$J$48:$K$48</c:f>
              <c:numCache>
                <c:formatCode>General</c:formatCode>
                <c:ptCount val="2"/>
                <c:pt idx="0">
                  <c:v>13</c:v>
                </c:pt>
                <c:pt idx="1">
                  <c:v>17</c:v>
                </c:pt>
              </c:numCache>
            </c:numRef>
          </c:val>
          <c:extLst>
            <c:ext xmlns:c16="http://schemas.microsoft.com/office/drawing/2014/chart" uri="{C3380CC4-5D6E-409C-BE32-E72D297353CC}">
              <c16:uniqueId val="{00000000-D768-4703-AFE9-3BCE0A6D8ED5}"/>
            </c:ext>
          </c:extLst>
        </c:ser>
        <c:dLbls>
          <c:showLegendKey val="0"/>
          <c:showVal val="0"/>
          <c:showCatName val="0"/>
          <c:showSerName val="0"/>
          <c:showPercent val="0"/>
          <c:showBubbleSize val="0"/>
        </c:dLbls>
        <c:gapWidth val="219"/>
        <c:overlap val="-27"/>
        <c:axId val="918476176"/>
        <c:axId val="918474208"/>
      </c:barChart>
      <c:catAx>
        <c:axId val="91847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474208"/>
        <c:crosses val="autoZero"/>
        <c:auto val="1"/>
        <c:lblAlgn val="ctr"/>
        <c:lblOffset val="100"/>
        <c:noMultiLvlLbl val="0"/>
      </c:catAx>
      <c:valAx>
        <c:axId val="91847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476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oneCellAnchor>
    <xdr:from>
      <xdr:col>2</xdr:col>
      <xdr:colOff>1352550</xdr:colOff>
      <xdr:row>0</xdr:row>
      <xdr:rowOff>104775</xdr:rowOff>
    </xdr:from>
    <xdr:ext cx="2162175" cy="855537"/>
    <xdr:pic>
      <xdr:nvPicPr>
        <xdr:cNvPr id="2" name="Picture 1">
          <a:extLst>
            <a:ext uri="{FF2B5EF4-FFF2-40B4-BE49-F238E27FC236}">
              <a16:creationId xmlns:a16="http://schemas.microsoft.com/office/drawing/2014/main" id="{5DE44D7B-0FA0-4150-BE07-3D983EF3F6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43600" y="104775"/>
          <a:ext cx="2162175" cy="8555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366183</xdr:colOff>
      <xdr:row>0</xdr:row>
      <xdr:rowOff>340783</xdr:rowOff>
    </xdr:from>
    <xdr:to>
      <xdr:col>2</xdr:col>
      <xdr:colOff>1308099</xdr:colOff>
      <xdr:row>0</xdr:row>
      <xdr:rowOff>954616</xdr:rowOff>
    </xdr:to>
    <xdr:sp macro="" textlink="">
      <xdr:nvSpPr>
        <xdr:cNvPr id="3" name="TextBox 2">
          <a:extLst>
            <a:ext uri="{FF2B5EF4-FFF2-40B4-BE49-F238E27FC236}">
              <a16:creationId xmlns:a16="http://schemas.microsoft.com/office/drawing/2014/main" id="{F3485E7C-AF51-4687-BAEA-45EDDC71A3B4}"/>
            </a:ext>
            <a:ext uri="{147F2762-F138-4A5C-976F-8EAC2B608ADB}">
              <a16:predDERef xmlns:a16="http://schemas.microsoft.com/office/drawing/2014/main" pred="{5DE44D7B-0FA0-4150-BE07-3D983EF3F647}"/>
            </a:ext>
          </a:extLst>
        </xdr:cNvPr>
        <xdr:cNvSpPr txBox="1"/>
      </xdr:nvSpPr>
      <xdr:spPr>
        <a:xfrm>
          <a:off x="366183" y="340783"/>
          <a:ext cx="5532966" cy="6138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rgbClr val="002060"/>
              </a:solidFill>
              <a:latin typeface="Ink Free" panose="03080402000500000000" pitchFamily="66" charset="0"/>
            </a:rPr>
            <a:t>CHEBOYGAN</a:t>
          </a:r>
          <a:r>
            <a:rPr lang="en-US" sz="3600">
              <a:solidFill>
                <a:srgbClr val="002060"/>
              </a:solidFill>
              <a:latin typeface="Ink Free" panose="03080402000500000000" pitchFamily="66" charset="0"/>
            </a:rPr>
            <a:t> </a:t>
          </a:r>
        </a:p>
      </xdr:txBody>
    </xdr:sp>
    <xdr:clientData/>
  </xdr:twoCellAnchor>
  <xdr:twoCellAnchor>
    <xdr:from>
      <xdr:col>2</xdr:col>
      <xdr:colOff>3609975</xdr:colOff>
      <xdr:row>0</xdr:row>
      <xdr:rowOff>257175</xdr:rowOff>
    </xdr:from>
    <xdr:to>
      <xdr:col>3</xdr:col>
      <xdr:colOff>4238625</xdr:colOff>
      <xdr:row>0</xdr:row>
      <xdr:rowOff>828675</xdr:rowOff>
    </xdr:to>
    <xdr:sp macro="" textlink="">
      <xdr:nvSpPr>
        <xdr:cNvPr id="4" name="TextBox 3">
          <a:extLst>
            <a:ext uri="{FF2B5EF4-FFF2-40B4-BE49-F238E27FC236}">
              <a16:creationId xmlns:a16="http://schemas.microsoft.com/office/drawing/2014/main" id="{EC00C2DE-AC17-4025-9018-4C69A2EE33DD}"/>
            </a:ext>
            <a:ext uri="{147F2762-F138-4A5C-976F-8EAC2B608ADB}">
              <a16:predDERef xmlns:a16="http://schemas.microsoft.com/office/drawing/2014/main" pred="{F3485E7C-AF51-4687-BAEA-45EDDC71A3B4}"/>
            </a:ext>
          </a:extLst>
        </xdr:cNvPr>
        <xdr:cNvSpPr txBox="1"/>
      </xdr:nvSpPr>
      <xdr:spPr>
        <a:xfrm>
          <a:off x="8201025" y="257175"/>
          <a:ext cx="516255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rgbClr val="002060"/>
              </a:solidFill>
              <a:latin typeface="Ink Free" panose="03080402000500000000" pitchFamily="66" charset="0"/>
            </a:rPr>
            <a:t>COUNTY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1209675</xdr:colOff>
      <xdr:row>1</xdr:row>
      <xdr:rowOff>0</xdr:rowOff>
    </xdr:from>
    <xdr:to>
      <xdr:col>13</xdr:col>
      <xdr:colOff>0</xdr:colOff>
      <xdr:row>3</xdr:row>
      <xdr:rowOff>1203324</xdr:rowOff>
    </xdr:to>
    <xdr:graphicFrame macro="">
      <xdr:nvGraphicFramePr>
        <xdr:cNvPr id="4" name="Chart 3">
          <a:extLst>
            <a:ext uri="{FF2B5EF4-FFF2-40B4-BE49-F238E27FC236}">
              <a16:creationId xmlns:a16="http://schemas.microsoft.com/office/drawing/2014/main" id="{739E2639-2B9B-41DA-9977-9363BC951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1219199</xdr:colOff>
      <xdr:row>0</xdr:row>
      <xdr:rowOff>625475</xdr:rowOff>
    </xdr:from>
    <xdr:to>
      <xdr:col>13</xdr:col>
      <xdr:colOff>0</xdr:colOff>
      <xdr:row>3</xdr:row>
      <xdr:rowOff>1219200</xdr:rowOff>
    </xdr:to>
    <xdr:graphicFrame macro="">
      <xdr:nvGraphicFramePr>
        <xdr:cNvPr id="2" name="Chart 1">
          <a:extLst>
            <a:ext uri="{FF2B5EF4-FFF2-40B4-BE49-F238E27FC236}">
              <a16:creationId xmlns:a16="http://schemas.microsoft.com/office/drawing/2014/main" id="{6B49A103-1E53-45DD-BC9F-89CB32990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8617</xdr:colOff>
      <xdr:row>1</xdr:row>
      <xdr:rowOff>6350</xdr:rowOff>
    </xdr:from>
    <xdr:to>
      <xdr:col>13</xdr:col>
      <xdr:colOff>9525</xdr:colOff>
      <xdr:row>4</xdr:row>
      <xdr:rowOff>9525</xdr:rowOff>
    </xdr:to>
    <xdr:graphicFrame macro="">
      <xdr:nvGraphicFramePr>
        <xdr:cNvPr id="2" name="Chart 1">
          <a:extLst>
            <a:ext uri="{FF2B5EF4-FFF2-40B4-BE49-F238E27FC236}">
              <a16:creationId xmlns:a16="http://schemas.microsoft.com/office/drawing/2014/main" id="{DD49AF77-AE51-4368-B00A-8848CD191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8617</xdr:colOff>
      <xdr:row>1</xdr:row>
      <xdr:rowOff>6350</xdr:rowOff>
    </xdr:from>
    <xdr:to>
      <xdr:col>13</xdr:col>
      <xdr:colOff>9525</xdr:colOff>
      <xdr:row>4</xdr:row>
      <xdr:rowOff>9525</xdr:rowOff>
    </xdr:to>
    <xdr:graphicFrame macro="">
      <xdr:nvGraphicFramePr>
        <xdr:cNvPr id="2" name="Chart 1">
          <a:extLst>
            <a:ext uri="{FF2B5EF4-FFF2-40B4-BE49-F238E27FC236}">
              <a16:creationId xmlns:a16="http://schemas.microsoft.com/office/drawing/2014/main" id="{61E1E064-F18F-4C66-9BDF-FC1FC63C0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8617</xdr:colOff>
      <xdr:row>1</xdr:row>
      <xdr:rowOff>6350</xdr:rowOff>
    </xdr:from>
    <xdr:to>
      <xdr:col>13</xdr:col>
      <xdr:colOff>9525</xdr:colOff>
      <xdr:row>4</xdr:row>
      <xdr:rowOff>9525</xdr:rowOff>
    </xdr:to>
    <xdr:graphicFrame macro="">
      <xdr:nvGraphicFramePr>
        <xdr:cNvPr id="2" name="Chart 1">
          <a:extLst>
            <a:ext uri="{FF2B5EF4-FFF2-40B4-BE49-F238E27FC236}">
              <a16:creationId xmlns:a16="http://schemas.microsoft.com/office/drawing/2014/main" id="{F5EDC2EC-BB51-47A6-8FCA-8ECD8AD99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9128</xdr:colOff>
      <xdr:row>6</xdr:row>
      <xdr:rowOff>6746</xdr:rowOff>
    </xdr:from>
    <xdr:to>
      <xdr:col>6</xdr:col>
      <xdr:colOff>8731</xdr:colOff>
      <xdr:row>9</xdr:row>
      <xdr:rowOff>0</xdr:rowOff>
    </xdr:to>
    <xdr:graphicFrame macro="">
      <xdr:nvGraphicFramePr>
        <xdr:cNvPr id="2" name="Chart 1">
          <a:extLst>
            <a:ext uri="{FF2B5EF4-FFF2-40B4-BE49-F238E27FC236}">
              <a16:creationId xmlns:a16="http://schemas.microsoft.com/office/drawing/2014/main" id="{0EF98C5A-29A0-48F5-A604-701EBAFE8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12302</xdr:colOff>
      <xdr:row>11</xdr:row>
      <xdr:rowOff>12302</xdr:rowOff>
    </xdr:from>
    <xdr:to>
      <xdr:col>5</xdr:col>
      <xdr:colOff>1226342</xdr:colOff>
      <xdr:row>14</xdr:row>
      <xdr:rowOff>11906</xdr:rowOff>
    </xdr:to>
    <xdr:graphicFrame macro="">
      <xdr:nvGraphicFramePr>
        <xdr:cNvPr id="3" name="Chart 2">
          <a:extLst>
            <a:ext uri="{FF2B5EF4-FFF2-40B4-BE49-F238E27FC236}">
              <a16:creationId xmlns:a16="http://schemas.microsoft.com/office/drawing/2014/main" id="{401BBCD3-AA35-47A5-A470-C1BE3A399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6747</xdr:rowOff>
    </xdr:from>
    <xdr:to>
      <xdr:col>6</xdr:col>
      <xdr:colOff>11905</xdr:colOff>
      <xdr:row>19</xdr:row>
      <xdr:rowOff>0</xdr:rowOff>
    </xdr:to>
    <xdr:graphicFrame macro="">
      <xdr:nvGraphicFramePr>
        <xdr:cNvPr id="4" name="Chart 3">
          <a:extLst>
            <a:ext uri="{FF2B5EF4-FFF2-40B4-BE49-F238E27FC236}">
              <a16:creationId xmlns:a16="http://schemas.microsoft.com/office/drawing/2014/main" id="{A8397FD9-FF24-4A2C-801B-CB3FB6669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12303</xdr:colOff>
      <xdr:row>20</xdr:row>
      <xdr:rowOff>640953</xdr:rowOff>
    </xdr:from>
    <xdr:to>
      <xdr:col>6</xdr:col>
      <xdr:colOff>11906</xdr:colOff>
      <xdr:row>23</xdr:row>
      <xdr:rowOff>1214437</xdr:rowOff>
    </xdr:to>
    <xdr:graphicFrame macro="">
      <xdr:nvGraphicFramePr>
        <xdr:cNvPr id="5" name="Chart 4">
          <a:extLst>
            <a:ext uri="{FF2B5EF4-FFF2-40B4-BE49-F238E27FC236}">
              <a16:creationId xmlns:a16="http://schemas.microsoft.com/office/drawing/2014/main" id="{1FC69F4E-710D-4859-88B0-22C8859CB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26</xdr:row>
      <xdr:rowOff>1</xdr:rowOff>
    </xdr:from>
    <xdr:to>
      <xdr:col>5</xdr:col>
      <xdr:colOff>1211262</xdr:colOff>
      <xdr:row>28</xdr:row>
      <xdr:rowOff>1193799</xdr:rowOff>
    </xdr:to>
    <xdr:graphicFrame macro="">
      <xdr:nvGraphicFramePr>
        <xdr:cNvPr id="6" name="Chart 5">
          <a:extLst>
            <a:ext uri="{FF2B5EF4-FFF2-40B4-BE49-F238E27FC236}">
              <a16:creationId xmlns:a16="http://schemas.microsoft.com/office/drawing/2014/main" id="{D33B69F0-BE60-4EC3-9B4A-9A9246557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21034</xdr:colOff>
      <xdr:row>30</xdr:row>
      <xdr:rowOff>640952</xdr:rowOff>
    </xdr:from>
    <xdr:to>
      <xdr:col>5</xdr:col>
      <xdr:colOff>1214437</xdr:colOff>
      <xdr:row>33</xdr:row>
      <xdr:rowOff>1214437</xdr:rowOff>
    </xdr:to>
    <xdr:graphicFrame macro="">
      <xdr:nvGraphicFramePr>
        <xdr:cNvPr id="7" name="Chart 6">
          <a:extLst>
            <a:ext uri="{FF2B5EF4-FFF2-40B4-BE49-F238E27FC236}">
              <a16:creationId xmlns:a16="http://schemas.microsoft.com/office/drawing/2014/main" id="{802D6D46-F84F-46E0-A877-814BB890F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36</xdr:row>
      <xdr:rowOff>8731</xdr:rowOff>
    </xdr:from>
    <xdr:to>
      <xdr:col>6</xdr:col>
      <xdr:colOff>23812</xdr:colOff>
      <xdr:row>39</xdr:row>
      <xdr:rowOff>11906</xdr:rowOff>
    </xdr:to>
    <xdr:graphicFrame macro="">
      <xdr:nvGraphicFramePr>
        <xdr:cNvPr id="8" name="Chart 7">
          <a:extLst>
            <a:ext uri="{FF2B5EF4-FFF2-40B4-BE49-F238E27FC236}">
              <a16:creationId xmlns:a16="http://schemas.microsoft.com/office/drawing/2014/main" id="{E63FDE54-E618-43AE-A2A3-5A542B58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41</xdr:row>
      <xdr:rowOff>12302</xdr:rowOff>
    </xdr:from>
    <xdr:to>
      <xdr:col>6</xdr:col>
      <xdr:colOff>-1</xdr:colOff>
      <xdr:row>43</xdr:row>
      <xdr:rowOff>1214437</xdr:rowOff>
    </xdr:to>
    <xdr:graphicFrame macro="">
      <xdr:nvGraphicFramePr>
        <xdr:cNvPr id="9" name="Chart 8">
          <a:extLst>
            <a:ext uri="{FF2B5EF4-FFF2-40B4-BE49-F238E27FC236}">
              <a16:creationId xmlns:a16="http://schemas.microsoft.com/office/drawing/2014/main" id="{9FFADABE-BCA9-4B11-8E08-A3F51FBC5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xdr:row>
      <xdr:rowOff>0</xdr:rowOff>
    </xdr:from>
    <xdr:to>
      <xdr:col>5</xdr:col>
      <xdr:colOff>1166811</xdr:colOff>
      <xdr:row>4</xdr:row>
      <xdr:rowOff>11906</xdr:rowOff>
    </xdr:to>
    <xdr:graphicFrame macro="">
      <xdr:nvGraphicFramePr>
        <xdr:cNvPr id="10" name="Chart 9">
          <a:extLst>
            <a:ext uri="{FF2B5EF4-FFF2-40B4-BE49-F238E27FC236}">
              <a16:creationId xmlns:a16="http://schemas.microsoft.com/office/drawing/2014/main" id="{FEE1F942-B645-4AD7-9693-44F66E5B0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581420</xdr:rowOff>
    </xdr:from>
    <xdr:to>
      <xdr:col>6</xdr:col>
      <xdr:colOff>6350</xdr:colOff>
      <xdr:row>3</xdr:row>
      <xdr:rowOff>1190624</xdr:rowOff>
    </xdr:to>
    <xdr:graphicFrame macro="">
      <xdr:nvGraphicFramePr>
        <xdr:cNvPr id="14" name="Chart 1">
          <a:extLst>
            <a:ext uri="{FF2B5EF4-FFF2-40B4-BE49-F238E27FC236}">
              <a16:creationId xmlns:a16="http://schemas.microsoft.com/office/drawing/2014/main" id="{39490193-6A5E-43AC-BFCF-F7956E586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6744</xdr:rowOff>
    </xdr:from>
    <xdr:to>
      <xdr:col>6</xdr:col>
      <xdr:colOff>11906</xdr:colOff>
      <xdr:row>9</xdr:row>
      <xdr:rowOff>11906</xdr:rowOff>
    </xdr:to>
    <xdr:graphicFrame macro="">
      <xdr:nvGraphicFramePr>
        <xdr:cNvPr id="13" name="Chart 2">
          <a:extLst>
            <a:ext uri="{FF2B5EF4-FFF2-40B4-BE49-F238E27FC236}">
              <a16:creationId xmlns:a16="http://schemas.microsoft.com/office/drawing/2014/main" id="{F0F5B1A6-A9CB-457C-A106-4CBB11073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6746</xdr:rowOff>
    </xdr:from>
    <xdr:to>
      <xdr:col>5</xdr:col>
      <xdr:colOff>1214437</xdr:colOff>
      <xdr:row>14</xdr:row>
      <xdr:rowOff>23812</xdr:rowOff>
    </xdr:to>
    <xdr:graphicFrame macro="">
      <xdr:nvGraphicFramePr>
        <xdr:cNvPr id="4" name="Chart 3">
          <a:extLst>
            <a:ext uri="{FF2B5EF4-FFF2-40B4-BE49-F238E27FC236}">
              <a16:creationId xmlns:a16="http://schemas.microsoft.com/office/drawing/2014/main" id="{92F07AE4-44E9-4836-AC37-4B0B2DDA9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9922</xdr:rowOff>
    </xdr:from>
    <xdr:to>
      <xdr:col>6</xdr:col>
      <xdr:colOff>-1</xdr:colOff>
      <xdr:row>18</xdr:row>
      <xdr:rowOff>1214437</xdr:rowOff>
    </xdr:to>
    <xdr:graphicFrame macro="">
      <xdr:nvGraphicFramePr>
        <xdr:cNvPr id="5" name="Chart 4">
          <a:extLst>
            <a:ext uri="{FF2B5EF4-FFF2-40B4-BE49-F238E27FC236}">
              <a16:creationId xmlns:a16="http://schemas.microsoft.com/office/drawing/2014/main" id="{098B9E10-2E90-48EC-BEEA-E2D4DD3DC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640953</xdr:rowOff>
    </xdr:from>
    <xdr:to>
      <xdr:col>5</xdr:col>
      <xdr:colOff>1214437</xdr:colOff>
      <xdr:row>24</xdr:row>
      <xdr:rowOff>23812</xdr:rowOff>
    </xdr:to>
    <xdr:graphicFrame macro="">
      <xdr:nvGraphicFramePr>
        <xdr:cNvPr id="6" name="Chart 5">
          <a:extLst>
            <a:ext uri="{FF2B5EF4-FFF2-40B4-BE49-F238E27FC236}">
              <a16:creationId xmlns:a16="http://schemas.microsoft.com/office/drawing/2014/main" id="{0AF6858D-1D09-4BE4-9733-C24B808AC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26</xdr:row>
      <xdr:rowOff>9921</xdr:rowOff>
    </xdr:from>
    <xdr:to>
      <xdr:col>6</xdr:col>
      <xdr:colOff>-1</xdr:colOff>
      <xdr:row>29</xdr:row>
      <xdr:rowOff>11906</xdr:rowOff>
    </xdr:to>
    <xdr:graphicFrame macro="">
      <xdr:nvGraphicFramePr>
        <xdr:cNvPr id="7" name="Chart 6">
          <a:extLst>
            <a:ext uri="{FF2B5EF4-FFF2-40B4-BE49-F238E27FC236}">
              <a16:creationId xmlns:a16="http://schemas.microsoft.com/office/drawing/2014/main" id="{A2E18409-9B8D-44C8-A488-94291033D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xdr:colOff>
      <xdr:row>95</xdr:row>
      <xdr:rowOff>613832</xdr:rowOff>
    </xdr:from>
    <xdr:to>
      <xdr:col>5</xdr:col>
      <xdr:colOff>1195918</xdr:colOff>
      <xdr:row>98</xdr:row>
      <xdr:rowOff>1217082</xdr:rowOff>
    </xdr:to>
    <xdr:sp macro="" textlink="">
      <xdr:nvSpPr>
        <xdr:cNvPr id="2" name="TextBox 1">
          <a:extLst>
            <a:ext uri="{FF2B5EF4-FFF2-40B4-BE49-F238E27FC236}">
              <a16:creationId xmlns:a16="http://schemas.microsoft.com/office/drawing/2014/main" id="{A240D701-D71A-403B-86E7-ED5A6FFD2F96}"/>
            </a:ext>
          </a:extLst>
        </xdr:cNvPr>
        <xdr:cNvSpPr txBox="1"/>
      </xdr:nvSpPr>
      <xdr:spPr>
        <a:xfrm>
          <a:off x="1" y="105981499"/>
          <a:ext cx="7334250" cy="3693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numCol="3" rtlCol="0" anchor="t"/>
        <a:lstStyle/>
        <a:p>
          <a:r>
            <a:rPr lang="en-US" sz="1800"/>
            <a:t>• Mackinaw City Fire Department Station 1 </a:t>
          </a:r>
        </a:p>
        <a:p>
          <a:endParaRPr lang="en-US" sz="1800"/>
        </a:p>
        <a:p>
          <a:r>
            <a:rPr lang="en-US" sz="1800"/>
            <a:t>• Mackinaw City Fire Department Station 2 </a:t>
          </a:r>
        </a:p>
        <a:p>
          <a:endParaRPr lang="en-US" sz="1800"/>
        </a:p>
        <a:p>
          <a:r>
            <a:rPr lang="en-US" sz="1800"/>
            <a:t>• Tuscarora Township Fire Department  </a:t>
          </a:r>
        </a:p>
        <a:p>
          <a:endParaRPr lang="en-US" sz="1800"/>
        </a:p>
        <a:p>
          <a:r>
            <a:rPr lang="en-US" sz="1800"/>
            <a:t>• Alverno Fire Department Station #1 – Benton Township </a:t>
          </a:r>
        </a:p>
        <a:p>
          <a:r>
            <a:rPr lang="en-US" sz="1800"/>
            <a:t>• Alverno Fire Department Station #2 - Aloha Township </a:t>
          </a:r>
        </a:p>
        <a:p>
          <a:endParaRPr lang="en-US" sz="1800"/>
        </a:p>
        <a:p>
          <a:r>
            <a:rPr lang="en-US" sz="1800"/>
            <a:t>• Alverno Fire Department Station #3 – Grant Township </a:t>
          </a:r>
        </a:p>
        <a:p>
          <a:endParaRPr lang="en-US" sz="1800"/>
        </a:p>
        <a:p>
          <a:r>
            <a:rPr lang="en-US" sz="1800"/>
            <a:t>• Alverno Fire Department Station #4 – Benton Township </a:t>
          </a:r>
        </a:p>
        <a:p>
          <a:endParaRPr lang="en-US" sz="1800"/>
        </a:p>
        <a:p>
          <a:r>
            <a:rPr lang="en-US" sz="1800"/>
            <a:t>• Alverno Fire Department Station #5 – Grant Township </a:t>
          </a:r>
        </a:p>
        <a:p>
          <a:endParaRPr lang="en-US" sz="1800"/>
        </a:p>
        <a:p>
          <a:endParaRPr lang="en-US" sz="1800"/>
        </a:p>
        <a:p>
          <a:r>
            <a:rPr lang="en-US" sz="1800"/>
            <a:t>• Onaway Area Fire Department </a:t>
          </a:r>
        </a:p>
        <a:p>
          <a:endParaRPr lang="en-US" sz="1800"/>
        </a:p>
        <a:p>
          <a:r>
            <a:rPr lang="en-US" sz="1800"/>
            <a:t>• Mullet Topinabee Fire Department  </a:t>
          </a:r>
        </a:p>
        <a:p>
          <a:endParaRPr lang="en-US" sz="1100"/>
        </a:p>
      </xdr:txBody>
    </xdr:sp>
    <xdr:clientData/>
  </xdr:twoCellAnchor>
  <xdr:oneCellAnchor>
    <xdr:from>
      <xdr:col>0</xdr:col>
      <xdr:colOff>10584</xdr:colOff>
      <xdr:row>141</xdr:row>
      <xdr:rowOff>10582</xdr:rowOff>
    </xdr:from>
    <xdr:ext cx="7334250" cy="3661833"/>
    <xdr:sp macro="" textlink="">
      <xdr:nvSpPr>
        <xdr:cNvPr id="3" name="TextBox 2">
          <a:extLst>
            <a:ext uri="{FF2B5EF4-FFF2-40B4-BE49-F238E27FC236}">
              <a16:creationId xmlns:a16="http://schemas.microsoft.com/office/drawing/2014/main" id="{55213102-C20C-41BE-9E9D-4F1FE3CF3462}"/>
            </a:ext>
          </a:extLst>
        </xdr:cNvPr>
        <xdr:cNvSpPr txBox="1"/>
      </xdr:nvSpPr>
      <xdr:spPr>
        <a:xfrm>
          <a:off x="10584" y="155924249"/>
          <a:ext cx="7334250" cy="3661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numCol="2" rtlCol="0" anchor="ctr">
          <a:noAutofit/>
        </a:bodyPr>
        <a:lstStyle/>
        <a:p>
          <a:pPr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Gordon Turner Park,</a:t>
          </a:r>
        </a:p>
        <a:p>
          <a:pPr rtl="0" fontAlgn="base"/>
          <a:r>
            <a:rPr lang="en-US" sz="2000" b="0" i="0">
              <a:solidFill>
                <a:schemeClr val="tx1"/>
              </a:solidFill>
              <a:effectLst/>
              <a:latin typeface="+mn-lt"/>
              <a:ea typeface="+mn-ea"/>
              <a:cs typeface="+mn-cs"/>
            </a:rPr>
            <a:t> Cheboygan, MI </a:t>
          </a:r>
        </a:p>
        <a:p>
          <a:pPr rtl="0" fontAlgn="base"/>
          <a:endParaRPr lang="en-US" sz="2000" b="0" i="0">
            <a:solidFill>
              <a:schemeClr val="tx1"/>
            </a:solidFill>
            <a:effectLst/>
            <a:latin typeface="+mn-lt"/>
            <a:ea typeface="+mn-ea"/>
            <a:cs typeface="+mn-cs"/>
          </a:endParaRPr>
        </a:p>
        <a:p>
          <a:pPr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Chandler Park  </a:t>
          </a:r>
        </a:p>
        <a:p>
          <a:pPr algn="ctr" rtl="0" fontAlgn="base"/>
          <a:endParaRPr lang="en-US" sz="2000" b="0" i="0">
            <a:solidFill>
              <a:schemeClr val="tx1"/>
            </a:solidFill>
            <a:effectLst/>
            <a:latin typeface="+mn-lt"/>
            <a:ea typeface="+mn-ea"/>
            <a:cs typeface="+mn-cs"/>
          </a:endParaRPr>
        </a:p>
        <a:p>
          <a:pPr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Tuscarora Township Parks Comm </a:t>
          </a:r>
        </a:p>
        <a:p>
          <a:pPr rtl="0" fontAlgn="base"/>
          <a:endParaRPr lang="en-US" sz="2000" b="0" i="0">
            <a:solidFill>
              <a:schemeClr val="tx1"/>
            </a:solidFill>
            <a:effectLst/>
            <a:latin typeface="+mn-lt"/>
            <a:ea typeface="+mn-ea"/>
            <a:cs typeface="+mn-cs"/>
          </a:endParaRPr>
        </a:p>
        <a:p>
          <a:pPr rtl="0" fontAlgn="base"/>
          <a:r>
            <a:rPr lang="en-US" sz="2000" b="0" i="0">
              <a:solidFill>
                <a:schemeClr val="tx1"/>
              </a:solidFill>
              <a:effectLst/>
              <a:latin typeface="+mn-lt"/>
              <a:ea typeface="+mn-ea"/>
              <a:cs typeface="+mn-cs"/>
            </a:rPr>
            <a:t>• Washington Park  </a:t>
          </a:r>
        </a:p>
        <a:p>
          <a:pPr rtl="0" fontAlgn="base"/>
          <a:endParaRPr lang="en-US" sz="2000" b="0" i="0">
            <a:solidFill>
              <a:schemeClr val="tx1"/>
            </a:solidFill>
            <a:effectLst/>
            <a:latin typeface="+mn-lt"/>
            <a:ea typeface="+mn-ea"/>
            <a:cs typeface="+mn-cs"/>
          </a:endParaRPr>
        </a:p>
        <a:p>
          <a:pPr rtl="0" fontAlgn="base"/>
          <a:endParaRPr lang="en-US" sz="2000" b="0" i="0">
            <a:solidFill>
              <a:schemeClr val="tx1"/>
            </a:solidFill>
            <a:effectLst/>
            <a:latin typeface="+mn-lt"/>
            <a:ea typeface="+mn-ea"/>
            <a:cs typeface="+mn-cs"/>
          </a:endParaRPr>
        </a:p>
        <a:p>
          <a:pPr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Aloha State Park  </a:t>
          </a:r>
        </a:p>
        <a:p>
          <a:pPr rtl="0" fontAlgn="base"/>
          <a:endParaRPr lang="en-US" sz="2000" b="0" i="0">
            <a:solidFill>
              <a:schemeClr val="tx1"/>
            </a:solidFill>
            <a:effectLst/>
            <a:latin typeface="+mn-lt"/>
            <a:ea typeface="+mn-ea"/>
            <a:cs typeface="+mn-cs"/>
          </a:endParaRPr>
        </a:p>
        <a:p>
          <a:pPr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Cheboygan State Park  </a:t>
          </a:r>
        </a:p>
        <a:p>
          <a:pPr rtl="0" fontAlgn="base"/>
          <a:endParaRPr lang="en-US" sz="2000" b="0" i="0">
            <a:solidFill>
              <a:schemeClr val="tx1"/>
            </a:solidFill>
            <a:effectLst/>
            <a:latin typeface="+mn-lt"/>
            <a:ea typeface="+mn-ea"/>
            <a:cs typeface="+mn-cs"/>
          </a:endParaRPr>
        </a:p>
        <a:p>
          <a:pPr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Mackinaw City Veteran Memorial Park  </a:t>
          </a:r>
        </a:p>
        <a:p>
          <a:pPr rtl="0" fontAlgn="base"/>
          <a:endParaRPr lang="en-US" sz="2000" b="0" i="0">
            <a:solidFill>
              <a:schemeClr val="tx1"/>
            </a:solidFill>
            <a:effectLst/>
            <a:latin typeface="+mn-lt"/>
            <a:ea typeface="+mn-ea"/>
            <a:cs typeface="+mn-cs"/>
          </a:endParaRPr>
        </a:p>
        <a:p>
          <a:pPr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Burt Lake State Park  </a:t>
          </a:r>
        </a:p>
        <a:p>
          <a:endParaRPr lang="en-US" sz="1100"/>
        </a:p>
      </xdr:txBody>
    </xdr:sp>
    <xdr:clientData/>
  </xdr:oneCellAnchor>
  <xdr:oneCellAnchor>
    <xdr:from>
      <xdr:col>0</xdr:col>
      <xdr:colOff>21167</xdr:colOff>
      <xdr:row>156</xdr:row>
      <xdr:rowOff>10583</xdr:rowOff>
    </xdr:from>
    <xdr:ext cx="7355416" cy="3672417"/>
    <xdr:sp macro="" textlink="">
      <xdr:nvSpPr>
        <xdr:cNvPr id="8" name="TextBox 7">
          <a:extLst>
            <a:ext uri="{FF2B5EF4-FFF2-40B4-BE49-F238E27FC236}">
              <a16:creationId xmlns:a16="http://schemas.microsoft.com/office/drawing/2014/main" id="{475A5964-605C-4596-B676-CB6C45A8C1F2}"/>
            </a:ext>
          </a:extLst>
        </xdr:cNvPr>
        <xdr:cNvSpPr txBox="1"/>
      </xdr:nvSpPr>
      <xdr:spPr>
        <a:xfrm>
          <a:off x="21167" y="172561250"/>
          <a:ext cx="7355416" cy="36724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numCol="2" rtlCol="0" anchor="ctr">
          <a:noAutofit/>
        </a:bodyPr>
        <a:lstStyle/>
        <a:p>
          <a:pPr algn="l"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Burt Lake </a:t>
          </a:r>
        </a:p>
        <a:p>
          <a:pPr algn="l" rtl="0" fontAlgn="base"/>
          <a:r>
            <a:rPr lang="en-US" sz="2000" b="0" i="0">
              <a:solidFill>
                <a:schemeClr val="tx1"/>
              </a:solidFill>
              <a:effectLst/>
              <a:latin typeface="+mn-lt"/>
              <a:ea typeface="+mn-ea"/>
              <a:cs typeface="+mn-cs"/>
            </a:rPr>
            <a:t> </a:t>
          </a:r>
        </a:p>
        <a:p>
          <a:pPr algn="l" rtl="0" fontAlgn="base"/>
          <a:r>
            <a:rPr lang="en-US" sz="2000" b="0" i="0">
              <a:solidFill>
                <a:schemeClr val="tx1"/>
              </a:solidFill>
              <a:effectLst/>
              <a:latin typeface="Calibri" panose="020F0502020204030204" pitchFamily="34" charset="0"/>
              <a:ea typeface="+mn-ea"/>
              <a:cs typeface="Calibri" panose="020F0502020204030204" pitchFamily="34" charset="0"/>
            </a:rPr>
            <a:t>•</a:t>
          </a:r>
          <a:r>
            <a:rPr lang="en-US" sz="2000" b="0" i="0">
              <a:solidFill>
                <a:schemeClr val="tx1"/>
              </a:solidFill>
              <a:effectLst/>
              <a:latin typeface="+mn-lt"/>
              <a:ea typeface="+mn-ea"/>
              <a:cs typeface="+mn-cs"/>
            </a:rPr>
            <a:t> Straits of Mackinac</a:t>
          </a:r>
        </a:p>
        <a:p>
          <a:pPr algn="l" rtl="0" fontAlgn="base"/>
          <a:r>
            <a:rPr lang="en-US" sz="2000" b="0" i="0">
              <a:solidFill>
                <a:schemeClr val="tx1"/>
              </a:solidFill>
              <a:effectLst/>
              <a:latin typeface="+mn-lt"/>
              <a:ea typeface="+mn-ea"/>
              <a:cs typeface="+mn-cs"/>
            </a:rPr>
            <a:t> </a:t>
          </a:r>
        </a:p>
        <a:p>
          <a:pPr algn="l"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Black Lake  </a:t>
          </a:r>
        </a:p>
        <a:p>
          <a:pPr algn="l" rtl="0" fontAlgn="base"/>
          <a:endParaRPr lang="en-US" sz="2000" b="0" i="0">
            <a:solidFill>
              <a:schemeClr val="tx1"/>
            </a:solidFill>
            <a:effectLst/>
            <a:latin typeface="+mn-lt"/>
            <a:ea typeface="+mn-ea"/>
            <a:cs typeface="+mn-cs"/>
          </a:endParaRPr>
        </a:p>
        <a:p>
          <a:pPr algn="l"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Lake Huron </a:t>
          </a:r>
        </a:p>
        <a:p>
          <a:pPr algn="l" rtl="0" fontAlgn="base"/>
          <a:endParaRPr lang="en-US" sz="2000" b="0" i="0">
            <a:solidFill>
              <a:schemeClr val="tx1"/>
            </a:solidFill>
            <a:effectLst/>
            <a:latin typeface="+mn-lt"/>
            <a:ea typeface="+mn-ea"/>
            <a:cs typeface="+mn-cs"/>
          </a:endParaRPr>
        </a:p>
        <a:p>
          <a:pPr algn="l" rtl="0" fontAlgn="base"/>
          <a:endParaRPr lang="en-US" sz="2000" b="0" i="0">
            <a:solidFill>
              <a:schemeClr val="tx1"/>
            </a:solidFill>
            <a:effectLst/>
            <a:latin typeface="+mn-lt"/>
            <a:ea typeface="+mn-ea"/>
            <a:cs typeface="+mn-cs"/>
          </a:endParaRPr>
        </a:p>
        <a:p>
          <a:pPr algn="l" rtl="0" fontAlgn="base"/>
          <a:endParaRPr lang="en-US" sz="2000" b="0" i="0">
            <a:solidFill>
              <a:schemeClr val="tx1"/>
            </a:solidFill>
            <a:effectLst/>
            <a:latin typeface="+mn-lt"/>
            <a:ea typeface="+mn-ea"/>
            <a:cs typeface="+mn-cs"/>
          </a:endParaRPr>
        </a:p>
        <a:p>
          <a:pPr algn="l" rtl="0" fontAlgn="base"/>
          <a:endParaRPr lang="en-US" sz="2000" b="0" i="0">
            <a:solidFill>
              <a:schemeClr val="tx1"/>
            </a:solidFill>
            <a:effectLst/>
            <a:latin typeface="+mn-lt"/>
            <a:ea typeface="+mn-ea"/>
            <a:cs typeface="+mn-cs"/>
          </a:endParaRPr>
        </a:p>
        <a:p>
          <a:pPr algn="l"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Cheboygan </a:t>
          </a:r>
        </a:p>
        <a:p>
          <a:pPr algn="l" rtl="0" fontAlgn="base"/>
          <a:endParaRPr lang="en-US" sz="2000" b="0" i="0">
            <a:solidFill>
              <a:schemeClr val="tx1"/>
            </a:solidFill>
            <a:effectLst/>
            <a:latin typeface="+mn-lt"/>
            <a:ea typeface="+mn-ea"/>
            <a:cs typeface="+mn-cs"/>
          </a:endParaRPr>
        </a:p>
        <a:p>
          <a:pPr algn="l"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Mullet Lake </a:t>
          </a:r>
        </a:p>
        <a:p>
          <a:pPr algn="l" rtl="0" fontAlgn="base"/>
          <a:endParaRPr lang="en-US" sz="2000" b="0" i="0">
            <a:solidFill>
              <a:schemeClr val="tx1"/>
            </a:solidFill>
            <a:effectLst/>
            <a:latin typeface="+mn-lt"/>
            <a:ea typeface="+mn-ea"/>
            <a:cs typeface="+mn-cs"/>
          </a:endParaRPr>
        </a:p>
        <a:p>
          <a:pPr algn="l"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Douglas Lake </a:t>
          </a:r>
        </a:p>
        <a:p>
          <a:pPr algn="l" rtl="0" fontAlgn="base"/>
          <a:endParaRPr lang="en-US" sz="2000" b="0" i="0">
            <a:solidFill>
              <a:schemeClr val="tx1"/>
            </a:solidFill>
            <a:effectLst/>
            <a:latin typeface="+mn-lt"/>
            <a:ea typeface="+mn-ea"/>
            <a:cs typeface="+mn-cs"/>
          </a:endParaRPr>
        </a:p>
        <a:p>
          <a:pPr algn="l" rtl="0" fontAlgn="base"/>
          <a:r>
            <a:rPr lang="en-US" sz="2000" b="0" i="0">
              <a:solidFill>
                <a:schemeClr val="tx1"/>
              </a:solidFill>
              <a:effectLst/>
              <a:latin typeface="Calibri" panose="020F0502020204030204" pitchFamily="34" charset="0"/>
              <a:ea typeface="+mn-ea"/>
              <a:cs typeface="Calibri" panose="020F0502020204030204" pitchFamily="34" charset="0"/>
            </a:rPr>
            <a:t>• </a:t>
          </a:r>
          <a:r>
            <a:rPr lang="en-US" sz="2000" b="0" i="0">
              <a:solidFill>
                <a:schemeClr val="tx1"/>
              </a:solidFill>
              <a:effectLst/>
              <a:latin typeface="+mn-lt"/>
              <a:ea typeface="+mn-ea"/>
              <a:cs typeface="+mn-cs"/>
            </a:rPr>
            <a:t>Duncan Bay </a:t>
          </a:r>
        </a:p>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9128</xdr:colOff>
      <xdr:row>6</xdr:row>
      <xdr:rowOff>6746</xdr:rowOff>
    </xdr:from>
    <xdr:to>
      <xdr:col>6</xdr:col>
      <xdr:colOff>8731</xdr:colOff>
      <xdr:row>9</xdr:row>
      <xdr:rowOff>0</xdr:rowOff>
    </xdr:to>
    <xdr:graphicFrame macro="">
      <xdr:nvGraphicFramePr>
        <xdr:cNvPr id="63" name="Chart 1">
          <a:extLst>
            <a:ext uri="{FF2B5EF4-FFF2-40B4-BE49-F238E27FC236}">
              <a16:creationId xmlns:a16="http://schemas.microsoft.com/office/drawing/2014/main" id="{91B3A126-68C3-4212-AFD1-8673BF45D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12302</xdr:colOff>
      <xdr:row>11</xdr:row>
      <xdr:rowOff>12302</xdr:rowOff>
    </xdr:from>
    <xdr:to>
      <xdr:col>5</xdr:col>
      <xdr:colOff>1226342</xdr:colOff>
      <xdr:row>14</xdr:row>
      <xdr:rowOff>11906</xdr:rowOff>
    </xdr:to>
    <xdr:graphicFrame macro="">
      <xdr:nvGraphicFramePr>
        <xdr:cNvPr id="61" name="Chart 2">
          <a:extLst>
            <a:ext uri="{FF2B5EF4-FFF2-40B4-BE49-F238E27FC236}">
              <a16:creationId xmlns:a16="http://schemas.microsoft.com/office/drawing/2014/main" id="{37C1D825-C429-4842-803E-4F8C12404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6747</xdr:rowOff>
    </xdr:from>
    <xdr:to>
      <xdr:col>6</xdr:col>
      <xdr:colOff>11905</xdr:colOff>
      <xdr:row>19</xdr:row>
      <xdr:rowOff>0</xdr:rowOff>
    </xdr:to>
    <xdr:graphicFrame macro="">
      <xdr:nvGraphicFramePr>
        <xdr:cNvPr id="62" name="Chart 3">
          <a:extLst>
            <a:ext uri="{FF2B5EF4-FFF2-40B4-BE49-F238E27FC236}">
              <a16:creationId xmlns:a16="http://schemas.microsoft.com/office/drawing/2014/main" id="{7E176CC3-8978-422B-BE18-0CEF4D7B1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12303</xdr:colOff>
      <xdr:row>20</xdr:row>
      <xdr:rowOff>640953</xdr:rowOff>
    </xdr:from>
    <xdr:to>
      <xdr:col>6</xdr:col>
      <xdr:colOff>11906</xdr:colOff>
      <xdr:row>23</xdr:row>
      <xdr:rowOff>1214437</xdr:rowOff>
    </xdr:to>
    <xdr:graphicFrame macro="">
      <xdr:nvGraphicFramePr>
        <xdr:cNvPr id="43" name="Chart 4">
          <a:extLst>
            <a:ext uri="{FF2B5EF4-FFF2-40B4-BE49-F238E27FC236}">
              <a16:creationId xmlns:a16="http://schemas.microsoft.com/office/drawing/2014/main" id="{5CDB2023-E8E5-4086-A26B-26290C886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26</xdr:row>
      <xdr:rowOff>1</xdr:rowOff>
    </xdr:from>
    <xdr:to>
      <xdr:col>5</xdr:col>
      <xdr:colOff>1211262</xdr:colOff>
      <xdr:row>28</xdr:row>
      <xdr:rowOff>1193799</xdr:rowOff>
    </xdr:to>
    <xdr:graphicFrame macro="">
      <xdr:nvGraphicFramePr>
        <xdr:cNvPr id="44" name="Chart 5">
          <a:extLst>
            <a:ext uri="{FF2B5EF4-FFF2-40B4-BE49-F238E27FC236}">
              <a16:creationId xmlns:a16="http://schemas.microsoft.com/office/drawing/2014/main" id="{75095523-07E3-40D2-A891-03009C5A4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21034</xdr:colOff>
      <xdr:row>30</xdr:row>
      <xdr:rowOff>640952</xdr:rowOff>
    </xdr:from>
    <xdr:to>
      <xdr:col>5</xdr:col>
      <xdr:colOff>1214437</xdr:colOff>
      <xdr:row>33</xdr:row>
      <xdr:rowOff>1214437</xdr:rowOff>
    </xdr:to>
    <xdr:graphicFrame macro="">
      <xdr:nvGraphicFramePr>
        <xdr:cNvPr id="49" name="Chart 6">
          <a:extLst>
            <a:ext uri="{FF2B5EF4-FFF2-40B4-BE49-F238E27FC236}">
              <a16:creationId xmlns:a16="http://schemas.microsoft.com/office/drawing/2014/main" id="{536C0CAE-0639-41AB-8F34-5F300CEDB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36</xdr:row>
      <xdr:rowOff>8731</xdr:rowOff>
    </xdr:from>
    <xdr:to>
      <xdr:col>6</xdr:col>
      <xdr:colOff>23812</xdr:colOff>
      <xdr:row>39</xdr:row>
      <xdr:rowOff>11906</xdr:rowOff>
    </xdr:to>
    <xdr:graphicFrame macro="">
      <xdr:nvGraphicFramePr>
        <xdr:cNvPr id="54" name="Chart 7">
          <a:extLst>
            <a:ext uri="{FF2B5EF4-FFF2-40B4-BE49-F238E27FC236}">
              <a16:creationId xmlns:a16="http://schemas.microsoft.com/office/drawing/2014/main" id="{E1C86810-B806-431A-99F8-14F2FFFD4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41</xdr:row>
      <xdr:rowOff>12302</xdr:rowOff>
    </xdr:from>
    <xdr:to>
      <xdr:col>6</xdr:col>
      <xdr:colOff>-1</xdr:colOff>
      <xdr:row>43</xdr:row>
      <xdr:rowOff>1214437</xdr:rowOff>
    </xdr:to>
    <xdr:graphicFrame macro="">
      <xdr:nvGraphicFramePr>
        <xdr:cNvPr id="64" name="Chart 8">
          <a:extLst>
            <a:ext uri="{FF2B5EF4-FFF2-40B4-BE49-F238E27FC236}">
              <a16:creationId xmlns:a16="http://schemas.microsoft.com/office/drawing/2014/main" id="{D691AE63-376F-41A7-98F9-7A45B87BD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xdr:row>
      <xdr:rowOff>0</xdr:rowOff>
    </xdr:from>
    <xdr:to>
      <xdr:col>5</xdr:col>
      <xdr:colOff>1166811</xdr:colOff>
      <xdr:row>4</xdr:row>
      <xdr:rowOff>11906</xdr:rowOff>
    </xdr:to>
    <xdr:graphicFrame macro="">
      <xdr:nvGraphicFramePr>
        <xdr:cNvPr id="65" name="Chart 9">
          <a:extLst>
            <a:ext uri="{FF2B5EF4-FFF2-40B4-BE49-F238E27FC236}">
              <a16:creationId xmlns:a16="http://schemas.microsoft.com/office/drawing/2014/main" id="{9568B2E7-032C-44BB-8201-E5AED3ECF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46</xdr:row>
      <xdr:rowOff>11112</xdr:rowOff>
    </xdr:from>
    <xdr:to>
      <xdr:col>6</xdr:col>
      <xdr:colOff>15874</xdr:colOff>
      <xdr:row>48</xdr:row>
      <xdr:rowOff>1206500</xdr:rowOff>
    </xdr:to>
    <xdr:graphicFrame macro="">
      <xdr:nvGraphicFramePr>
        <xdr:cNvPr id="60" name="Chart 10">
          <a:extLst>
            <a:ext uri="{FF2B5EF4-FFF2-40B4-BE49-F238E27FC236}">
              <a16:creationId xmlns:a16="http://schemas.microsoft.com/office/drawing/2014/main" id="{EDAB51F0-9CDE-4D76-9D76-798232193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s://www.census.gov/quickfacts/fact/table/charlevoixcountymichigan,alconacountymichigan/PST045219" TargetMode="External"/><Relationship Id="rId21" Type="http://schemas.openxmlformats.org/officeDocument/2006/relationships/hyperlink" Target="https://datacenter.kidscount.org/data" TargetMode="External"/><Relationship Id="rId34" Type="http://schemas.openxmlformats.org/officeDocument/2006/relationships/hyperlink" Target="https://data.census.gov/cedsci/table?q=dp04&amp;g=0100000US_0400000US26_0500000US26001,26007,26009,26011,26019,26029,26031,26033,26035,26039,26047,26051,26055,26069,26073,26079,26085,26089,26097,26101,26105,26107,26113,26119,26123,26127,26129,26133,26135,26137,26141,26143,26165&amp;d=ACS%205-Year%20Estimates%20Data%20Profiles&amp;tid=ACSDP5Y2019.DP04&amp;hidePreview=true" TargetMode="External"/><Relationship Id="rId42" Type="http://schemas.openxmlformats.org/officeDocument/2006/relationships/hyperlink" Target="https://mdoe.state.mi.us/schoolhealthsurveys/ExternalReports/CountyReportGeneration.aspx" TargetMode="External"/><Relationship Id="rId47" Type="http://schemas.openxmlformats.org/officeDocument/2006/relationships/hyperlink" Target="https://mdoe.state.mi.us/schoolhealthsurveys/ExternalReports/CountyReportGeneration.aspx" TargetMode="External"/><Relationship Id="rId50" Type="http://schemas.openxmlformats.org/officeDocument/2006/relationships/hyperlink" Target="https://vitalstats.michigan.gov/osr/CHI/CRI/frame.asp" TargetMode="External"/><Relationship Id="rId55" Type="http://schemas.openxmlformats.org/officeDocument/2006/relationships/hyperlink" Target="https://vitalstats.michigan.gov/osr/CHI/CRI/frame.asp" TargetMode="External"/><Relationship Id="rId63" Type="http://schemas.openxmlformats.org/officeDocument/2006/relationships/hyperlink" Target="https://vitalstats.michigan.gov/osr/CHI/CRI/frame.asp" TargetMode="External"/><Relationship Id="rId7" Type="http://schemas.openxmlformats.org/officeDocument/2006/relationships/hyperlink" Target="https://www.census.gov/quickfacts/alconacountymichigan" TargetMode="External"/><Relationship Id="rId2" Type="http://schemas.openxmlformats.org/officeDocument/2006/relationships/hyperlink" Target="https://www.census.gov/quickfacts/alconacountymichigan" TargetMode="External"/><Relationship Id="rId16" Type="http://schemas.openxmlformats.org/officeDocument/2006/relationships/hyperlink" Target="https://data.census.gov/cedsci/table?q=cp03&amp;g=0100000US_0400000US26,26.050000&amp;tid=ACSCP5Y2019.CP03&amp;hidePreview=true" TargetMode="External"/><Relationship Id="rId29" Type="http://schemas.openxmlformats.org/officeDocument/2006/relationships/hyperlink" Target="https://data.hrsa.gov/tools/shortage-area/hpsa-find" TargetMode="External"/><Relationship Id="rId11" Type="http://schemas.openxmlformats.org/officeDocument/2006/relationships/hyperlink" Target="https://www.census.gov/quickfacts/alconacountymichigan" TargetMode="External"/><Relationship Id="rId24" Type="http://schemas.openxmlformats.org/officeDocument/2006/relationships/hyperlink" Target="http://www.countyhealthrankings.org/app/michigan/2018/downloads" TargetMode="External"/><Relationship Id="rId32" Type="http://schemas.openxmlformats.org/officeDocument/2006/relationships/hyperlink" Target="https://data.hrsa.gov/tools/shortage-area/hpsa-find" TargetMode="External"/><Relationship Id="rId37" Type="http://schemas.openxmlformats.org/officeDocument/2006/relationships/hyperlink" Target="https://evictionlab.org/map/" TargetMode="External"/><Relationship Id="rId40" Type="http://schemas.openxmlformats.org/officeDocument/2006/relationships/hyperlink" Target="https://www.feedingamerica.org/research/map-the-meal-gap/by-county" TargetMode="External"/><Relationship Id="rId45" Type="http://schemas.openxmlformats.org/officeDocument/2006/relationships/hyperlink" Target="https://www.cancer-rates.info/mi/" TargetMode="External"/><Relationship Id="rId53" Type="http://schemas.openxmlformats.org/officeDocument/2006/relationships/hyperlink" Target="https://vitalstats.michigan.gov/osr/CHI/CRI/frame.asp" TargetMode="External"/><Relationship Id="rId58" Type="http://schemas.openxmlformats.org/officeDocument/2006/relationships/hyperlink" Target="http://www.countyhealthrankings.org/app/michigan/2018/downloads" TargetMode="External"/><Relationship Id="rId5" Type="http://schemas.openxmlformats.org/officeDocument/2006/relationships/hyperlink" Target="https://www.census.gov/quickfacts/alconacountymichigan" TargetMode="External"/><Relationship Id="rId61" Type="http://schemas.openxmlformats.org/officeDocument/2006/relationships/hyperlink" Target="https://vitalstats.michigan.gov/osr/CHI/CRI/frame.asp" TargetMode="External"/><Relationship Id="rId19" Type="http://schemas.openxmlformats.org/officeDocument/2006/relationships/hyperlink" Target="https://data.census.gov/cedsci/table?q=cp03&amp;g=0100000US_0400000US26,26.050000&amp;tid=ACSCP5Y2019.CP03&amp;hidePreview=true" TargetMode="External"/><Relationship Id="rId14" Type="http://schemas.openxmlformats.org/officeDocument/2006/relationships/hyperlink" Target="http://www.countyhealthrankings.org/app/michigan/2018/downloads" TargetMode="External"/><Relationship Id="rId22" Type="http://schemas.openxmlformats.org/officeDocument/2006/relationships/hyperlink" Target="https://www.mischooldata.org/" TargetMode="External"/><Relationship Id="rId27" Type="http://schemas.openxmlformats.org/officeDocument/2006/relationships/hyperlink" Target="https://data.hrsa.gov/tools/shortage-area/hpsa-find" TargetMode="External"/><Relationship Id="rId30" Type="http://schemas.openxmlformats.org/officeDocument/2006/relationships/hyperlink" Target="https://data.hrsa.gov/tools/shortage-area/hpsa-find" TargetMode="External"/><Relationship Id="rId35" Type="http://schemas.openxmlformats.org/officeDocument/2006/relationships/hyperlink" Target="https://data.census.gov/cedsci/table?q=dp04&amp;g=0100000US_0400000US26_0500000US26001,26007,26009,26011,26019,26029,26031,26033,26035,26039,26047,26051,26055,26069,26073,26079,26085,26089,26097,26101,26105,26107,26113,26119,26123,26127,26129,26133,26135,26137,26141,26143,26165&amp;d=ACS%205-Year%20Estimates%20Data%20Profiles&amp;tid=ACSDP5Y2019.DP04&amp;hidePreview=true" TargetMode="External"/><Relationship Id="rId43" Type="http://schemas.openxmlformats.org/officeDocument/2006/relationships/hyperlink" Target="https://data.census.gov/cedsci/table?q=vehicle%20ownership&amp;g=0400000US26.050000&amp;tid=ACSST5Y2019.S2504&amp;hidePreview=true" TargetMode="External"/><Relationship Id="rId48" Type="http://schemas.openxmlformats.org/officeDocument/2006/relationships/hyperlink" Target="https://vitalstats.michigan.gov/osr/CHI/HOSPDX/FRAME.HTML" TargetMode="External"/><Relationship Id="rId56" Type="http://schemas.openxmlformats.org/officeDocument/2006/relationships/hyperlink" Target="http://198.246.96.2/nchs/about/major/dvs/popbridge/popbridge.htm" TargetMode="External"/><Relationship Id="rId64" Type="http://schemas.openxmlformats.org/officeDocument/2006/relationships/hyperlink" Target="http://www.countyhealthrankings.org/app/michigan/2018/downloads" TargetMode="External"/><Relationship Id="rId8" Type="http://schemas.openxmlformats.org/officeDocument/2006/relationships/hyperlink" Target="https://www.census.gov/quickfacts/alconacountymichigan" TargetMode="External"/><Relationship Id="rId51" Type="http://schemas.openxmlformats.org/officeDocument/2006/relationships/hyperlink" Target="http://198.246.96.2/nchs/about/major/dvs/popbridge/popbridge.htm" TargetMode="External"/><Relationship Id="rId3" Type="http://schemas.openxmlformats.org/officeDocument/2006/relationships/hyperlink" Target="https://www.census.gov/quickfacts/alconacountymichigan" TargetMode="External"/><Relationship Id="rId12" Type="http://schemas.openxmlformats.org/officeDocument/2006/relationships/hyperlink" Target="https://www.census.gov/quickfacts/alconacountymichigan" TargetMode="External"/><Relationship Id="rId17" Type="http://schemas.openxmlformats.org/officeDocument/2006/relationships/hyperlink" Target="https://data.census.gov/cedsci/table?q=cp03&amp;g=0100000US_0400000US26,26.050000&amp;tid=ACSCP5Y2019.CP03&amp;hidePreview=true" TargetMode="External"/><Relationship Id="rId25" Type="http://schemas.openxmlformats.org/officeDocument/2006/relationships/hyperlink" Target="https://data.census.gov/cedsci/table?q=uninsured&amp;tid=ACSST5Y2019.S2701&amp;hidePreview=true" TargetMode="External"/><Relationship Id="rId33" Type="http://schemas.openxmlformats.org/officeDocument/2006/relationships/hyperlink" Target="https://www.mcir.org/providers/local-health-departments-lhd/county-data/" TargetMode="External"/><Relationship Id="rId38" Type="http://schemas.openxmlformats.org/officeDocument/2006/relationships/hyperlink" Target="https://datacenter.kidscount.org/data" TargetMode="External"/><Relationship Id="rId46" Type="http://schemas.openxmlformats.org/officeDocument/2006/relationships/hyperlink" Target="https://vitalstats.michigan.gov/osr/CHI/HOSPDX/FRAME.HTML" TargetMode="External"/><Relationship Id="rId59" Type="http://schemas.openxmlformats.org/officeDocument/2006/relationships/hyperlink" Target="http://www.countyhealthrankings.org/app/michigan/2018/downloads" TargetMode="External"/><Relationship Id="rId20" Type="http://schemas.openxmlformats.org/officeDocument/2006/relationships/hyperlink" Target="https://www.policymap.com/maps" TargetMode="External"/><Relationship Id="rId41" Type="http://schemas.openxmlformats.org/officeDocument/2006/relationships/hyperlink" Target="https://datacenter.kidscount.org/data" TargetMode="External"/><Relationship Id="rId54" Type="http://schemas.openxmlformats.org/officeDocument/2006/relationships/hyperlink" Target="https://vitalstats.michigan.gov/osr/CHI/CRI/frame.asp" TargetMode="External"/><Relationship Id="rId62" Type="http://schemas.openxmlformats.org/officeDocument/2006/relationships/hyperlink" Target="https://vitalstats.michigan.gov/osr/CHI/CRI/frame.asp" TargetMode="External"/><Relationship Id="rId1" Type="http://schemas.openxmlformats.org/officeDocument/2006/relationships/hyperlink" Target="https://www.census.gov/quickfacts/alconacountymichigan" TargetMode="External"/><Relationship Id="rId6" Type="http://schemas.openxmlformats.org/officeDocument/2006/relationships/hyperlink" Target="https://www.census.gov/quickfacts/alconacountymichigan" TargetMode="External"/><Relationship Id="rId15" Type="http://schemas.openxmlformats.org/officeDocument/2006/relationships/hyperlink" Target="http://www.countyhealthrankings.org/app/michigan/2018/downloads" TargetMode="External"/><Relationship Id="rId23" Type="http://schemas.openxmlformats.org/officeDocument/2006/relationships/hyperlink" Target="https://datacenter.kidscount.org/data" TargetMode="External"/><Relationship Id="rId28" Type="http://schemas.openxmlformats.org/officeDocument/2006/relationships/hyperlink" Target="https://data.hrsa.gov/tools/shortage-area/hpsa-find" TargetMode="External"/><Relationship Id="rId36" Type="http://schemas.openxmlformats.org/officeDocument/2006/relationships/hyperlink" Target="https://data.census.gov/cedsci/table?q=dp04&amp;g=0100000US_0400000US26_0500000US26001,26007,26009,26011,26019,26029,26031,26033,26035,26039,26047,26051,26055,26069,26073,26079,26085,26089,26097,26101,26105,26107,26113,26119,26123,26127,26133,26135,26137,26141,26143,26165&amp;tid=ACSDP5Y2019.DP04&amp;hidePreview=true" TargetMode="External"/><Relationship Id="rId49" Type="http://schemas.openxmlformats.org/officeDocument/2006/relationships/hyperlink" Target="https://mdoe.state.mi.us/schoolhealthsurveys/ExternalReports/CountyReportGeneration.aspx" TargetMode="External"/><Relationship Id="rId57" Type="http://schemas.openxmlformats.org/officeDocument/2006/relationships/hyperlink" Target="https://www.mdch.state.mi.us/osr/chi/deaths/frame.asp?Topic=13" TargetMode="External"/><Relationship Id="rId10" Type="http://schemas.openxmlformats.org/officeDocument/2006/relationships/hyperlink" Target="https://www.census.gov/quickfacts/alconacountymichigan" TargetMode="External"/><Relationship Id="rId31" Type="http://schemas.openxmlformats.org/officeDocument/2006/relationships/hyperlink" Target="https://data.hrsa.gov/tools/shortage-area/hpsa-find" TargetMode="External"/><Relationship Id="rId44" Type="http://schemas.openxmlformats.org/officeDocument/2006/relationships/hyperlink" Target="https://mielections.us/election/results/2020GEN_CENR_TURNOUT.html" TargetMode="External"/><Relationship Id="rId52" Type="http://schemas.openxmlformats.org/officeDocument/2006/relationships/hyperlink" Target="https://vitalstats.michigan.gov/osr/CHI/CRI/frame.asp" TargetMode="External"/><Relationship Id="rId60" Type="http://schemas.openxmlformats.org/officeDocument/2006/relationships/hyperlink" Target="https://vitalstats.michigan.gov/osr/CHI/CRI/frame.asp" TargetMode="External"/><Relationship Id="rId65" Type="http://schemas.openxmlformats.org/officeDocument/2006/relationships/printerSettings" Target="../printerSettings/printerSettings3.bin"/><Relationship Id="rId4" Type="http://schemas.openxmlformats.org/officeDocument/2006/relationships/hyperlink" Target="https://www.census.gov/quickfacts/alconacountymichigan" TargetMode="External"/><Relationship Id="rId9" Type="http://schemas.openxmlformats.org/officeDocument/2006/relationships/hyperlink" Target="https://www.census.gov/quickfacts/alconacountymichigan" TargetMode="External"/><Relationship Id="rId13" Type="http://schemas.openxmlformats.org/officeDocument/2006/relationships/hyperlink" Target="https://www.census.gov/quickfacts/alconacountymichigan" TargetMode="External"/><Relationship Id="rId18" Type="http://schemas.openxmlformats.org/officeDocument/2006/relationships/hyperlink" Target="https://data.census.gov/cedsci/table?q=cp03&amp;g=0100000US_0400000US26,26.050000&amp;tid=ACSCP5Y2019.CP03&amp;hidePreview=true" TargetMode="External"/><Relationship Id="rId39" Type="http://schemas.openxmlformats.org/officeDocument/2006/relationships/hyperlink" Target="https://datacenter.kidscount.org/data"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2911C-7145-4D95-8233-726E88F0678E}">
  <dimension ref="A1:D11"/>
  <sheetViews>
    <sheetView zoomScale="70" zoomScaleNormal="70" workbookViewId="0">
      <selection activeCell="J4" sqref="J4"/>
    </sheetView>
  </sheetViews>
  <sheetFormatPr defaultColWidth="8.7265625" defaultRowHeight="14.5" x14ac:dyDescent="0.35"/>
  <cols>
    <col min="1" max="1" width="8.7265625" style="84"/>
    <col min="2" max="2" width="60.1796875" style="84" customWidth="1"/>
    <col min="3" max="3" width="68" style="84" customWidth="1"/>
    <col min="4" max="4" width="65.1796875" style="84" customWidth="1"/>
    <col min="5" max="16384" width="8.7265625" style="84"/>
  </cols>
  <sheetData>
    <row r="1" spans="1:4" ht="80.25" customHeight="1" x14ac:dyDescent="0.35">
      <c r="A1" s="216"/>
      <c r="B1" s="216"/>
      <c r="C1" s="216"/>
      <c r="D1" s="216"/>
    </row>
    <row r="2" spans="1:4" ht="72" customHeight="1" x14ac:dyDescent="0.35">
      <c r="A2" s="217" t="s">
        <v>951</v>
      </c>
      <c r="B2" s="217"/>
      <c r="C2" s="217"/>
      <c r="D2" s="217"/>
    </row>
    <row r="3" spans="1:4" ht="23.25" customHeight="1" x14ac:dyDescent="0.35">
      <c r="A3" s="218" t="s">
        <v>0</v>
      </c>
      <c r="B3" s="218"/>
      <c r="C3" s="204" t="s">
        <v>1</v>
      </c>
      <c r="D3" s="204" t="s">
        <v>2</v>
      </c>
    </row>
    <row r="4" spans="1:4" ht="108" customHeight="1" x14ac:dyDescent="0.35">
      <c r="A4" s="219" t="s">
        <v>3</v>
      </c>
      <c r="B4" s="219"/>
      <c r="C4" s="205" t="s">
        <v>4</v>
      </c>
      <c r="D4" s="206"/>
    </row>
    <row r="5" spans="1:4" ht="45" customHeight="1" x14ac:dyDescent="0.35">
      <c r="A5" s="220" t="s">
        <v>5</v>
      </c>
      <c r="B5" s="220"/>
      <c r="C5" s="215" t="s">
        <v>949</v>
      </c>
      <c r="D5" s="221" t="s">
        <v>6</v>
      </c>
    </row>
    <row r="6" spans="1:4" ht="51" customHeight="1" x14ac:dyDescent="0.35">
      <c r="A6" s="220"/>
      <c r="B6" s="220"/>
      <c r="C6" s="215"/>
      <c r="D6" s="221"/>
    </row>
    <row r="7" spans="1:4" ht="116.25" customHeight="1" x14ac:dyDescent="0.35">
      <c r="A7" s="214" t="s">
        <v>7</v>
      </c>
      <c r="B7" s="214"/>
      <c r="C7" s="209" t="s">
        <v>8</v>
      </c>
      <c r="D7" s="205" t="s">
        <v>9</v>
      </c>
    </row>
    <row r="8" spans="1:4" ht="83.5" customHeight="1" x14ac:dyDescent="0.35">
      <c r="A8" s="214"/>
      <c r="B8" s="214"/>
      <c r="C8" s="210" t="s">
        <v>10</v>
      </c>
      <c r="D8" s="205" t="s">
        <v>11</v>
      </c>
    </row>
    <row r="9" spans="1:4" ht="65.25" customHeight="1" x14ac:dyDescent="0.35">
      <c r="A9" s="214"/>
      <c r="B9" s="214"/>
      <c r="C9" s="210" t="s">
        <v>12</v>
      </c>
      <c r="D9" s="205" t="s">
        <v>13</v>
      </c>
    </row>
    <row r="10" spans="1:4" ht="95.25" customHeight="1" x14ac:dyDescent="0.35">
      <c r="A10" s="214" t="s">
        <v>14</v>
      </c>
      <c r="B10" s="214"/>
      <c r="C10" s="211" t="s">
        <v>950</v>
      </c>
      <c r="D10" s="207"/>
    </row>
    <row r="11" spans="1:4" x14ac:dyDescent="0.35">
      <c r="C11" s="208"/>
    </row>
  </sheetData>
  <sheetProtection algorithmName="SHA-512" hashValue="0Jtb4enu4GKJ+lLCPCLDKryOlclt6e0DIoTMjxpaOFfGLQpodLVD9FulaDZGqHgNeQCsVbf9q+eXqDjOZwKqwQ==" saltValue="VAPnVnwhboybSKDppoSaWA==" spinCount="100000" sheet="1" objects="1" scenarios="1"/>
  <mergeCells count="9">
    <mergeCell ref="A7:B9"/>
    <mergeCell ref="A10:B10"/>
    <mergeCell ref="C5:C6"/>
    <mergeCell ref="A1:D1"/>
    <mergeCell ref="A2:D2"/>
    <mergeCell ref="A3:B3"/>
    <mergeCell ref="A4:B4"/>
    <mergeCell ref="A5:B6"/>
    <mergeCell ref="D5:D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A80E-9B2D-4CCD-BA89-081365E05585}">
  <sheetPr>
    <tabColor rgb="FF00B050"/>
  </sheetPr>
  <dimension ref="A1:F105"/>
  <sheetViews>
    <sheetView tabSelected="1" workbookViewId="0">
      <selection activeCell="H21" sqref="H21"/>
    </sheetView>
  </sheetViews>
  <sheetFormatPr defaultColWidth="18.81640625" defaultRowHeight="14.5" x14ac:dyDescent="0.35"/>
  <cols>
    <col min="1" max="1" width="53.1796875" style="144" bestFit="1" customWidth="1"/>
    <col min="2" max="4" width="18.81640625" style="145"/>
    <col min="5" max="5" width="21.81640625" style="142" customWidth="1"/>
    <col min="6" max="6" width="18.81640625" style="142" customWidth="1"/>
    <col min="7" max="16384" width="18.81640625" style="142"/>
  </cols>
  <sheetData>
    <row r="1" spans="1:6" ht="50.15" customHeight="1" x14ac:dyDescent="0.35">
      <c r="A1" s="228" t="s">
        <v>15</v>
      </c>
      <c r="B1" s="229"/>
      <c r="C1" s="229"/>
      <c r="D1" s="229"/>
      <c r="E1" s="230"/>
    </row>
    <row r="2" spans="1:6" ht="15" customHeight="1" x14ac:dyDescent="0.35">
      <c r="A2" s="78" t="s">
        <v>16</v>
      </c>
      <c r="B2" s="222" t="s">
        <v>17</v>
      </c>
      <c r="C2" s="224" t="s">
        <v>18</v>
      </c>
      <c r="D2" s="187" t="s">
        <v>19</v>
      </c>
      <c r="E2" s="226" t="s">
        <v>20</v>
      </c>
    </row>
    <row r="3" spans="1:6" x14ac:dyDescent="0.35">
      <c r="A3" s="79" t="s">
        <v>21</v>
      </c>
      <c r="B3" s="223"/>
      <c r="C3" s="225"/>
      <c r="D3" s="188" t="s">
        <v>22</v>
      </c>
      <c r="E3" s="227"/>
      <c r="F3" s="143"/>
    </row>
    <row r="4" spans="1:6" x14ac:dyDescent="0.35">
      <c r="A4" s="55" t="s">
        <v>23</v>
      </c>
      <c r="B4" s="64">
        <v>328239523</v>
      </c>
      <c r="C4" s="64">
        <v>9986857</v>
      </c>
      <c r="D4" s="212">
        <v>25276</v>
      </c>
      <c r="E4" s="138"/>
    </row>
    <row r="5" spans="1:6" x14ac:dyDescent="0.35">
      <c r="A5" s="56" t="s">
        <v>24</v>
      </c>
      <c r="B5" s="61">
        <v>50.8</v>
      </c>
      <c r="C5" s="61">
        <v>50.7</v>
      </c>
      <c r="D5" s="189">
        <v>50.1</v>
      </c>
      <c r="E5" s="137"/>
    </row>
    <row r="6" spans="1:6" x14ac:dyDescent="0.35">
      <c r="A6" s="56" t="s">
        <v>25</v>
      </c>
      <c r="B6" s="61">
        <v>49.2</v>
      </c>
      <c r="C6" s="61">
        <v>49.3</v>
      </c>
      <c r="D6" s="190">
        <v>49.9</v>
      </c>
      <c r="E6" s="137"/>
    </row>
    <row r="7" spans="1:6" x14ac:dyDescent="0.35">
      <c r="A7" s="56" t="s">
        <v>26</v>
      </c>
      <c r="B7" s="61">
        <v>6</v>
      </c>
      <c r="C7" s="61">
        <v>5.7</v>
      </c>
      <c r="D7" s="190">
        <v>4.0999999999999996</v>
      </c>
      <c r="E7" s="137"/>
    </row>
    <row r="8" spans="1:6" x14ac:dyDescent="0.35">
      <c r="A8" s="56" t="s">
        <v>27</v>
      </c>
      <c r="B8" s="61">
        <v>22.3</v>
      </c>
      <c r="C8" s="61">
        <v>21.5</v>
      </c>
      <c r="D8" s="190">
        <v>16.2</v>
      </c>
      <c r="E8" s="137"/>
    </row>
    <row r="9" spans="1:6" x14ac:dyDescent="0.35">
      <c r="A9" s="56" t="s">
        <v>28</v>
      </c>
      <c r="B9" s="61">
        <v>55.2</v>
      </c>
      <c r="C9" s="61">
        <v>55.1</v>
      </c>
      <c r="D9" s="190">
        <v>51.6</v>
      </c>
      <c r="E9" s="137"/>
    </row>
    <row r="10" spans="1:6" x14ac:dyDescent="0.35">
      <c r="A10" s="56" t="s">
        <v>29</v>
      </c>
      <c r="B10" s="61">
        <v>16.5</v>
      </c>
      <c r="C10" s="61">
        <v>17.7</v>
      </c>
      <c r="D10" s="190">
        <v>28.1</v>
      </c>
      <c r="E10" s="137"/>
    </row>
    <row r="11" spans="1:6" x14ac:dyDescent="0.35">
      <c r="A11" s="56" t="s">
        <v>30</v>
      </c>
      <c r="B11" s="61">
        <v>13.4</v>
      </c>
      <c r="C11" s="61">
        <v>14.1</v>
      </c>
      <c r="D11" s="189">
        <v>0.7</v>
      </c>
      <c r="E11" s="137"/>
    </row>
    <row r="12" spans="1:6" x14ac:dyDescent="0.35">
      <c r="A12" s="56" t="s">
        <v>31</v>
      </c>
      <c r="B12" s="61">
        <v>1.3</v>
      </c>
      <c r="C12" s="61">
        <v>0.7</v>
      </c>
      <c r="D12" s="189">
        <v>3</v>
      </c>
      <c r="E12" s="137"/>
    </row>
    <row r="13" spans="1:6" x14ac:dyDescent="0.35">
      <c r="A13" s="56" t="s">
        <v>32</v>
      </c>
      <c r="B13" s="61">
        <v>5.9</v>
      </c>
      <c r="C13" s="61">
        <v>3.4</v>
      </c>
      <c r="D13" s="189">
        <v>0.4</v>
      </c>
      <c r="E13" s="137"/>
    </row>
    <row r="14" spans="1:6" x14ac:dyDescent="0.35">
      <c r="A14" s="57" t="s">
        <v>33</v>
      </c>
      <c r="B14" s="61">
        <v>0.2</v>
      </c>
      <c r="C14" s="61" t="s">
        <v>34</v>
      </c>
      <c r="D14" s="189">
        <v>0.1</v>
      </c>
      <c r="E14" s="137"/>
    </row>
    <row r="15" spans="1:6" x14ac:dyDescent="0.35">
      <c r="A15" s="56" t="s">
        <v>35</v>
      </c>
      <c r="B15" s="61">
        <v>18.5</v>
      </c>
      <c r="C15" s="61">
        <v>5.3</v>
      </c>
      <c r="D15" s="189">
        <v>1.5</v>
      </c>
      <c r="E15" s="137"/>
    </row>
    <row r="16" spans="1:6" x14ac:dyDescent="0.35">
      <c r="A16" s="57" t="s">
        <v>36</v>
      </c>
      <c r="B16" s="61">
        <v>60.1</v>
      </c>
      <c r="C16" s="61">
        <v>74.7</v>
      </c>
      <c r="D16" s="189">
        <v>91.8</v>
      </c>
      <c r="E16" s="137"/>
    </row>
    <row r="17" spans="1:5" x14ac:dyDescent="0.35">
      <c r="A17" s="56" t="s">
        <v>37</v>
      </c>
      <c r="B17" s="62">
        <v>120756048</v>
      </c>
      <c r="C17" s="62">
        <v>3935041</v>
      </c>
      <c r="D17" s="191">
        <v>11195</v>
      </c>
      <c r="E17" s="137"/>
    </row>
    <row r="18" spans="1:5" x14ac:dyDescent="0.35">
      <c r="A18" s="56" t="s">
        <v>38</v>
      </c>
      <c r="B18" s="61" t="s">
        <v>39</v>
      </c>
      <c r="C18" s="61">
        <v>1</v>
      </c>
      <c r="D18" s="189">
        <v>0</v>
      </c>
      <c r="E18" s="137"/>
    </row>
    <row r="19" spans="1:5" x14ac:dyDescent="0.35">
      <c r="A19" s="56" t="s">
        <v>40</v>
      </c>
      <c r="B19" s="61">
        <v>12.6</v>
      </c>
      <c r="C19" s="61">
        <v>14.2</v>
      </c>
      <c r="D19" s="189">
        <v>19.600000000000001</v>
      </c>
      <c r="E19" s="137"/>
    </row>
    <row r="20" spans="1:5" x14ac:dyDescent="0.35">
      <c r="A20" s="56" t="s">
        <v>41</v>
      </c>
      <c r="B20" s="61" t="s">
        <v>39</v>
      </c>
      <c r="C20" s="61">
        <v>25.4</v>
      </c>
      <c r="D20" s="189">
        <v>82.7</v>
      </c>
      <c r="E20" s="137"/>
    </row>
    <row r="21" spans="1:5" x14ac:dyDescent="0.35">
      <c r="A21" s="58" t="s">
        <v>42</v>
      </c>
      <c r="B21" s="62">
        <v>62843</v>
      </c>
      <c r="C21" s="62">
        <v>57144</v>
      </c>
      <c r="D21" s="191">
        <v>48044</v>
      </c>
      <c r="E21" s="192">
        <v>2</v>
      </c>
    </row>
    <row r="22" spans="1:5" x14ac:dyDescent="0.35">
      <c r="A22" s="58" t="s">
        <v>43</v>
      </c>
      <c r="B22" s="61">
        <v>29</v>
      </c>
      <c r="C22" s="61">
        <v>25</v>
      </c>
      <c r="D22" s="190">
        <v>25.3</v>
      </c>
      <c r="E22" s="192">
        <v>1</v>
      </c>
    </row>
    <row r="23" spans="1:5" x14ac:dyDescent="0.35">
      <c r="A23" s="58" t="s">
        <v>44</v>
      </c>
      <c r="B23" s="61">
        <v>13</v>
      </c>
      <c r="C23" s="83">
        <v>13</v>
      </c>
      <c r="D23" s="190">
        <v>14.3</v>
      </c>
      <c r="E23" s="192">
        <v>2</v>
      </c>
    </row>
    <row r="24" spans="1:5" x14ac:dyDescent="0.35">
      <c r="A24" s="58" t="s">
        <v>45</v>
      </c>
      <c r="B24" s="61">
        <v>9.5</v>
      </c>
      <c r="C24" s="61">
        <v>9.9</v>
      </c>
      <c r="D24" s="190">
        <v>10.7</v>
      </c>
      <c r="E24" s="192">
        <v>3</v>
      </c>
    </row>
    <row r="25" spans="1:5" x14ac:dyDescent="0.35">
      <c r="A25" s="58" t="s">
        <v>46</v>
      </c>
      <c r="B25" s="61">
        <v>13.4</v>
      </c>
      <c r="C25" s="61">
        <v>14.4</v>
      </c>
      <c r="D25" s="190">
        <v>14.9</v>
      </c>
      <c r="E25" s="192">
        <v>2</v>
      </c>
    </row>
    <row r="26" spans="1:5" x14ac:dyDescent="0.35">
      <c r="A26" s="58" t="s">
        <v>47</v>
      </c>
      <c r="B26" s="61">
        <v>18.5</v>
      </c>
      <c r="C26" s="61">
        <v>19.899999999999999</v>
      </c>
      <c r="D26" s="190">
        <v>23.5</v>
      </c>
      <c r="E26" s="192">
        <v>3</v>
      </c>
    </row>
    <row r="27" spans="1:5" x14ac:dyDescent="0.35">
      <c r="A27" s="58" t="s">
        <v>48</v>
      </c>
      <c r="B27" s="61">
        <v>3.4</v>
      </c>
      <c r="C27" s="61">
        <v>3.7</v>
      </c>
      <c r="D27" s="190">
        <v>3.9</v>
      </c>
      <c r="E27" s="192">
        <v>4</v>
      </c>
    </row>
    <row r="28" spans="1:5" x14ac:dyDescent="0.35">
      <c r="A28" s="58" t="s">
        <v>49</v>
      </c>
      <c r="B28" s="61">
        <v>0.48</v>
      </c>
      <c r="C28" s="61">
        <v>0.47</v>
      </c>
      <c r="D28" s="190">
        <v>0.42</v>
      </c>
      <c r="E28" s="192">
        <v>1</v>
      </c>
    </row>
    <row r="29" spans="1:5" x14ac:dyDescent="0.35">
      <c r="A29" s="56" t="s">
        <v>50</v>
      </c>
      <c r="B29" s="61" t="s">
        <v>39</v>
      </c>
      <c r="C29" s="61">
        <v>22.9</v>
      </c>
      <c r="D29" s="190">
        <v>29.7</v>
      </c>
      <c r="E29" s="192">
        <v>2</v>
      </c>
    </row>
    <row r="30" spans="1:5" x14ac:dyDescent="0.35">
      <c r="A30" s="56" t="s">
        <v>51</v>
      </c>
      <c r="B30" s="61" t="s">
        <v>39</v>
      </c>
      <c r="C30" s="61">
        <v>54.2</v>
      </c>
      <c r="D30" s="190">
        <v>66.900000000000006</v>
      </c>
      <c r="E30" s="192">
        <v>4</v>
      </c>
    </row>
    <row r="31" spans="1:5" x14ac:dyDescent="0.35">
      <c r="A31" s="56" t="s">
        <v>52</v>
      </c>
      <c r="B31" s="61" t="s">
        <v>39</v>
      </c>
      <c r="C31" s="61">
        <v>4.0999999999999996</v>
      </c>
      <c r="D31" s="190">
        <v>7.1</v>
      </c>
      <c r="E31" s="192">
        <v>1</v>
      </c>
    </row>
    <row r="32" spans="1:5" x14ac:dyDescent="0.35">
      <c r="A32" s="56" t="s">
        <v>53</v>
      </c>
      <c r="B32" s="61" t="s">
        <v>39</v>
      </c>
      <c r="C32" s="61">
        <v>99.4</v>
      </c>
      <c r="D32" s="190">
        <v>100</v>
      </c>
      <c r="E32" s="192">
        <v>4</v>
      </c>
    </row>
    <row r="33" spans="1:5" x14ac:dyDescent="0.35">
      <c r="A33" s="58" t="s">
        <v>54</v>
      </c>
      <c r="B33" s="61" t="s">
        <v>39</v>
      </c>
      <c r="C33" s="83">
        <v>82.1</v>
      </c>
      <c r="D33" s="190">
        <v>86.8</v>
      </c>
      <c r="E33" s="192">
        <v>2</v>
      </c>
    </row>
    <row r="34" spans="1:5" x14ac:dyDescent="0.35">
      <c r="A34" s="56" t="s">
        <v>55</v>
      </c>
      <c r="B34" s="61">
        <v>88</v>
      </c>
      <c r="C34" s="61">
        <v>90.8</v>
      </c>
      <c r="D34" s="190">
        <v>90.1</v>
      </c>
      <c r="E34" s="192">
        <v>2</v>
      </c>
    </row>
    <row r="35" spans="1:5" x14ac:dyDescent="0.35">
      <c r="A35" s="56" t="s">
        <v>56</v>
      </c>
      <c r="B35" s="61">
        <v>32.1</v>
      </c>
      <c r="C35" s="61">
        <v>29.1</v>
      </c>
      <c r="D35" s="190">
        <v>20.7</v>
      </c>
      <c r="E35" s="192">
        <v>2</v>
      </c>
    </row>
    <row r="36" spans="1:5" x14ac:dyDescent="0.35">
      <c r="A36" s="56" t="s">
        <v>57</v>
      </c>
      <c r="B36" s="61">
        <v>8.8000000000000007</v>
      </c>
      <c r="C36" s="61">
        <v>5.5</v>
      </c>
      <c r="D36" s="190">
        <v>7.2</v>
      </c>
      <c r="E36" s="192">
        <v>3</v>
      </c>
    </row>
    <row r="37" spans="1:5" x14ac:dyDescent="0.35">
      <c r="A37" s="58" t="s">
        <v>58</v>
      </c>
      <c r="B37" s="61" t="s">
        <v>39</v>
      </c>
      <c r="C37" s="61" t="s">
        <v>39</v>
      </c>
      <c r="D37" s="190">
        <v>16.100000000000001</v>
      </c>
      <c r="E37" s="192">
        <v>3</v>
      </c>
    </row>
    <row r="38" spans="1:5" x14ac:dyDescent="0.35">
      <c r="A38" s="56" t="s">
        <v>59</v>
      </c>
      <c r="B38" s="61" t="s">
        <v>39</v>
      </c>
      <c r="C38" s="62">
        <v>4789</v>
      </c>
      <c r="D38" s="203">
        <v>3694</v>
      </c>
      <c r="E38" s="192">
        <v>2</v>
      </c>
    </row>
    <row r="39" spans="1:5" x14ac:dyDescent="0.35">
      <c r="A39" s="56" t="s">
        <v>60</v>
      </c>
      <c r="B39" s="61" t="s">
        <v>39</v>
      </c>
      <c r="C39" s="61">
        <v>14</v>
      </c>
      <c r="D39" s="190">
        <v>14.5</v>
      </c>
      <c r="E39" s="192">
        <v>2</v>
      </c>
    </row>
    <row r="40" spans="1:5" x14ac:dyDescent="0.35">
      <c r="A40" s="56" t="s">
        <v>61</v>
      </c>
      <c r="B40" s="61" t="s">
        <v>39</v>
      </c>
      <c r="C40" s="61">
        <v>17.18</v>
      </c>
      <c r="D40" s="190">
        <v>19.5</v>
      </c>
      <c r="E40" s="192">
        <v>3</v>
      </c>
    </row>
    <row r="41" spans="1:5" x14ac:dyDescent="0.35">
      <c r="A41" s="56" t="s">
        <v>62</v>
      </c>
      <c r="B41" s="61" t="s">
        <v>39</v>
      </c>
      <c r="C41" s="61">
        <v>15.02</v>
      </c>
      <c r="D41" s="190">
        <v>17.5</v>
      </c>
      <c r="E41" s="192">
        <v>2</v>
      </c>
    </row>
    <row r="42" spans="1:5" x14ac:dyDescent="0.35">
      <c r="A42" s="56" t="s">
        <v>63</v>
      </c>
      <c r="B42" s="61" t="s">
        <v>39</v>
      </c>
      <c r="C42" s="61">
        <v>70.599999999999994</v>
      </c>
      <c r="D42" s="190">
        <v>70.400000000000006</v>
      </c>
      <c r="E42" s="192">
        <v>2</v>
      </c>
    </row>
    <row r="43" spans="1:5" x14ac:dyDescent="0.35">
      <c r="A43" s="56" t="s">
        <v>64</v>
      </c>
      <c r="B43" s="61">
        <v>86.2</v>
      </c>
      <c r="C43" s="61">
        <v>85.7</v>
      </c>
      <c r="D43" s="190">
        <v>80.599999999999994</v>
      </c>
      <c r="E43" s="192">
        <v>3</v>
      </c>
    </row>
    <row r="44" spans="1:5" x14ac:dyDescent="0.35">
      <c r="A44" s="56" t="s">
        <v>65</v>
      </c>
      <c r="B44" s="61" t="s">
        <v>39</v>
      </c>
      <c r="C44" s="61">
        <v>15</v>
      </c>
      <c r="D44" s="190">
        <v>11</v>
      </c>
      <c r="E44" s="192">
        <v>1</v>
      </c>
    </row>
    <row r="45" spans="1:5" x14ac:dyDescent="0.35">
      <c r="A45" s="58" t="s">
        <v>66</v>
      </c>
      <c r="B45" s="82">
        <v>217500</v>
      </c>
      <c r="C45" s="82">
        <v>154900</v>
      </c>
      <c r="D45" s="191">
        <v>130900</v>
      </c>
      <c r="E45" s="192">
        <v>2</v>
      </c>
    </row>
    <row r="46" spans="1:5" x14ac:dyDescent="0.35">
      <c r="A46" s="58" t="s">
        <v>67</v>
      </c>
      <c r="B46" s="61">
        <v>36</v>
      </c>
      <c r="C46" s="61">
        <v>28.8</v>
      </c>
      <c r="D46" s="190">
        <v>17.600000000000001</v>
      </c>
      <c r="E46" s="192">
        <v>3</v>
      </c>
    </row>
    <row r="47" spans="1:5" x14ac:dyDescent="0.35">
      <c r="A47" s="58" t="s">
        <v>68</v>
      </c>
      <c r="B47" s="61">
        <v>40.5</v>
      </c>
      <c r="C47" s="61">
        <v>40</v>
      </c>
      <c r="D47" s="190">
        <v>39.299999999999997</v>
      </c>
      <c r="E47" s="192">
        <v>3</v>
      </c>
    </row>
    <row r="48" spans="1:5" x14ac:dyDescent="0.35">
      <c r="A48" s="58" t="s">
        <v>69</v>
      </c>
      <c r="B48" s="61">
        <v>20.9</v>
      </c>
      <c r="C48" s="61">
        <v>17.2</v>
      </c>
      <c r="D48" s="190">
        <v>22.7</v>
      </c>
      <c r="E48" s="192">
        <v>3</v>
      </c>
    </row>
    <row r="49" spans="1:5" x14ac:dyDescent="0.35">
      <c r="A49" s="56" t="s">
        <v>70</v>
      </c>
      <c r="B49" s="61" t="s">
        <v>39</v>
      </c>
      <c r="C49" s="61">
        <v>340.6</v>
      </c>
      <c r="D49" s="190">
        <v>110.8</v>
      </c>
      <c r="E49" s="192">
        <v>2</v>
      </c>
    </row>
    <row r="50" spans="1:5" x14ac:dyDescent="0.35">
      <c r="A50" s="56" t="s">
        <v>71</v>
      </c>
      <c r="B50" s="61">
        <v>12.1</v>
      </c>
      <c r="C50" s="61">
        <v>14.4</v>
      </c>
      <c r="D50" s="190">
        <v>39.5</v>
      </c>
      <c r="E50" s="192">
        <v>2</v>
      </c>
    </row>
    <row r="51" spans="1:5" x14ac:dyDescent="0.35">
      <c r="A51" s="56" t="s">
        <v>72</v>
      </c>
      <c r="B51" s="61" t="s">
        <v>39</v>
      </c>
      <c r="C51" s="61">
        <v>95.9</v>
      </c>
      <c r="D51" s="190">
        <v>157.69999999999999</v>
      </c>
      <c r="E51" s="192">
        <v>3</v>
      </c>
    </row>
    <row r="52" spans="1:5" x14ac:dyDescent="0.35">
      <c r="A52" s="56" t="s">
        <v>73</v>
      </c>
      <c r="B52" s="61" t="s">
        <v>39</v>
      </c>
      <c r="C52" s="61" t="s">
        <v>39</v>
      </c>
      <c r="D52" s="190" t="s">
        <v>39</v>
      </c>
      <c r="E52" s="192" t="s">
        <v>39</v>
      </c>
    </row>
    <row r="53" spans="1:5" x14ac:dyDescent="0.35">
      <c r="A53" s="56" t="s">
        <v>74</v>
      </c>
      <c r="B53" s="61" t="s">
        <v>39</v>
      </c>
      <c r="C53" s="61">
        <v>14.2</v>
      </c>
      <c r="D53" s="190">
        <v>21.4</v>
      </c>
      <c r="E53" s="192">
        <v>4</v>
      </c>
    </row>
    <row r="54" spans="1:5" x14ac:dyDescent="0.35">
      <c r="A54" s="56" t="s">
        <v>75</v>
      </c>
      <c r="B54" s="61" t="s">
        <v>39</v>
      </c>
      <c r="C54" s="61">
        <v>13</v>
      </c>
      <c r="D54" s="190">
        <v>16.8</v>
      </c>
      <c r="E54" s="192">
        <v>4</v>
      </c>
    </row>
    <row r="55" spans="1:5" x14ac:dyDescent="0.35">
      <c r="A55" s="56" t="s">
        <v>76</v>
      </c>
      <c r="B55" s="61" t="s">
        <v>39</v>
      </c>
      <c r="C55" s="61">
        <v>44.3</v>
      </c>
      <c r="D55" s="190">
        <v>58.9</v>
      </c>
      <c r="E55" s="192">
        <v>3</v>
      </c>
    </row>
    <row r="56" spans="1:5" x14ac:dyDescent="0.35">
      <c r="A56" s="56" t="s">
        <v>77</v>
      </c>
      <c r="B56" s="61" t="s">
        <v>39</v>
      </c>
      <c r="C56" s="61" t="s">
        <v>39</v>
      </c>
      <c r="D56" s="190" t="s">
        <v>39</v>
      </c>
      <c r="E56" s="192" t="s">
        <v>39</v>
      </c>
    </row>
    <row r="57" spans="1:5" x14ac:dyDescent="0.35">
      <c r="A57" s="56" t="s">
        <v>78</v>
      </c>
      <c r="B57" s="61">
        <v>0.92</v>
      </c>
      <c r="C57" s="61">
        <v>1</v>
      </c>
      <c r="D57" s="190">
        <v>0.85</v>
      </c>
      <c r="E57" s="192">
        <v>4</v>
      </c>
    </row>
    <row r="58" spans="1:5" x14ac:dyDescent="0.35">
      <c r="A58" s="56" t="s">
        <v>79</v>
      </c>
      <c r="B58" s="61">
        <v>8.6</v>
      </c>
      <c r="C58" s="61">
        <v>7.7</v>
      </c>
      <c r="D58" s="190">
        <v>4.8</v>
      </c>
      <c r="E58" s="192">
        <v>2</v>
      </c>
    </row>
    <row r="59" spans="1:5" x14ac:dyDescent="0.35">
      <c r="A59" s="59" t="s">
        <v>80</v>
      </c>
      <c r="B59" s="61">
        <v>62.6</v>
      </c>
      <c r="C59" s="61">
        <v>71.2</v>
      </c>
      <c r="D59" s="190">
        <v>75.3</v>
      </c>
      <c r="E59" s="192">
        <v>2</v>
      </c>
    </row>
    <row r="60" spans="1:5" x14ac:dyDescent="0.35">
      <c r="A60" s="56" t="s">
        <v>81</v>
      </c>
      <c r="B60" s="61" t="s">
        <v>39</v>
      </c>
      <c r="C60" s="61">
        <v>449.62</v>
      </c>
      <c r="D60" s="190">
        <v>417.18</v>
      </c>
      <c r="E60" s="192">
        <v>1</v>
      </c>
    </row>
    <row r="61" spans="1:5" x14ac:dyDescent="0.35">
      <c r="A61" s="56" t="s">
        <v>82</v>
      </c>
      <c r="B61" s="61" t="s">
        <v>39</v>
      </c>
      <c r="C61" s="61">
        <v>65.69</v>
      </c>
      <c r="D61" s="190">
        <v>47.24</v>
      </c>
      <c r="E61" s="192">
        <v>1</v>
      </c>
    </row>
    <row r="62" spans="1:5" x14ac:dyDescent="0.35">
      <c r="A62" s="56" t="s">
        <v>83</v>
      </c>
      <c r="B62" s="61" t="s">
        <v>39</v>
      </c>
      <c r="C62" s="61">
        <v>37.28</v>
      </c>
      <c r="D62" s="190">
        <v>29.24</v>
      </c>
      <c r="E62" s="192">
        <v>1</v>
      </c>
    </row>
    <row r="63" spans="1:5" x14ac:dyDescent="0.35">
      <c r="A63" s="56" t="s">
        <v>84</v>
      </c>
      <c r="B63" s="61" t="s">
        <v>39</v>
      </c>
      <c r="C63" s="61">
        <v>12.04</v>
      </c>
      <c r="D63" s="190">
        <v>11.46</v>
      </c>
      <c r="E63" s="192">
        <v>1</v>
      </c>
    </row>
    <row r="64" spans="1:5" x14ac:dyDescent="0.35">
      <c r="A64" s="56" t="s">
        <v>85</v>
      </c>
      <c r="B64" s="61" t="s">
        <v>39</v>
      </c>
      <c r="C64" s="61">
        <v>62.96</v>
      </c>
      <c r="D64" s="189">
        <v>63.9</v>
      </c>
      <c r="E64" s="192">
        <v>2</v>
      </c>
    </row>
    <row r="65" spans="1:5" x14ac:dyDescent="0.35">
      <c r="A65" s="56" t="s">
        <v>86</v>
      </c>
      <c r="B65" s="61" t="s">
        <v>39</v>
      </c>
      <c r="C65" s="61">
        <v>11.7</v>
      </c>
      <c r="D65" s="190">
        <v>21.2</v>
      </c>
      <c r="E65" s="192">
        <v>4</v>
      </c>
    </row>
    <row r="66" spans="1:5" x14ac:dyDescent="0.35">
      <c r="A66" s="56" t="s">
        <v>87</v>
      </c>
      <c r="B66" s="61" t="s">
        <v>39</v>
      </c>
      <c r="C66" s="61">
        <v>104.9</v>
      </c>
      <c r="D66" s="190">
        <v>106.6</v>
      </c>
      <c r="E66" s="192">
        <v>2</v>
      </c>
    </row>
    <row r="67" spans="1:5" x14ac:dyDescent="0.35">
      <c r="A67" s="56" t="s">
        <v>88</v>
      </c>
      <c r="B67" s="61" t="s">
        <v>39</v>
      </c>
      <c r="C67" s="61">
        <v>8.4</v>
      </c>
      <c r="D67" s="190" t="s">
        <v>34</v>
      </c>
      <c r="E67" s="192" t="s">
        <v>39</v>
      </c>
    </row>
    <row r="68" spans="1:5" x14ac:dyDescent="0.35">
      <c r="A68" s="56" t="s">
        <v>89</v>
      </c>
      <c r="B68" s="61" t="s">
        <v>39</v>
      </c>
      <c r="C68" s="61" t="s">
        <v>39</v>
      </c>
      <c r="D68" s="190" t="s">
        <v>39</v>
      </c>
      <c r="E68" s="192" t="s">
        <v>39</v>
      </c>
    </row>
    <row r="69" spans="1:5" x14ac:dyDescent="0.35">
      <c r="A69" s="56" t="s">
        <v>90</v>
      </c>
      <c r="B69" s="61" t="s">
        <v>39</v>
      </c>
      <c r="C69" s="61">
        <v>17.899999999999999</v>
      </c>
      <c r="D69" s="190">
        <v>21.4</v>
      </c>
      <c r="E69" s="192">
        <v>2</v>
      </c>
    </row>
    <row r="70" spans="1:5" x14ac:dyDescent="0.35">
      <c r="A70" s="56" t="s">
        <v>91</v>
      </c>
      <c r="B70" s="61" t="s">
        <v>39</v>
      </c>
      <c r="C70" s="61">
        <v>22.5</v>
      </c>
      <c r="D70" s="190">
        <v>25.2</v>
      </c>
      <c r="E70" s="192">
        <v>2</v>
      </c>
    </row>
    <row r="71" spans="1:5" x14ac:dyDescent="0.35">
      <c r="A71" s="56" t="s">
        <v>92</v>
      </c>
      <c r="B71" s="61" t="s">
        <v>39</v>
      </c>
      <c r="C71" s="61" t="s">
        <v>39</v>
      </c>
      <c r="D71" s="190"/>
      <c r="E71" s="192" t="s">
        <v>39</v>
      </c>
    </row>
    <row r="72" spans="1:5" x14ac:dyDescent="0.35">
      <c r="A72" s="56" t="s">
        <v>93</v>
      </c>
      <c r="B72" s="61" t="s">
        <v>39</v>
      </c>
      <c r="C72" s="61">
        <v>15.4</v>
      </c>
      <c r="D72" s="190" t="s">
        <v>34</v>
      </c>
      <c r="E72" s="192" t="s">
        <v>39</v>
      </c>
    </row>
    <row r="73" spans="1:5" x14ac:dyDescent="0.35">
      <c r="A73" s="56" t="s">
        <v>94</v>
      </c>
      <c r="B73" s="61" t="s">
        <v>39</v>
      </c>
      <c r="C73" s="61" t="s">
        <v>39</v>
      </c>
      <c r="D73" s="190" t="s">
        <v>39</v>
      </c>
      <c r="E73" s="192" t="s">
        <v>39</v>
      </c>
    </row>
    <row r="74" spans="1:5" x14ac:dyDescent="0.35">
      <c r="A74" s="56" t="s">
        <v>95</v>
      </c>
      <c r="B74" s="61" t="s">
        <v>39</v>
      </c>
      <c r="C74" s="61" t="s">
        <v>39</v>
      </c>
      <c r="D74" s="189">
        <v>35.700000000000003</v>
      </c>
      <c r="E74" s="192">
        <v>2</v>
      </c>
    </row>
    <row r="75" spans="1:5" x14ac:dyDescent="0.35">
      <c r="A75" s="56" t="s">
        <v>96</v>
      </c>
      <c r="B75" s="61" t="s">
        <v>39</v>
      </c>
      <c r="C75" s="61" t="s">
        <v>39</v>
      </c>
      <c r="D75" s="189" t="s">
        <v>39</v>
      </c>
      <c r="E75" s="192" t="s">
        <v>39</v>
      </c>
    </row>
    <row r="76" spans="1:5" x14ac:dyDescent="0.35">
      <c r="A76" s="56" t="s">
        <v>97</v>
      </c>
      <c r="B76" s="61" t="s">
        <v>39</v>
      </c>
      <c r="C76" s="61" t="s">
        <v>39</v>
      </c>
      <c r="D76" s="190">
        <v>41.7</v>
      </c>
      <c r="E76" s="192">
        <v>4</v>
      </c>
    </row>
    <row r="77" spans="1:5" x14ac:dyDescent="0.35">
      <c r="A77" s="56" t="s">
        <v>98</v>
      </c>
      <c r="B77" s="61" t="s">
        <v>39</v>
      </c>
      <c r="C77" s="61" t="s">
        <v>39</v>
      </c>
      <c r="D77" s="190">
        <v>16.899999999999999</v>
      </c>
      <c r="E77" s="192">
        <v>2</v>
      </c>
    </row>
    <row r="78" spans="1:5" x14ac:dyDescent="0.35">
      <c r="A78" s="56" t="s">
        <v>99</v>
      </c>
      <c r="B78" s="61" t="s">
        <v>39</v>
      </c>
      <c r="C78" s="61" t="s">
        <v>39</v>
      </c>
      <c r="D78" s="189" t="s">
        <v>39</v>
      </c>
      <c r="E78" s="192" t="s">
        <v>39</v>
      </c>
    </row>
    <row r="79" spans="1:5" x14ac:dyDescent="0.35">
      <c r="A79" s="56" t="s">
        <v>100</v>
      </c>
      <c r="B79" s="61" t="s">
        <v>39</v>
      </c>
      <c r="C79" s="61" t="s">
        <v>39</v>
      </c>
      <c r="D79" s="189" t="s">
        <v>39</v>
      </c>
      <c r="E79" s="192" t="s">
        <v>39</v>
      </c>
    </row>
    <row r="80" spans="1:5" x14ac:dyDescent="0.35">
      <c r="A80" s="56" t="s">
        <v>101</v>
      </c>
      <c r="B80" s="61" t="s">
        <v>39</v>
      </c>
      <c r="C80" s="61" t="s">
        <v>39</v>
      </c>
      <c r="D80" s="189" t="s">
        <v>39</v>
      </c>
      <c r="E80" s="192" t="s">
        <v>39</v>
      </c>
    </row>
    <row r="81" spans="1:5" x14ac:dyDescent="0.35">
      <c r="A81" s="56" t="s">
        <v>102</v>
      </c>
      <c r="B81" s="61" t="s">
        <v>39</v>
      </c>
      <c r="C81" s="61" t="s">
        <v>39</v>
      </c>
      <c r="D81" s="189" t="s">
        <v>39</v>
      </c>
      <c r="E81" s="192" t="s">
        <v>39</v>
      </c>
    </row>
    <row r="82" spans="1:5" x14ac:dyDescent="0.35">
      <c r="A82" s="56" t="s">
        <v>103</v>
      </c>
      <c r="B82" s="61" t="s">
        <v>39</v>
      </c>
      <c r="C82" s="61" t="s">
        <v>39</v>
      </c>
      <c r="D82" s="189" t="s">
        <v>39</v>
      </c>
      <c r="E82" s="192" t="s">
        <v>39</v>
      </c>
    </row>
    <row r="83" spans="1:5" x14ac:dyDescent="0.35">
      <c r="A83" s="56" t="s">
        <v>104</v>
      </c>
      <c r="B83" s="61" t="s">
        <v>39</v>
      </c>
      <c r="C83" s="61" t="s">
        <v>39</v>
      </c>
      <c r="D83" s="189" t="s">
        <v>39</v>
      </c>
      <c r="E83" s="192" t="s">
        <v>39</v>
      </c>
    </row>
    <row r="84" spans="1:5" x14ac:dyDescent="0.35">
      <c r="A84" s="56" t="s">
        <v>105</v>
      </c>
      <c r="B84" s="61" t="s">
        <v>39</v>
      </c>
      <c r="C84" s="61">
        <v>1515</v>
      </c>
      <c r="D84" s="190">
        <v>5</v>
      </c>
      <c r="E84" s="192" t="s">
        <v>39</v>
      </c>
    </row>
    <row r="85" spans="1:5" x14ac:dyDescent="0.35">
      <c r="A85" s="56" t="s">
        <v>106</v>
      </c>
      <c r="B85" s="61" t="s">
        <v>39</v>
      </c>
      <c r="C85" s="61">
        <v>15.17</v>
      </c>
      <c r="D85" s="189">
        <v>19.78</v>
      </c>
      <c r="E85" s="192">
        <v>2</v>
      </c>
    </row>
    <row r="86" spans="1:5" x14ac:dyDescent="0.35">
      <c r="A86" s="56" t="s">
        <v>107</v>
      </c>
      <c r="B86" s="61" t="s">
        <v>39</v>
      </c>
      <c r="C86" s="61">
        <v>781.3</v>
      </c>
      <c r="D86" s="190">
        <v>750.4</v>
      </c>
      <c r="E86" s="192">
        <v>1</v>
      </c>
    </row>
    <row r="87" spans="1:5" x14ac:dyDescent="0.35">
      <c r="A87" s="56" t="s">
        <v>108</v>
      </c>
      <c r="B87" s="61" t="s">
        <v>39</v>
      </c>
      <c r="C87" s="61">
        <v>162.4</v>
      </c>
      <c r="D87" s="190">
        <v>166.2</v>
      </c>
      <c r="E87" s="192">
        <v>2</v>
      </c>
    </row>
    <row r="88" spans="1:5" x14ac:dyDescent="0.35">
      <c r="A88" s="56" t="s">
        <v>109</v>
      </c>
      <c r="B88" s="61" t="s">
        <v>39</v>
      </c>
      <c r="C88" s="61">
        <v>22</v>
      </c>
      <c r="D88" s="190">
        <v>13</v>
      </c>
      <c r="E88" s="192">
        <v>1</v>
      </c>
    </row>
    <row r="89" spans="1:5" x14ac:dyDescent="0.35">
      <c r="A89" s="56" t="s">
        <v>110</v>
      </c>
      <c r="B89" s="61" t="s">
        <v>39</v>
      </c>
      <c r="C89" s="61">
        <v>196.4</v>
      </c>
      <c r="D89" s="190">
        <v>171.6</v>
      </c>
      <c r="E89" s="192">
        <v>2</v>
      </c>
    </row>
    <row r="90" spans="1:5" x14ac:dyDescent="0.35">
      <c r="A90" s="56" t="s">
        <v>111</v>
      </c>
      <c r="B90" s="61" t="s">
        <v>39</v>
      </c>
      <c r="C90" s="61">
        <v>97.9</v>
      </c>
      <c r="D90" s="190">
        <v>39.799999999999997</v>
      </c>
      <c r="E90" s="192">
        <v>1</v>
      </c>
    </row>
    <row r="91" spans="1:5" x14ac:dyDescent="0.35">
      <c r="A91" s="56" t="s">
        <v>112</v>
      </c>
      <c r="B91" s="61" t="s">
        <v>39</v>
      </c>
      <c r="C91" s="61">
        <v>78</v>
      </c>
      <c r="D91" s="190">
        <v>73</v>
      </c>
      <c r="E91" s="192">
        <v>2</v>
      </c>
    </row>
    <row r="92" spans="1:5" x14ac:dyDescent="0.35">
      <c r="A92" s="56" t="s">
        <v>113</v>
      </c>
      <c r="B92" s="61" t="s">
        <v>39</v>
      </c>
      <c r="C92" s="61">
        <v>10</v>
      </c>
      <c r="D92" s="190">
        <v>9</v>
      </c>
      <c r="E92" s="192">
        <v>1</v>
      </c>
    </row>
    <row r="93" spans="1:5" x14ac:dyDescent="0.35">
      <c r="A93" s="56" t="s">
        <v>114</v>
      </c>
      <c r="B93" s="61" t="s">
        <v>39</v>
      </c>
      <c r="C93" s="61">
        <v>29</v>
      </c>
      <c r="D93" s="190">
        <v>62</v>
      </c>
      <c r="E93" s="192">
        <v>3</v>
      </c>
    </row>
    <row r="94" spans="1:5" x14ac:dyDescent="0.35">
      <c r="A94" s="56" t="s">
        <v>115</v>
      </c>
      <c r="B94" s="61" t="s">
        <v>39</v>
      </c>
      <c r="C94" s="61" t="s">
        <v>39</v>
      </c>
      <c r="D94" s="190" t="s">
        <v>34</v>
      </c>
      <c r="E94" s="192" t="s">
        <v>39</v>
      </c>
    </row>
    <row r="95" spans="1:5" x14ac:dyDescent="0.35">
      <c r="A95" s="56" t="s">
        <v>116</v>
      </c>
      <c r="B95" s="61" t="s">
        <v>39</v>
      </c>
      <c r="C95" s="61">
        <v>49.2</v>
      </c>
      <c r="D95" s="190">
        <v>13</v>
      </c>
      <c r="E95" s="192">
        <v>2</v>
      </c>
    </row>
    <row r="96" spans="1:5" x14ac:dyDescent="0.35">
      <c r="A96" s="56" t="s">
        <v>117</v>
      </c>
      <c r="B96" s="61" t="s">
        <v>39</v>
      </c>
      <c r="C96" s="61" t="s">
        <v>39</v>
      </c>
      <c r="D96" s="190">
        <v>4.8</v>
      </c>
      <c r="E96" s="192" t="s">
        <v>39</v>
      </c>
    </row>
    <row r="97" spans="1:5" x14ac:dyDescent="0.35">
      <c r="A97" s="56" t="s">
        <v>118</v>
      </c>
      <c r="B97" s="61" t="s">
        <v>39</v>
      </c>
      <c r="C97" s="61">
        <v>14</v>
      </c>
      <c r="D97" s="190">
        <v>18.5</v>
      </c>
      <c r="E97" s="192">
        <v>2</v>
      </c>
    </row>
    <row r="98" spans="1:5" x14ac:dyDescent="0.35">
      <c r="A98" s="56" t="s">
        <v>119</v>
      </c>
      <c r="B98" s="61" t="s">
        <v>39</v>
      </c>
      <c r="C98" s="61">
        <v>33.299999999999997</v>
      </c>
      <c r="D98" s="190">
        <v>32.700000000000003</v>
      </c>
      <c r="E98" s="192">
        <v>3</v>
      </c>
    </row>
    <row r="99" spans="1:5" x14ac:dyDescent="0.35">
      <c r="A99" s="56" t="s">
        <v>120</v>
      </c>
      <c r="B99" s="61" t="s">
        <v>39</v>
      </c>
      <c r="C99" s="61">
        <v>44.7</v>
      </c>
      <c r="D99" s="190">
        <v>68.5</v>
      </c>
      <c r="E99" s="192">
        <v>4</v>
      </c>
    </row>
    <row r="100" spans="1:5" x14ac:dyDescent="0.35">
      <c r="A100" s="56" t="s">
        <v>121</v>
      </c>
      <c r="B100" s="61" t="s">
        <v>39</v>
      </c>
      <c r="C100" s="61">
        <v>14.8</v>
      </c>
      <c r="D100" s="190" t="s">
        <v>34</v>
      </c>
      <c r="E100" s="192" t="s">
        <v>39</v>
      </c>
    </row>
    <row r="101" spans="1:5" x14ac:dyDescent="0.35">
      <c r="A101" s="56" t="s">
        <v>122</v>
      </c>
      <c r="B101" s="61" t="s">
        <v>39</v>
      </c>
      <c r="C101" s="61">
        <v>10.8</v>
      </c>
      <c r="D101" s="190">
        <v>15.3</v>
      </c>
      <c r="E101" s="192">
        <v>3</v>
      </c>
    </row>
    <row r="102" spans="1:5" x14ac:dyDescent="0.35">
      <c r="A102" s="56" t="s">
        <v>123</v>
      </c>
      <c r="B102" s="61" t="s">
        <v>39</v>
      </c>
      <c r="C102" s="61">
        <v>2537</v>
      </c>
      <c r="D102" s="190">
        <v>5</v>
      </c>
      <c r="E102" s="192" t="s">
        <v>39</v>
      </c>
    </row>
    <row r="103" spans="1:5" x14ac:dyDescent="0.35">
      <c r="A103" s="56" t="s">
        <v>124</v>
      </c>
      <c r="B103" s="61" t="s">
        <v>39</v>
      </c>
      <c r="C103" s="61">
        <v>25</v>
      </c>
      <c r="D103" s="189">
        <v>19.78</v>
      </c>
      <c r="E103" s="192">
        <v>3</v>
      </c>
    </row>
    <row r="104" spans="1:5" x14ac:dyDescent="0.35">
      <c r="A104" s="56" t="s">
        <v>125</v>
      </c>
      <c r="B104" s="103" t="s">
        <v>39</v>
      </c>
      <c r="C104" s="61">
        <v>1190</v>
      </c>
      <c r="D104" s="190">
        <v>5</v>
      </c>
      <c r="E104" s="192" t="s">
        <v>39</v>
      </c>
    </row>
    <row r="105" spans="1:5" x14ac:dyDescent="0.35">
      <c r="A105" s="85" t="s">
        <v>126</v>
      </c>
      <c r="B105" s="104" t="s">
        <v>39</v>
      </c>
      <c r="C105" s="63">
        <v>11.92</v>
      </c>
      <c r="D105" s="202">
        <v>19.78</v>
      </c>
      <c r="E105" s="193">
        <v>3</v>
      </c>
    </row>
  </sheetData>
  <sheetProtection algorithmName="SHA-512" hashValue="/lDP34g6HLZnhpIXXbm6jtq8mhqJ4hJ4Bc771WaPIKHSvsswJ+xxqCS3/R1sfohm5qOZnoctstQinH/gVuoNFA==" saltValue="aOR4XUczax/GYa67Q61JHw==" spinCount="100000" sheet="1" objects="1" scenarios="1"/>
  <mergeCells count="4">
    <mergeCell ref="B2:B3"/>
    <mergeCell ref="C2:C3"/>
    <mergeCell ref="E2:E3"/>
    <mergeCell ref="A1:E1"/>
  </mergeCells>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F35-42E3-48C6-AA94-E3AF5C25BD27}">
  <sheetPr>
    <tabColor rgb="FF00B050"/>
  </sheetPr>
  <dimension ref="A1:H102"/>
  <sheetViews>
    <sheetView workbookViewId="0">
      <pane ySplit="2" topLeftCell="A3" activePane="bottomLeft" state="frozen"/>
      <selection pane="bottomLeft" activeCell="C11" sqref="C11"/>
    </sheetView>
  </sheetViews>
  <sheetFormatPr defaultColWidth="20.54296875" defaultRowHeight="45" customHeight="1" x14ac:dyDescent="0.35"/>
  <cols>
    <col min="1" max="2" width="20.54296875" style="146"/>
    <col min="3" max="6" width="20.54296875" style="147"/>
    <col min="7" max="8" width="20.54296875" style="148"/>
    <col min="9" max="16384" width="20.54296875" style="142"/>
  </cols>
  <sheetData>
    <row r="1" spans="1:8" ht="50.15" customHeight="1" thickBot="1" x14ac:dyDescent="0.4">
      <c r="A1" s="231" t="s">
        <v>127</v>
      </c>
      <c r="B1" s="232"/>
      <c r="C1" s="232"/>
      <c r="D1" s="232"/>
      <c r="E1" s="232"/>
      <c r="F1" s="232"/>
      <c r="G1" s="232"/>
      <c r="H1" s="233"/>
    </row>
    <row r="2" spans="1:8" ht="45" customHeight="1" thickBot="1" x14ac:dyDescent="0.4">
      <c r="A2" s="53" t="s">
        <v>128</v>
      </c>
      <c r="B2" s="54" t="s">
        <v>129</v>
      </c>
      <c r="C2" s="25" t="s">
        <v>130</v>
      </c>
      <c r="D2" s="26" t="s">
        <v>131</v>
      </c>
      <c r="E2" s="26" t="s">
        <v>132</v>
      </c>
      <c r="F2" s="26" t="s">
        <v>133</v>
      </c>
      <c r="G2" s="26" t="s">
        <v>134</v>
      </c>
      <c r="H2" s="54" t="s">
        <v>135</v>
      </c>
    </row>
    <row r="3" spans="1:8" ht="45" customHeight="1" x14ac:dyDescent="0.35">
      <c r="A3" s="9" t="s">
        <v>136</v>
      </c>
      <c r="B3" s="10" t="s">
        <v>23</v>
      </c>
      <c r="C3" s="27" t="s">
        <v>137</v>
      </c>
      <c r="D3" s="28" t="s">
        <v>138</v>
      </c>
      <c r="E3" s="28" t="s">
        <v>139</v>
      </c>
      <c r="F3" s="29" t="s">
        <v>140</v>
      </c>
      <c r="G3" s="28">
        <v>2019</v>
      </c>
      <c r="H3" s="72"/>
    </row>
    <row r="4" spans="1:8" ht="45" customHeight="1" x14ac:dyDescent="0.35">
      <c r="A4" s="11" t="s">
        <v>136</v>
      </c>
      <c r="B4" s="12" t="s">
        <v>141</v>
      </c>
      <c r="C4" s="6" t="s">
        <v>142</v>
      </c>
      <c r="D4" s="4" t="s">
        <v>138</v>
      </c>
      <c r="E4" s="4" t="s">
        <v>139</v>
      </c>
      <c r="F4" s="30" t="s">
        <v>140</v>
      </c>
      <c r="G4" s="4">
        <v>2019</v>
      </c>
      <c r="H4" s="3"/>
    </row>
    <row r="5" spans="1:8" ht="45" customHeight="1" x14ac:dyDescent="0.35">
      <c r="A5" s="13" t="s">
        <v>136</v>
      </c>
      <c r="B5" s="14" t="s">
        <v>143</v>
      </c>
      <c r="C5" s="7" t="s">
        <v>144</v>
      </c>
      <c r="D5" s="5" t="s">
        <v>138</v>
      </c>
      <c r="E5" s="5" t="s">
        <v>139</v>
      </c>
      <c r="F5" s="31" t="s">
        <v>140</v>
      </c>
      <c r="G5" s="5">
        <v>2019</v>
      </c>
      <c r="H5" s="73"/>
    </row>
    <row r="6" spans="1:8" ht="45" customHeight="1" x14ac:dyDescent="0.35">
      <c r="A6" s="11" t="s">
        <v>136</v>
      </c>
      <c r="B6" s="12" t="s">
        <v>145</v>
      </c>
      <c r="C6" s="6" t="s">
        <v>146</v>
      </c>
      <c r="D6" s="4" t="s">
        <v>138</v>
      </c>
      <c r="E6" s="4" t="s">
        <v>139</v>
      </c>
      <c r="F6" s="30" t="s">
        <v>140</v>
      </c>
      <c r="G6" s="4">
        <v>2019</v>
      </c>
      <c r="H6" s="3"/>
    </row>
    <row r="7" spans="1:8" ht="45" customHeight="1" x14ac:dyDescent="0.35">
      <c r="A7" s="13" t="s">
        <v>136</v>
      </c>
      <c r="B7" s="14" t="s">
        <v>30</v>
      </c>
      <c r="C7" s="7" t="s">
        <v>147</v>
      </c>
      <c r="D7" s="5" t="s">
        <v>138</v>
      </c>
      <c r="E7" s="5" t="s">
        <v>139</v>
      </c>
      <c r="F7" s="31" t="s">
        <v>140</v>
      </c>
      <c r="G7" s="5">
        <v>2019</v>
      </c>
      <c r="H7" s="73"/>
    </row>
    <row r="8" spans="1:8" ht="45" customHeight="1" x14ac:dyDescent="0.35">
      <c r="A8" s="11" t="s">
        <v>136</v>
      </c>
      <c r="B8" s="12" t="s">
        <v>31</v>
      </c>
      <c r="C8" s="6" t="s">
        <v>148</v>
      </c>
      <c r="D8" s="4" t="s">
        <v>138</v>
      </c>
      <c r="E8" s="4" t="s">
        <v>139</v>
      </c>
      <c r="F8" s="30" t="s">
        <v>140</v>
      </c>
      <c r="G8" s="4">
        <v>2019</v>
      </c>
      <c r="H8" s="3"/>
    </row>
    <row r="9" spans="1:8" ht="45" customHeight="1" x14ac:dyDescent="0.35">
      <c r="A9" s="13" t="s">
        <v>136</v>
      </c>
      <c r="B9" s="14" t="s">
        <v>32</v>
      </c>
      <c r="C9" s="7" t="s">
        <v>149</v>
      </c>
      <c r="D9" s="5" t="s">
        <v>138</v>
      </c>
      <c r="E9" s="5" t="s">
        <v>139</v>
      </c>
      <c r="F9" s="31" t="s">
        <v>140</v>
      </c>
      <c r="G9" s="5">
        <v>2019</v>
      </c>
      <c r="H9" s="73"/>
    </row>
    <row r="10" spans="1:8" ht="45" customHeight="1" x14ac:dyDescent="0.35">
      <c r="A10" s="11" t="s">
        <v>136</v>
      </c>
      <c r="B10" s="12" t="s">
        <v>35</v>
      </c>
      <c r="C10" s="6" t="s">
        <v>150</v>
      </c>
      <c r="D10" s="4" t="s">
        <v>138</v>
      </c>
      <c r="E10" s="4" t="s">
        <v>139</v>
      </c>
      <c r="F10" s="30" t="s">
        <v>140</v>
      </c>
      <c r="G10" s="4">
        <v>2019</v>
      </c>
      <c r="H10" s="3"/>
    </row>
    <row r="11" spans="1:8" ht="45" customHeight="1" x14ac:dyDescent="0.35">
      <c r="A11" s="13" t="s">
        <v>136</v>
      </c>
      <c r="B11" s="14" t="s">
        <v>24</v>
      </c>
      <c r="C11" s="7" t="s">
        <v>151</v>
      </c>
      <c r="D11" s="5" t="s">
        <v>138</v>
      </c>
      <c r="E11" s="5" t="s">
        <v>139</v>
      </c>
      <c r="F11" s="31" t="s">
        <v>140</v>
      </c>
      <c r="G11" s="5">
        <v>2019</v>
      </c>
      <c r="H11" s="73"/>
    </row>
    <row r="12" spans="1:8" ht="45" customHeight="1" x14ac:dyDescent="0.35">
      <c r="A12" s="11" t="s">
        <v>136</v>
      </c>
      <c r="B12" s="12" t="s">
        <v>152</v>
      </c>
      <c r="C12" s="6" t="s">
        <v>153</v>
      </c>
      <c r="D12" s="4" t="s">
        <v>138</v>
      </c>
      <c r="E12" s="4" t="s">
        <v>139</v>
      </c>
      <c r="F12" s="30" t="s">
        <v>140</v>
      </c>
      <c r="G12" s="4">
        <v>2019</v>
      </c>
      <c r="H12" s="3"/>
    </row>
    <row r="13" spans="1:8" ht="45" customHeight="1" x14ac:dyDescent="0.35">
      <c r="A13" s="13" t="s">
        <v>136</v>
      </c>
      <c r="B13" s="14" t="s">
        <v>37</v>
      </c>
      <c r="C13" s="7" t="s">
        <v>154</v>
      </c>
      <c r="D13" s="5" t="s">
        <v>138</v>
      </c>
      <c r="E13" s="5" t="s">
        <v>139</v>
      </c>
      <c r="F13" s="31" t="s">
        <v>140</v>
      </c>
      <c r="G13" s="5" t="s">
        <v>155</v>
      </c>
      <c r="H13" s="73"/>
    </row>
    <row r="14" spans="1:8" ht="45" customHeight="1" x14ac:dyDescent="0.35">
      <c r="A14" s="11" t="s">
        <v>136</v>
      </c>
      <c r="B14" s="12" t="s">
        <v>36</v>
      </c>
      <c r="C14" s="32" t="s">
        <v>156</v>
      </c>
      <c r="D14" s="4" t="s">
        <v>138</v>
      </c>
      <c r="E14" s="4" t="s">
        <v>139</v>
      </c>
      <c r="F14" s="30" t="s">
        <v>140</v>
      </c>
      <c r="G14" s="4">
        <v>2019</v>
      </c>
      <c r="H14" s="3"/>
    </row>
    <row r="15" spans="1:8" ht="45" customHeight="1" x14ac:dyDescent="0.35">
      <c r="A15" s="13" t="s">
        <v>136</v>
      </c>
      <c r="B15" s="14" t="s">
        <v>33</v>
      </c>
      <c r="C15" s="7" t="s">
        <v>157</v>
      </c>
      <c r="D15" s="5" t="s">
        <v>138</v>
      </c>
      <c r="E15" s="5" t="s">
        <v>139</v>
      </c>
      <c r="F15" s="31" t="s">
        <v>140</v>
      </c>
      <c r="G15" s="5">
        <v>2019</v>
      </c>
      <c r="H15" s="73"/>
    </row>
    <row r="16" spans="1:8" ht="45" customHeight="1" x14ac:dyDescent="0.35">
      <c r="A16" s="11" t="s">
        <v>136</v>
      </c>
      <c r="B16" s="12" t="s">
        <v>38</v>
      </c>
      <c r="C16" s="6" t="s">
        <v>158</v>
      </c>
      <c r="D16" s="4" t="s">
        <v>159</v>
      </c>
      <c r="E16" s="4" t="s">
        <v>160</v>
      </c>
      <c r="F16" s="30" t="s">
        <v>161</v>
      </c>
      <c r="G16" s="4" t="s">
        <v>162</v>
      </c>
      <c r="H16" s="3" t="s">
        <v>163</v>
      </c>
    </row>
    <row r="17" spans="1:8" ht="45" customHeight="1" x14ac:dyDescent="0.35">
      <c r="A17" s="13" t="s">
        <v>136</v>
      </c>
      <c r="B17" s="14" t="s">
        <v>40</v>
      </c>
      <c r="C17" s="7" t="s">
        <v>164</v>
      </c>
      <c r="D17" s="5" t="s">
        <v>165</v>
      </c>
      <c r="E17" s="5" t="s">
        <v>163</v>
      </c>
      <c r="F17" s="5"/>
      <c r="G17" s="5"/>
      <c r="H17" s="73"/>
    </row>
    <row r="18" spans="1:8" ht="45" customHeight="1" x14ac:dyDescent="0.35">
      <c r="A18" s="11" t="s">
        <v>136</v>
      </c>
      <c r="B18" s="12" t="s">
        <v>166</v>
      </c>
      <c r="C18" s="6" t="s">
        <v>167</v>
      </c>
      <c r="D18" s="4" t="s">
        <v>159</v>
      </c>
      <c r="E18" s="4" t="s">
        <v>160</v>
      </c>
      <c r="F18" s="30" t="s">
        <v>161</v>
      </c>
      <c r="G18" s="4"/>
      <c r="H18" s="3" t="s">
        <v>168</v>
      </c>
    </row>
    <row r="19" spans="1:8" ht="45" customHeight="1" x14ac:dyDescent="0.35">
      <c r="A19" s="13" t="s">
        <v>169</v>
      </c>
      <c r="B19" s="14" t="s">
        <v>48</v>
      </c>
      <c r="C19" s="7" t="s">
        <v>170</v>
      </c>
      <c r="D19" s="5" t="s">
        <v>171</v>
      </c>
      <c r="E19" s="5" t="s">
        <v>163</v>
      </c>
      <c r="F19" s="5"/>
      <c r="G19" s="5" t="s">
        <v>155</v>
      </c>
      <c r="H19" s="73"/>
    </row>
    <row r="20" spans="1:8" ht="45" customHeight="1" x14ac:dyDescent="0.35">
      <c r="A20" s="11" t="s">
        <v>169</v>
      </c>
      <c r="B20" s="12" t="s">
        <v>45</v>
      </c>
      <c r="C20" s="6" t="s">
        <v>172</v>
      </c>
      <c r="D20" s="4" t="s">
        <v>173</v>
      </c>
      <c r="E20" s="4" t="s">
        <v>163</v>
      </c>
      <c r="F20" s="30" t="s">
        <v>174</v>
      </c>
      <c r="G20" s="4" t="s">
        <v>155</v>
      </c>
      <c r="H20" s="3" t="s">
        <v>175</v>
      </c>
    </row>
    <row r="21" spans="1:8" ht="45" customHeight="1" x14ac:dyDescent="0.35">
      <c r="A21" s="13" t="s">
        <v>169</v>
      </c>
      <c r="B21" s="14" t="s">
        <v>46</v>
      </c>
      <c r="C21" s="7" t="s">
        <v>176</v>
      </c>
      <c r="D21" s="2" t="s">
        <v>173</v>
      </c>
      <c r="E21" s="5" t="s">
        <v>163</v>
      </c>
      <c r="F21" s="31" t="s">
        <v>174</v>
      </c>
      <c r="G21" s="5" t="s">
        <v>155</v>
      </c>
      <c r="H21" s="73" t="s">
        <v>177</v>
      </c>
    </row>
    <row r="22" spans="1:8" ht="45" customHeight="1" x14ac:dyDescent="0.35">
      <c r="A22" s="15" t="s">
        <v>169</v>
      </c>
      <c r="B22" s="16" t="s">
        <v>47</v>
      </c>
      <c r="C22" s="32" t="s">
        <v>178</v>
      </c>
      <c r="D22" s="8" t="s">
        <v>179</v>
      </c>
      <c r="E22" s="8" t="s">
        <v>163</v>
      </c>
      <c r="F22" s="30" t="s">
        <v>174</v>
      </c>
      <c r="G22" s="8" t="s">
        <v>155</v>
      </c>
      <c r="H22" s="74" t="s">
        <v>180</v>
      </c>
    </row>
    <row r="23" spans="1:8" ht="45" customHeight="1" x14ac:dyDescent="0.35">
      <c r="A23" s="13" t="s">
        <v>169</v>
      </c>
      <c r="B23" s="14" t="s">
        <v>181</v>
      </c>
      <c r="C23" s="7" t="s">
        <v>182</v>
      </c>
      <c r="D23" s="5" t="s">
        <v>179</v>
      </c>
      <c r="E23" s="5" t="s">
        <v>163</v>
      </c>
      <c r="F23" s="31" t="s">
        <v>174</v>
      </c>
      <c r="G23" s="5" t="s">
        <v>155</v>
      </c>
      <c r="H23" s="73"/>
    </row>
    <row r="24" spans="1:8" ht="45" customHeight="1" x14ac:dyDescent="0.35">
      <c r="A24" s="11" t="s">
        <v>169</v>
      </c>
      <c r="B24" s="17" t="s">
        <v>183</v>
      </c>
      <c r="C24" s="6" t="s">
        <v>184</v>
      </c>
      <c r="D24" s="33" t="s">
        <v>185</v>
      </c>
      <c r="E24" s="33" t="s">
        <v>186</v>
      </c>
      <c r="F24" s="34" t="s">
        <v>187</v>
      </c>
      <c r="G24" s="4"/>
      <c r="H24" s="1" t="s">
        <v>188</v>
      </c>
    </row>
    <row r="25" spans="1:8" ht="45" customHeight="1" x14ac:dyDescent="0.35">
      <c r="A25" s="18" t="s">
        <v>169</v>
      </c>
      <c r="B25" s="19" t="s">
        <v>189</v>
      </c>
      <c r="C25" s="35" t="s">
        <v>190</v>
      </c>
      <c r="D25" s="36" t="s">
        <v>185</v>
      </c>
      <c r="E25" s="36" t="s">
        <v>186</v>
      </c>
      <c r="F25" s="37" t="s">
        <v>187</v>
      </c>
      <c r="G25" s="5"/>
      <c r="H25" s="75" t="s">
        <v>191</v>
      </c>
    </row>
    <row r="26" spans="1:8" ht="45" customHeight="1" x14ac:dyDescent="0.35">
      <c r="A26" s="11" t="s">
        <v>169</v>
      </c>
      <c r="B26" s="12" t="s">
        <v>42</v>
      </c>
      <c r="C26" s="6" t="s">
        <v>42</v>
      </c>
      <c r="D26" s="4" t="s">
        <v>192</v>
      </c>
      <c r="E26" s="4" t="s">
        <v>163</v>
      </c>
      <c r="F26" s="4"/>
      <c r="G26" s="4"/>
      <c r="H26" s="3" t="s">
        <v>193</v>
      </c>
    </row>
    <row r="27" spans="1:8" ht="45" customHeight="1" x14ac:dyDescent="0.35">
      <c r="A27" s="13" t="s">
        <v>169</v>
      </c>
      <c r="B27" s="14" t="s">
        <v>49</v>
      </c>
      <c r="C27" s="7" t="s">
        <v>194</v>
      </c>
      <c r="D27" s="5" t="s">
        <v>195</v>
      </c>
      <c r="E27" s="5" t="s">
        <v>163</v>
      </c>
      <c r="F27" s="31" t="s">
        <v>196</v>
      </c>
      <c r="G27" s="5" t="s">
        <v>155</v>
      </c>
      <c r="H27" s="75" t="s">
        <v>197</v>
      </c>
    </row>
    <row r="28" spans="1:8" ht="45" customHeight="1" x14ac:dyDescent="0.35">
      <c r="A28" s="11" t="s">
        <v>198</v>
      </c>
      <c r="B28" s="12" t="s">
        <v>199</v>
      </c>
      <c r="C28" s="6" t="s">
        <v>200</v>
      </c>
      <c r="D28" s="4" t="s">
        <v>201</v>
      </c>
      <c r="E28" s="4" t="s">
        <v>202</v>
      </c>
      <c r="F28" s="4"/>
      <c r="G28" s="4">
        <v>2019</v>
      </c>
      <c r="H28" s="3" t="s">
        <v>203</v>
      </c>
    </row>
    <row r="29" spans="1:8" ht="45" customHeight="1" x14ac:dyDescent="0.35">
      <c r="A29" s="13" t="s">
        <v>198</v>
      </c>
      <c r="B29" s="14" t="s">
        <v>51</v>
      </c>
      <c r="C29" s="7" t="s">
        <v>204</v>
      </c>
      <c r="D29" s="5" t="s">
        <v>205</v>
      </c>
      <c r="E29" s="5" t="s">
        <v>206</v>
      </c>
      <c r="F29" s="31" t="s">
        <v>207</v>
      </c>
      <c r="G29" s="5"/>
      <c r="H29" s="73" t="s">
        <v>208</v>
      </c>
    </row>
    <row r="30" spans="1:8" ht="45" customHeight="1" x14ac:dyDescent="0.35">
      <c r="A30" s="11" t="s">
        <v>198</v>
      </c>
      <c r="B30" s="12" t="s">
        <v>209</v>
      </c>
      <c r="C30" s="6" t="s">
        <v>210</v>
      </c>
      <c r="D30" s="4" t="s">
        <v>211</v>
      </c>
      <c r="E30" s="4" t="s">
        <v>202</v>
      </c>
      <c r="F30" s="30" t="s">
        <v>212</v>
      </c>
      <c r="G30" s="4" t="s">
        <v>213</v>
      </c>
      <c r="H30" s="3" t="s">
        <v>214</v>
      </c>
    </row>
    <row r="31" spans="1:8" ht="45" customHeight="1" x14ac:dyDescent="0.35">
      <c r="A31" s="13" t="s">
        <v>198</v>
      </c>
      <c r="B31" s="14" t="s">
        <v>215</v>
      </c>
      <c r="C31" s="7" t="s">
        <v>216</v>
      </c>
      <c r="D31" s="5" t="s">
        <v>205</v>
      </c>
      <c r="E31" s="5" t="s">
        <v>206</v>
      </c>
      <c r="F31" s="5" t="s">
        <v>207</v>
      </c>
      <c r="G31" s="5"/>
      <c r="H31" s="73" t="s">
        <v>217</v>
      </c>
    </row>
    <row r="32" spans="1:8" ht="45" customHeight="1" x14ac:dyDescent="0.35">
      <c r="A32" s="11" t="s">
        <v>198</v>
      </c>
      <c r="B32" s="17" t="s">
        <v>56</v>
      </c>
      <c r="C32" s="6" t="s">
        <v>218</v>
      </c>
      <c r="D32" s="4" t="s">
        <v>198</v>
      </c>
      <c r="E32" s="4" t="s">
        <v>219</v>
      </c>
      <c r="F32" s="4"/>
      <c r="G32" s="4" t="s">
        <v>155</v>
      </c>
      <c r="H32" s="3"/>
    </row>
    <row r="33" spans="1:8" ht="45" customHeight="1" x14ac:dyDescent="0.35">
      <c r="A33" s="13" t="s">
        <v>198</v>
      </c>
      <c r="B33" s="14" t="s">
        <v>220</v>
      </c>
      <c r="C33" s="7" t="s">
        <v>221</v>
      </c>
      <c r="D33" s="5" t="s">
        <v>205</v>
      </c>
      <c r="E33" s="5" t="s">
        <v>206</v>
      </c>
      <c r="F33" s="31" t="s">
        <v>207</v>
      </c>
      <c r="G33" s="5">
        <v>2020</v>
      </c>
      <c r="H33" s="73"/>
    </row>
    <row r="34" spans="1:8" ht="45" customHeight="1" x14ac:dyDescent="0.35">
      <c r="A34" s="11" t="s">
        <v>198</v>
      </c>
      <c r="B34" s="17" t="s">
        <v>55</v>
      </c>
      <c r="C34" s="6" t="s">
        <v>222</v>
      </c>
      <c r="D34" s="4" t="s">
        <v>198</v>
      </c>
      <c r="E34" s="4" t="s">
        <v>219</v>
      </c>
      <c r="F34" s="4"/>
      <c r="G34" s="4" t="s">
        <v>155</v>
      </c>
      <c r="H34" s="3"/>
    </row>
    <row r="35" spans="1:8" ht="45" customHeight="1" x14ac:dyDescent="0.35">
      <c r="A35" s="13" t="s">
        <v>223</v>
      </c>
      <c r="B35" s="14" t="s">
        <v>224</v>
      </c>
      <c r="C35" s="7" t="s">
        <v>225</v>
      </c>
      <c r="D35" s="5" t="s">
        <v>226</v>
      </c>
      <c r="E35" s="5" t="s">
        <v>227</v>
      </c>
      <c r="F35" s="5" t="s">
        <v>228</v>
      </c>
      <c r="G35" s="5"/>
      <c r="H35" s="73" t="s">
        <v>229</v>
      </c>
    </row>
    <row r="36" spans="1:8" ht="45" customHeight="1" x14ac:dyDescent="0.35">
      <c r="A36" s="11" t="s">
        <v>223</v>
      </c>
      <c r="B36" s="17" t="s">
        <v>59</v>
      </c>
      <c r="C36" s="6" t="s">
        <v>230</v>
      </c>
      <c r="D36" s="4" t="s">
        <v>231</v>
      </c>
      <c r="E36" s="4" t="s">
        <v>160</v>
      </c>
      <c r="F36" s="30" t="s">
        <v>161</v>
      </c>
      <c r="G36" s="4">
        <v>2018</v>
      </c>
      <c r="H36" s="3" t="s">
        <v>232</v>
      </c>
    </row>
    <row r="37" spans="1:8" ht="45" customHeight="1" x14ac:dyDescent="0.35">
      <c r="A37" s="13" t="s">
        <v>223</v>
      </c>
      <c r="B37" s="14" t="s">
        <v>57</v>
      </c>
      <c r="C37" s="7" t="s">
        <v>233</v>
      </c>
      <c r="D37" s="5" t="s">
        <v>234</v>
      </c>
      <c r="E37" s="5" t="s">
        <v>163</v>
      </c>
      <c r="F37" s="31" t="s">
        <v>235</v>
      </c>
      <c r="G37" s="5" t="s">
        <v>155</v>
      </c>
      <c r="H37" s="73"/>
    </row>
    <row r="38" spans="1:8" ht="45" customHeight="1" x14ac:dyDescent="0.35">
      <c r="A38" s="11" t="s">
        <v>223</v>
      </c>
      <c r="B38" s="12" t="s">
        <v>236</v>
      </c>
      <c r="C38" s="6" t="s">
        <v>237</v>
      </c>
      <c r="D38" s="4" t="s">
        <v>138</v>
      </c>
      <c r="E38" s="4" t="s">
        <v>139</v>
      </c>
      <c r="F38" s="30" t="s">
        <v>238</v>
      </c>
      <c r="G38" s="4">
        <v>2019</v>
      </c>
      <c r="H38" s="3" t="s">
        <v>239</v>
      </c>
    </row>
    <row r="39" spans="1:8" ht="45" customHeight="1" x14ac:dyDescent="0.35">
      <c r="A39" s="20" t="s">
        <v>223</v>
      </c>
      <c r="B39" s="21" t="s">
        <v>240</v>
      </c>
      <c r="C39" s="38" t="s">
        <v>241</v>
      </c>
      <c r="D39" s="2" t="s">
        <v>242</v>
      </c>
      <c r="E39" s="2" t="s">
        <v>243</v>
      </c>
      <c r="F39" s="39" t="s">
        <v>244</v>
      </c>
      <c r="G39" s="2" t="s">
        <v>245</v>
      </c>
      <c r="H39" s="76"/>
    </row>
    <row r="40" spans="1:8" ht="45" customHeight="1" x14ac:dyDescent="0.35">
      <c r="A40" s="22" t="s">
        <v>223</v>
      </c>
      <c r="B40" s="17" t="s">
        <v>246</v>
      </c>
      <c r="C40" s="40" t="s">
        <v>241</v>
      </c>
      <c r="D40" s="33" t="s">
        <v>242</v>
      </c>
      <c r="E40" s="33" t="s">
        <v>243</v>
      </c>
      <c r="F40" s="30" t="s">
        <v>244</v>
      </c>
      <c r="G40" s="33" t="s">
        <v>245</v>
      </c>
      <c r="H40" s="1"/>
    </row>
    <row r="41" spans="1:8" ht="45" customHeight="1" x14ac:dyDescent="0.35">
      <c r="A41" s="20" t="s">
        <v>223</v>
      </c>
      <c r="B41" s="21" t="s">
        <v>247</v>
      </c>
      <c r="C41" s="38" t="s">
        <v>241</v>
      </c>
      <c r="D41" s="2" t="s">
        <v>242</v>
      </c>
      <c r="E41" s="2" t="s">
        <v>243</v>
      </c>
      <c r="F41" s="39" t="s">
        <v>244</v>
      </c>
      <c r="G41" s="2" t="s">
        <v>245</v>
      </c>
      <c r="H41" s="76"/>
    </row>
    <row r="42" spans="1:8" ht="45" customHeight="1" x14ac:dyDescent="0.35">
      <c r="A42" s="11" t="s">
        <v>223</v>
      </c>
      <c r="B42" s="12" t="s">
        <v>248</v>
      </c>
      <c r="C42" s="6" t="s">
        <v>249</v>
      </c>
      <c r="D42" s="4" t="s">
        <v>250</v>
      </c>
      <c r="E42" s="4" t="s">
        <v>251</v>
      </c>
      <c r="F42" s="30" t="s">
        <v>252</v>
      </c>
      <c r="G42" s="4" t="s">
        <v>253</v>
      </c>
      <c r="H42" s="3"/>
    </row>
    <row r="43" spans="1:8" ht="45" customHeight="1" x14ac:dyDescent="0.35">
      <c r="A43" s="13" t="s">
        <v>254</v>
      </c>
      <c r="B43" s="14" t="s">
        <v>255</v>
      </c>
      <c r="C43" s="7" t="s">
        <v>256</v>
      </c>
      <c r="D43" s="5" t="s">
        <v>257</v>
      </c>
      <c r="E43" s="5" t="s">
        <v>163</v>
      </c>
      <c r="F43" s="31" t="s">
        <v>258</v>
      </c>
      <c r="G43" s="5" t="s">
        <v>155</v>
      </c>
      <c r="H43" s="73"/>
    </row>
    <row r="44" spans="1:8" ht="45" customHeight="1" x14ac:dyDescent="0.35">
      <c r="A44" s="11" t="s">
        <v>254</v>
      </c>
      <c r="B44" s="12" t="s">
        <v>259</v>
      </c>
      <c r="C44" s="6" t="s">
        <v>260</v>
      </c>
      <c r="D44" s="4" t="s">
        <v>257</v>
      </c>
      <c r="E44" s="4" t="s">
        <v>163</v>
      </c>
      <c r="F44" s="30" t="s">
        <v>258</v>
      </c>
      <c r="G44" s="4" t="s">
        <v>155</v>
      </c>
      <c r="H44" s="3"/>
    </row>
    <row r="45" spans="1:8" ht="45" customHeight="1" x14ac:dyDescent="0.35">
      <c r="A45" s="13" t="s">
        <v>254</v>
      </c>
      <c r="B45" s="14" t="s">
        <v>261</v>
      </c>
      <c r="C45" s="7" t="s">
        <v>262</v>
      </c>
      <c r="D45" s="5" t="s">
        <v>263</v>
      </c>
      <c r="E45" s="5" t="s">
        <v>163</v>
      </c>
      <c r="F45" s="5"/>
      <c r="G45" s="5" t="s">
        <v>155</v>
      </c>
      <c r="H45" s="73" t="s">
        <v>264</v>
      </c>
    </row>
    <row r="46" spans="1:8" ht="45" customHeight="1" x14ac:dyDescent="0.35">
      <c r="A46" s="11" t="s">
        <v>254</v>
      </c>
      <c r="B46" s="12" t="s">
        <v>265</v>
      </c>
      <c r="C46" s="41" t="s">
        <v>266</v>
      </c>
      <c r="D46" s="33" t="s">
        <v>257</v>
      </c>
      <c r="E46" s="33" t="s">
        <v>163</v>
      </c>
      <c r="F46" s="30" t="s">
        <v>267</v>
      </c>
      <c r="G46" s="33" t="s">
        <v>155</v>
      </c>
      <c r="H46" s="3"/>
    </row>
    <row r="47" spans="1:8" ht="45" customHeight="1" x14ac:dyDescent="0.35">
      <c r="A47" s="20" t="s">
        <v>254</v>
      </c>
      <c r="B47" s="21" t="s">
        <v>268</v>
      </c>
      <c r="C47" s="42" t="s">
        <v>269</v>
      </c>
      <c r="D47" s="2" t="s">
        <v>257</v>
      </c>
      <c r="E47" s="2" t="s">
        <v>270</v>
      </c>
      <c r="F47" s="2" t="s">
        <v>271</v>
      </c>
      <c r="G47" s="2" t="s">
        <v>155</v>
      </c>
      <c r="H47" s="77" t="s">
        <v>272</v>
      </c>
    </row>
    <row r="48" spans="1:8" ht="45" customHeight="1" x14ac:dyDescent="0.35">
      <c r="A48" s="11" t="s">
        <v>254</v>
      </c>
      <c r="B48" s="12" t="s">
        <v>273</v>
      </c>
      <c r="C48" s="6" t="s">
        <v>274</v>
      </c>
      <c r="D48" s="4" t="s">
        <v>275</v>
      </c>
      <c r="E48" s="4" t="s">
        <v>276</v>
      </c>
      <c r="F48" s="30" t="s">
        <v>277</v>
      </c>
      <c r="G48" s="4">
        <v>2016</v>
      </c>
      <c r="H48" s="3" t="s">
        <v>278</v>
      </c>
    </row>
    <row r="49" spans="1:8" ht="45" customHeight="1" x14ac:dyDescent="0.35">
      <c r="A49" s="13" t="s">
        <v>254</v>
      </c>
      <c r="B49" s="19" t="s">
        <v>279</v>
      </c>
      <c r="C49" s="7" t="s">
        <v>280</v>
      </c>
      <c r="D49" s="5" t="s">
        <v>281</v>
      </c>
      <c r="E49" s="5" t="s">
        <v>160</v>
      </c>
      <c r="F49" s="5" t="s">
        <v>161</v>
      </c>
      <c r="G49" s="5" t="s">
        <v>282</v>
      </c>
      <c r="H49" s="73" t="s">
        <v>283</v>
      </c>
    </row>
    <row r="50" spans="1:8" ht="45" customHeight="1" x14ac:dyDescent="0.35">
      <c r="A50" s="11" t="s">
        <v>254</v>
      </c>
      <c r="B50" s="12" t="s">
        <v>284</v>
      </c>
      <c r="C50" s="6" t="s">
        <v>285</v>
      </c>
      <c r="D50" s="4" t="s">
        <v>286</v>
      </c>
      <c r="E50" s="4" t="s">
        <v>163</v>
      </c>
      <c r="F50" s="4"/>
      <c r="G50" s="4" t="s">
        <v>155</v>
      </c>
      <c r="H50" s="3"/>
    </row>
    <row r="51" spans="1:8" ht="45" customHeight="1" x14ac:dyDescent="0.35">
      <c r="A51" s="13" t="s">
        <v>287</v>
      </c>
      <c r="B51" s="14" t="s">
        <v>288</v>
      </c>
      <c r="C51" s="43" t="s">
        <v>289</v>
      </c>
      <c r="D51" s="44" t="s">
        <v>206</v>
      </c>
      <c r="E51" s="45" t="s">
        <v>207</v>
      </c>
      <c r="F51" s="45" t="s">
        <v>207</v>
      </c>
      <c r="G51" s="44">
        <v>2020</v>
      </c>
      <c r="H51" s="76"/>
    </row>
    <row r="52" spans="1:8" ht="45" customHeight="1" x14ac:dyDescent="0.35">
      <c r="A52" s="11" t="s">
        <v>290</v>
      </c>
      <c r="B52" s="17" t="s">
        <v>291</v>
      </c>
      <c r="C52" s="6" t="s">
        <v>292</v>
      </c>
      <c r="D52" s="4" t="s">
        <v>293</v>
      </c>
      <c r="E52" s="4" t="s">
        <v>294</v>
      </c>
      <c r="F52" s="4" t="s">
        <v>295</v>
      </c>
      <c r="G52" s="4">
        <v>2019</v>
      </c>
      <c r="H52" s="3"/>
    </row>
    <row r="53" spans="1:8" ht="45" customHeight="1" x14ac:dyDescent="0.35">
      <c r="A53" s="13" t="s">
        <v>290</v>
      </c>
      <c r="B53" s="19" t="s">
        <v>296</v>
      </c>
      <c r="C53" s="7" t="s">
        <v>297</v>
      </c>
      <c r="D53" s="5" t="s">
        <v>293</v>
      </c>
      <c r="E53" s="5" t="s">
        <v>294</v>
      </c>
      <c r="F53" s="31" t="s">
        <v>295</v>
      </c>
      <c r="G53" s="5">
        <v>2019</v>
      </c>
      <c r="H53" s="73"/>
    </row>
    <row r="54" spans="1:8" ht="45" customHeight="1" x14ac:dyDescent="0.35">
      <c r="A54" s="11" t="s">
        <v>290</v>
      </c>
      <c r="B54" s="12" t="s">
        <v>298</v>
      </c>
      <c r="C54" s="6" t="s">
        <v>299</v>
      </c>
      <c r="D54" s="4" t="s">
        <v>300</v>
      </c>
      <c r="E54" s="4" t="s">
        <v>301</v>
      </c>
      <c r="F54" s="4" t="s">
        <v>302</v>
      </c>
      <c r="G54" s="4">
        <v>2017</v>
      </c>
      <c r="H54" s="3"/>
    </row>
    <row r="55" spans="1:8" ht="45" customHeight="1" x14ac:dyDescent="0.35">
      <c r="A55" s="13" t="s">
        <v>290</v>
      </c>
      <c r="B55" s="19" t="s">
        <v>303</v>
      </c>
      <c r="C55" s="7" t="s">
        <v>304</v>
      </c>
      <c r="D55" s="5" t="s">
        <v>205</v>
      </c>
      <c r="E55" s="5" t="s">
        <v>206</v>
      </c>
      <c r="F55" s="31" t="s">
        <v>207</v>
      </c>
      <c r="G55" s="5">
        <v>2019</v>
      </c>
      <c r="H55" s="73" t="s">
        <v>305</v>
      </c>
    </row>
    <row r="56" spans="1:8" ht="45" customHeight="1" x14ac:dyDescent="0.35">
      <c r="A56" s="11" t="s">
        <v>290</v>
      </c>
      <c r="B56" s="12" t="s">
        <v>306</v>
      </c>
      <c r="C56" s="6" t="s">
        <v>307</v>
      </c>
      <c r="D56" s="4" t="s">
        <v>308</v>
      </c>
      <c r="E56" s="4" t="s">
        <v>309</v>
      </c>
      <c r="F56" s="4" t="s">
        <v>310</v>
      </c>
      <c r="G56" s="4" t="s">
        <v>311</v>
      </c>
      <c r="H56" s="3" t="s">
        <v>312</v>
      </c>
    </row>
    <row r="57" spans="1:8" ht="45" customHeight="1" x14ac:dyDescent="0.35">
      <c r="A57" s="13" t="s">
        <v>290</v>
      </c>
      <c r="B57" s="14" t="s">
        <v>313</v>
      </c>
      <c r="C57" s="7" t="s">
        <v>314</v>
      </c>
      <c r="D57" s="5" t="s">
        <v>315</v>
      </c>
      <c r="E57" s="5" t="s">
        <v>309</v>
      </c>
      <c r="F57" s="31" t="s">
        <v>310</v>
      </c>
      <c r="G57" s="5" t="s">
        <v>316</v>
      </c>
      <c r="H57" s="73" t="s">
        <v>317</v>
      </c>
    </row>
    <row r="58" spans="1:8" ht="45" customHeight="1" x14ac:dyDescent="0.35">
      <c r="A58" s="11" t="s">
        <v>290</v>
      </c>
      <c r="B58" s="12" t="s">
        <v>318</v>
      </c>
      <c r="C58" s="41" t="s">
        <v>319</v>
      </c>
      <c r="D58" s="4" t="s">
        <v>320</v>
      </c>
      <c r="E58" s="33" t="s">
        <v>163</v>
      </c>
      <c r="F58" s="30" t="s">
        <v>321</v>
      </c>
      <c r="G58" s="4" t="s">
        <v>155</v>
      </c>
      <c r="H58" s="3"/>
    </row>
    <row r="59" spans="1:8" ht="45" customHeight="1" x14ac:dyDescent="0.35">
      <c r="A59" s="20" t="s">
        <v>290</v>
      </c>
      <c r="B59" s="21" t="s">
        <v>322</v>
      </c>
      <c r="C59" s="46" t="s">
        <v>323</v>
      </c>
      <c r="D59" s="2" t="s">
        <v>324</v>
      </c>
      <c r="E59" s="2" t="s">
        <v>325</v>
      </c>
      <c r="F59" s="39" t="s">
        <v>326</v>
      </c>
      <c r="G59" s="2">
        <v>2020</v>
      </c>
      <c r="H59" s="76" t="s">
        <v>327</v>
      </c>
    </row>
    <row r="60" spans="1:8" ht="45" customHeight="1" x14ac:dyDescent="0.35">
      <c r="A60" s="11" t="s">
        <v>328</v>
      </c>
      <c r="B60" s="12" t="s">
        <v>329</v>
      </c>
      <c r="C60" s="6" t="s">
        <v>330</v>
      </c>
      <c r="D60" s="4" t="s">
        <v>331</v>
      </c>
      <c r="E60" s="4" t="s">
        <v>332</v>
      </c>
      <c r="F60" s="30" t="s">
        <v>333</v>
      </c>
      <c r="G60" s="4"/>
      <c r="H60" s="3" t="s">
        <v>334</v>
      </c>
    </row>
    <row r="61" spans="1:8" ht="45" customHeight="1" x14ac:dyDescent="0.35">
      <c r="A61" s="13" t="s">
        <v>328</v>
      </c>
      <c r="B61" s="14" t="s">
        <v>335</v>
      </c>
      <c r="C61" s="7" t="s">
        <v>330</v>
      </c>
      <c r="D61" s="5" t="s">
        <v>336</v>
      </c>
      <c r="E61" s="5" t="s">
        <v>332</v>
      </c>
      <c r="F61" s="5" t="s">
        <v>333</v>
      </c>
      <c r="G61" s="5"/>
      <c r="H61" s="73" t="s">
        <v>334</v>
      </c>
    </row>
    <row r="62" spans="1:8" ht="45" customHeight="1" x14ac:dyDescent="0.35">
      <c r="A62" s="11" t="s">
        <v>328</v>
      </c>
      <c r="B62" s="12" t="s">
        <v>337</v>
      </c>
      <c r="C62" s="6" t="s">
        <v>330</v>
      </c>
      <c r="D62" s="4" t="s">
        <v>338</v>
      </c>
      <c r="E62" s="4" t="s">
        <v>332</v>
      </c>
      <c r="F62" s="4" t="s">
        <v>333</v>
      </c>
      <c r="G62" s="4"/>
      <c r="H62" s="3" t="s">
        <v>334</v>
      </c>
    </row>
    <row r="63" spans="1:8" ht="45" customHeight="1" x14ac:dyDescent="0.35">
      <c r="A63" s="13" t="s">
        <v>328</v>
      </c>
      <c r="B63" s="14" t="s">
        <v>339</v>
      </c>
      <c r="C63" s="7" t="s">
        <v>330</v>
      </c>
      <c r="D63" s="5" t="s">
        <v>340</v>
      </c>
      <c r="E63" s="5" t="s">
        <v>332</v>
      </c>
      <c r="F63" s="5" t="s">
        <v>333</v>
      </c>
      <c r="G63" s="5"/>
      <c r="H63" s="73" t="s">
        <v>334</v>
      </c>
    </row>
    <row r="64" spans="1:8" ht="45" customHeight="1" x14ac:dyDescent="0.35">
      <c r="A64" s="11" t="s">
        <v>328</v>
      </c>
      <c r="B64" s="12" t="s">
        <v>341</v>
      </c>
      <c r="C64" s="6" t="s">
        <v>330</v>
      </c>
      <c r="D64" s="4" t="s">
        <v>342</v>
      </c>
      <c r="E64" s="4" t="s">
        <v>332</v>
      </c>
      <c r="F64" s="4" t="s">
        <v>333</v>
      </c>
      <c r="G64" s="4"/>
      <c r="H64" s="3" t="s">
        <v>334</v>
      </c>
    </row>
    <row r="65" spans="1:8" ht="45" customHeight="1" x14ac:dyDescent="0.35">
      <c r="A65" s="20" t="s">
        <v>328</v>
      </c>
      <c r="B65" s="21" t="s">
        <v>343</v>
      </c>
      <c r="C65" s="42" t="s">
        <v>344</v>
      </c>
      <c r="D65" s="2" t="s">
        <v>345</v>
      </c>
      <c r="E65" s="2" t="s">
        <v>346</v>
      </c>
      <c r="F65" s="2" t="s">
        <v>347</v>
      </c>
      <c r="G65" s="2">
        <v>2015</v>
      </c>
      <c r="H65" s="76"/>
    </row>
    <row r="66" spans="1:8" ht="45" customHeight="1" x14ac:dyDescent="0.35">
      <c r="A66" s="11" t="s">
        <v>328</v>
      </c>
      <c r="B66" s="12" t="s">
        <v>348</v>
      </c>
      <c r="C66" s="6" t="s">
        <v>349</v>
      </c>
      <c r="D66" s="4" t="s">
        <v>226</v>
      </c>
      <c r="E66" s="4" t="s">
        <v>227</v>
      </c>
      <c r="F66" s="4" t="s">
        <v>228</v>
      </c>
      <c r="G66" s="4" t="s">
        <v>350</v>
      </c>
      <c r="H66" s="3" t="s">
        <v>229</v>
      </c>
    </row>
    <row r="67" spans="1:8" ht="45" customHeight="1" x14ac:dyDescent="0.35">
      <c r="A67" s="20" t="s">
        <v>328</v>
      </c>
      <c r="B67" s="21" t="s">
        <v>351</v>
      </c>
      <c r="C67" s="42" t="s">
        <v>352</v>
      </c>
      <c r="D67" s="2" t="s">
        <v>353</v>
      </c>
      <c r="E67" s="2" t="s">
        <v>354</v>
      </c>
      <c r="F67" s="39" t="s">
        <v>355</v>
      </c>
      <c r="G67" s="2">
        <v>2019</v>
      </c>
      <c r="H67" s="76" t="s">
        <v>356</v>
      </c>
    </row>
    <row r="68" spans="1:8" ht="45" customHeight="1" x14ac:dyDescent="0.35">
      <c r="A68" s="11" t="s">
        <v>328</v>
      </c>
      <c r="B68" s="12" t="s">
        <v>357</v>
      </c>
      <c r="C68" s="6" t="s">
        <v>358</v>
      </c>
      <c r="D68" s="4" t="s">
        <v>359</v>
      </c>
      <c r="E68" s="4" t="s">
        <v>309</v>
      </c>
      <c r="F68" s="30" t="s">
        <v>310</v>
      </c>
      <c r="G68" s="4" t="s">
        <v>316</v>
      </c>
      <c r="H68" s="3" t="s">
        <v>360</v>
      </c>
    </row>
    <row r="69" spans="1:8" ht="45" customHeight="1" x14ac:dyDescent="0.35">
      <c r="A69" s="13" t="s">
        <v>328</v>
      </c>
      <c r="B69" s="14" t="s">
        <v>361</v>
      </c>
      <c r="C69" s="7" t="s">
        <v>362</v>
      </c>
      <c r="D69" s="5" t="s">
        <v>226</v>
      </c>
      <c r="E69" s="5" t="s">
        <v>227</v>
      </c>
      <c r="F69" s="5" t="s">
        <v>228</v>
      </c>
      <c r="G69" s="5" t="s">
        <v>350</v>
      </c>
      <c r="H69" s="73" t="s">
        <v>229</v>
      </c>
    </row>
    <row r="70" spans="1:8" ht="45" customHeight="1" x14ac:dyDescent="0.35">
      <c r="A70" s="11" t="s">
        <v>328</v>
      </c>
      <c r="B70" s="12" t="s">
        <v>363</v>
      </c>
      <c r="C70" s="6" t="s">
        <v>364</v>
      </c>
      <c r="D70" s="4" t="s">
        <v>365</v>
      </c>
      <c r="E70" s="4" t="s">
        <v>309</v>
      </c>
      <c r="F70" s="4" t="s">
        <v>310</v>
      </c>
      <c r="G70" s="4" t="s">
        <v>316</v>
      </c>
      <c r="H70" s="3" t="s">
        <v>360</v>
      </c>
    </row>
    <row r="71" spans="1:8" ht="45" customHeight="1" x14ac:dyDescent="0.35">
      <c r="A71" s="13" t="s">
        <v>328</v>
      </c>
      <c r="B71" s="14" t="s">
        <v>366</v>
      </c>
      <c r="C71" s="7" t="s">
        <v>367</v>
      </c>
      <c r="D71" s="5" t="s">
        <v>365</v>
      </c>
      <c r="E71" s="5" t="s">
        <v>309</v>
      </c>
      <c r="F71" s="5" t="s">
        <v>310</v>
      </c>
      <c r="G71" s="5" t="s">
        <v>316</v>
      </c>
      <c r="H71" s="73" t="s">
        <v>360</v>
      </c>
    </row>
    <row r="72" spans="1:8" ht="45" customHeight="1" x14ac:dyDescent="0.35">
      <c r="A72" s="11" t="s">
        <v>328</v>
      </c>
      <c r="B72" s="17" t="s">
        <v>368</v>
      </c>
      <c r="C72" s="6" t="s">
        <v>369</v>
      </c>
      <c r="D72" s="4" t="s">
        <v>226</v>
      </c>
      <c r="E72" s="4" t="s">
        <v>227</v>
      </c>
      <c r="F72" s="4" t="s">
        <v>228</v>
      </c>
      <c r="G72" s="4" t="s">
        <v>350</v>
      </c>
      <c r="H72" s="3" t="s">
        <v>229</v>
      </c>
    </row>
    <row r="73" spans="1:8" ht="45" customHeight="1" x14ac:dyDescent="0.35">
      <c r="A73" s="13" t="s">
        <v>328</v>
      </c>
      <c r="B73" s="19" t="s">
        <v>370</v>
      </c>
      <c r="C73" s="7" t="s">
        <v>371</v>
      </c>
      <c r="D73" s="5" t="s">
        <v>226</v>
      </c>
      <c r="E73" s="5" t="s">
        <v>227</v>
      </c>
      <c r="F73" s="5" t="s">
        <v>228</v>
      </c>
      <c r="G73" s="5" t="s">
        <v>350</v>
      </c>
      <c r="H73" s="73" t="s">
        <v>229</v>
      </c>
    </row>
    <row r="74" spans="1:8" ht="45" customHeight="1" x14ac:dyDescent="0.35">
      <c r="A74" s="11" t="s">
        <v>328</v>
      </c>
      <c r="B74" s="12" t="s">
        <v>372</v>
      </c>
      <c r="C74" s="6" t="s">
        <v>373</v>
      </c>
      <c r="D74" s="4" t="s">
        <v>374</v>
      </c>
      <c r="E74" s="4" t="s">
        <v>309</v>
      </c>
      <c r="F74" s="4" t="s">
        <v>310</v>
      </c>
      <c r="G74" s="4" t="s">
        <v>316</v>
      </c>
      <c r="H74" s="3" t="s">
        <v>360</v>
      </c>
    </row>
    <row r="75" spans="1:8" ht="45" customHeight="1" x14ac:dyDescent="0.35">
      <c r="A75" s="13" t="s">
        <v>328</v>
      </c>
      <c r="B75" s="14" t="s">
        <v>375</v>
      </c>
      <c r="C75" s="7" t="s">
        <v>376</v>
      </c>
      <c r="D75" s="5" t="s">
        <v>226</v>
      </c>
      <c r="E75" s="5" t="s">
        <v>227</v>
      </c>
      <c r="F75" s="5" t="s">
        <v>228</v>
      </c>
      <c r="G75" s="5" t="s">
        <v>350</v>
      </c>
      <c r="H75" s="73" t="s">
        <v>229</v>
      </c>
    </row>
    <row r="76" spans="1:8" ht="45" customHeight="1" x14ac:dyDescent="0.35">
      <c r="A76" s="11" t="s">
        <v>328</v>
      </c>
      <c r="B76" s="12" t="s">
        <v>377</v>
      </c>
      <c r="C76" s="6" t="s">
        <v>344</v>
      </c>
      <c r="D76" s="4" t="s">
        <v>345</v>
      </c>
      <c r="E76" s="4" t="s">
        <v>346</v>
      </c>
      <c r="F76" s="4" t="s">
        <v>347</v>
      </c>
      <c r="G76" s="4">
        <v>2015</v>
      </c>
      <c r="H76" s="3"/>
    </row>
    <row r="77" spans="1:8" ht="45" customHeight="1" x14ac:dyDescent="0.35">
      <c r="A77" s="13" t="s">
        <v>328</v>
      </c>
      <c r="B77" s="14" t="s">
        <v>378</v>
      </c>
      <c r="C77" s="7" t="s">
        <v>379</v>
      </c>
      <c r="D77" s="5" t="s">
        <v>226</v>
      </c>
      <c r="E77" s="5" t="s">
        <v>227</v>
      </c>
      <c r="F77" s="5" t="s">
        <v>228</v>
      </c>
      <c r="G77" s="5" t="s">
        <v>350</v>
      </c>
      <c r="H77" s="73" t="s">
        <v>229</v>
      </c>
    </row>
    <row r="78" spans="1:8" ht="45" customHeight="1" x14ac:dyDescent="0.35">
      <c r="A78" s="11" t="s">
        <v>328</v>
      </c>
      <c r="B78" s="12" t="s">
        <v>380</v>
      </c>
      <c r="C78" s="6" t="s">
        <v>352</v>
      </c>
      <c r="D78" s="4" t="s">
        <v>353</v>
      </c>
      <c r="E78" s="4" t="s">
        <v>354</v>
      </c>
      <c r="F78" s="30" t="s">
        <v>355</v>
      </c>
      <c r="G78" s="4">
        <v>2019</v>
      </c>
      <c r="H78" s="3"/>
    </row>
    <row r="79" spans="1:8" ht="45" customHeight="1" x14ac:dyDescent="0.35">
      <c r="A79" s="13" t="s">
        <v>328</v>
      </c>
      <c r="B79" s="19" t="s">
        <v>381</v>
      </c>
      <c r="C79" s="7" t="s">
        <v>382</v>
      </c>
      <c r="D79" s="5" t="s">
        <v>383</v>
      </c>
      <c r="E79" s="5" t="s">
        <v>309</v>
      </c>
      <c r="F79" s="5" t="s">
        <v>310</v>
      </c>
      <c r="G79" s="5" t="s">
        <v>316</v>
      </c>
      <c r="H79" s="73" t="s">
        <v>384</v>
      </c>
    </row>
    <row r="80" spans="1:8" ht="45" customHeight="1" x14ac:dyDescent="0.35">
      <c r="A80" s="11" t="s">
        <v>328</v>
      </c>
      <c r="B80" s="12" t="s">
        <v>385</v>
      </c>
      <c r="C80" s="6" t="s">
        <v>386</v>
      </c>
      <c r="D80" s="4" t="s">
        <v>383</v>
      </c>
      <c r="E80" s="4" t="s">
        <v>309</v>
      </c>
      <c r="F80" s="30" t="s">
        <v>310</v>
      </c>
      <c r="G80" s="4" t="s">
        <v>316</v>
      </c>
      <c r="H80" s="3" t="s">
        <v>384</v>
      </c>
    </row>
    <row r="81" spans="1:8" ht="45" customHeight="1" x14ac:dyDescent="0.35">
      <c r="A81" s="13" t="s">
        <v>328</v>
      </c>
      <c r="B81" s="14" t="s">
        <v>387</v>
      </c>
      <c r="C81" s="7" t="s">
        <v>388</v>
      </c>
      <c r="D81" s="5" t="s">
        <v>383</v>
      </c>
      <c r="E81" s="5" t="s">
        <v>309</v>
      </c>
      <c r="F81" s="5" t="s">
        <v>310</v>
      </c>
      <c r="G81" s="5" t="s">
        <v>316</v>
      </c>
      <c r="H81" s="73" t="s">
        <v>384</v>
      </c>
    </row>
    <row r="82" spans="1:8" ht="45" customHeight="1" x14ac:dyDescent="0.35">
      <c r="A82" s="11" t="s">
        <v>328</v>
      </c>
      <c r="B82" s="12" t="s">
        <v>389</v>
      </c>
      <c r="C82" s="6" t="s">
        <v>390</v>
      </c>
      <c r="D82" s="4" t="s">
        <v>383</v>
      </c>
      <c r="E82" s="4" t="s">
        <v>309</v>
      </c>
      <c r="F82" s="4" t="s">
        <v>310</v>
      </c>
      <c r="G82" s="4" t="s">
        <v>316</v>
      </c>
      <c r="H82" s="3" t="s">
        <v>384</v>
      </c>
    </row>
    <row r="83" spans="1:8" ht="45" customHeight="1" x14ac:dyDescent="0.35">
      <c r="A83" s="13" t="s">
        <v>328</v>
      </c>
      <c r="B83" s="14" t="s">
        <v>391</v>
      </c>
      <c r="C83" s="7" t="s">
        <v>392</v>
      </c>
      <c r="D83" s="5" t="s">
        <v>383</v>
      </c>
      <c r="E83" s="5" t="s">
        <v>309</v>
      </c>
      <c r="F83" s="5" t="s">
        <v>310</v>
      </c>
      <c r="G83" s="5" t="s">
        <v>316</v>
      </c>
      <c r="H83" s="73" t="s">
        <v>384</v>
      </c>
    </row>
    <row r="84" spans="1:8" ht="45" customHeight="1" x14ac:dyDescent="0.35">
      <c r="A84" s="11" t="s">
        <v>328</v>
      </c>
      <c r="B84" s="12" t="s">
        <v>393</v>
      </c>
      <c r="C84" s="6" t="s">
        <v>394</v>
      </c>
      <c r="D84" s="4" t="s">
        <v>383</v>
      </c>
      <c r="E84" s="4" t="s">
        <v>309</v>
      </c>
      <c r="F84" s="4" t="s">
        <v>310</v>
      </c>
      <c r="G84" s="4" t="s">
        <v>316</v>
      </c>
      <c r="H84" s="3" t="s">
        <v>384</v>
      </c>
    </row>
    <row r="85" spans="1:8" ht="45" customHeight="1" x14ac:dyDescent="0.35">
      <c r="A85" s="13" t="s">
        <v>328</v>
      </c>
      <c r="B85" s="19" t="s">
        <v>395</v>
      </c>
      <c r="C85" s="7" t="s">
        <v>396</v>
      </c>
      <c r="D85" s="5" t="s">
        <v>226</v>
      </c>
      <c r="E85" s="5" t="s">
        <v>227</v>
      </c>
      <c r="F85" s="5" t="s">
        <v>228</v>
      </c>
      <c r="G85" s="5" t="s">
        <v>350</v>
      </c>
      <c r="H85" s="73" t="s">
        <v>397</v>
      </c>
    </row>
    <row r="86" spans="1:8" ht="45" customHeight="1" x14ac:dyDescent="0.35">
      <c r="A86" s="11" t="s">
        <v>328</v>
      </c>
      <c r="B86" s="12" t="s">
        <v>105</v>
      </c>
      <c r="C86" s="47" t="s">
        <v>398</v>
      </c>
      <c r="D86" s="4" t="s">
        <v>105</v>
      </c>
      <c r="E86" s="4" t="s">
        <v>399</v>
      </c>
      <c r="F86" s="4" t="s">
        <v>400</v>
      </c>
      <c r="G86" s="4">
        <v>2019</v>
      </c>
      <c r="H86" s="3"/>
    </row>
    <row r="87" spans="1:8" ht="45" customHeight="1" x14ac:dyDescent="0.35">
      <c r="A87" s="13" t="s">
        <v>401</v>
      </c>
      <c r="B87" s="14" t="s">
        <v>402</v>
      </c>
      <c r="C87" s="7" t="s">
        <v>403</v>
      </c>
      <c r="D87" s="5" t="s">
        <v>404</v>
      </c>
      <c r="E87" s="5" t="s">
        <v>405</v>
      </c>
      <c r="F87" s="31" t="s">
        <v>406</v>
      </c>
      <c r="G87" s="5" t="s">
        <v>155</v>
      </c>
      <c r="H87" s="73"/>
    </row>
    <row r="88" spans="1:8" ht="45" customHeight="1" x14ac:dyDescent="0.35">
      <c r="A88" s="11" t="s">
        <v>401</v>
      </c>
      <c r="B88" s="12" t="s">
        <v>407</v>
      </c>
      <c r="C88" s="6" t="s">
        <v>408</v>
      </c>
      <c r="D88" s="4" t="s">
        <v>409</v>
      </c>
      <c r="E88" s="30" t="s">
        <v>405</v>
      </c>
      <c r="F88" s="30" t="s">
        <v>406</v>
      </c>
      <c r="G88" s="4" t="s">
        <v>155</v>
      </c>
      <c r="H88" s="3"/>
    </row>
    <row r="89" spans="1:8" ht="45" customHeight="1" x14ac:dyDescent="0.35">
      <c r="A89" s="13" t="s">
        <v>401</v>
      </c>
      <c r="B89" s="14" t="s">
        <v>410</v>
      </c>
      <c r="C89" s="7" t="s">
        <v>410</v>
      </c>
      <c r="D89" s="5" t="s">
        <v>411</v>
      </c>
      <c r="E89" s="5" t="s">
        <v>405</v>
      </c>
      <c r="F89" s="31" t="s">
        <v>406</v>
      </c>
      <c r="G89" s="5" t="s">
        <v>412</v>
      </c>
      <c r="H89" s="73"/>
    </row>
    <row r="90" spans="1:8" ht="45" customHeight="1" x14ac:dyDescent="0.35">
      <c r="A90" s="11" t="s">
        <v>401</v>
      </c>
      <c r="B90" s="12" t="s">
        <v>413</v>
      </c>
      <c r="C90" s="6" t="s">
        <v>413</v>
      </c>
      <c r="D90" s="30" t="s">
        <v>414</v>
      </c>
      <c r="E90" s="4" t="s">
        <v>162</v>
      </c>
      <c r="F90" s="30" t="s">
        <v>406</v>
      </c>
      <c r="G90" s="4" t="s">
        <v>412</v>
      </c>
      <c r="H90" s="3"/>
    </row>
    <row r="91" spans="1:8" ht="45" customHeight="1" x14ac:dyDescent="0.35">
      <c r="A91" s="13" t="s">
        <v>401</v>
      </c>
      <c r="B91" s="14" t="s">
        <v>415</v>
      </c>
      <c r="C91" s="7" t="s">
        <v>416</v>
      </c>
      <c r="D91" s="5" t="s">
        <v>417</v>
      </c>
      <c r="E91" s="31" t="s">
        <v>405</v>
      </c>
      <c r="F91" s="31" t="s">
        <v>418</v>
      </c>
      <c r="G91" s="5" t="s">
        <v>419</v>
      </c>
      <c r="H91" s="73" t="s">
        <v>420</v>
      </c>
    </row>
    <row r="92" spans="1:8" ht="45" customHeight="1" x14ac:dyDescent="0.35">
      <c r="A92" s="11" t="s">
        <v>401</v>
      </c>
      <c r="B92" s="17" t="s">
        <v>421</v>
      </c>
      <c r="C92" s="6" t="s">
        <v>422</v>
      </c>
      <c r="D92" s="4" t="s">
        <v>231</v>
      </c>
      <c r="E92" s="4" t="s">
        <v>160</v>
      </c>
      <c r="F92" s="30" t="s">
        <v>161</v>
      </c>
      <c r="G92" s="4" t="s">
        <v>423</v>
      </c>
      <c r="H92" s="3" t="s">
        <v>424</v>
      </c>
    </row>
    <row r="93" spans="1:8" ht="45" customHeight="1" x14ac:dyDescent="0.35">
      <c r="A93" s="13" t="s">
        <v>401</v>
      </c>
      <c r="B93" s="14" t="s">
        <v>425</v>
      </c>
      <c r="C93" s="7" t="s">
        <v>426</v>
      </c>
      <c r="D93" s="5" t="s">
        <v>231</v>
      </c>
      <c r="E93" s="5" t="s">
        <v>160</v>
      </c>
      <c r="F93" s="31" t="s">
        <v>161</v>
      </c>
      <c r="G93" s="5" t="s">
        <v>423</v>
      </c>
      <c r="H93" s="73" t="s">
        <v>427</v>
      </c>
    </row>
    <row r="94" spans="1:8" ht="45" customHeight="1" x14ac:dyDescent="0.35">
      <c r="A94" s="11" t="s">
        <v>401</v>
      </c>
      <c r="B94" s="12" t="s">
        <v>428</v>
      </c>
      <c r="C94" s="6" t="s">
        <v>428</v>
      </c>
      <c r="D94" s="4"/>
      <c r="E94" s="4" t="s">
        <v>405</v>
      </c>
      <c r="F94" s="4"/>
      <c r="G94" s="4" t="s">
        <v>155</v>
      </c>
      <c r="H94" s="3"/>
    </row>
    <row r="95" spans="1:8" ht="45" customHeight="1" x14ac:dyDescent="0.35">
      <c r="A95" s="13" t="s">
        <v>401</v>
      </c>
      <c r="B95" s="14" t="s">
        <v>429</v>
      </c>
      <c r="C95" s="7" t="s">
        <v>429</v>
      </c>
      <c r="D95" s="5"/>
      <c r="E95" s="5" t="s">
        <v>405</v>
      </c>
      <c r="F95" s="5"/>
      <c r="G95" s="5" t="s">
        <v>155</v>
      </c>
      <c r="H95" s="73"/>
    </row>
    <row r="96" spans="1:8" ht="45" customHeight="1" x14ac:dyDescent="0.35">
      <c r="A96" s="11" t="s">
        <v>401</v>
      </c>
      <c r="B96" s="12" t="s">
        <v>430</v>
      </c>
      <c r="C96" s="6" t="s">
        <v>430</v>
      </c>
      <c r="D96" s="4" t="s">
        <v>431</v>
      </c>
      <c r="E96" s="4" t="s">
        <v>405</v>
      </c>
      <c r="F96" s="30" t="s">
        <v>406</v>
      </c>
      <c r="G96" s="4" t="s">
        <v>419</v>
      </c>
      <c r="H96" s="3"/>
    </row>
    <row r="97" spans="1:8" ht="45" customHeight="1" x14ac:dyDescent="0.35">
      <c r="A97" s="20" t="s">
        <v>401</v>
      </c>
      <c r="B97" s="21" t="s">
        <v>432</v>
      </c>
      <c r="C97" s="42" t="s">
        <v>432</v>
      </c>
      <c r="D97" s="2" t="s">
        <v>433</v>
      </c>
      <c r="E97" s="2" t="s">
        <v>405</v>
      </c>
      <c r="F97" s="39" t="s">
        <v>406</v>
      </c>
      <c r="G97" s="2" t="s">
        <v>419</v>
      </c>
      <c r="H97" s="76"/>
    </row>
    <row r="98" spans="1:8" ht="45" customHeight="1" x14ac:dyDescent="0.35">
      <c r="A98" s="11" t="s">
        <v>401</v>
      </c>
      <c r="B98" s="12" t="s">
        <v>434</v>
      </c>
      <c r="C98" s="6" t="s">
        <v>434</v>
      </c>
      <c r="D98" s="4" t="s">
        <v>435</v>
      </c>
      <c r="E98" s="4" t="s">
        <v>405</v>
      </c>
      <c r="F98" s="30" t="s">
        <v>406</v>
      </c>
      <c r="G98" s="4" t="s">
        <v>412</v>
      </c>
      <c r="H98" s="3"/>
    </row>
    <row r="99" spans="1:8" ht="45" customHeight="1" x14ac:dyDescent="0.4">
      <c r="A99" s="13" t="s">
        <v>401</v>
      </c>
      <c r="B99" s="14" t="s">
        <v>436</v>
      </c>
      <c r="C99" s="7" t="s">
        <v>436</v>
      </c>
      <c r="D99" s="48" t="s">
        <v>437</v>
      </c>
      <c r="E99" s="5" t="s">
        <v>405</v>
      </c>
      <c r="F99" s="31" t="s">
        <v>406</v>
      </c>
      <c r="G99" s="5" t="s">
        <v>438</v>
      </c>
      <c r="H99" s="73"/>
    </row>
    <row r="100" spans="1:8" ht="45" customHeight="1" x14ac:dyDescent="0.35">
      <c r="A100" s="11" t="s">
        <v>401</v>
      </c>
      <c r="B100" s="12" t="s">
        <v>439</v>
      </c>
      <c r="C100" s="6" t="s">
        <v>440</v>
      </c>
      <c r="D100" s="4" t="s">
        <v>231</v>
      </c>
      <c r="E100" s="4" t="s">
        <v>160</v>
      </c>
      <c r="F100" s="30" t="s">
        <v>161</v>
      </c>
      <c r="G100" s="4" t="s">
        <v>423</v>
      </c>
      <c r="H100" s="3" t="s">
        <v>441</v>
      </c>
    </row>
    <row r="101" spans="1:8" ht="45" customHeight="1" x14ac:dyDescent="0.35">
      <c r="A101" s="13" t="s">
        <v>401</v>
      </c>
      <c r="B101" s="14" t="s">
        <v>442</v>
      </c>
      <c r="C101" s="7" t="s">
        <v>443</v>
      </c>
      <c r="D101" s="5"/>
      <c r="E101" s="5" t="s">
        <v>444</v>
      </c>
      <c r="F101" s="49"/>
      <c r="G101" s="5">
        <v>2019</v>
      </c>
      <c r="H101" s="73" t="s">
        <v>445</v>
      </c>
    </row>
    <row r="102" spans="1:8" ht="45" customHeight="1" thickBot="1" x14ac:dyDescent="0.4">
      <c r="A102" s="23" t="s">
        <v>401</v>
      </c>
      <c r="B102" s="24" t="s">
        <v>125</v>
      </c>
      <c r="C102" s="50" t="s">
        <v>446</v>
      </c>
      <c r="D102" s="51"/>
      <c r="E102" s="51" t="s">
        <v>444</v>
      </c>
      <c r="F102" s="52"/>
      <c r="G102" s="51">
        <v>2019</v>
      </c>
      <c r="H102" s="60" t="s">
        <v>445</v>
      </c>
    </row>
  </sheetData>
  <sheetProtection algorithmName="SHA-512" hashValue="GqktFIDO/l0QnjZweke+R+2OWKQkND4hQQXKccmOEZdK+KWYIFX0oLm/PwMz1AgHM+q40D2bt+r9pbpZt+xWpg==" saltValue="d3SLtDXZQCJLdI07FH7kVg==" spinCount="100000" sheet="1" objects="1" scenarios="1"/>
  <mergeCells count="1">
    <mergeCell ref="A1:H1"/>
  </mergeCells>
  <hyperlinks>
    <hyperlink ref="F3" r:id="rId1" xr:uid="{C20A2BBC-7645-4D64-B6BD-419983BF5774}"/>
    <hyperlink ref="F4" r:id="rId2" xr:uid="{039B1E07-EE22-4500-878C-CCC9272ABB00}"/>
    <hyperlink ref="F5" r:id="rId3" xr:uid="{661EBDBA-C0BD-4CC0-A5F0-827870D3C51B}"/>
    <hyperlink ref="F6" r:id="rId4" xr:uid="{6FE587B6-E54A-4DF3-AA38-3A84816FDDA1}"/>
    <hyperlink ref="F7" r:id="rId5" xr:uid="{5A57A236-CEBF-4BCF-BA20-7B41AB0D2795}"/>
    <hyperlink ref="F8" r:id="rId6" xr:uid="{622FA3D9-8B34-4CEF-A888-5B3B8B12D059}"/>
    <hyperlink ref="F9" r:id="rId7" xr:uid="{8CCF43E8-0030-4B6D-8106-A0A6A5CA2A7A}"/>
    <hyperlink ref="F10" r:id="rId8" xr:uid="{9A9FEE78-F345-42E6-8525-EB2F69F62F67}"/>
    <hyperlink ref="F11" r:id="rId9" xr:uid="{702EA402-585C-4AC9-9731-40EBBAB447BF}"/>
    <hyperlink ref="F12" r:id="rId10" xr:uid="{4915481A-2333-4837-A8E0-189DA72F2ACA}"/>
    <hyperlink ref="F13" r:id="rId11" xr:uid="{23B84D45-C905-485F-8721-50314BC1B88F}"/>
    <hyperlink ref="F14" r:id="rId12" xr:uid="{2F7734C8-4889-40E5-BC64-33BC2E278813}"/>
    <hyperlink ref="F15" r:id="rId13" xr:uid="{54FB1F21-2EAC-479C-93AA-06372D730D0E}"/>
    <hyperlink ref="F16" r:id="rId14" xr:uid="{6CC0459B-6C5B-4ACA-B8F1-89A4BEB3C95D}"/>
    <hyperlink ref="F18" r:id="rId15" xr:uid="{225C5E6A-93FF-484C-BAEB-D492BCC53D6B}"/>
    <hyperlink ref="F20" r:id="rId16" xr:uid="{A3D3B986-962B-4BEA-A38B-AAA5101CD855}"/>
    <hyperlink ref="F21" r:id="rId17" xr:uid="{2259E4B1-C736-4E21-ACFB-F5E86596669C}"/>
    <hyperlink ref="F22" r:id="rId18" xr:uid="{A5837870-C9A0-462A-84B8-D78C00446017}"/>
    <hyperlink ref="F23" r:id="rId19" xr:uid="{62C29F48-D776-46F8-8FAA-2E0EE3884940}"/>
    <hyperlink ref="F27" r:id="rId20" display="https://www.policymap.com/maps" xr:uid="{382950FA-7B90-4504-B228-27090317B6CE}"/>
    <hyperlink ref="F29" r:id="rId21" location="MI/5/0/char/0" display="https://datacenter.kidscount.org/data - MI/5/0/char/0" xr:uid="{69D1B057-6674-4CFE-A2B5-BFA9E6D5484D}"/>
    <hyperlink ref="F30" r:id="rId22" xr:uid="{B70C178F-C3D6-4E4C-8B6A-604CD18B4474}"/>
    <hyperlink ref="F33" r:id="rId23" location="MI/5/0/char/0" display="https://datacenter.kidscount.org/data - MI/5/0/char/0" xr:uid="{DF8190A4-894E-4EE0-B105-C0F5338AC122}"/>
    <hyperlink ref="F36" r:id="rId24" xr:uid="{6B86B89A-3CE6-42C7-BC4A-3D0DD3148B85}"/>
    <hyperlink ref="F37" r:id="rId25" xr:uid="{B88AA91A-B54D-46B3-9C8A-F99748A7F09F}"/>
    <hyperlink ref="F38" r:id="rId26" xr:uid="{F55EA208-78D3-4ECE-AA23-09AD38BE425E}"/>
    <hyperlink ref="C39" r:id="rId27" display="https://data.hrsa.gov/tools/shortage-area/hpsa-find" xr:uid="{D2A1890D-3451-48B1-9F70-9E82C7D1D401}"/>
    <hyperlink ref="F39" r:id="rId28" xr:uid="{8E411FBE-FC64-40FF-B653-E2D3C00E2CFD}"/>
    <hyperlink ref="C40" r:id="rId29" display="https://data.hrsa.gov/tools/shortage-area/hpsa-find" xr:uid="{BA2E62A7-761F-428C-A47E-7D8E2F5134E9}"/>
    <hyperlink ref="F40" r:id="rId30" xr:uid="{2325D941-C600-4DE7-BE68-AEA0A0986C79}"/>
    <hyperlink ref="C41" r:id="rId31" display="https://data.hrsa.gov/tools/shortage-area/hpsa-find" xr:uid="{733F0605-2285-4869-B5A5-5F4AC880ED31}"/>
    <hyperlink ref="F41" r:id="rId32" xr:uid="{97528018-79E3-4351-AD7E-2FFD15B0A10C}"/>
    <hyperlink ref="F42" r:id="rId33" xr:uid="{A063317B-AC87-40C3-A93D-852201405E76}"/>
    <hyperlink ref="F43" r:id="rId34" display="https://data.census.gov/cedsci/table?q=dp04&amp;g=0100000US_0400000US26_0500000US26001,26007,26009,26011,26019,26029,26031,26033,26035,26039,26047,26051,26055,26069,26073,26079,26085,26089,26097,26101,26105,26107,26113,26119,26123,26127,26129,26133,26135,26137,26141,26143,26165&amp;d=ACS%205-Year%20Estimates%20Data%20Profiles&amp;tid=ACSDP5Y2019.DP04&amp;hidePreview=true" xr:uid="{09E8381E-D6FA-426A-BED9-0094A11E2B8C}"/>
    <hyperlink ref="F44" r:id="rId35" display="https://data.census.gov/cedsci/table?q=dp04&amp;g=0100000US_0400000US26_0500000US26001,26007,26009,26011,26019,26029,26031,26033,26035,26039,26047,26051,26055,26069,26073,26079,26085,26089,26097,26101,26105,26107,26113,26119,26123,26127,26129,26133,26135,26137,26141,26143,26165&amp;d=ACS%205-Year%20Estimates%20Data%20Profiles&amp;tid=ACSDP5Y2019.DP04&amp;hidePreview=true" xr:uid="{CFE4F6D9-C3AB-462D-8C89-7FC0C4846871}"/>
    <hyperlink ref="F46" r:id="rId36" display="https://data.census.gov/cedsci/table?q=dp04&amp;g=0100000US_0400000US26_0500000US26001,26007,26009,26011,26019,26029,26031,26033,26035,26039,26047,26051,26055,26069,26073,26079,26085,26089,26097,26101,26105,26107,26113,26119,26123,26127,26133,26135,26137,26141,26143,26165&amp;tid=ACSDP5Y2019.DP04&amp;hidePreview=true" xr:uid="{89D9F320-FC1A-4409-BDA5-1D9DA87B6B8B}"/>
    <hyperlink ref="F48" r:id="rId37" location="/2016?geography=states&amp;bounds=-190.672,6.413,-44.648,62.45&amp;type=er&amp;locations=26,-87.449,45.693" display="https://evictionlab.org/map/ - /2016?geography=states&amp;bounds=-190.672,6.413,-44.648,62.45&amp;type=er&amp;locations=26,-87.449,45.693" xr:uid="{6D7747E4-7614-4BB1-9B86-3040678A9CF8}"/>
    <hyperlink ref="E51" r:id="rId38" location="MI/5/0/char/0" display="https://datacenter.kidscount.org/data - MI/5/0/char/0" xr:uid="{67AEB65A-1A5F-41C1-8043-E897063ABC55}"/>
    <hyperlink ref="F51" r:id="rId39" location="MI/5/0/char/0" display="https://datacenter.kidscount.org/data - MI/5/0/char/0" xr:uid="{50D7B575-A2B3-43CB-80B7-973020D234DD}"/>
    <hyperlink ref="F53" r:id="rId40" xr:uid="{771E3899-5ADB-49AE-8839-59FF2A6F3C52}"/>
    <hyperlink ref="F55" r:id="rId41" location="MI/5/0/char/0" display="https://datacenter.kidscount.org/data - MI/5/0/char/0" xr:uid="{58F02082-F7E5-4851-ACC2-E9637FE0A4B4}"/>
    <hyperlink ref="F57" r:id="rId42" xr:uid="{F04EDE62-2F41-4DB3-A473-4A081A67E390}"/>
    <hyperlink ref="F58" r:id="rId43" xr:uid="{01333A71-CD5B-4DA1-8988-F1BF9BDC2AFA}"/>
    <hyperlink ref="F59" r:id="rId44" display="https://mielections.us/election/results/2020GEN_CENR_TURNOUT.html" xr:uid="{C2D1627F-DFFE-4BBD-B1BF-1A49F4018CF5}"/>
    <hyperlink ref="F60" r:id="rId45" xr:uid="{3B15AB1C-0746-4F24-BF7D-D76A1B866E94}"/>
    <hyperlink ref="F67" r:id="rId46" xr:uid="{96B92DE2-7872-4872-8E51-FBA825208ABE}"/>
    <hyperlink ref="F68" r:id="rId47" xr:uid="{A5496F64-7702-4A52-AB21-8C2F6C86D5F8}"/>
    <hyperlink ref="F78" r:id="rId48" xr:uid="{D9F68EF3-D3C3-47D5-A825-DDFBDEFCF98E}"/>
    <hyperlink ref="F80" r:id="rId49" xr:uid="{31F3DFC6-438D-4B52-8F75-6FDA9FAD6BCF}"/>
    <hyperlink ref="F87" r:id="rId50" xr:uid="{B423C006-7FA2-4950-B0FC-D332C864F930}"/>
    <hyperlink ref="E88" r:id="rId51" display="http://198.246.96.2/nchs/about/major/dvs/popbridge/popbridge.htm" xr:uid="{DDC7C253-E960-4581-AAE3-6F6D23ADD866}"/>
    <hyperlink ref="F88" r:id="rId52" xr:uid="{85542670-FA4D-406B-89E5-553BCE462EA4}"/>
    <hyperlink ref="F89" r:id="rId53" xr:uid="{A1ECF191-40E2-42C4-B05C-C0DDF06E04E5}"/>
    <hyperlink ref="D90" r:id="rId54" display="https://vitalstats.michigan.gov/osr/CHI/CRI/frame.asp" xr:uid="{BB530AAA-EB33-4259-90F1-C0B1FC2A8D70}"/>
    <hyperlink ref="F90" r:id="rId55" xr:uid="{672920F5-A3E4-49EC-8544-9496BF090284}"/>
    <hyperlink ref="E91" r:id="rId56" display="http://198.246.96.2/nchs/about/major/dvs/popbridge/popbridge.htm" xr:uid="{839F2D31-25AC-42AB-916E-63086A764D8C}"/>
    <hyperlink ref="F91" r:id="rId57" xr:uid="{08980894-1B81-4499-844B-37C03BFEE88B}"/>
    <hyperlink ref="F92" r:id="rId58" xr:uid="{2A0E5512-BF86-4C82-9B34-91A11A607A57}"/>
    <hyperlink ref="F93" r:id="rId59" xr:uid="{0916282E-F260-4426-BC4A-F3B15BFDE20C}"/>
    <hyperlink ref="F96" r:id="rId60" xr:uid="{11681CE1-1D54-4505-9E8F-B38EA848A777}"/>
    <hyperlink ref="F97" r:id="rId61" xr:uid="{3ACA8D99-F799-4B79-A686-586AA3DFB983}"/>
    <hyperlink ref="F98" r:id="rId62" xr:uid="{83F837B0-BF72-4731-9486-610FD23AA9A7}"/>
    <hyperlink ref="F99" r:id="rId63" xr:uid="{7AE86F35-6911-4793-882D-0411B09BA520}"/>
    <hyperlink ref="F100" r:id="rId64" xr:uid="{EC6B5EC7-9F5B-45D1-A960-06F29E7EED4B}"/>
  </hyperlinks>
  <pageMargins left="0.7" right="0.7" top="0.75" bottom="0.75" header="0.3" footer="0.3"/>
  <pageSetup orientation="portrait" r:id="rId6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6C57-79EF-47BE-B56C-496C67C62BD4}">
  <sheetPr>
    <tabColor rgb="FFFFC000"/>
  </sheetPr>
  <dimension ref="A1:N22"/>
  <sheetViews>
    <sheetView zoomScaleNormal="100" workbookViewId="0">
      <selection activeCell="D14" sqref="D14"/>
    </sheetView>
  </sheetViews>
  <sheetFormatPr defaultColWidth="17.54296875" defaultRowHeight="97" customHeight="1" x14ac:dyDescent="0.35"/>
  <cols>
    <col min="1" max="3" width="17.54296875" style="148"/>
    <col min="4" max="7" width="17.54296875" style="148" customWidth="1"/>
    <col min="8" max="16384" width="17.54296875" style="148"/>
  </cols>
  <sheetData>
    <row r="1" spans="1:14" ht="50.15" customHeight="1" x14ac:dyDescent="0.35">
      <c r="A1" s="234" t="s">
        <v>447</v>
      </c>
      <c r="B1" s="234"/>
      <c r="C1" s="234"/>
      <c r="D1" s="234"/>
      <c r="E1" s="234"/>
      <c r="F1" s="234"/>
      <c r="G1" s="234"/>
      <c r="H1" s="151"/>
      <c r="I1" s="234" t="s">
        <v>448</v>
      </c>
      <c r="J1" s="234"/>
      <c r="K1" s="234"/>
      <c r="L1" s="234"/>
      <c r="M1" s="234"/>
      <c r="N1" s="152"/>
    </row>
    <row r="2" spans="1:14" ht="97" customHeight="1" x14ac:dyDescent="0.35">
      <c r="A2" s="140" t="s">
        <v>449</v>
      </c>
      <c r="B2" s="105" t="s">
        <v>450</v>
      </c>
      <c r="C2" s="106" t="s">
        <v>451</v>
      </c>
      <c r="D2" s="107" t="s">
        <v>452</v>
      </c>
      <c r="E2" s="105" t="s">
        <v>453</v>
      </c>
      <c r="F2" s="106" t="s">
        <v>454</v>
      </c>
      <c r="G2" s="107" t="s">
        <v>455</v>
      </c>
      <c r="I2" s="153"/>
      <c r="J2" s="153"/>
      <c r="K2" s="153"/>
      <c r="L2" s="153"/>
      <c r="M2" s="153"/>
    </row>
    <row r="3" spans="1:14" ht="97" customHeight="1" x14ac:dyDescent="0.35">
      <c r="A3" s="237" t="s">
        <v>456</v>
      </c>
      <c r="B3" s="123" t="s">
        <v>457</v>
      </c>
      <c r="C3" s="129" t="s">
        <v>458</v>
      </c>
      <c r="D3" s="123" t="s">
        <v>459</v>
      </c>
      <c r="E3" s="123" t="s">
        <v>460</v>
      </c>
      <c r="F3" s="128" t="s">
        <v>461</v>
      </c>
      <c r="G3" s="123" t="s">
        <v>462</v>
      </c>
      <c r="H3" s="152"/>
    </row>
    <row r="4" spans="1:14" ht="97" customHeight="1" x14ac:dyDescent="0.35">
      <c r="A4" s="238"/>
      <c r="B4" s="123" t="s">
        <v>463</v>
      </c>
      <c r="C4" s="129" t="s">
        <v>464</v>
      </c>
      <c r="D4" s="123" t="s">
        <v>465</v>
      </c>
      <c r="E4" s="123" t="s">
        <v>466</v>
      </c>
      <c r="F4" s="128" t="s">
        <v>467</v>
      </c>
      <c r="G4" s="123" t="s">
        <v>468</v>
      </c>
      <c r="H4" s="152"/>
    </row>
    <row r="5" spans="1:14" ht="97" customHeight="1" x14ac:dyDescent="0.35">
      <c r="A5" s="238"/>
      <c r="B5" s="123" t="s">
        <v>469</v>
      </c>
      <c r="C5" s="129" t="s">
        <v>470</v>
      </c>
      <c r="D5" s="123" t="s">
        <v>471</v>
      </c>
      <c r="E5" s="194" t="s">
        <v>472</v>
      </c>
      <c r="F5" s="69"/>
      <c r="G5" s="123" t="s">
        <v>473</v>
      </c>
      <c r="H5" s="152"/>
      <c r="I5" s="67" t="s">
        <v>474</v>
      </c>
      <c r="J5" s="66" t="s">
        <v>475</v>
      </c>
    </row>
    <row r="6" spans="1:14" ht="97" customHeight="1" x14ac:dyDescent="0.35">
      <c r="A6" s="238"/>
      <c r="B6" s="123" t="s">
        <v>476</v>
      </c>
      <c r="C6" s="69"/>
      <c r="D6" s="123" t="s">
        <v>477</v>
      </c>
      <c r="E6" s="123" t="s">
        <v>478</v>
      </c>
      <c r="F6" s="69"/>
      <c r="G6" s="235" t="s">
        <v>479</v>
      </c>
      <c r="H6" s="152"/>
      <c r="I6" s="68" t="s">
        <v>480</v>
      </c>
      <c r="J6" s="65">
        <v>4</v>
      </c>
    </row>
    <row r="7" spans="1:14" ht="97" customHeight="1" x14ac:dyDescent="0.35">
      <c r="A7" s="238"/>
      <c r="B7" s="123" t="s">
        <v>481</v>
      </c>
      <c r="C7" s="69"/>
      <c r="D7" s="123" t="s">
        <v>482</v>
      </c>
      <c r="E7" s="123" t="s">
        <v>483</v>
      </c>
      <c r="F7" s="69"/>
      <c r="G7" s="236"/>
      <c r="H7" s="152"/>
      <c r="I7" s="68" t="s">
        <v>484</v>
      </c>
      <c r="J7" s="65">
        <v>5</v>
      </c>
    </row>
    <row r="8" spans="1:14" ht="97" customHeight="1" x14ac:dyDescent="0.35">
      <c r="A8" s="238"/>
      <c r="B8" s="123" t="s">
        <v>485</v>
      </c>
      <c r="C8" s="69"/>
      <c r="D8" s="123" t="s">
        <v>486</v>
      </c>
      <c r="E8" s="123" t="s">
        <v>487</v>
      </c>
      <c r="F8" s="69"/>
      <c r="G8" s="123" t="s">
        <v>488</v>
      </c>
      <c r="H8" s="152"/>
      <c r="I8" s="68" t="s">
        <v>489</v>
      </c>
      <c r="J8" s="65">
        <v>3</v>
      </c>
    </row>
    <row r="9" spans="1:14" ht="97" customHeight="1" x14ac:dyDescent="0.35">
      <c r="A9" s="238"/>
      <c r="B9" s="123" t="s">
        <v>490</v>
      </c>
      <c r="C9" s="80"/>
      <c r="D9" s="235" t="s">
        <v>491</v>
      </c>
      <c r="E9" s="130" t="s">
        <v>492</v>
      </c>
      <c r="F9" s="80"/>
      <c r="G9" s="131"/>
      <c r="H9" s="152"/>
      <c r="I9" s="68" t="s">
        <v>493</v>
      </c>
      <c r="J9" s="65">
        <v>3</v>
      </c>
    </row>
    <row r="10" spans="1:14" ht="97" customHeight="1" x14ac:dyDescent="0.35">
      <c r="A10" s="238"/>
      <c r="B10" s="133"/>
      <c r="C10" s="80"/>
      <c r="D10" s="236"/>
      <c r="E10" s="123" t="s">
        <v>494</v>
      </c>
      <c r="F10" s="80"/>
      <c r="G10" s="131"/>
      <c r="H10" s="152"/>
    </row>
    <row r="11" spans="1:14" ht="97" customHeight="1" x14ac:dyDescent="0.35">
      <c r="A11" s="238"/>
      <c r="B11" s="133"/>
      <c r="C11" s="80"/>
      <c r="D11" s="132" t="s">
        <v>495</v>
      </c>
      <c r="E11" s="198" t="s">
        <v>496</v>
      </c>
      <c r="F11" s="80"/>
      <c r="G11" s="131"/>
      <c r="H11" s="152"/>
    </row>
    <row r="12" spans="1:14" ht="97" customHeight="1" x14ac:dyDescent="0.35">
      <c r="A12" s="238"/>
      <c r="B12" s="133"/>
      <c r="C12" s="80"/>
      <c r="D12" s="80"/>
      <c r="E12" s="123" t="s">
        <v>497</v>
      </c>
      <c r="F12" s="80"/>
      <c r="G12" s="131"/>
      <c r="H12" s="152"/>
    </row>
    <row r="13" spans="1:14" ht="97" customHeight="1" x14ac:dyDescent="0.35">
      <c r="A13" s="238"/>
      <c r="B13" s="134"/>
      <c r="C13" s="195"/>
      <c r="D13" s="195"/>
      <c r="E13" s="123" t="s">
        <v>498</v>
      </c>
      <c r="F13" s="195"/>
      <c r="G13" s="135"/>
      <c r="H13" s="152"/>
    </row>
    <row r="14" spans="1:14" ht="97" customHeight="1" x14ac:dyDescent="0.35">
      <c r="A14" s="238"/>
      <c r="B14" s="134"/>
      <c r="C14" s="195"/>
      <c r="D14" s="195"/>
      <c r="E14" s="235" t="s">
        <v>499</v>
      </c>
      <c r="F14" s="195"/>
      <c r="G14" s="135"/>
      <c r="H14" s="152"/>
    </row>
    <row r="15" spans="1:14" ht="97" customHeight="1" x14ac:dyDescent="0.35">
      <c r="A15" s="239"/>
      <c r="B15" s="127"/>
      <c r="C15" s="126"/>
      <c r="D15" s="136"/>
      <c r="E15" s="236"/>
      <c r="F15" s="126"/>
      <c r="G15" s="136"/>
      <c r="H15" s="152"/>
    </row>
    <row r="16" spans="1:14" ht="97" customHeight="1" x14ac:dyDescent="0.35">
      <c r="A16" s="196"/>
      <c r="B16" s="197"/>
      <c r="C16" s="197"/>
      <c r="D16" s="197"/>
      <c r="E16" s="197"/>
      <c r="F16" s="197"/>
      <c r="G16" s="197"/>
    </row>
    <row r="17" spans="1:7" ht="97" customHeight="1" x14ac:dyDescent="0.35">
      <c r="A17" s="150"/>
      <c r="B17" s="149"/>
      <c r="C17" s="149"/>
      <c r="D17" s="149"/>
      <c r="E17" s="149"/>
      <c r="F17" s="149"/>
      <c r="G17" s="149"/>
    </row>
    <row r="18" spans="1:7" ht="97" customHeight="1" x14ac:dyDescent="0.35">
      <c r="A18" s="150"/>
      <c r="B18" s="149"/>
      <c r="C18" s="149"/>
      <c r="D18" s="149"/>
      <c r="E18" s="149"/>
      <c r="F18" s="149"/>
      <c r="G18" s="149"/>
    </row>
    <row r="19" spans="1:7" ht="97" customHeight="1" x14ac:dyDescent="0.35">
      <c r="A19" s="150"/>
      <c r="B19" s="149"/>
      <c r="C19" s="149"/>
      <c r="D19" s="149"/>
      <c r="E19" s="149"/>
      <c r="F19" s="149"/>
      <c r="G19" s="149"/>
    </row>
    <row r="20" spans="1:7" ht="97" customHeight="1" x14ac:dyDescent="0.35">
      <c r="A20" s="150"/>
      <c r="B20" s="149"/>
      <c r="C20" s="149"/>
      <c r="D20" s="149"/>
      <c r="E20" s="149"/>
      <c r="F20" s="149"/>
      <c r="G20" s="149"/>
    </row>
    <row r="21" spans="1:7" ht="97" customHeight="1" x14ac:dyDescent="0.35">
      <c r="A21" s="150"/>
      <c r="B21" s="149"/>
      <c r="C21" s="149"/>
      <c r="D21" s="149"/>
      <c r="E21" s="149"/>
      <c r="F21" s="149"/>
      <c r="G21" s="149"/>
    </row>
    <row r="22" spans="1:7" ht="97" customHeight="1" x14ac:dyDescent="0.35">
      <c r="A22" s="150"/>
      <c r="B22" s="149"/>
      <c r="C22" s="149"/>
      <c r="D22" s="149"/>
      <c r="E22" s="149"/>
      <c r="F22" s="149"/>
      <c r="G22" s="149"/>
    </row>
  </sheetData>
  <sheetProtection algorithmName="SHA-512" hashValue="xfuDvmHqEs3D/f5B+FTHwBzmqIqRoIKc6676wEkTB/800yz7SbUMUQCf7ZYzaHkpmtQt3r9ikDa4qUnJpNnpHA==" saltValue="G+eM6IKxYuaST9ITe6UCwQ==" spinCount="100000" sheet="1" objects="1" scenarios="1"/>
  <mergeCells count="6">
    <mergeCell ref="I1:M1"/>
    <mergeCell ref="A1:G1"/>
    <mergeCell ref="G6:G7"/>
    <mergeCell ref="D9:D10"/>
    <mergeCell ref="E14:E15"/>
    <mergeCell ref="A3:A1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37B99-743A-442A-9F50-F5B6F1D0E30D}">
  <sheetPr>
    <tabColor rgb="FF002060"/>
  </sheetPr>
  <dimension ref="A1:R13"/>
  <sheetViews>
    <sheetView zoomScaleNormal="100" workbookViewId="0">
      <selection activeCell="E5" sqref="E5"/>
    </sheetView>
  </sheetViews>
  <sheetFormatPr defaultColWidth="17.54296875" defaultRowHeight="97" customHeight="1" x14ac:dyDescent="0.35"/>
  <cols>
    <col min="1" max="6" width="17.54296875" style="142"/>
    <col min="7" max="7" width="17.54296875" style="142" customWidth="1"/>
    <col min="8" max="16384" width="17.54296875" style="142"/>
  </cols>
  <sheetData>
    <row r="1" spans="1:18" ht="50.15" customHeight="1" x14ac:dyDescent="0.35">
      <c r="A1" s="244" t="s">
        <v>500</v>
      </c>
      <c r="B1" s="244"/>
      <c r="C1" s="244"/>
      <c r="D1" s="244"/>
      <c r="E1" s="244"/>
      <c r="F1" s="244"/>
      <c r="G1" s="157"/>
      <c r="H1" s="244" t="s">
        <v>501</v>
      </c>
      <c r="I1" s="244"/>
      <c r="J1" s="244"/>
      <c r="K1" s="244"/>
      <c r="L1" s="244"/>
      <c r="M1" s="244"/>
      <c r="N1" s="158"/>
    </row>
    <row r="2" spans="1:18" ht="97" customHeight="1" x14ac:dyDescent="0.35">
      <c r="A2" s="140" t="s">
        <v>502</v>
      </c>
      <c r="B2" s="107" t="s">
        <v>503</v>
      </c>
      <c r="C2" s="109" t="s">
        <v>504</v>
      </c>
      <c r="D2" s="105" t="s">
        <v>505</v>
      </c>
      <c r="E2" s="110" t="s">
        <v>506</v>
      </c>
      <c r="F2" s="111" t="s">
        <v>507</v>
      </c>
      <c r="H2" s="159"/>
      <c r="I2" s="160"/>
      <c r="J2" s="161"/>
      <c r="K2" s="161"/>
      <c r="L2" s="161"/>
      <c r="M2" s="161"/>
      <c r="N2" s="147"/>
      <c r="O2" s="147"/>
      <c r="P2" s="155"/>
      <c r="Q2" s="155"/>
      <c r="R2" s="155"/>
    </row>
    <row r="3" spans="1:18" ht="97" customHeight="1" x14ac:dyDescent="0.35">
      <c r="A3" s="243" t="s">
        <v>508</v>
      </c>
      <c r="B3" s="99"/>
      <c r="C3" s="123" t="s">
        <v>509</v>
      </c>
      <c r="D3" s="123" t="s">
        <v>510</v>
      </c>
      <c r="E3" s="108"/>
      <c r="F3" s="101"/>
      <c r="H3" s="154"/>
      <c r="I3" s="155"/>
      <c r="J3" s="148"/>
      <c r="K3" s="148"/>
      <c r="L3" s="148"/>
      <c r="M3" s="148"/>
      <c r="N3" s="148"/>
      <c r="O3" s="155"/>
      <c r="P3" s="148"/>
      <c r="Q3" s="148"/>
      <c r="R3" s="148"/>
    </row>
    <row r="4" spans="1:18" ht="97" customHeight="1" x14ac:dyDescent="0.35">
      <c r="A4" s="243"/>
      <c r="B4" s="96"/>
      <c r="C4" s="102"/>
      <c r="D4" s="69"/>
      <c r="E4" s="69"/>
      <c r="F4" s="100"/>
      <c r="H4" s="155"/>
      <c r="I4" s="148"/>
    </row>
    <row r="5" spans="1:18" ht="97" customHeight="1" x14ac:dyDescent="0.35">
      <c r="A5" s="243"/>
      <c r="B5" s="96"/>
      <c r="C5" s="102"/>
      <c r="D5" s="69"/>
      <c r="E5" s="69"/>
      <c r="F5" s="100"/>
      <c r="H5" s="241" t="s">
        <v>511</v>
      </c>
      <c r="I5" s="67" t="s">
        <v>502</v>
      </c>
      <c r="J5" s="91" t="s">
        <v>512</v>
      </c>
      <c r="K5" s="91" t="s">
        <v>513</v>
      </c>
      <c r="L5" s="91" t="s">
        <v>514</v>
      </c>
      <c r="M5" s="91" t="s">
        <v>515</v>
      </c>
      <c r="N5" s="91" t="s">
        <v>516</v>
      </c>
      <c r="O5" s="70" t="s">
        <v>517</v>
      </c>
    </row>
    <row r="6" spans="1:18" ht="97" customHeight="1" x14ac:dyDescent="0.35">
      <c r="A6" s="243"/>
      <c r="B6" s="97"/>
      <c r="C6" s="98"/>
      <c r="D6" s="98"/>
      <c r="E6" s="98"/>
      <c r="F6" s="95"/>
      <c r="H6" s="242"/>
      <c r="I6" s="67" t="s">
        <v>518</v>
      </c>
      <c r="J6" s="65">
        <v>0</v>
      </c>
      <c r="K6" s="65">
        <v>1</v>
      </c>
      <c r="L6" s="65">
        <v>1</v>
      </c>
      <c r="M6" s="65">
        <v>0</v>
      </c>
      <c r="N6" s="65">
        <v>0</v>
      </c>
      <c r="O6" s="71">
        <f>SUM(J6:N6)</f>
        <v>2</v>
      </c>
    </row>
    <row r="8" spans="1:18" ht="97" customHeight="1" x14ac:dyDescent="0.35">
      <c r="A8" s="156"/>
    </row>
    <row r="9" spans="1:18" ht="97" customHeight="1" x14ac:dyDescent="0.35">
      <c r="A9" s="240"/>
      <c r="H9" s="155"/>
      <c r="I9" s="148"/>
    </row>
    <row r="10" spans="1:18" ht="97" customHeight="1" x14ac:dyDescent="0.35">
      <c r="A10" s="240"/>
      <c r="H10" s="155"/>
      <c r="I10" s="148"/>
    </row>
    <row r="11" spans="1:18" ht="97" customHeight="1" x14ac:dyDescent="0.35">
      <c r="A11" s="240"/>
    </row>
    <row r="12" spans="1:18" ht="97" customHeight="1" x14ac:dyDescent="0.35">
      <c r="A12" s="240"/>
    </row>
    <row r="13" spans="1:18" ht="97" customHeight="1" x14ac:dyDescent="0.35">
      <c r="A13" s="148"/>
      <c r="B13" s="148"/>
      <c r="C13" s="148"/>
      <c r="D13" s="148"/>
    </row>
  </sheetData>
  <sheetProtection algorithmName="SHA-512" hashValue="BT88glSYyEfN1SXQllBCkw7gwtM3bwQKosoUihkVKIZPLwDJsgHxfR1DGoRBBrJK6t+JRGhcCjy2b5064+o42g==" saltValue="RCoX/gc0/UessMCvGyccAQ==" spinCount="100000" sheet="1" objects="1" scenarios="1"/>
  <mergeCells count="5">
    <mergeCell ref="A9:A12"/>
    <mergeCell ref="H5:H6"/>
    <mergeCell ref="A3:A6"/>
    <mergeCell ref="A1:F1"/>
    <mergeCell ref="H1:M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F4071-AA11-46E4-9DE8-93A4082A918B}">
  <sheetPr>
    <tabColor rgb="FF002060"/>
  </sheetPr>
  <dimension ref="A1:R13"/>
  <sheetViews>
    <sheetView zoomScaleNormal="100" workbookViewId="0">
      <selection activeCell="H1" sqref="H1:M1"/>
    </sheetView>
  </sheetViews>
  <sheetFormatPr defaultColWidth="17.54296875" defaultRowHeight="97" customHeight="1" x14ac:dyDescent="0.35"/>
  <cols>
    <col min="1" max="6" width="17.54296875" style="142"/>
    <col min="7" max="7" width="17.54296875" style="142" customWidth="1"/>
    <col min="8" max="16384" width="17.54296875" style="142"/>
  </cols>
  <sheetData>
    <row r="1" spans="1:18" ht="50.15" customHeight="1" x14ac:dyDescent="0.35">
      <c r="A1" s="244" t="s">
        <v>519</v>
      </c>
      <c r="B1" s="244"/>
      <c r="C1" s="244"/>
      <c r="D1" s="244"/>
      <c r="E1" s="244"/>
      <c r="F1" s="244"/>
      <c r="G1" s="157"/>
      <c r="H1" s="244" t="s">
        <v>520</v>
      </c>
      <c r="I1" s="244"/>
      <c r="J1" s="244"/>
      <c r="K1" s="244"/>
      <c r="L1" s="244"/>
      <c r="M1" s="244"/>
      <c r="N1" s="158"/>
    </row>
    <row r="2" spans="1:18" ht="97" customHeight="1" x14ac:dyDescent="0.35">
      <c r="A2" s="140" t="s">
        <v>502</v>
      </c>
      <c r="B2" s="107" t="s">
        <v>503</v>
      </c>
      <c r="C2" s="109" t="s">
        <v>504</v>
      </c>
      <c r="D2" s="105" t="s">
        <v>505</v>
      </c>
      <c r="E2" s="110" t="s">
        <v>506</v>
      </c>
      <c r="F2" s="111" t="s">
        <v>507</v>
      </c>
      <c r="H2" s="159"/>
      <c r="I2" s="160"/>
      <c r="J2" s="161"/>
      <c r="K2" s="161"/>
      <c r="L2" s="161"/>
      <c r="M2" s="161"/>
      <c r="N2" s="147"/>
      <c r="O2" s="147"/>
      <c r="P2" s="155"/>
      <c r="Q2" s="155"/>
      <c r="R2" s="155"/>
    </row>
    <row r="3" spans="1:18" ht="97" customHeight="1" x14ac:dyDescent="0.35">
      <c r="A3" s="245" t="s">
        <v>508</v>
      </c>
      <c r="B3" s="114"/>
      <c r="C3" s="123" t="s">
        <v>521</v>
      </c>
      <c r="D3" s="123" t="s">
        <v>522</v>
      </c>
      <c r="E3" s="123" t="s">
        <v>523</v>
      </c>
      <c r="F3" s="115"/>
      <c r="H3" s="154"/>
      <c r="I3" s="155"/>
      <c r="J3" s="148"/>
      <c r="K3" s="148"/>
      <c r="L3" s="148"/>
      <c r="M3" s="148"/>
      <c r="N3" s="148"/>
      <c r="O3" s="155"/>
      <c r="P3" s="148"/>
      <c r="Q3" s="148"/>
      <c r="R3" s="148"/>
    </row>
    <row r="4" spans="1:18" ht="97" customHeight="1" x14ac:dyDescent="0.35">
      <c r="A4" s="245"/>
      <c r="B4" s="96"/>
      <c r="C4" s="69"/>
      <c r="D4" s="69"/>
      <c r="E4" s="69"/>
      <c r="F4" s="100"/>
      <c r="H4" s="155"/>
      <c r="I4" s="148"/>
    </row>
    <row r="5" spans="1:18" ht="97" customHeight="1" x14ac:dyDescent="0.35">
      <c r="A5" s="245"/>
      <c r="B5" s="96"/>
      <c r="C5" s="69"/>
      <c r="D5" s="69"/>
      <c r="E5" s="69"/>
      <c r="F5" s="100"/>
      <c r="H5" s="241" t="s">
        <v>524</v>
      </c>
      <c r="I5" s="67" t="s">
        <v>502</v>
      </c>
      <c r="J5" s="91" t="s">
        <v>512</v>
      </c>
      <c r="K5" s="91" t="s">
        <v>513</v>
      </c>
      <c r="L5" s="91" t="s">
        <v>514</v>
      </c>
      <c r="M5" s="91" t="s">
        <v>515</v>
      </c>
      <c r="N5" s="91" t="s">
        <v>516</v>
      </c>
      <c r="O5" s="70" t="s">
        <v>517</v>
      </c>
    </row>
    <row r="6" spans="1:18" ht="97" customHeight="1" x14ac:dyDescent="0.35">
      <c r="A6" s="245"/>
      <c r="B6" s="97"/>
      <c r="C6" s="98"/>
      <c r="D6" s="98"/>
      <c r="E6" s="98"/>
      <c r="F6" s="95"/>
      <c r="H6" s="242"/>
      <c r="I6" s="67" t="s">
        <v>518</v>
      </c>
      <c r="J6" s="65">
        <v>0</v>
      </c>
      <c r="K6" s="65">
        <v>1</v>
      </c>
      <c r="L6" s="65">
        <v>1</v>
      </c>
      <c r="M6" s="65">
        <v>1</v>
      </c>
      <c r="N6" s="65">
        <v>0</v>
      </c>
      <c r="O6" s="71">
        <f>SUM(J6:N6)</f>
        <v>3</v>
      </c>
    </row>
    <row r="8" spans="1:18" ht="97" customHeight="1" x14ac:dyDescent="0.35">
      <c r="A8" s="156"/>
    </row>
    <row r="9" spans="1:18" ht="97" customHeight="1" x14ac:dyDescent="0.35">
      <c r="A9" s="240"/>
      <c r="H9" s="155"/>
      <c r="I9" s="148"/>
    </row>
    <row r="10" spans="1:18" ht="97" customHeight="1" x14ac:dyDescent="0.35">
      <c r="A10" s="240"/>
      <c r="H10" s="155"/>
      <c r="I10" s="148"/>
    </row>
    <row r="11" spans="1:18" ht="97" customHeight="1" x14ac:dyDescent="0.35">
      <c r="A11" s="240"/>
    </row>
    <row r="12" spans="1:18" ht="97" customHeight="1" x14ac:dyDescent="0.35">
      <c r="A12" s="240"/>
    </row>
    <row r="13" spans="1:18" ht="97" customHeight="1" x14ac:dyDescent="0.35">
      <c r="A13" s="148"/>
      <c r="B13" s="148"/>
      <c r="C13" s="148"/>
      <c r="D13" s="148"/>
    </row>
  </sheetData>
  <sheetProtection algorithmName="SHA-512" hashValue="QjgiJqNBQxCV2juMVyV0aqe1Uv/qxVvlMZWX4YaZfzEoc00+0Y5zuwe9x7jsu1gNLpK6OR9SUbtoSqDJvacoHA==" saltValue="V/hL/58NkBjwuIE8jLbG0g==" spinCount="100000" sheet="1" objects="1" scenarios="1"/>
  <mergeCells count="5">
    <mergeCell ref="A1:F1"/>
    <mergeCell ref="H1:M1"/>
    <mergeCell ref="A3:A6"/>
    <mergeCell ref="H5:H6"/>
    <mergeCell ref="A9:A1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E7456-FDC1-43F9-931E-7B65EA9E7E05}">
  <sheetPr>
    <tabColor rgb="FF002060"/>
  </sheetPr>
  <dimension ref="A1:R13"/>
  <sheetViews>
    <sheetView zoomScaleNormal="100" workbookViewId="0">
      <selection activeCell="H1" sqref="H1:M1"/>
    </sheetView>
  </sheetViews>
  <sheetFormatPr defaultColWidth="17.54296875" defaultRowHeight="97" customHeight="1" x14ac:dyDescent="0.35"/>
  <cols>
    <col min="1" max="6" width="17.54296875" style="142"/>
    <col min="7" max="7" width="17.54296875" style="142" customWidth="1"/>
    <col min="8" max="16384" width="17.54296875" style="142"/>
  </cols>
  <sheetData>
    <row r="1" spans="1:18" ht="50.15" customHeight="1" x14ac:dyDescent="0.35">
      <c r="A1" s="244" t="s">
        <v>525</v>
      </c>
      <c r="B1" s="244"/>
      <c r="C1" s="244"/>
      <c r="D1" s="244"/>
      <c r="E1" s="244"/>
      <c r="F1" s="244"/>
      <c r="G1" s="157"/>
      <c r="H1" s="244" t="s">
        <v>526</v>
      </c>
      <c r="I1" s="244"/>
      <c r="J1" s="244"/>
      <c r="K1" s="244"/>
      <c r="L1" s="244"/>
      <c r="M1" s="244"/>
      <c r="N1" s="158"/>
    </row>
    <row r="2" spans="1:18" ht="97" customHeight="1" x14ac:dyDescent="0.35">
      <c r="A2" s="140" t="s">
        <v>502</v>
      </c>
      <c r="B2" s="107" t="s">
        <v>503</v>
      </c>
      <c r="C2" s="109" t="s">
        <v>504</v>
      </c>
      <c r="D2" s="105" t="s">
        <v>505</v>
      </c>
      <c r="E2" s="110" t="s">
        <v>506</v>
      </c>
      <c r="F2" s="111" t="s">
        <v>507</v>
      </c>
      <c r="H2" s="159"/>
      <c r="I2" s="160"/>
      <c r="J2" s="161"/>
      <c r="K2" s="161"/>
      <c r="L2" s="161"/>
      <c r="M2" s="161"/>
      <c r="N2" s="147"/>
      <c r="O2" s="147"/>
      <c r="P2" s="155"/>
      <c r="Q2" s="155"/>
      <c r="R2" s="155"/>
    </row>
    <row r="3" spans="1:18" ht="97" customHeight="1" x14ac:dyDescent="0.35">
      <c r="A3" s="245" t="s">
        <v>508</v>
      </c>
      <c r="B3" s="99"/>
      <c r="C3" s="108"/>
      <c r="D3" s="125" t="s">
        <v>527</v>
      </c>
      <c r="E3" s="108"/>
      <c r="F3" s="101"/>
      <c r="H3" s="154"/>
      <c r="I3" s="155"/>
      <c r="J3" s="148"/>
      <c r="K3" s="148"/>
      <c r="L3" s="148"/>
      <c r="M3" s="148"/>
      <c r="N3" s="148"/>
      <c r="O3" s="155"/>
      <c r="P3" s="148"/>
      <c r="Q3" s="148"/>
      <c r="R3" s="148"/>
    </row>
    <row r="4" spans="1:18" ht="97" customHeight="1" x14ac:dyDescent="0.35">
      <c r="A4" s="245"/>
      <c r="B4" s="96"/>
      <c r="C4" s="69"/>
      <c r="D4" s="112"/>
      <c r="E4" s="69"/>
      <c r="F4" s="100"/>
      <c r="H4" s="155"/>
      <c r="I4" s="148"/>
    </row>
    <row r="5" spans="1:18" ht="97" customHeight="1" x14ac:dyDescent="0.35">
      <c r="A5" s="245"/>
      <c r="B5" s="96"/>
      <c r="C5" s="69"/>
      <c r="D5" s="112"/>
      <c r="E5" s="69"/>
      <c r="F5" s="100"/>
      <c r="H5" s="241" t="s">
        <v>528</v>
      </c>
      <c r="I5" s="67" t="s">
        <v>502</v>
      </c>
      <c r="J5" s="91" t="s">
        <v>512</v>
      </c>
      <c r="K5" s="91" t="s">
        <v>513</v>
      </c>
      <c r="L5" s="91" t="s">
        <v>514</v>
      </c>
      <c r="M5" s="91" t="s">
        <v>515</v>
      </c>
      <c r="N5" s="91" t="s">
        <v>516</v>
      </c>
      <c r="O5" s="86" t="s">
        <v>517</v>
      </c>
    </row>
    <row r="6" spans="1:18" ht="97" customHeight="1" x14ac:dyDescent="0.35">
      <c r="A6" s="245"/>
      <c r="B6" s="97"/>
      <c r="C6" s="98"/>
      <c r="D6" s="98"/>
      <c r="E6" s="98"/>
      <c r="F6" s="95"/>
      <c r="H6" s="242"/>
      <c r="I6" s="67" t="s">
        <v>518</v>
      </c>
      <c r="J6" s="65">
        <v>0</v>
      </c>
      <c r="K6" s="65">
        <v>0</v>
      </c>
      <c r="L6" s="65">
        <v>1</v>
      </c>
      <c r="M6" s="65">
        <v>0</v>
      </c>
      <c r="N6" s="65">
        <v>0</v>
      </c>
      <c r="O6" s="71">
        <f>SUM(J6:N6)</f>
        <v>1</v>
      </c>
    </row>
    <row r="8" spans="1:18" ht="97" customHeight="1" x14ac:dyDescent="0.35">
      <c r="A8" s="156"/>
    </row>
    <row r="9" spans="1:18" ht="97" customHeight="1" x14ac:dyDescent="0.35">
      <c r="A9" s="240"/>
      <c r="H9" s="155"/>
      <c r="I9" s="148"/>
    </row>
    <row r="10" spans="1:18" ht="97" customHeight="1" x14ac:dyDescent="0.35">
      <c r="A10" s="240"/>
      <c r="H10" s="155"/>
      <c r="I10" s="148"/>
    </row>
    <row r="11" spans="1:18" ht="97" customHeight="1" x14ac:dyDescent="0.35">
      <c r="A11" s="240"/>
    </row>
    <row r="12" spans="1:18" ht="97" customHeight="1" x14ac:dyDescent="0.35">
      <c r="A12" s="240"/>
    </row>
    <row r="13" spans="1:18" ht="97" customHeight="1" x14ac:dyDescent="0.35">
      <c r="A13" s="148"/>
      <c r="B13" s="148"/>
      <c r="C13" s="148"/>
      <c r="D13" s="148"/>
    </row>
  </sheetData>
  <sheetProtection algorithmName="SHA-512" hashValue="yX7dS9PzK+R47sykH7M2z4ISLN3djSTBpAtywhXjvUGm0LxC9C9c3m7ycMdhp7z3VItMNpvy/qdM8bXLD5WDPQ==" saltValue="GBjTuDwDxi/GPPcY2+nh6g==" spinCount="100000" sheet="1" objects="1" scenarios="1"/>
  <mergeCells count="5">
    <mergeCell ref="A1:F1"/>
    <mergeCell ref="H1:M1"/>
    <mergeCell ref="A3:A6"/>
    <mergeCell ref="H5:H6"/>
    <mergeCell ref="A9:A1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BE971-B324-4B7C-B0B4-2188958BCB98}">
  <sheetPr>
    <tabColor rgb="FF002060"/>
  </sheetPr>
  <dimension ref="A1:R13"/>
  <sheetViews>
    <sheetView zoomScaleNormal="100" workbookViewId="0">
      <selection activeCell="C4" sqref="C4"/>
    </sheetView>
  </sheetViews>
  <sheetFormatPr defaultColWidth="17.54296875" defaultRowHeight="97" customHeight="1" x14ac:dyDescent="0.35"/>
  <cols>
    <col min="1" max="6" width="17.54296875" style="142"/>
    <col min="7" max="7" width="17.54296875" style="142" customWidth="1"/>
    <col min="8" max="16384" width="17.54296875" style="142"/>
  </cols>
  <sheetData>
    <row r="1" spans="1:18" ht="50.15" customHeight="1" x14ac:dyDescent="0.35">
      <c r="A1" s="244" t="s">
        <v>529</v>
      </c>
      <c r="B1" s="244"/>
      <c r="C1" s="244"/>
      <c r="D1" s="244"/>
      <c r="E1" s="244"/>
      <c r="F1" s="244"/>
      <c r="G1" s="157"/>
      <c r="H1" s="244" t="s">
        <v>530</v>
      </c>
      <c r="I1" s="244"/>
      <c r="J1" s="244"/>
      <c r="K1" s="244"/>
      <c r="L1" s="244"/>
      <c r="M1" s="244"/>
      <c r="N1" s="158"/>
    </row>
    <row r="2" spans="1:18" ht="97" customHeight="1" x14ac:dyDescent="0.35">
      <c r="A2" s="140" t="s">
        <v>502</v>
      </c>
      <c r="B2" s="107" t="s">
        <v>503</v>
      </c>
      <c r="C2" s="109" t="s">
        <v>504</v>
      </c>
      <c r="D2" s="105" t="s">
        <v>505</v>
      </c>
      <c r="E2" s="110" t="s">
        <v>506</v>
      </c>
      <c r="F2" s="111" t="s">
        <v>507</v>
      </c>
      <c r="H2" s="159"/>
      <c r="I2" s="160"/>
      <c r="J2" s="161"/>
      <c r="K2" s="161"/>
      <c r="L2" s="161"/>
      <c r="M2" s="161"/>
      <c r="N2" s="147"/>
      <c r="O2" s="147"/>
      <c r="P2" s="155"/>
      <c r="Q2" s="155"/>
      <c r="R2" s="155"/>
    </row>
    <row r="3" spans="1:18" ht="97" customHeight="1" x14ac:dyDescent="0.35">
      <c r="A3" s="246" t="s">
        <v>508</v>
      </c>
      <c r="B3" s="117"/>
      <c r="C3" s="113"/>
      <c r="D3" s="113"/>
      <c r="E3" s="124" t="s">
        <v>531</v>
      </c>
      <c r="F3" s="118"/>
      <c r="H3" s="154"/>
      <c r="I3" s="155"/>
      <c r="J3" s="148"/>
      <c r="K3" s="148"/>
      <c r="L3" s="148"/>
      <c r="M3" s="148"/>
      <c r="N3" s="148"/>
      <c r="O3" s="155"/>
      <c r="P3" s="148"/>
      <c r="Q3" s="148"/>
      <c r="R3" s="148"/>
    </row>
    <row r="4" spans="1:18" ht="97" customHeight="1" x14ac:dyDescent="0.35">
      <c r="A4" s="247"/>
      <c r="B4" s="119"/>
      <c r="C4" s="102"/>
      <c r="D4" s="102"/>
      <c r="E4" s="125" t="s">
        <v>532</v>
      </c>
      <c r="F4" s="116"/>
      <c r="H4" s="155"/>
      <c r="I4" s="148"/>
    </row>
    <row r="5" spans="1:18" ht="97" customHeight="1" x14ac:dyDescent="0.35">
      <c r="A5" s="247"/>
      <c r="B5" s="119"/>
      <c r="C5" s="102"/>
      <c r="D5" s="102"/>
      <c r="E5" s="102"/>
      <c r="F5" s="116"/>
      <c r="H5" s="241" t="s">
        <v>533</v>
      </c>
      <c r="I5" s="67" t="s">
        <v>502</v>
      </c>
      <c r="J5" s="91" t="s">
        <v>512</v>
      </c>
      <c r="K5" s="91" t="s">
        <v>513</v>
      </c>
      <c r="L5" s="91" t="s">
        <v>514</v>
      </c>
      <c r="M5" s="91" t="s">
        <v>515</v>
      </c>
      <c r="N5" s="91" t="s">
        <v>516</v>
      </c>
      <c r="O5" s="70" t="s">
        <v>517</v>
      </c>
    </row>
    <row r="6" spans="1:18" ht="97" customHeight="1" x14ac:dyDescent="0.35">
      <c r="A6" s="248"/>
      <c r="B6" s="120"/>
      <c r="C6" s="121"/>
      <c r="D6" s="121"/>
      <c r="E6" s="121"/>
      <c r="F6" s="122"/>
      <c r="H6" s="242"/>
      <c r="I6" s="67" t="s">
        <v>518</v>
      </c>
      <c r="J6" s="65">
        <v>0</v>
      </c>
      <c r="K6" s="65">
        <v>0</v>
      </c>
      <c r="L6" s="65">
        <v>0</v>
      </c>
      <c r="M6" s="65">
        <v>2</v>
      </c>
      <c r="N6" s="65">
        <v>0</v>
      </c>
      <c r="O6" s="71">
        <f>SUM(J6:N6)</f>
        <v>2</v>
      </c>
    </row>
    <row r="7" spans="1:18" ht="97" customHeight="1" x14ac:dyDescent="0.35">
      <c r="A7" s="201"/>
      <c r="B7" s="200"/>
      <c r="C7" s="200"/>
      <c r="D7" s="200"/>
      <c r="E7" s="200"/>
      <c r="F7" s="200"/>
      <c r="G7" s="158"/>
    </row>
    <row r="8" spans="1:18" ht="97" customHeight="1" x14ac:dyDescent="0.35">
      <c r="A8" s="199"/>
      <c r="B8" s="165"/>
      <c r="C8" s="165"/>
      <c r="D8" s="200"/>
      <c r="E8" s="165"/>
      <c r="F8" s="165"/>
    </row>
    <row r="9" spans="1:18" ht="97" customHeight="1" x14ac:dyDescent="0.35">
      <c r="A9" s="240"/>
      <c r="H9" s="155"/>
      <c r="I9" s="148"/>
    </row>
    <row r="10" spans="1:18" ht="97" customHeight="1" x14ac:dyDescent="0.35">
      <c r="A10" s="240"/>
      <c r="H10" s="155"/>
      <c r="I10" s="148"/>
    </row>
    <row r="11" spans="1:18" ht="97" customHeight="1" x14ac:dyDescent="0.35">
      <c r="A11" s="240"/>
    </row>
    <row r="12" spans="1:18" ht="97" customHeight="1" x14ac:dyDescent="0.35">
      <c r="A12" s="240"/>
    </row>
    <row r="13" spans="1:18" ht="97" customHeight="1" x14ac:dyDescent="0.35">
      <c r="A13" s="148"/>
      <c r="B13" s="148"/>
      <c r="C13" s="148"/>
      <c r="D13" s="148"/>
    </row>
  </sheetData>
  <sheetProtection algorithmName="SHA-512" hashValue="vxlfMfu+CZX0MJuqs/tZikektV1RajOc9uV6uPPLu3ZZYzR8q1UpDengNwNC/P+ffOPffKuK7AAdng6MPZbduQ==" saltValue="ZLdKlVyTbvcN1F8emKuShw==" spinCount="100000" sheet="1" objects="1" scenarios="1"/>
  <mergeCells count="5">
    <mergeCell ref="A1:F1"/>
    <mergeCell ref="H1:M1"/>
    <mergeCell ref="H5:H6"/>
    <mergeCell ref="A9:A12"/>
    <mergeCell ref="A3:A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E285B-1881-44D0-AED3-FB081826FC2F}">
  <sheetPr>
    <tabColor rgb="FF0070C0"/>
  </sheetPr>
  <dimension ref="A1:V46"/>
  <sheetViews>
    <sheetView zoomScale="60" zoomScaleNormal="60" workbookViewId="0">
      <selection activeCell="G5" sqref="G5"/>
    </sheetView>
  </sheetViews>
  <sheetFormatPr defaultColWidth="17.54296875" defaultRowHeight="97" customHeight="1" x14ac:dyDescent="0.35"/>
  <cols>
    <col min="1" max="16384" width="17.54296875" style="142"/>
  </cols>
  <sheetData>
    <row r="1" spans="1:20" s="162" customFormat="1" ht="50.15" customHeight="1" x14ac:dyDescent="0.35">
      <c r="A1" s="234" t="s">
        <v>534</v>
      </c>
      <c r="B1" s="234"/>
      <c r="C1" s="234"/>
      <c r="D1" s="234"/>
      <c r="E1" s="234"/>
      <c r="F1" s="234"/>
      <c r="G1" s="166"/>
      <c r="H1" s="250" t="s">
        <v>535</v>
      </c>
      <c r="I1" s="250"/>
      <c r="J1" s="250"/>
      <c r="K1" s="250"/>
      <c r="L1" s="250"/>
      <c r="M1" s="250"/>
      <c r="N1" s="168"/>
      <c r="O1" s="169"/>
      <c r="P1" s="169"/>
    </row>
    <row r="2" spans="1:20" ht="97" customHeight="1" x14ac:dyDescent="0.35">
      <c r="A2" s="165"/>
      <c r="B2" s="165"/>
      <c r="C2" s="165"/>
      <c r="D2" s="165"/>
      <c r="E2" s="165"/>
      <c r="F2" s="165"/>
      <c r="G2" s="157"/>
      <c r="H2" s="249" t="s">
        <v>536</v>
      </c>
      <c r="I2" s="67" t="s">
        <v>537</v>
      </c>
      <c r="J2" s="91">
        <v>49721</v>
      </c>
      <c r="K2" s="91">
        <v>49799</v>
      </c>
      <c r="L2" s="91">
        <v>49705</v>
      </c>
      <c r="M2" s="91">
        <v>49701</v>
      </c>
      <c r="N2" s="91">
        <v>49749</v>
      </c>
      <c r="O2" s="141" t="s">
        <v>538</v>
      </c>
      <c r="P2" s="92" t="s">
        <v>539</v>
      </c>
      <c r="Q2" s="158"/>
    </row>
    <row r="3" spans="1:20" ht="97" customHeight="1" x14ac:dyDescent="0.35">
      <c r="G3" s="157"/>
      <c r="H3" s="249"/>
      <c r="I3" s="67" t="s">
        <v>518</v>
      </c>
      <c r="J3" s="65">
        <v>27</v>
      </c>
      <c r="K3" s="65">
        <v>1</v>
      </c>
      <c r="L3" s="65">
        <v>1</v>
      </c>
      <c r="M3" s="65">
        <v>2</v>
      </c>
      <c r="N3" s="65">
        <v>1</v>
      </c>
      <c r="O3" s="81">
        <v>76</v>
      </c>
      <c r="P3" s="89">
        <f>SUM(J3:O3)</f>
        <v>108</v>
      </c>
      <c r="Q3" s="158"/>
    </row>
    <row r="4" spans="1:20" ht="97" customHeight="1" x14ac:dyDescent="0.35">
      <c r="H4" s="165"/>
      <c r="I4" s="165"/>
      <c r="J4" s="165"/>
      <c r="K4" s="165"/>
      <c r="L4" s="165"/>
      <c r="M4" s="165"/>
      <c r="N4" s="165"/>
      <c r="O4" s="165"/>
      <c r="P4" s="165"/>
    </row>
    <row r="5" spans="1:20" ht="97" customHeight="1" x14ac:dyDescent="0.35">
      <c r="A5" s="167"/>
      <c r="B5" s="167"/>
      <c r="C5" s="167"/>
      <c r="D5" s="167"/>
      <c r="E5" s="167"/>
      <c r="F5" s="167"/>
      <c r="H5" s="167"/>
      <c r="I5" s="167"/>
      <c r="J5" s="167"/>
      <c r="K5" s="167"/>
      <c r="L5" s="167"/>
      <c r="M5" s="167"/>
    </row>
    <row r="6" spans="1:20" s="162" customFormat="1" ht="50.15" customHeight="1" x14ac:dyDescent="0.35">
      <c r="A6" s="234" t="s">
        <v>540</v>
      </c>
      <c r="B6" s="234"/>
      <c r="C6" s="234"/>
      <c r="D6" s="234"/>
      <c r="E6" s="234"/>
      <c r="F6" s="234"/>
      <c r="G6" s="166"/>
      <c r="H6" s="250" t="s">
        <v>541</v>
      </c>
      <c r="I6" s="250"/>
      <c r="J6" s="250"/>
      <c r="K6" s="250"/>
      <c r="L6" s="250"/>
      <c r="M6" s="250"/>
      <c r="N6" s="168"/>
    </row>
    <row r="7" spans="1:20" ht="97" customHeight="1" x14ac:dyDescent="0.35">
      <c r="A7" s="165"/>
      <c r="B7" s="165"/>
      <c r="C7" s="165"/>
      <c r="D7" s="165"/>
      <c r="E7" s="165"/>
      <c r="F7" s="165"/>
      <c r="G7" s="157"/>
      <c r="H7" s="249" t="s">
        <v>542</v>
      </c>
      <c r="I7" s="67" t="s">
        <v>543</v>
      </c>
      <c r="J7" s="91" t="s">
        <v>544</v>
      </c>
      <c r="K7" s="91" t="s">
        <v>545</v>
      </c>
      <c r="L7" s="91" t="s">
        <v>546</v>
      </c>
      <c r="M7" s="91" t="s">
        <v>547</v>
      </c>
      <c r="N7" s="87" t="s">
        <v>539</v>
      </c>
      <c r="O7" s="158"/>
    </row>
    <row r="8" spans="1:20" ht="97" customHeight="1" x14ac:dyDescent="0.35">
      <c r="G8" s="157"/>
      <c r="H8" s="249"/>
      <c r="I8" s="67" t="s">
        <v>518</v>
      </c>
      <c r="J8" s="65">
        <v>15</v>
      </c>
      <c r="K8" s="65">
        <v>69</v>
      </c>
      <c r="L8" s="65">
        <v>28</v>
      </c>
      <c r="M8" s="65">
        <v>7</v>
      </c>
      <c r="N8" s="88">
        <f>SUM(J8:M8)</f>
        <v>119</v>
      </c>
      <c r="O8" s="158"/>
    </row>
    <row r="9" spans="1:20" ht="97" customHeight="1" x14ac:dyDescent="0.35">
      <c r="H9" s="165"/>
      <c r="I9" s="165"/>
      <c r="J9" s="165"/>
      <c r="K9" s="165"/>
      <c r="L9" s="165"/>
      <c r="M9" s="165"/>
      <c r="N9" s="165"/>
    </row>
    <row r="10" spans="1:20" ht="97" customHeight="1" x14ac:dyDescent="0.35">
      <c r="A10" s="167"/>
      <c r="B10" s="167"/>
      <c r="C10" s="167"/>
      <c r="D10" s="167"/>
      <c r="E10" s="167"/>
      <c r="F10" s="167"/>
      <c r="H10" s="167"/>
      <c r="I10" s="167"/>
      <c r="J10" s="167"/>
      <c r="K10" s="167"/>
      <c r="L10" s="167"/>
      <c r="M10" s="167"/>
    </row>
    <row r="11" spans="1:20" s="162" customFormat="1" ht="50.15" customHeight="1" x14ac:dyDescent="0.35">
      <c r="A11" s="234" t="s">
        <v>548</v>
      </c>
      <c r="B11" s="234"/>
      <c r="C11" s="234"/>
      <c r="D11" s="234"/>
      <c r="E11" s="234"/>
      <c r="F11" s="234"/>
      <c r="G11" s="166"/>
      <c r="H11" s="250" t="s">
        <v>549</v>
      </c>
      <c r="I11" s="250"/>
      <c r="J11" s="250"/>
      <c r="K11" s="250"/>
      <c r="L11" s="250"/>
      <c r="M11" s="250"/>
      <c r="N11" s="168"/>
      <c r="O11" s="169"/>
      <c r="P11" s="169"/>
      <c r="Q11" s="169"/>
      <c r="R11" s="169"/>
      <c r="S11" s="169"/>
    </row>
    <row r="12" spans="1:20" ht="97" customHeight="1" x14ac:dyDescent="0.35">
      <c r="A12" s="165"/>
      <c r="B12" s="165"/>
      <c r="C12" s="165"/>
      <c r="D12" s="165"/>
      <c r="E12" s="165"/>
      <c r="F12" s="165"/>
      <c r="G12" s="157"/>
      <c r="H12" s="249" t="s">
        <v>550</v>
      </c>
      <c r="I12" s="67" t="s">
        <v>551</v>
      </c>
      <c r="J12" s="91" t="s">
        <v>552</v>
      </c>
      <c r="K12" s="91" t="s">
        <v>553</v>
      </c>
      <c r="L12" s="91" t="s">
        <v>554</v>
      </c>
      <c r="M12" s="91" t="s">
        <v>555</v>
      </c>
      <c r="N12" s="91" t="s">
        <v>556</v>
      </c>
      <c r="O12" s="91" t="s">
        <v>557</v>
      </c>
      <c r="P12" s="87" t="s">
        <v>539</v>
      </c>
      <c r="Q12" s="251" t="s">
        <v>558</v>
      </c>
      <c r="R12" s="251"/>
      <c r="S12" s="251"/>
      <c r="T12" s="158"/>
    </row>
    <row r="13" spans="1:20" ht="97" customHeight="1" x14ac:dyDescent="0.35">
      <c r="G13" s="157"/>
      <c r="H13" s="249"/>
      <c r="I13" s="67" t="s">
        <v>518</v>
      </c>
      <c r="J13" s="65">
        <v>40</v>
      </c>
      <c r="K13" s="65">
        <v>57</v>
      </c>
      <c r="L13" s="65">
        <v>51</v>
      </c>
      <c r="M13" s="65">
        <v>4</v>
      </c>
      <c r="N13" s="65">
        <v>2</v>
      </c>
      <c r="O13" s="81">
        <v>1</v>
      </c>
      <c r="P13" s="89">
        <f>SUM(J13:O13)</f>
        <v>155</v>
      </c>
      <c r="Q13" s="252" t="s">
        <v>559</v>
      </c>
      <c r="R13" s="252"/>
      <c r="S13" s="252"/>
      <c r="T13" s="158"/>
    </row>
    <row r="14" spans="1:20" ht="97" customHeight="1" x14ac:dyDescent="0.35">
      <c r="H14" s="165"/>
      <c r="I14" s="165"/>
      <c r="J14" s="165"/>
      <c r="K14" s="165"/>
      <c r="L14" s="165"/>
      <c r="M14" s="165"/>
      <c r="N14" s="165"/>
      <c r="O14" s="165"/>
      <c r="P14" s="165"/>
      <c r="Q14" s="165"/>
      <c r="R14" s="165"/>
      <c r="S14" s="165"/>
    </row>
    <row r="15" spans="1:20" ht="97" customHeight="1" x14ac:dyDescent="0.35">
      <c r="A15" s="167"/>
      <c r="B15" s="167"/>
      <c r="C15" s="167"/>
      <c r="D15" s="167"/>
      <c r="E15" s="167"/>
      <c r="F15" s="167"/>
      <c r="H15" s="167"/>
      <c r="I15" s="167"/>
      <c r="J15" s="167"/>
      <c r="K15" s="167"/>
      <c r="L15" s="167"/>
      <c r="M15" s="167"/>
    </row>
    <row r="16" spans="1:20" ht="50.15" customHeight="1" x14ac:dyDescent="0.35">
      <c r="A16" s="234" t="s">
        <v>560</v>
      </c>
      <c r="B16" s="234"/>
      <c r="C16" s="234"/>
      <c r="D16" s="234"/>
      <c r="E16" s="234"/>
      <c r="F16" s="234"/>
      <c r="G16" s="171"/>
      <c r="H16" s="234" t="s">
        <v>561</v>
      </c>
      <c r="I16" s="234"/>
      <c r="J16" s="234"/>
      <c r="K16" s="234"/>
      <c r="L16" s="234"/>
      <c r="M16" s="234"/>
      <c r="N16" s="170"/>
      <c r="O16" s="167"/>
      <c r="P16" s="167"/>
      <c r="Q16" s="167"/>
      <c r="R16" s="167"/>
      <c r="S16" s="167"/>
      <c r="T16" s="167"/>
    </row>
    <row r="17" spans="1:22" ht="97" customHeight="1" x14ac:dyDescent="0.35">
      <c r="A17" s="165"/>
      <c r="B17" s="165"/>
      <c r="C17" s="165"/>
      <c r="D17" s="165"/>
      <c r="E17" s="165"/>
      <c r="F17" s="165"/>
      <c r="G17" s="157"/>
      <c r="H17" s="249" t="s">
        <v>562</v>
      </c>
      <c r="I17" s="67" t="s">
        <v>563</v>
      </c>
      <c r="J17" s="91" t="s">
        <v>564</v>
      </c>
      <c r="K17" s="91" t="s">
        <v>565</v>
      </c>
      <c r="L17" s="91" t="s">
        <v>566</v>
      </c>
      <c r="M17" s="91" t="s">
        <v>567</v>
      </c>
      <c r="N17" s="91" t="s">
        <v>568</v>
      </c>
      <c r="O17" s="91" t="s">
        <v>569</v>
      </c>
      <c r="P17" s="91" t="s">
        <v>570</v>
      </c>
      <c r="Q17" s="91" t="s">
        <v>571</v>
      </c>
      <c r="R17" s="87" t="s">
        <v>539</v>
      </c>
      <c r="S17" s="253" t="s">
        <v>572</v>
      </c>
      <c r="T17" s="253"/>
      <c r="U17" s="158"/>
    </row>
    <row r="18" spans="1:22" ht="97" customHeight="1" x14ac:dyDescent="0.35">
      <c r="G18" s="157"/>
      <c r="H18" s="249"/>
      <c r="I18" s="67" t="s">
        <v>518</v>
      </c>
      <c r="J18" s="65">
        <v>16</v>
      </c>
      <c r="K18" s="65">
        <v>8</v>
      </c>
      <c r="L18" s="65">
        <v>11</v>
      </c>
      <c r="M18" s="65">
        <v>11</v>
      </c>
      <c r="N18" s="65">
        <v>7</v>
      </c>
      <c r="O18" s="81">
        <v>76</v>
      </c>
      <c r="P18" s="81">
        <v>5</v>
      </c>
      <c r="Q18" s="81">
        <v>1</v>
      </c>
      <c r="R18" s="89">
        <f>SUM(J18:Q18)</f>
        <v>135</v>
      </c>
      <c r="S18" s="252" t="s">
        <v>573</v>
      </c>
      <c r="T18" s="252"/>
      <c r="U18" s="158"/>
    </row>
    <row r="19" spans="1:22" ht="97" customHeight="1" x14ac:dyDescent="0.35">
      <c r="H19" s="165"/>
      <c r="I19" s="165"/>
      <c r="J19" s="165"/>
      <c r="K19" s="165"/>
      <c r="L19" s="165"/>
      <c r="M19" s="165"/>
      <c r="N19" s="165"/>
      <c r="O19" s="165"/>
      <c r="P19" s="165"/>
      <c r="Q19" s="165"/>
      <c r="R19" s="165"/>
      <c r="S19" s="165"/>
      <c r="T19" s="165"/>
    </row>
    <row r="20" spans="1:22" ht="97" customHeight="1" x14ac:dyDescent="0.35">
      <c r="A20" s="167"/>
      <c r="B20" s="167"/>
      <c r="C20" s="167"/>
      <c r="D20" s="167"/>
      <c r="E20" s="167"/>
      <c r="F20" s="167"/>
      <c r="H20" s="167"/>
      <c r="I20" s="167"/>
      <c r="J20" s="167"/>
      <c r="K20" s="167"/>
      <c r="L20" s="167"/>
      <c r="M20" s="167"/>
    </row>
    <row r="21" spans="1:22" ht="50.15" customHeight="1" x14ac:dyDescent="0.35">
      <c r="A21" s="234" t="s">
        <v>574</v>
      </c>
      <c r="B21" s="234"/>
      <c r="C21" s="234"/>
      <c r="D21" s="234"/>
      <c r="E21" s="234"/>
      <c r="F21" s="234"/>
      <c r="G21" s="171"/>
      <c r="H21" s="250" t="s">
        <v>575</v>
      </c>
      <c r="I21" s="250"/>
      <c r="J21" s="250"/>
      <c r="K21" s="250"/>
      <c r="L21" s="250"/>
      <c r="M21" s="250"/>
      <c r="N21" s="170"/>
      <c r="O21" s="167"/>
      <c r="P21" s="167"/>
      <c r="Q21" s="167"/>
      <c r="R21" s="167"/>
      <c r="S21" s="167"/>
      <c r="T21" s="167"/>
      <c r="U21" s="167"/>
    </row>
    <row r="22" spans="1:22" ht="97" customHeight="1" x14ac:dyDescent="0.35">
      <c r="A22" s="165"/>
      <c r="B22" s="165"/>
      <c r="C22" s="165"/>
      <c r="D22" s="165"/>
      <c r="E22" s="165"/>
      <c r="F22" s="165"/>
      <c r="G22" s="157"/>
      <c r="H22" s="249" t="s">
        <v>576</v>
      </c>
      <c r="I22" s="67" t="s">
        <v>577</v>
      </c>
      <c r="J22" s="91" t="s">
        <v>578</v>
      </c>
      <c r="K22" s="90" t="s">
        <v>579</v>
      </c>
      <c r="L22" s="91" t="s">
        <v>580</v>
      </c>
      <c r="M22" s="91" t="s">
        <v>581</v>
      </c>
      <c r="N22" s="91" t="s">
        <v>582</v>
      </c>
      <c r="O22" s="91" t="s">
        <v>583</v>
      </c>
      <c r="P22" s="91" t="s">
        <v>584</v>
      </c>
      <c r="Q22" s="91" t="s">
        <v>585</v>
      </c>
      <c r="R22" s="91" t="s">
        <v>586</v>
      </c>
      <c r="S22" s="91" t="s">
        <v>587</v>
      </c>
      <c r="T22" s="91" t="s">
        <v>588</v>
      </c>
      <c r="U22" s="87" t="s">
        <v>539</v>
      </c>
      <c r="V22" s="158"/>
    </row>
    <row r="23" spans="1:22" ht="97" customHeight="1" x14ac:dyDescent="0.35">
      <c r="G23" s="157"/>
      <c r="H23" s="249"/>
      <c r="I23" s="67" t="s">
        <v>518</v>
      </c>
      <c r="J23" s="65">
        <v>3</v>
      </c>
      <c r="K23" s="65">
        <v>14</v>
      </c>
      <c r="L23" s="65">
        <v>16</v>
      </c>
      <c r="M23" s="65">
        <v>16</v>
      </c>
      <c r="N23" s="65">
        <v>15</v>
      </c>
      <c r="O23" s="81">
        <v>11</v>
      </c>
      <c r="P23" s="81">
        <v>8</v>
      </c>
      <c r="Q23" s="81">
        <v>14</v>
      </c>
      <c r="R23" s="81">
        <v>6</v>
      </c>
      <c r="S23" s="81">
        <v>4</v>
      </c>
      <c r="T23" s="81">
        <v>11</v>
      </c>
      <c r="U23" s="89">
        <f>SUM(J23:T23)</f>
        <v>118</v>
      </c>
      <c r="V23" s="158"/>
    </row>
    <row r="24" spans="1:22" ht="97" customHeight="1" x14ac:dyDescent="0.35">
      <c r="H24" s="165"/>
      <c r="I24" s="165"/>
      <c r="J24" s="165"/>
      <c r="K24" s="165"/>
      <c r="L24" s="165"/>
      <c r="M24" s="165"/>
      <c r="N24" s="165"/>
      <c r="O24" s="165"/>
      <c r="P24" s="165"/>
      <c r="Q24" s="165"/>
      <c r="R24" s="165"/>
      <c r="S24" s="165"/>
      <c r="T24" s="165"/>
      <c r="U24" s="165"/>
    </row>
    <row r="25" spans="1:22" ht="97" customHeight="1" x14ac:dyDescent="0.35">
      <c r="A25" s="167"/>
      <c r="B25" s="167"/>
      <c r="C25" s="167"/>
      <c r="D25" s="167"/>
      <c r="E25" s="167"/>
      <c r="F25" s="167"/>
      <c r="H25" s="167"/>
      <c r="I25" s="167"/>
      <c r="J25" s="167"/>
      <c r="K25" s="167"/>
      <c r="L25" s="167"/>
      <c r="M25" s="167"/>
    </row>
    <row r="26" spans="1:22" ht="50.15" customHeight="1" x14ac:dyDescent="0.35">
      <c r="A26" s="234" t="s">
        <v>589</v>
      </c>
      <c r="B26" s="234"/>
      <c r="C26" s="234"/>
      <c r="D26" s="234"/>
      <c r="E26" s="234"/>
      <c r="F26" s="234"/>
      <c r="G26" s="171"/>
      <c r="H26" s="250" t="s">
        <v>590</v>
      </c>
      <c r="I26" s="250"/>
      <c r="J26" s="250"/>
      <c r="K26" s="250"/>
      <c r="L26" s="250"/>
      <c r="M26" s="250"/>
      <c r="N26" s="170"/>
      <c r="O26" s="167"/>
      <c r="P26" s="167"/>
      <c r="Q26" s="167"/>
    </row>
    <row r="27" spans="1:22" ht="97" customHeight="1" x14ac:dyDescent="0.35">
      <c r="A27" s="165"/>
      <c r="B27" s="165"/>
      <c r="C27" s="165"/>
      <c r="D27" s="165"/>
      <c r="E27" s="165"/>
      <c r="F27" s="165"/>
      <c r="G27" s="157"/>
      <c r="H27" s="249" t="s">
        <v>591</v>
      </c>
      <c r="I27" s="67" t="s">
        <v>592</v>
      </c>
      <c r="J27" s="91">
        <v>1</v>
      </c>
      <c r="K27" s="91">
        <v>2</v>
      </c>
      <c r="L27" s="91">
        <v>3</v>
      </c>
      <c r="M27" s="91">
        <v>4</v>
      </c>
      <c r="N27" s="91">
        <v>5</v>
      </c>
      <c r="O27" s="91">
        <v>6</v>
      </c>
      <c r="P27" s="91" t="s">
        <v>593</v>
      </c>
      <c r="Q27" s="87" t="s">
        <v>539</v>
      </c>
      <c r="R27" s="158"/>
    </row>
    <row r="28" spans="1:22" ht="97" customHeight="1" x14ac:dyDescent="0.35">
      <c r="G28" s="157"/>
      <c r="H28" s="249"/>
      <c r="I28" s="67" t="s">
        <v>518</v>
      </c>
      <c r="J28" s="65">
        <v>8</v>
      </c>
      <c r="K28" s="65">
        <v>12</v>
      </c>
      <c r="L28" s="65">
        <v>29</v>
      </c>
      <c r="M28" s="65">
        <v>47</v>
      </c>
      <c r="N28" s="65">
        <v>17</v>
      </c>
      <c r="O28" s="81">
        <v>5</v>
      </c>
      <c r="P28" s="81">
        <v>1</v>
      </c>
      <c r="Q28" s="89">
        <f>SUM(J28:P28)</f>
        <v>119</v>
      </c>
      <c r="R28" s="158"/>
    </row>
    <row r="29" spans="1:22" ht="97" customHeight="1" x14ac:dyDescent="0.35">
      <c r="H29" s="165"/>
      <c r="I29" s="165"/>
      <c r="J29" s="165"/>
      <c r="K29" s="165"/>
      <c r="L29" s="165"/>
      <c r="M29" s="165"/>
      <c r="N29" s="165"/>
      <c r="O29" s="165"/>
      <c r="P29" s="165"/>
      <c r="Q29" s="165"/>
    </row>
    <row r="30" spans="1:22" ht="97" customHeight="1" x14ac:dyDescent="0.35">
      <c r="A30" s="167"/>
      <c r="B30" s="167"/>
      <c r="C30" s="167"/>
      <c r="D30" s="167"/>
      <c r="E30" s="167"/>
      <c r="F30" s="167"/>
      <c r="H30" s="167"/>
      <c r="I30" s="167"/>
      <c r="J30" s="167"/>
      <c r="K30" s="167"/>
      <c r="L30" s="167"/>
      <c r="M30" s="167"/>
    </row>
    <row r="31" spans="1:22" ht="50.15" customHeight="1" x14ac:dyDescent="0.35">
      <c r="A31" s="234" t="s">
        <v>594</v>
      </c>
      <c r="B31" s="234"/>
      <c r="C31" s="234"/>
      <c r="D31" s="234"/>
      <c r="E31" s="234"/>
      <c r="F31" s="234"/>
      <c r="G31" s="171"/>
      <c r="H31" s="234" t="s">
        <v>595</v>
      </c>
      <c r="I31" s="234"/>
      <c r="J31" s="234"/>
      <c r="K31" s="234"/>
      <c r="L31" s="234"/>
      <c r="M31" s="234"/>
      <c r="N31" s="158"/>
    </row>
    <row r="32" spans="1:22" ht="97" customHeight="1" x14ac:dyDescent="0.35">
      <c r="A32" s="165"/>
      <c r="B32" s="165"/>
      <c r="C32" s="165"/>
      <c r="D32" s="165"/>
      <c r="E32" s="165"/>
      <c r="F32" s="165"/>
      <c r="G32" s="157"/>
      <c r="H32" s="249" t="s">
        <v>596</v>
      </c>
      <c r="I32" s="67" t="s">
        <v>597</v>
      </c>
      <c r="J32" s="91" t="s">
        <v>598</v>
      </c>
      <c r="K32" s="91" t="s">
        <v>599</v>
      </c>
      <c r="L32" s="87" t="s">
        <v>539</v>
      </c>
      <c r="M32" s="172"/>
    </row>
    <row r="33" spans="1:18" ht="97" customHeight="1" x14ac:dyDescent="0.35">
      <c r="G33" s="157"/>
      <c r="H33" s="249"/>
      <c r="I33" s="67" t="s">
        <v>518</v>
      </c>
      <c r="J33" s="65">
        <v>16</v>
      </c>
      <c r="K33" s="65">
        <v>90</v>
      </c>
      <c r="L33" s="88">
        <f>SUM(J33:K33)</f>
        <v>106</v>
      </c>
      <c r="M33" s="158"/>
    </row>
    <row r="34" spans="1:18" ht="97" customHeight="1" x14ac:dyDescent="0.35">
      <c r="H34" s="165"/>
      <c r="I34" s="165"/>
      <c r="J34" s="165"/>
      <c r="K34" s="165"/>
      <c r="L34" s="165"/>
    </row>
    <row r="35" spans="1:18" ht="97" customHeight="1" x14ac:dyDescent="0.35">
      <c r="A35" s="167"/>
      <c r="B35" s="167"/>
      <c r="C35" s="167"/>
      <c r="D35" s="167"/>
      <c r="E35" s="167"/>
      <c r="F35" s="167"/>
      <c r="H35" s="167"/>
      <c r="I35" s="167"/>
      <c r="J35" s="167"/>
      <c r="K35" s="167"/>
      <c r="L35" s="167"/>
      <c r="M35" s="167"/>
    </row>
    <row r="36" spans="1:18" ht="50.15" customHeight="1" x14ac:dyDescent="0.35">
      <c r="A36" s="234" t="s">
        <v>600</v>
      </c>
      <c r="B36" s="234"/>
      <c r="C36" s="234"/>
      <c r="D36" s="234"/>
      <c r="E36" s="234"/>
      <c r="F36" s="234"/>
      <c r="G36" s="171"/>
      <c r="H36" s="250" t="s">
        <v>601</v>
      </c>
      <c r="I36" s="250"/>
      <c r="J36" s="250"/>
      <c r="K36" s="250"/>
      <c r="L36" s="250"/>
      <c r="M36" s="250"/>
      <c r="N36" s="170"/>
      <c r="O36" s="167"/>
      <c r="P36" s="167"/>
      <c r="Q36" s="167"/>
    </row>
    <row r="37" spans="1:18" ht="97" customHeight="1" x14ac:dyDescent="0.35">
      <c r="A37" s="165"/>
      <c r="B37" s="165"/>
      <c r="C37" s="165"/>
      <c r="D37" s="165"/>
      <c r="E37" s="165"/>
      <c r="F37" s="165"/>
      <c r="G37" s="157"/>
      <c r="H37" s="249" t="s">
        <v>602</v>
      </c>
      <c r="I37" s="67" t="s">
        <v>603</v>
      </c>
      <c r="J37" s="91" t="s">
        <v>604</v>
      </c>
      <c r="K37" s="91" t="s">
        <v>605</v>
      </c>
      <c r="L37" s="91" t="s">
        <v>606</v>
      </c>
      <c r="M37" s="91" t="s">
        <v>571</v>
      </c>
      <c r="N37" s="91" t="s">
        <v>607</v>
      </c>
      <c r="O37" s="87" t="s">
        <v>539</v>
      </c>
      <c r="P37" s="253" t="s">
        <v>608</v>
      </c>
      <c r="Q37" s="253"/>
      <c r="R37" s="158"/>
    </row>
    <row r="38" spans="1:18" ht="97" customHeight="1" x14ac:dyDescent="0.35">
      <c r="G38" s="157"/>
      <c r="H38" s="249"/>
      <c r="I38" s="67" t="s">
        <v>518</v>
      </c>
      <c r="J38" s="65">
        <v>5</v>
      </c>
      <c r="K38" s="65">
        <v>8</v>
      </c>
      <c r="L38" s="65">
        <v>2</v>
      </c>
      <c r="M38" s="65">
        <v>2</v>
      </c>
      <c r="N38" s="65">
        <v>1</v>
      </c>
      <c r="O38" s="88">
        <f>SUM(J38:N38)</f>
        <v>18</v>
      </c>
      <c r="P38" s="251" t="s">
        <v>609</v>
      </c>
      <c r="Q38" s="251"/>
      <c r="R38" s="158"/>
    </row>
    <row r="39" spans="1:18" ht="97" customHeight="1" x14ac:dyDescent="0.35">
      <c r="H39" s="165"/>
      <c r="I39" s="165"/>
      <c r="J39" s="165"/>
      <c r="K39" s="165"/>
      <c r="L39" s="165"/>
      <c r="M39" s="165"/>
      <c r="N39" s="165"/>
      <c r="O39" s="165"/>
      <c r="P39" s="165"/>
      <c r="Q39" s="165"/>
    </row>
    <row r="40" spans="1:18" ht="97" customHeight="1" x14ac:dyDescent="0.35">
      <c r="A40" s="167"/>
      <c r="B40" s="167"/>
      <c r="C40" s="167"/>
      <c r="D40" s="167"/>
      <c r="E40" s="167"/>
      <c r="F40" s="167"/>
      <c r="H40" s="167"/>
      <c r="I40" s="167"/>
      <c r="J40" s="167"/>
      <c r="K40" s="167"/>
      <c r="L40" s="167"/>
      <c r="M40" s="167"/>
    </row>
    <row r="41" spans="1:18" ht="50.15" customHeight="1" x14ac:dyDescent="0.35">
      <c r="A41" s="234" t="s">
        <v>610</v>
      </c>
      <c r="B41" s="234"/>
      <c r="C41" s="234"/>
      <c r="D41" s="234"/>
      <c r="E41" s="234"/>
      <c r="F41" s="234"/>
      <c r="G41" s="171"/>
      <c r="H41" s="250" t="s">
        <v>611</v>
      </c>
      <c r="I41" s="250"/>
      <c r="J41" s="250"/>
      <c r="K41" s="250"/>
      <c r="L41" s="250"/>
      <c r="M41" s="250"/>
      <c r="N41" s="170"/>
      <c r="O41" s="167"/>
      <c r="P41" s="167"/>
    </row>
    <row r="42" spans="1:18" ht="97" customHeight="1" x14ac:dyDescent="0.35">
      <c r="A42" s="165"/>
      <c r="B42" s="165"/>
      <c r="C42" s="165"/>
      <c r="D42" s="165"/>
      <c r="E42" s="165"/>
      <c r="F42" s="165"/>
      <c r="G42" s="157"/>
      <c r="H42" s="249" t="s">
        <v>612</v>
      </c>
      <c r="I42" s="67" t="s">
        <v>613</v>
      </c>
      <c r="J42" s="91" t="s">
        <v>614</v>
      </c>
      <c r="K42" s="91" t="s">
        <v>615</v>
      </c>
      <c r="L42" s="91" t="s">
        <v>616</v>
      </c>
      <c r="M42" s="91" t="s">
        <v>617</v>
      </c>
      <c r="N42" s="91" t="s">
        <v>571</v>
      </c>
      <c r="O42" s="91" t="s">
        <v>618</v>
      </c>
      <c r="P42" s="87" t="s">
        <v>539</v>
      </c>
      <c r="Q42" s="173"/>
    </row>
    <row r="43" spans="1:18" ht="97" customHeight="1" x14ac:dyDescent="0.35">
      <c r="G43" s="157"/>
      <c r="H43" s="249"/>
      <c r="I43" s="67" t="s">
        <v>518</v>
      </c>
      <c r="J43" s="65">
        <v>63</v>
      </c>
      <c r="K43" s="65">
        <v>54</v>
      </c>
      <c r="L43" s="65">
        <v>4</v>
      </c>
      <c r="M43" s="65">
        <v>2</v>
      </c>
      <c r="N43" s="65">
        <v>0</v>
      </c>
      <c r="O43" s="81">
        <v>0</v>
      </c>
      <c r="P43" s="89">
        <f>SUM(J43:O43)</f>
        <v>123</v>
      </c>
      <c r="Q43" s="158"/>
    </row>
    <row r="44" spans="1:18" ht="97" customHeight="1" x14ac:dyDescent="0.35">
      <c r="H44" s="165"/>
      <c r="I44" s="165"/>
      <c r="J44" s="165"/>
      <c r="K44" s="165"/>
      <c r="L44" s="165"/>
      <c r="M44" s="165"/>
      <c r="N44" s="165"/>
      <c r="O44" s="165"/>
      <c r="P44" s="165"/>
    </row>
    <row r="46" spans="1:18" ht="50.15" customHeight="1" x14ac:dyDescent="0.35">
      <c r="A46" s="163"/>
      <c r="B46" s="163"/>
      <c r="C46" s="163"/>
      <c r="D46" s="163"/>
      <c r="E46" s="163"/>
      <c r="F46" s="163"/>
      <c r="H46" s="163"/>
      <c r="I46" s="163"/>
      <c r="J46" s="163"/>
      <c r="K46" s="163"/>
      <c r="L46" s="163"/>
      <c r="M46" s="163"/>
    </row>
  </sheetData>
  <sheetProtection algorithmName="SHA-512" hashValue="fP5u1kfBiWzIXY8tMrz5UthevYGAqaPh7hWYwiYxmUfKOZ+MRXVR9d7YssUQ7WlGE7t9DzDPscwxKBKqgpYPAg==" saltValue="R+5iMFtPey8cOC/7Iw2osA==" spinCount="100000" sheet="1" objects="1" scenarios="1"/>
  <mergeCells count="33">
    <mergeCell ref="P37:Q37"/>
    <mergeCell ref="P38:Q38"/>
    <mergeCell ref="H42:H43"/>
    <mergeCell ref="A11:F11"/>
    <mergeCell ref="A41:F41"/>
    <mergeCell ref="H41:M41"/>
    <mergeCell ref="H32:H33"/>
    <mergeCell ref="H37:H38"/>
    <mergeCell ref="H11:M11"/>
    <mergeCell ref="A31:F31"/>
    <mergeCell ref="H31:M31"/>
    <mergeCell ref="A36:F36"/>
    <mergeCell ref="H36:M36"/>
    <mergeCell ref="A16:F16"/>
    <mergeCell ref="A21:F21"/>
    <mergeCell ref="A26:F26"/>
    <mergeCell ref="Q12:S12"/>
    <mergeCell ref="Q13:S13"/>
    <mergeCell ref="H17:H18"/>
    <mergeCell ref="H22:H23"/>
    <mergeCell ref="H27:H28"/>
    <mergeCell ref="H16:M16"/>
    <mergeCell ref="H12:H13"/>
    <mergeCell ref="H21:M21"/>
    <mergeCell ref="H26:M26"/>
    <mergeCell ref="S17:T17"/>
    <mergeCell ref="S18:T18"/>
    <mergeCell ref="H7:H8"/>
    <mergeCell ref="A1:F1"/>
    <mergeCell ref="H1:M1"/>
    <mergeCell ref="A6:F6"/>
    <mergeCell ref="H6:M6"/>
    <mergeCell ref="H2:H3"/>
  </mergeCells>
  <pageMargins left="0.7" right="0.7" top="0.75" bottom="0.75" header="0.3" footer="0.3"/>
  <pageSetup orientation="portrait" horizontalDpi="200" verticalDpi="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A2073-5EE3-48D9-89BA-C05D171B0387}">
  <sheetPr>
    <tabColor rgb="FF0070C0"/>
  </sheetPr>
  <dimension ref="A1:AZ225"/>
  <sheetViews>
    <sheetView zoomScale="60" zoomScaleNormal="60" workbookViewId="0">
      <selection activeCell="A72" sqref="A72:F74"/>
    </sheetView>
  </sheetViews>
  <sheetFormatPr defaultColWidth="17.54296875" defaultRowHeight="97" customHeight="1" x14ac:dyDescent="0.35"/>
  <cols>
    <col min="1" max="16384" width="17.54296875" style="142"/>
  </cols>
  <sheetData>
    <row r="1" spans="1:49" s="162" customFormat="1" ht="50.15" customHeight="1" x14ac:dyDescent="0.35">
      <c r="A1" s="234" t="s">
        <v>619</v>
      </c>
      <c r="B1" s="234"/>
      <c r="C1" s="234"/>
      <c r="D1" s="234"/>
      <c r="E1" s="234"/>
      <c r="F1" s="234"/>
      <c r="G1" s="166"/>
      <c r="H1" s="250" t="s">
        <v>620</v>
      </c>
      <c r="I1" s="250"/>
      <c r="J1" s="250"/>
      <c r="K1" s="250"/>
      <c r="L1" s="250"/>
      <c r="M1" s="250"/>
      <c r="N1" s="168"/>
      <c r="O1" s="169"/>
      <c r="P1" s="169"/>
      <c r="Q1" s="169"/>
      <c r="R1" s="169"/>
      <c r="S1" s="169"/>
      <c r="T1" s="169"/>
      <c r="U1" s="169"/>
      <c r="V1" s="169"/>
      <c r="W1" s="169"/>
      <c r="X1" s="169"/>
      <c r="Y1" s="169"/>
    </row>
    <row r="2" spans="1:49" ht="97" customHeight="1" x14ac:dyDescent="0.35">
      <c r="A2" s="165"/>
      <c r="B2" s="165"/>
      <c r="C2" s="165"/>
      <c r="D2" s="165"/>
      <c r="E2" s="165"/>
      <c r="F2" s="165"/>
      <c r="G2" s="157"/>
      <c r="H2" s="249" t="s">
        <v>621</v>
      </c>
      <c r="I2" s="67" t="s">
        <v>622</v>
      </c>
      <c r="J2" s="91" t="s">
        <v>623</v>
      </c>
      <c r="K2" s="91" t="s">
        <v>624</v>
      </c>
      <c r="L2" s="91" t="s">
        <v>625</v>
      </c>
      <c r="M2" s="91" t="s">
        <v>626</v>
      </c>
      <c r="N2" s="91" t="s">
        <v>627</v>
      </c>
      <c r="O2" s="91" t="s">
        <v>628</v>
      </c>
      <c r="P2" s="91" t="s">
        <v>629</v>
      </c>
      <c r="Q2" s="91" t="s">
        <v>630</v>
      </c>
      <c r="R2" s="91" t="s">
        <v>631</v>
      </c>
      <c r="S2" s="91" t="s">
        <v>632</v>
      </c>
      <c r="T2" s="91" t="s">
        <v>633</v>
      </c>
      <c r="U2" s="91" t="s">
        <v>634</v>
      </c>
      <c r="V2" s="91" t="s">
        <v>635</v>
      </c>
      <c r="W2" s="91" t="s">
        <v>636</v>
      </c>
      <c r="X2" s="91" t="s">
        <v>637</v>
      </c>
      <c r="Y2" s="87" t="s">
        <v>539</v>
      </c>
      <c r="Z2" s="158"/>
    </row>
    <row r="3" spans="1:49" ht="97" customHeight="1" x14ac:dyDescent="0.35">
      <c r="G3" s="157"/>
      <c r="H3" s="249"/>
      <c r="I3" s="67" t="s">
        <v>518</v>
      </c>
      <c r="J3" s="65">
        <v>28</v>
      </c>
      <c r="K3" s="65">
        <v>20</v>
      </c>
      <c r="L3" s="65">
        <v>27</v>
      </c>
      <c r="M3" s="65">
        <v>18</v>
      </c>
      <c r="N3" s="65">
        <v>27</v>
      </c>
      <c r="O3" s="81">
        <v>26</v>
      </c>
      <c r="P3" s="81">
        <v>32</v>
      </c>
      <c r="Q3" s="81">
        <v>24</v>
      </c>
      <c r="R3" s="81">
        <v>11</v>
      </c>
      <c r="S3" s="81">
        <v>17</v>
      </c>
      <c r="T3" s="81">
        <v>37</v>
      </c>
      <c r="U3" s="81">
        <v>17</v>
      </c>
      <c r="V3" s="81">
        <v>23</v>
      </c>
      <c r="W3" s="81">
        <v>15</v>
      </c>
      <c r="X3" s="81">
        <v>14</v>
      </c>
      <c r="Y3" s="89">
        <f>SUM(J3:X3)</f>
        <v>336</v>
      </c>
      <c r="Z3" s="158"/>
    </row>
    <row r="4" spans="1:49" ht="97" customHeight="1" x14ac:dyDescent="0.35">
      <c r="H4" s="165"/>
      <c r="I4" s="165"/>
      <c r="J4" s="165"/>
      <c r="K4" s="165"/>
      <c r="L4" s="165"/>
      <c r="M4" s="165"/>
      <c r="N4" s="165"/>
      <c r="O4" s="165"/>
      <c r="P4" s="165"/>
      <c r="Q4" s="165"/>
      <c r="R4" s="165"/>
      <c r="S4" s="165"/>
      <c r="T4" s="165"/>
      <c r="U4" s="165"/>
      <c r="V4" s="165"/>
      <c r="W4" s="165"/>
      <c r="X4" s="165"/>
      <c r="Y4" s="165"/>
    </row>
    <row r="5" spans="1:49" ht="97" customHeight="1" x14ac:dyDescent="0.35">
      <c r="A5" s="167"/>
      <c r="B5" s="167"/>
      <c r="C5" s="167"/>
      <c r="D5" s="167"/>
      <c r="E5" s="167"/>
      <c r="F5" s="167"/>
      <c r="H5" s="167"/>
      <c r="I5" s="167"/>
      <c r="J5" s="167"/>
      <c r="K5" s="167"/>
      <c r="L5" s="167"/>
      <c r="M5" s="167"/>
    </row>
    <row r="6" spans="1:49" s="162" customFormat="1" ht="50.15" customHeight="1" x14ac:dyDescent="0.35">
      <c r="A6" s="234" t="s">
        <v>638</v>
      </c>
      <c r="B6" s="234"/>
      <c r="C6" s="234"/>
      <c r="D6" s="234"/>
      <c r="E6" s="234"/>
      <c r="F6" s="234"/>
      <c r="G6" s="166"/>
      <c r="H6" s="250" t="s">
        <v>639</v>
      </c>
      <c r="I6" s="250"/>
      <c r="J6" s="250"/>
      <c r="K6" s="250"/>
      <c r="L6" s="250"/>
      <c r="M6" s="250"/>
      <c r="N6" s="168"/>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row>
    <row r="7" spans="1:49" ht="97" customHeight="1" x14ac:dyDescent="0.35">
      <c r="A7" s="165"/>
      <c r="B7" s="165"/>
      <c r="C7" s="165"/>
      <c r="D7" s="165"/>
      <c r="E7" s="165"/>
      <c r="F7" s="165"/>
      <c r="G7" s="157"/>
      <c r="H7" s="249" t="s">
        <v>640</v>
      </c>
      <c r="I7" s="67" t="s">
        <v>622</v>
      </c>
      <c r="J7" s="91" t="s">
        <v>641</v>
      </c>
      <c r="K7" s="91" t="s">
        <v>642</v>
      </c>
      <c r="L7" s="91" t="s">
        <v>643</v>
      </c>
      <c r="M7" s="91" t="s">
        <v>644</v>
      </c>
      <c r="N7" s="91" t="s">
        <v>645</v>
      </c>
      <c r="O7" s="91" t="s">
        <v>646</v>
      </c>
      <c r="P7" s="91" t="s">
        <v>647</v>
      </c>
      <c r="Q7" s="91" t="s">
        <v>648</v>
      </c>
      <c r="R7" s="91" t="s">
        <v>649</v>
      </c>
      <c r="S7" s="91" t="s">
        <v>650</v>
      </c>
      <c r="T7" s="91" t="s">
        <v>651</v>
      </c>
      <c r="U7" s="91" t="s">
        <v>652</v>
      </c>
      <c r="V7" s="91" t="s">
        <v>653</v>
      </c>
      <c r="W7" s="91" t="s">
        <v>654</v>
      </c>
      <c r="X7" s="91" t="s">
        <v>655</v>
      </c>
      <c r="Y7" s="91" t="s">
        <v>656</v>
      </c>
      <c r="Z7" s="91" t="s">
        <v>657</v>
      </c>
      <c r="AA7" s="91" t="s">
        <v>658</v>
      </c>
      <c r="AB7" s="91" t="s">
        <v>659</v>
      </c>
      <c r="AC7" s="91" t="s">
        <v>660</v>
      </c>
      <c r="AD7" s="91" t="s">
        <v>661</v>
      </c>
      <c r="AE7" s="91" t="s">
        <v>662</v>
      </c>
      <c r="AF7" s="91" t="s">
        <v>663</v>
      </c>
      <c r="AG7" s="91" t="s">
        <v>664</v>
      </c>
      <c r="AH7" s="91" t="s">
        <v>665</v>
      </c>
      <c r="AI7" s="91" t="s">
        <v>666</v>
      </c>
      <c r="AJ7" s="91" t="s">
        <v>667</v>
      </c>
      <c r="AK7" s="91" t="s">
        <v>668</v>
      </c>
      <c r="AL7" s="91" t="s">
        <v>669</v>
      </c>
      <c r="AM7" s="91" t="s">
        <v>670</v>
      </c>
      <c r="AN7" s="91" t="s">
        <v>671</v>
      </c>
      <c r="AO7" s="91" t="s">
        <v>672</v>
      </c>
      <c r="AP7" s="91" t="s">
        <v>673</v>
      </c>
      <c r="AQ7" s="91" t="s">
        <v>674</v>
      </c>
      <c r="AR7" s="91" t="s">
        <v>675</v>
      </c>
      <c r="AS7" s="91" t="s">
        <v>676</v>
      </c>
      <c r="AT7" s="87" t="s">
        <v>539</v>
      </c>
      <c r="AU7" s="251" t="s">
        <v>677</v>
      </c>
      <c r="AV7" s="251"/>
      <c r="AW7" s="158"/>
    </row>
    <row r="8" spans="1:49" ht="97" customHeight="1" x14ac:dyDescent="0.35">
      <c r="G8" s="157"/>
      <c r="H8" s="249"/>
      <c r="I8" s="67" t="s">
        <v>518</v>
      </c>
      <c r="J8" s="65">
        <v>10</v>
      </c>
      <c r="K8" s="65">
        <v>1</v>
      </c>
      <c r="L8" s="65">
        <v>8</v>
      </c>
      <c r="M8" s="65">
        <v>14</v>
      </c>
      <c r="N8" s="65">
        <v>4</v>
      </c>
      <c r="O8" s="81">
        <v>4</v>
      </c>
      <c r="P8" s="81">
        <v>7</v>
      </c>
      <c r="Q8" s="81">
        <v>27</v>
      </c>
      <c r="R8" s="81">
        <v>4</v>
      </c>
      <c r="S8" s="81">
        <v>14</v>
      </c>
      <c r="T8" s="81">
        <v>6</v>
      </c>
      <c r="U8" s="81">
        <v>5</v>
      </c>
      <c r="V8" s="81">
        <v>5</v>
      </c>
      <c r="W8" s="81">
        <v>2</v>
      </c>
      <c r="X8" s="81">
        <v>9</v>
      </c>
      <c r="Y8" s="81">
        <v>12</v>
      </c>
      <c r="Z8" s="81">
        <v>3</v>
      </c>
      <c r="AA8" s="81">
        <v>0</v>
      </c>
      <c r="AB8" s="81">
        <v>5</v>
      </c>
      <c r="AC8" s="81">
        <v>12</v>
      </c>
      <c r="AD8" s="81">
        <v>21</v>
      </c>
      <c r="AE8" s="81">
        <v>9</v>
      </c>
      <c r="AF8" s="81">
        <v>13</v>
      </c>
      <c r="AG8" s="81">
        <v>10</v>
      </c>
      <c r="AH8" s="81">
        <v>9</v>
      </c>
      <c r="AI8" s="81">
        <v>14</v>
      </c>
      <c r="AJ8" s="81">
        <v>7</v>
      </c>
      <c r="AK8" s="81">
        <v>11</v>
      </c>
      <c r="AL8" s="81">
        <v>9</v>
      </c>
      <c r="AM8" s="81">
        <v>3</v>
      </c>
      <c r="AN8" s="81">
        <v>14</v>
      </c>
      <c r="AO8" s="81">
        <v>11</v>
      </c>
      <c r="AP8" s="81">
        <v>13</v>
      </c>
      <c r="AQ8" s="81">
        <v>25</v>
      </c>
      <c r="AR8" s="81">
        <v>4</v>
      </c>
      <c r="AS8" s="81">
        <v>4</v>
      </c>
      <c r="AT8" s="89">
        <f>SUM(J8:AS8)</f>
        <v>329</v>
      </c>
      <c r="AU8" s="259" t="s">
        <v>678</v>
      </c>
      <c r="AV8" s="259"/>
      <c r="AW8" s="158"/>
    </row>
    <row r="9" spans="1:49" ht="97" customHeight="1" x14ac:dyDescent="0.35">
      <c r="H9" s="165"/>
      <c r="I9" s="165"/>
      <c r="J9" s="165"/>
      <c r="K9" s="165"/>
      <c r="L9" s="165"/>
      <c r="M9" s="165"/>
      <c r="N9" s="165"/>
      <c r="O9" s="165"/>
      <c r="P9" s="165"/>
      <c r="Q9" s="165"/>
      <c r="R9" s="165"/>
      <c r="S9" s="165"/>
      <c r="T9" s="165"/>
      <c r="U9" s="165"/>
      <c r="V9" s="165"/>
      <c r="W9" s="165"/>
      <c r="X9" s="165"/>
      <c r="Y9" s="165"/>
      <c r="Z9" s="165"/>
      <c r="AA9" s="165"/>
      <c r="AB9" s="165"/>
      <c r="AC9" s="165"/>
      <c r="AD9" s="165"/>
      <c r="AE9" s="165"/>
      <c r="AF9" s="165"/>
      <c r="AG9" s="165"/>
      <c r="AH9" s="165"/>
      <c r="AI9" s="165"/>
      <c r="AJ9" s="165"/>
      <c r="AK9" s="165"/>
      <c r="AL9" s="165"/>
      <c r="AM9" s="165"/>
      <c r="AN9" s="165"/>
      <c r="AO9" s="165"/>
      <c r="AP9" s="165"/>
      <c r="AQ9" s="165"/>
      <c r="AR9" s="165"/>
      <c r="AS9" s="165"/>
      <c r="AT9" s="165"/>
      <c r="AU9" s="165"/>
      <c r="AV9" s="165"/>
    </row>
    <row r="10" spans="1:49" ht="97" customHeight="1" x14ac:dyDescent="0.35">
      <c r="A10" s="167"/>
      <c r="B10" s="167"/>
      <c r="C10" s="167"/>
      <c r="D10" s="167"/>
      <c r="E10" s="167"/>
      <c r="F10" s="167"/>
      <c r="H10" s="167"/>
      <c r="I10" s="167"/>
      <c r="J10" s="167"/>
      <c r="K10" s="167"/>
      <c r="L10" s="167"/>
      <c r="M10" s="167"/>
    </row>
    <row r="11" spans="1:49" s="162" customFormat="1" ht="50.15" customHeight="1" x14ac:dyDescent="0.35">
      <c r="A11" s="234" t="s">
        <v>679</v>
      </c>
      <c r="B11" s="234"/>
      <c r="C11" s="234"/>
      <c r="D11" s="234"/>
      <c r="E11" s="234"/>
      <c r="F11" s="234"/>
      <c r="G11" s="166"/>
      <c r="H11" s="250" t="s">
        <v>680</v>
      </c>
      <c r="I11" s="250"/>
      <c r="J11" s="250"/>
      <c r="K11" s="250"/>
      <c r="L11" s="250"/>
      <c r="M11" s="250"/>
      <c r="N11" s="168"/>
      <c r="O11" s="169"/>
      <c r="P11" s="169"/>
      <c r="Q11" s="169"/>
      <c r="R11" s="169"/>
      <c r="S11" s="169"/>
      <c r="T11" s="169"/>
      <c r="U11" s="169"/>
    </row>
    <row r="12" spans="1:49" ht="97" customHeight="1" x14ac:dyDescent="0.35">
      <c r="A12" s="165"/>
      <c r="B12" s="165"/>
      <c r="C12" s="165"/>
      <c r="D12" s="165"/>
      <c r="E12" s="165"/>
      <c r="F12" s="165"/>
      <c r="G12" s="157"/>
      <c r="H12" s="249" t="s">
        <v>681</v>
      </c>
      <c r="I12" s="67" t="s">
        <v>682</v>
      </c>
      <c r="J12" s="91" t="s">
        <v>683</v>
      </c>
      <c r="K12" s="91" t="s">
        <v>684</v>
      </c>
      <c r="L12" s="91" t="s">
        <v>685</v>
      </c>
      <c r="M12" s="91" t="s">
        <v>686</v>
      </c>
      <c r="N12" s="91" t="s">
        <v>687</v>
      </c>
      <c r="O12" s="91" t="s">
        <v>688</v>
      </c>
      <c r="P12" s="91" t="s">
        <v>689</v>
      </c>
      <c r="Q12" s="91" t="s">
        <v>690</v>
      </c>
      <c r="R12" s="141" t="s">
        <v>691</v>
      </c>
      <c r="S12" s="141" t="s">
        <v>692</v>
      </c>
      <c r="T12" s="141" t="s">
        <v>693</v>
      </c>
      <c r="U12" s="92" t="s">
        <v>539</v>
      </c>
      <c r="V12" s="158"/>
    </row>
    <row r="13" spans="1:49" ht="97" customHeight="1" x14ac:dyDescent="0.35">
      <c r="G13" s="157"/>
      <c r="H13" s="249"/>
      <c r="I13" s="67" t="s">
        <v>518</v>
      </c>
      <c r="J13" s="139">
        <v>1</v>
      </c>
      <c r="K13" s="65">
        <v>1</v>
      </c>
      <c r="L13" s="65">
        <v>2</v>
      </c>
      <c r="M13" s="65">
        <v>7</v>
      </c>
      <c r="N13" s="65">
        <v>15</v>
      </c>
      <c r="O13" s="65">
        <v>17</v>
      </c>
      <c r="P13" s="81">
        <v>20</v>
      </c>
      <c r="Q13" s="81">
        <v>26</v>
      </c>
      <c r="R13" s="81">
        <v>18</v>
      </c>
      <c r="S13" s="81">
        <v>10</v>
      </c>
      <c r="T13" s="81">
        <v>2</v>
      </c>
      <c r="U13" s="89">
        <f>SUM(J13:T13)</f>
        <v>119</v>
      </c>
      <c r="V13" s="158"/>
    </row>
    <row r="14" spans="1:49" ht="97" customHeight="1" x14ac:dyDescent="0.35">
      <c r="H14" s="165"/>
      <c r="I14" s="165"/>
      <c r="J14" s="165"/>
      <c r="K14" s="165"/>
      <c r="L14" s="165"/>
      <c r="M14" s="165"/>
      <c r="N14" s="165"/>
      <c r="O14" s="165"/>
      <c r="P14" s="165"/>
      <c r="Q14" s="165"/>
      <c r="R14" s="165"/>
      <c r="S14" s="165"/>
      <c r="T14" s="165"/>
      <c r="U14" s="165"/>
    </row>
    <row r="15" spans="1:49" ht="97" customHeight="1" x14ac:dyDescent="0.35">
      <c r="A15" s="167"/>
      <c r="B15" s="167"/>
      <c r="C15" s="167"/>
      <c r="D15" s="167"/>
      <c r="E15" s="167"/>
      <c r="F15" s="167"/>
      <c r="H15" s="167"/>
      <c r="I15" s="167"/>
      <c r="J15" s="167"/>
      <c r="K15" s="167"/>
      <c r="L15" s="167"/>
      <c r="M15" s="167"/>
    </row>
    <row r="16" spans="1:49" ht="50.15" customHeight="1" x14ac:dyDescent="0.35">
      <c r="A16" s="234" t="s">
        <v>694</v>
      </c>
      <c r="B16" s="234"/>
      <c r="C16" s="234"/>
      <c r="D16" s="234"/>
      <c r="E16" s="234"/>
      <c r="F16" s="234"/>
      <c r="G16" s="171"/>
      <c r="H16" s="250" t="s">
        <v>695</v>
      </c>
      <c r="I16" s="250"/>
      <c r="J16" s="250"/>
      <c r="K16" s="250"/>
      <c r="L16" s="250"/>
      <c r="M16" s="250"/>
      <c r="N16" s="170"/>
      <c r="O16" s="167"/>
      <c r="P16" s="167"/>
      <c r="Q16" s="167"/>
      <c r="R16" s="167"/>
      <c r="S16" s="167"/>
      <c r="T16" s="167"/>
    </row>
    <row r="17" spans="1:52" ht="97" customHeight="1" x14ac:dyDescent="0.35">
      <c r="A17" s="165"/>
      <c r="B17" s="165"/>
      <c r="C17" s="165"/>
      <c r="D17" s="165"/>
      <c r="E17" s="165"/>
      <c r="F17" s="165"/>
      <c r="G17" s="157"/>
      <c r="H17" s="249" t="s">
        <v>696</v>
      </c>
      <c r="I17" s="67" t="s">
        <v>682</v>
      </c>
      <c r="J17" s="91" t="s">
        <v>684</v>
      </c>
      <c r="K17" s="91" t="s">
        <v>685</v>
      </c>
      <c r="L17" s="91" t="s">
        <v>686</v>
      </c>
      <c r="M17" s="91" t="s">
        <v>687</v>
      </c>
      <c r="N17" s="91" t="s">
        <v>688</v>
      </c>
      <c r="O17" s="91" t="s">
        <v>689</v>
      </c>
      <c r="P17" s="91" t="s">
        <v>690</v>
      </c>
      <c r="Q17" s="141" t="s">
        <v>691</v>
      </c>
      <c r="R17" s="141" t="s">
        <v>692</v>
      </c>
      <c r="S17" s="141" t="s">
        <v>693</v>
      </c>
      <c r="T17" s="92" t="s">
        <v>539</v>
      </c>
      <c r="U17" s="158"/>
    </row>
    <row r="18" spans="1:52" ht="97" customHeight="1" x14ac:dyDescent="0.35">
      <c r="G18" s="157"/>
      <c r="H18" s="249"/>
      <c r="I18" s="67" t="s">
        <v>518</v>
      </c>
      <c r="J18" s="65">
        <v>0</v>
      </c>
      <c r="K18" s="65">
        <v>0</v>
      </c>
      <c r="L18" s="65">
        <v>3</v>
      </c>
      <c r="M18" s="65">
        <v>3</v>
      </c>
      <c r="N18" s="65">
        <v>15</v>
      </c>
      <c r="O18" s="81">
        <v>24</v>
      </c>
      <c r="P18" s="81">
        <v>14</v>
      </c>
      <c r="Q18" s="81">
        <v>28</v>
      </c>
      <c r="R18" s="81">
        <v>20</v>
      </c>
      <c r="S18" s="81">
        <v>11</v>
      </c>
      <c r="T18" s="89">
        <f>SUM(J18:S18)</f>
        <v>118</v>
      </c>
      <c r="U18" s="158"/>
    </row>
    <row r="19" spans="1:52" ht="97" customHeight="1" x14ac:dyDescent="0.35">
      <c r="H19" s="165"/>
      <c r="I19" s="165"/>
      <c r="J19" s="165"/>
      <c r="K19" s="165"/>
      <c r="L19" s="165"/>
      <c r="M19" s="165"/>
      <c r="N19" s="165"/>
      <c r="O19" s="165"/>
      <c r="P19" s="165"/>
      <c r="Q19" s="165"/>
      <c r="R19" s="165"/>
      <c r="S19" s="165"/>
      <c r="T19" s="165"/>
    </row>
    <row r="20" spans="1:52" ht="97" customHeight="1" x14ac:dyDescent="0.35">
      <c r="A20" s="167"/>
      <c r="B20" s="167"/>
      <c r="C20" s="167"/>
      <c r="D20" s="167"/>
      <c r="E20" s="167"/>
      <c r="F20" s="167"/>
      <c r="H20" s="167"/>
      <c r="I20" s="167"/>
      <c r="J20" s="167"/>
      <c r="K20" s="167"/>
      <c r="L20" s="167"/>
      <c r="M20" s="167"/>
    </row>
    <row r="21" spans="1:52" ht="50.15" customHeight="1" x14ac:dyDescent="0.35">
      <c r="A21" s="234" t="s">
        <v>697</v>
      </c>
      <c r="B21" s="234"/>
      <c r="C21" s="234"/>
      <c r="D21" s="234"/>
      <c r="E21" s="234"/>
      <c r="F21" s="234"/>
      <c r="G21" s="171"/>
      <c r="H21" s="250" t="s">
        <v>698</v>
      </c>
      <c r="I21" s="250"/>
      <c r="J21" s="250"/>
      <c r="K21" s="250"/>
      <c r="L21" s="250"/>
      <c r="M21" s="250"/>
      <c r="N21" s="170"/>
      <c r="O21" s="167"/>
      <c r="P21" s="167"/>
      <c r="Q21" s="167"/>
      <c r="R21" s="167"/>
      <c r="S21" s="167"/>
      <c r="T21" s="167"/>
      <c r="U21" s="167"/>
      <c r="V21" s="167"/>
      <c r="W21" s="167"/>
      <c r="X21" s="167"/>
      <c r="Y21" s="167"/>
      <c r="Z21" s="167"/>
    </row>
    <row r="22" spans="1:52" ht="97" customHeight="1" x14ac:dyDescent="0.35">
      <c r="A22" s="165"/>
      <c r="B22" s="165"/>
      <c r="C22" s="165"/>
      <c r="D22" s="165"/>
      <c r="E22" s="165"/>
      <c r="F22" s="165"/>
      <c r="G22" s="157"/>
      <c r="H22" s="260" t="s">
        <v>699</v>
      </c>
      <c r="I22" s="67" t="s">
        <v>622</v>
      </c>
      <c r="J22" s="91" t="s">
        <v>700</v>
      </c>
      <c r="K22" s="90" t="s">
        <v>701</v>
      </c>
      <c r="L22" s="91" t="s">
        <v>702</v>
      </c>
      <c r="M22" s="91" t="s">
        <v>703</v>
      </c>
      <c r="N22" s="91" t="s">
        <v>704</v>
      </c>
      <c r="O22" s="91" t="s">
        <v>705</v>
      </c>
      <c r="P22" s="91" t="s">
        <v>706</v>
      </c>
      <c r="Q22" s="91" t="s">
        <v>707</v>
      </c>
      <c r="R22" s="91" t="s">
        <v>708</v>
      </c>
      <c r="S22" s="91" t="s">
        <v>709</v>
      </c>
      <c r="T22" s="91" t="s">
        <v>710</v>
      </c>
      <c r="U22" s="91" t="s">
        <v>711</v>
      </c>
      <c r="V22" s="91" t="s">
        <v>712</v>
      </c>
      <c r="W22" s="87" t="s">
        <v>539</v>
      </c>
      <c r="X22" s="251" t="s">
        <v>713</v>
      </c>
      <c r="Y22" s="251"/>
      <c r="Z22" s="251"/>
      <c r="AA22" s="158"/>
    </row>
    <row r="23" spans="1:52" ht="97" customHeight="1" x14ac:dyDescent="0.35">
      <c r="G23" s="157"/>
      <c r="H23" s="260"/>
      <c r="I23" s="67" t="s">
        <v>518</v>
      </c>
      <c r="J23" s="65">
        <v>13</v>
      </c>
      <c r="K23" s="65">
        <v>18</v>
      </c>
      <c r="L23" s="65">
        <v>18</v>
      </c>
      <c r="M23" s="65">
        <v>23</v>
      </c>
      <c r="N23" s="65">
        <v>25</v>
      </c>
      <c r="O23" s="81">
        <v>31</v>
      </c>
      <c r="P23" s="81">
        <v>35</v>
      </c>
      <c r="Q23" s="81">
        <v>18</v>
      </c>
      <c r="R23" s="81">
        <v>21</v>
      </c>
      <c r="S23" s="81">
        <v>18</v>
      </c>
      <c r="T23" s="81">
        <v>30</v>
      </c>
      <c r="U23" s="81">
        <v>2</v>
      </c>
      <c r="V23" s="81">
        <v>12</v>
      </c>
      <c r="W23" s="89">
        <f>SUM(J23:V23)</f>
        <v>264</v>
      </c>
      <c r="X23" s="259" t="s">
        <v>714</v>
      </c>
      <c r="Y23" s="259"/>
      <c r="Z23" s="259"/>
      <c r="AA23" s="158"/>
    </row>
    <row r="24" spans="1:52" ht="97" customHeight="1" x14ac:dyDescent="0.35">
      <c r="H24" s="165"/>
      <c r="I24" s="165"/>
      <c r="J24" s="165"/>
      <c r="K24" s="165"/>
      <c r="L24" s="165"/>
      <c r="M24" s="165"/>
      <c r="N24" s="165"/>
      <c r="O24" s="165"/>
      <c r="P24" s="165"/>
      <c r="Q24" s="165"/>
      <c r="R24" s="165"/>
      <c r="S24" s="165"/>
      <c r="T24" s="165"/>
      <c r="U24" s="165"/>
      <c r="V24" s="165"/>
      <c r="W24" s="165"/>
      <c r="X24" s="165"/>
      <c r="Y24" s="165"/>
      <c r="Z24" s="165"/>
    </row>
    <row r="25" spans="1:52" ht="97" customHeight="1" x14ac:dyDescent="0.35">
      <c r="A25" s="167"/>
      <c r="B25" s="167"/>
      <c r="C25" s="167"/>
      <c r="D25" s="167"/>
      <c r="E25" s="167"/>
      <c r="F25" s="167"/>
      <c r="H25" s="167"/>
      <c r="I25" s="167"/>
      <c r="J25" s="167"/>
      <c r="K25" s="167"/>
      <c r="L25" s="167"/>
      <c r="M25" s="167"/>
    </row>
    <row r="26" spans="1:52" ht="50.15" customHeight="1" x14ac:dyDescent="0.35">
      <c r="A26" s="234" t="s">
        <v>715</v>
      </c>
      <c r="B26" s="234"/>
      <c r="C26" s="234"/>
      <c r="D26" s="234"/>
      <c r="E26" s="234"/>
      <c r="F26" s="234"/>
      <c r="G26" s="171"/>
      <c r="H26" s="250" t="s">
        <v>716</v>
      </c>
      <c r="I26" s="250"/>
      <c r="J26" s="250"/>
      <c r="K26" s="250"/>
      <c r="L26" s="250"/>
      <c r="M26" s="250"/>
      <c r="N26" s="170"/>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7"/>
    </row>
    <row r="27" spans="1:52" ht="97" customHeight="1" x14ac:dyDescent="0.35">
      <c r="A27" s="165"/>
      <c r="B27" s="165"/>
      <c r="C27" s="165"/>
      <c r="D27" s="165"/>
      <c r="E27" s="165"/>
      <c r="F27" s="165"/>
      <c r="G27" s="157"/>
      <c r="H27" s="249" t="s">
        <v>717</v>
      </c>
      <c r="I27" s="67" t="s">
        <v>622</v>
      </c>
      <c r="J27" s="91" t="s">
        <v>718</v>
      </c>
      <c r="K27" s="91" t="s">
        <v>719</v>
      </c>
      <c r="L27" s="91" t="s">
        <v>720</v>
      </c>
      <c r="M27" s="91" t="s">
        <v>721</v>
      </c>
      <c r="N27" s="91" t="s">
        <v>722</v>
      </c>
      <c r="O27" s="91" t="s">
        <v>723</v>
      </c>
      <c r="P27" s="91" t="s">
        <v>724</v>
      </c>
      <c r="Q27" s="91" t="s">
        <v>725</v>
      </c>
      <c r="R27" s="91" t="s">
        <v>726</v>
      </c>
      <c r="S27" s="91" t="s">
        <v>727</v>
      </c>
      <c r="T27" s="91" t="s">
        <v>728</v>
      </c>
      <c r="U27" s="91" t="s">
        <v>729</v>
      </c>
      <c r="V27" s="91" t="s">
        <v>730</v>
      </c>
      <c r="W27" s="91" t="s">
        <v>731</v>
      </c>
      <c r="X27" s="91" t="s">
        <v>732</v>
      </c>
      <c r="Y27" s="91" t="s">
        <v>733</v>
      </c>
      <c r="Z27" s="91" t="s">
        <v>734</v>
      </c>
      <c r="AA27" s="91" t="s">
        <v>735</v>
      </c>
      <c r="AB27" s="91" t="s">
        <v>736</v>
      </c>
      <c r="AC27" s="91" t="s">
        <v>737</v>
      </c>
      <c r="AD27" s="91" t="s">
        <v>738</v>
      </c>
      <c r="AE27" s="91" t="s">
        <v>739</v>
      </c>
      <c r="AF27" s="91" t="s">
        <v>740</v>
      </c>
      <c r="AG27" s="91" t="s">
        <v>741</v>
      </c>
      <c r="AH27" s="91" t="s">
        <v>742</v>
      </c>
      <c r="AI27" s="91" t="s">
        <v>743</v>
      </c>
      <c r="AJ27" s="91" t="s">
        <v>744</v>
      </c>
      <c r="AK27" s="91" t="s">
        <v>745</v>
      </c>
      <c r="AL27" s="91" t="s">
        <v>746</v>
      </c>
      <c r="AM27" s="91" t="s">
        <v>747</v>
      </c>
      <c r="AN27" s="91" t="s">
        <v>748</v>
      </c>
      <c r="AO27" s="91" t="s">
        <v>749</v>
      </c>
      <c r="AP27" s="91" t="s">
        <v>750</v>
      </c>
      <c r="AQ27" s="91" t="s">
        <v>751</v>
      </c>
      <c r="AR27" s="91" t="s">
        <v>752</v>
      </c>
      <c r="AS27" s="91" t="s">
        <v>753</v>
      </c>
      <c r="AT27" s="91" t="s">
        <v>754</v>
      </c>
      <c r="AU27" s="91" t="s">
        <v>755</v>
      </c>
      <c r="AV27" s="87" t="s">
        <v>539</v>
      </c>
      <c r="AW27" s="251" t="s">
        <v>713</v>
      </c>
      <c r="AX27" s="251"/>
      <c r="AY27" s="251"/>
      <c r="AZ27" s="158"/>
    </row>
    <row r="28" spans="1:52" ht="97" customHeight="1" x14ac:dyDescent="0.35">
      <c r="G28" s="157"/>
      <c r="H28" s="249"/>
      <c r="I28" s="67" t="s">
        <v>518</v>
      </c>
      <c r="J28" s="65">
        <v>34</v>
      </c>
      <c r="K28" s="65">
        <v>25</v>
      </c>
      <c r="L28" s="65">
        <v>13</v>
      </c>
      <c r="M28" s="65">
        <v>8</v>
      </c>
      <c r="N28" s="65">
        <v>34</v>
      </c>
      <c r="O28" s="81">
        <v>22</v>
      </c>
      <c r="P28" s="81">
        <v>22</v>
      </c>
      <c r="Q28" s="81">
        <v>29</v>
      </c>
      <c r="R28" s="81">
        <v>40</v>
      </c>
      <c r="S28" s="81">
        <v>27</v>
      </c>
      <c r="T28" s="81">
        <v>45</v>
      </c>
      <c r="U28" s="81">
        <v>39</v>
      </c>
      <c r="V28" s="81">
        <v>39</v>
      </c>
      <c r="W28" s="81">
        <v>33</v>
      </c>
      <c r="X28" s="81">
        <v>33</v>
      </c>
      <c r="Y28" s="81">
        <v>43</v>
      </c>
      <c r="Z28" s="81">
        <v>13</v>
      </c>
      <c r="AA28" s="81">
        <v>3</v>
      </c>
      <c r="AB28" s="81">
        <v>10</v>
      </c>
      <c r="AC28" s="81">
        <v>13</v>
      </c>
      <c r="AD28" s="81">
        <v>37</v>
      </c>
      <c r="AE28" s="81">
        <v>46</v>
      </c>
      <c r="AF28" s="81">
        <v>8</v>
      </c>
      <c r="AG28" s="81">
        <v>19</v>
      </c>
      <c r="AH28" s="81">
        <v>34</v>
      </c>
      <c r="AI28" s="81">
        <v>27</v>
      </c>
      <c r="AJ28" s="81">
        <v>31</v>
      </c>
      <c r="AK28" s="81">
        <v>14</v>
      </c>
      <c r="AL28" s="81">
        <v>15</v>
      </c>
      <c r="AM28" s="81">
        <v>12</v>
      </c>
      <c r="AN28" s="81">
        <v>19</v>
      </c>
      <c r="AO28" s="81">
        <v>24</v>
      </c>
      <c r="AP28" s="81">
        <v>18</v>
      </c>
      <c r="AQ28" s="81">
        <v>5</v>
      </c>
      <c r="AR28" s="81">
        <v>14</v>
      </c>
      <c r="AS28" s="81">
        <v>19</v>
      </c>
      <c r="AT28" s="81">
        <v>21</v>
      </c>
      <c r="AU28" s="81">
        <v>3</v>
      </c>
      <c r="AV28" s="89">
        <f>SUM(J28:AU28)</f>
        <v>891</v>
      </c>
      <c r="AW28" s="259" t="s">
        <v>756</v>
      </c>
      <c r="AX28" s="259"/>
      <c r="AY28" s="259"/>
      <c r="AZ28" s="158"/>
    </row>
    <row r="29" spans="1:52" ht="97" customHeight="1" x14ac:dyDescent="0.3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c r="AT29" s="165"/>
      <c r="AU29" s="165"/>
      <c r="AV29" s="165"/>
      <c r="AW29" s="165"/>
      <c r="AX29" s="165"/>
      <c r="AY29" s="165"/>
    </row>
    <row r="30" spans="1:52" ht="97" customHeight="1" x14ac:dyDescent="0.35">
      <c r="A30" s="167"/>
      <c r="B30" s="167"/>
      <c r="C30" s="167"/>
      <c r="D30" s="167"/>
      <c r="E30" s="167"/>
      <c r="F30" s="167"/>
    </row>
    <row r="31" spans="1:52" ht="50.15" customHeight="1" x14ac:dyDescent="0.35">
      <c r="A31" s="234" t="s">
        <v>757</v>
      </c>
      <c r="B31" s="254"/>
      <c r="C31" s="254"/>
      <c r="D31" s="254"/>
      <c r="E31" s="254"/>
      <c r="F31" s="254"/>
      <c r="G31" s="180"/>
      <c r="H31" s="175"/>
      <c r="I31" s="175"/>
      <c r="J31" s="175"/>
      <c r="K31" s="175"/>
      <c r="L31" s="175"/>
      <c r="M31" s="175"/>
    </row>
    <row r="32" spans="1:52" ht="97" customHeight="1" x14ac:dyDescent="0.35">
      <c r="A32" s="261" t="s">
        <v>758</v>
      </c>
      <c r="B32" s="262"/>
      <c r="C32" s="262"/>
      <c r="D32" s="262"/>
      <c r="E32" s="262"/>
      <c r="F32" s="262"/>
      <c r="G32" s="180"/>
      <c r="H32" s="176"/>
      <c r="I32" s="177"/>
      <c r="J32" s="178"/>
      <c r="K32" s="178"/>
      <c r="L32" s="178"/>
      <c r="M32" s="174"/>
    </row>
    <row r="33" spans="1:17" ht="97" customHeight="1" x14ac:dyDescent="0.35">
      <c r="A33" s="262"/>
      <c r="B33" s="262"/>
      <c r="C33" s="262"/>
      <c r="D33" s="262"/>
      <c r="E33" s="262"/>
      <c r="F33" s="262"/>
      <c r="G33" s="180"/>
      <c r="H33" s="178"/>
      <c r="I33" s="177"/>
      <c r="J33" s="179"/>
      <c r="K33" s="179"/>
      <c r="L33" s="179"/>
      <c r="M33" s="174"/>
    </row>
    <row r="34" spans="1:17" ht="97" customHeight="1" x14ac:dyDescent="0.35">
      <c r="A34" s="262"/>
      <c r="B34" s="262"/>
      <c r="C34" s="262"/>
      <c r="D34" s="262"/>
      <c r="E34" s="262"/>
      <c r="F34" s="262"/>
      <c r="G34" s="158"/>
    </row>
    <row r="35" spans="1:17" ht="97" customHeight="1" x14ac:dyDescent="0.35">
      <c r="A35" s="181"/>
      <c r="B35" s="181"/>
      <c r="C35" s="181"/>
      <c r="D35" s="181"/>
      <c r="E35" s="181"/>
      <c r="F35" s="181"/>
    </row>
    <row r="36" spans="1:17" ht="50.15" customHeight="1" x14ac:dyDescent="0.35">
      <c r="A36" s="234" t="s">
        <v>759</v>
      </c>
      <c r="B36" s="254"/>
      <c r="C36" s="254"/>
      <c r="D36" s="254"/>
      <c r="E36" s="254"/>
      <c r="F36" s="254"/>
      <c r="G36" s="180"/>
      <c r="H36" s="175"/>
      <c r="I36" s="175"/>
      <c r="J36" s="175"/>
      <c r="K36" s="175"/>
      <c r="L36" s="175"/>
      <c r="M36" s="175"/>
      <c r="N36" s="174"/>
    </row>
    <row r="37" spans="1:17" ht="97" customHeight="1" x14ac:dyDescent="0.35">
      <c r="A37" s="261" t="s">
        <v>760</v>
      </c>
      <c r="B37" s="266"/>
      <c r="C37" s="266"/>
      <c r="D37" s="266"/>
      <c r="E37" s="266"/>
      <c r="F37" s="266"/>
      <c r="G37" s="180"/>
      <c r="H37" s="176"/>
      <c r="I37" s="177"/>
      <c r="J37" s="178"/>
      <c r="K37" s="178"/>
      <c r="L37" s="178"/>
      <c r="M37" s="178"/>
      <c r="N37" s="178"/>
    </row>
    <row r="38" spans="1:17" ht="97" customHeight="1" x14ac:dyDescent="0.35">
      <c r="A38" s="266"/>
      <c r="B38" s="266"/>
      <c r="C38" s="266"/>
      <c r="D38" s="266"/>
      <c r="E38" s="266"/>
      <c r="F38" s="266"/>
      <c r="G38" s="180"/>
      <c r="H38" s="176"/>
      <c r="I38" s="177"/>
      <c r="J38" s="179"/>
      <c r="K38" s="179"/>
      <c r="L38" s="179"/>
      <c r="M38" s="179"/>
      <c r="N38" s="179"/>
    </row>
    <row r="39" spans="1:17" ht="97" customHeight="1" x14ac:dyDescent="0.35">
      <c r="A39" s="266"/>
      <c r="B39" s="266"/>
      <c r="C39" s="266"/>
      <c r="D39" s="266"/>
      <c r="E39" s="266"/>
      <c r="F39" s="266"/>
      <c r="G39" s="158"/>
    </row>
    <row r="40" spans="1:17" ht="97" customHeight="1" x14ac:dyDescent="0.35">
      <c r="A40" s="181"/>
      <c r="B40" s="181"/>
      <c r="C40" s="181"/>
      <c r="D40" s="181"/>
      <c r="E40" s="181"/>
      <c r="F40" s="181"/>
    </row>
    <row r="41" spans="1:17" ht="50.15" customHeight="1" x14ac:dyDescent="0.35">
      <c r="A41" s="234" t="s">
        <v>761</v>
      </c>
      <c r="B41" s="254"/>
      <c r="C41" s="254"/>
      <c r="D41" s="254"/>
      <c r="E41" s="254"/>
      <c r="F41" s="254"/>
      <c r="G41" s="180"/>
      <c r="H41" s="175"/>
      <c r="I41" s="175"/>
      <c r="J41" s="175"/>
      <c r="K41" s="175"/>
      <c r="L41" s="175"/>
      <c r="M41" s="175"/>
      <c r="N41" s="174"/>
      <c r="O41" s="174"/>
      <c r="P41" s="174"/>
    </row>
    <row r="42" spans="1:17" ht="97" customHeight="1" x14ac:dyDescent="0.35">
      <c r="A42" s="261" t="s">
        <v>762</v>
      </c>
      <c r="B42" s="266"/>
      <c r="C42" s="266"/>
      <c r="D42" s="266"/>
      <c r="E42" s="266"/>
      <c r="F42" s="266"/>
      <c r="G42" s="180"/>
      <c r="H42" s="176"/>
      <c r="I42" s="177"/>
      <c r="J42" s="178"/>
      <c r="K42" s="178"/>
      <c r="L42" s="178"/>
      <c r="M42" s="178"/>
      <c r="N42" s="178"/>
      <c r="O42" s="178"/>
      <c r="P42" s="178"/>
      <c r="Q42" s="149"/>
    </row>
    <row r="43" spans="1:17" ht="97" customHeight="1" x14ac:dyDescent="0.35">
      <c r="A43" s="266"/>
      <c r="B43" s="266"/>
      <c r="C43" s="266"/>
      <c r="D43" s="266"/>
      <c r="E43" s="266"/>
      <c r="F43" s="266"/>
      <c r="G43" s="180"/>
      <c r="H43" s="176"/>
      <c r="I43" s="177"/>
      <c r="J43" s="179"/>
      <c r="K43" s="179"/>
      <c r="L43" s="179"/>
      <c r="M43" s="179"/>
      <c r="N43" s="179"/>
      <c r="O43" s="174"/>
      <c r="P43" s="174"/>
    </row>
    <row r="44" spans="1:17" ht="97" customHeight="1" x14ac:dyDescent="0.35">
      <c r="A44" s="266"/>
      <c r="B44" s="266"/>
      <c r="C44" s="266"/>
      <c r="D44" s="266"/>
      <c r="E44" s="266"/>
      <c r="F44" s="266"/>
      <c r="G44" s="180"/>
      <c r="H44" s="174"/>
      <c r="I44" s="174"/>
      <c r="J44" s="174"/>
      <c r="K44" s="174"/>
      <c r="L44" s="174"/>
      <c r="M44" s="174"/>
      <c r="N44" s="174"/>
      <c r="O44" s="174"/>
      <c r="P44" s="174"/>
    </row>
    <row r="45" spans="1:17" ht="97" customHeight="1" x14ac:dyDescent="0.35">
      <c r="A45" s="182"/>
      <c r="B45" s="182"/>
      <c r="C45" s="182"/>
      <c r="D45" s="182"/>
      <c r="E45" s="182"/>
      <c r="F45" s="182"/>
      <c r="G45" s="174"/>
      <c r="H45" s="174"/>
      <c r="I45" s="174"/>
      <c r="J45" s="174"/>
      <c r="K45" s="174"/>
      <c r="L45" s="174"/>
      <c r="M45" s="174"/>
      <c r="N45" s="174"/>
      <c r="O45" s="174"/>
      <c r="P45" s="174"/>
    </row>
    <row r="46" spans="1:17" ht="50.15" customHeight="1" x14ac:dyDescent="0.35">
      <c r="A46" s="234" t="s">
        <v>763</v>
      </c>
      <c r="B46" s="254"/>
      <c r="C46" s="254"/>
      <c r="D46" s="254"/>
      <c r="E46" s="254"/>
      <c r="F46" s="254"/>
      <c r="G46" s="180"/>
      <c r="H46" s="175"/>
      <c r="I46" s="175"/>
      <c r="J46" s="175"/>
      <c r="K46" s="175"/>
      <c r="L46" s="175"/>
      <c r="M46" s="175"/>
      <c r="N46" s="174"/>
      <c r="O46" s="174"/>
      <c r="P46" s="174"/>
    </row>
    <row r="47" spans="1:17" ht="97" customHeight="1" x14ac:dyDescent="0.35">
      <c r="A47" s="267" t="s">
        <v>764</v>
      </c>
      <c r="B47" s="266"/>
      <c r="C47" s="266"/>
      <c r="D47" s="266"/>
      <c r="E47" s="266"/>
      <c r="F47" s="266"/>
      <c r="G47" s="180"/>
      <c r="H47" s="174"/>
      <c r="I47" s="174"/>
      <c r="J47" s="174"/>
      <c r="K47" s="174"/>
      <c r="L47" s="174"/>
      <c r="M47" s="174"/>
      <c r="N47" s="174"/>
      <c r="O47" s="174"/>
      <c r="P47" s="174"/>
    </row>
    <row r="48" spans="1:17" ht="97" customHeight="1" x14ac:dyDescent="0.35">
      <c r="A48" s="266"/>
      <c r="B48" s="266"/>
      <c r="C48" s="266"/>
      <c r="D48" s="266"/>
      <c r="E48" s="266"/>
      <c r="F48" s="266"/>
      <c r="G48" s="158"/>
    </row>
    <row r="49" spans="1:7" ht="97" customHeight="1" x14ac:dyDescent="0.35">
      <c r="A49" s="266"/>
      <c r="B49" s="266"/>
      <c r="C49" s="266"/>
      <c r="D49" s="266"/>
      <c r="E49" s="266"/>
      <c r="F49" s="266"/>
      <c r="G49" s="158"/>
    </row>
    <row r="50" spans="1:7" ht="97" customHeight="1" x14ac:dyDescent="0.35">
      <c r="A50" s="181"/>
      <c r="B50" s="181"/>
      <c r="C50" s="181"/>
      <c r="D50" s="181"/>
      <c r="E50" s="181"/>
      <c r="F50" s="181"/>
    </row>
    <row r="51" spans="1:7" ht="50.15" customHeight="1" x14ac:dyDescent="0.35">
      <c r="A51" s="234" t="s">
        <v>765</v>
      </c>
      <c r="B51" s="254"/>
      <c r="C51" s="254"/>
      <c r="D51" s="254"/>
      <c r="E51" s="254"/>
      <c r="F51" s="254"/>
      <c r="G51" s="158"/>
    </row>
    <row r="52" spans="1:7" ht="97" customHeight="1" x14ac:dyDescent="0.35">
      <c r="A52" s="256" t="s">
        <v>766</v>
      </c>
      <c r="B52" s="256"/>
      <c r="C52" s="256"/>
      <c r="D52" s="256"/>
      <c r="E52" s="256"/>
      <c r="F52" s="256"/>
      <c r="G52" s="158"/>
    </row>
    <row r="53" spans="1:7" ht="97" customHeight="1" x14ac:dyDescent="0.35">
      <c r="A53" s="256"/>
      <c r="B53" s="256"/>
      <c r="C53" s="256"/>
      <c r="D53" s="256"/>
      <c r="E53" s="256"/>
      <c r="F53" s="256"/>
      <c r="G53" s="158"/>
    </row>
    <row r="54" spans="1:7" ht="97" customHeight="1" x14ac:dyDescent="0.35">
      <c r="A54" s="256"/>
      <c r="B54" s="256"/>
      <c r="C54" s="256"/>
      <c r="D54" s="256"/>
      <c r="E54" s="256"/>
      <c r="F54" s="256"/>
      <c r="G54" s="158"/>
    </row>
    <row r="55" spans="1:7" ht="97" customHeight="1" x14ac:dyDescent="0.35">
      <c r="A55" s="181"/>
      <c r="B55" s="181"/>
      <c r="C55" s="181"/>
      <c r="D55" s="181"/>
      <c r="E55" s="181"/>
      <c r="F55" s="181"/>
    </row>
    <row r="56" spans="1:7" ht="50.15" customHeight="1" x14ac:dyDescent="0.35">
      <c r="A56" s="234" t="s">
        <v>767</v>
      </c>
      <c r="B56" s="254"/>
      <c r="C56" s="254"/>
      <c r="D56" s="254"/>
      <c r="E56" s="254"/>
      <c r="F56" s="254"/>
      <c r="G56" s="158"/>
    </row>
    <row r="57" spans="1:7" ht="97" customHeight="1" x14ac:dyDescent="0.35">
      <c r="A57" s="263" t="s">
        <v>764</v>
      </c>
      <c r="B57" s="263"/>
      <c r="C57" s="263"/>
      <c r="D57" s="263"/>
      <c r="E57" s="263"/>
      <c r="F57" s="263"/>
      <c r="G57" s="158"/>
    </row>
    <row r="58" spans="1:7" ht="97" customHeight="1" x14ac:dyDescent="0.35">
      <c r="A58" s="263"/>
      <c r="B58" s="263"/>
      <c r="C58" s="263"/>
      <c r="D58" s="263"/>
      <c r="E58" s="263"/>
      <c r="F58" s="263"/>
      <c r="G58" s="158"/>
    </row>
    <row r="59" spans="1:7" ht="97" customHeight="1" x14ac:dyDescent="0.35">
      <c r="A59" s="263"/>
      <c r="B59" s="263"/>
      <c r="C59" s="263"/>
      <c r="D59" s="263"/>
      <c r="E59" s="263"/>
      <c r="F59" s="263"/>
      <c r="G59" s="158"/>
    </row>
    <row r="60" spans="1:7" ht="97" customHeight="1" x14ac:dyDescent="0.35">
      <c r="A60" s="181"/>
      <c r="B60" s="181"/>
      <c r="C60" s="181"/>
      <c r="D60" s="181"/>
      <c r="E60" s="181"/>
      <c r="F60" s="181"/>
    </row>
    <row r="61" spans="1:7" ht="50.15" customHeight="1" x14ac:dyDescent="0.35">
      <c r="A61" s="234" t="s">
        <v>768</v>
      </c>
      <c r="B61" s="254"/>
      <c r="C61" s="254"/>
      <c r="D61" s="254"/>
      <c r="E61" s="254"/>
      <c r="F61" s="254"/>
      <c r="G61" s="158"/>
    </row>
    <row r="62" spans="1:7" ht="97" customHeight="1" x14ac:dyDescent="0.35">
      <c r="A62" s="263" t="s">
        <v>764</v>
      </c>
      <c r="B62" s="256"/>
      <c r="C62" s="256"/>
      <c r="D62" s="256"/>
      <c r="E62" s="256"/>
      <c r="F62" s="256"/>
      <c r="G62" s="158"/>
    </row>
    <row r="63" spans="1:7" ht="97" customHeight="1" x14ac:dyDescent="0.35">
      <c r="A63" s="256"/>
      <c r="B63" s="256"/>
      <c r="C63" s="256"/>
      <c r="D63" s="256"/>
      <c r="E63" s="256"/>
      <c r="F63" s="256"/>
      <c r="G63" s="158"/>
    </row>
    <row r="64" spans="1:7" ht="97" customHeight="1" x14ac:dyDescent="0.35">
      <c r="A64" s="256"/>
      <c r="B64" s="256"/>
      <c r="C64" s="256"/>
      <c r="D64" s="256"/>
      <c r="E64" s="256"/>
      <c r="F64" s="256"/>
      <c r="G64" s="158"/>
    </row>
    <row r="65" spans="1:7" ht="97" customHeight="1" x14ac:dyDescent="0.35">
      <c r="A65" s="181"/>
      <c r="B65" s="181"/>
      <c r="C65" s="181"/>
      <c r="D65" s="181"/>
      <c r="E65" s="181"/>
      <c r="F65" s="181"/>
    </row>
    <row r="66" spans="1:7" ht="50.15" customHeight="1" x14ac:dyDescent="0.35">
      <c r="A66" s="234" t="s">
        <v>769</v>
      </c>
      <c r="B66" s="254"/>
      <c r="C66" s="254"/>
      <c r="D66" s="254"/>
      <c r="E66" s="254"/>
      <c r="F66" s="254"/>
      <c r="G66" s="158"/>
    </row>
    <row r="67" spans="1:7" ht="97" customHeight="1" x14ac:dyDescent="0.35">
      <c r="A67" s="265" t="s">
        <v>770</v>
      </c>
      <c r="B67" s="256"/>
      <c r="C67" s="256"/>
      <c r="D67" s="256"/>
      <c r="E67" s="256"/>
      <c r="F67" s="256"/>
      <c r="G67" s="158"/>
    </row>
    <row r="68" spans="1:7" ht="97" customHeight="1" x14ac:dyDescent="0.35">
      <c r="A68" s="256"/>
      <c r="B68" s="256"/>
      <c r="C68" s="256"/>
      <c r="D68" s="256"/>
      <c r="E68" s="256"/>
      <c r="F68" s="256"/>
      <c r="G68" s="158"/>
    </row>
    <row r="69" spans="1:7" ht="97" customHeight="1" x14ac:dyDescent="0.35">
      <c r="A69" s="256"/>
      <c r="B69" s="256"/>
      <c r="C69" s="256"/>
      <c r="D69" s="256"/>
      <c r="E69" s="256"/>
      <c r="F69" s="256"/>
      <c r="G69" s="158"/>
    </row>
    <row r="70" spans="1:7" ht="97" customHeight="1" x14ac:dyDescent="0.35">
      <c r="A70" s="181"/>
      <c r="B70" s="181"/>
      <c r="C70" s="181"/>
      <c r="D70" s="181"/>
      <c r="E70" s="181"/>
      <c r="F70" s="181"/>
    </row>
    <row r="71" spans="1:7" ht="50.15" customHeight="1" x14ac:dyDescent="0.35">
      <c r="A71" s="234" t="s">
        <v>771</v>
      </c>
      <c r="B71" s="254"/>
      <c r="C71" s="254"/>
      <c r="D71" s="254"/>
      <c r="E71" s="254"/>
      <c r="F71" s="254"/>
      <c r="G71" s="158"/>
    </row>
    <row r="72" spans="1:7" ht="97" customHeight="1" x14ac:dyDescent="0.35">
      <c r="A72" s="259" t="s">
        <v>772</v>
      </c>
      <c r="B72" s="256"/>
      <c r="C72" s="256"/>
      <c r="D72" s="256"/>
      <c r="E72" s="256"/>
      <c r="F72" s="256"/>
      <c r="G72" s="158"/>
    </row>
    <row r="73" spans="1:7" ht="97" customHeight="1" x14ac:dyDescent="0.35">
      <c r="A73" s="256"/>
      <c r="B73" s="256"/>
      <c r="C73" s="256"/>
      <c r="D73" s="256"/>
      <c r="E73" s="256"/>
      <c r="F73" s="256"/>
      <c r="G73" s="158"/>
    </row>
    <row r="74" spans="1:7" ht="97" customHeight="1" x14ac:dyDescent="0.35">
      <c r="A74" s="256"/>
      <c r="B74" s="256"/>
      <c r="C74" s="256"/>
      <c r="D74" s="256"/>
      <c r="E74" s="256"/>
      <c r="F74" s="256"/>
      <c r="G74" s="158"/>
    </row>
    <row r="75" spans="1:7" ht="97" customHeight="1" x14ac:dyDescent="0.35">
      <c r="A75" s="181"/>
      <c r="B75" s="181"/>
      <c r="C75" s="181"/>
      <c r="D75" s="181"/>
      <c r="E75" s="181"/>
      <c r="F75" s="181"/>
    </row>
    <row r="76" spans="1:7" ht="50.15" customHeight="1" x14ac:dyDescent="0.35">
      <c r="A76" s="234" t="s">
        <v>773</v>
      </c>
      <c r="B76" s="254"/>
      <c r="C76" s="254"/>
      <c r="D76" s="254"/>
      <c r="E76" s="254"/>
      <c r="F76" s="254"/>
      <c r="G76" s="158"/>
    </row>
    <row r="77" spans="1:7" ht="97" customHeight="1" x14ac:dyDescent="0.35">
      <c r="A77" s="263" t="s">
        <v>764</v>
      </c>
      <c r="B77" s="264"/>
      <c r="C77" s="264"/>
      <c r="D77" s="264"/>
      <c r="E77" s="264"/>
      <c r="F77" s="264"/>
      <c r="G77" s="158"/>
    </row>
    <row r="78" spans="1:7" ht="97" customHeight="1" x14ac:dyDescent="0.35">
      <c r="A78" s="264"/>
      <c r="B78" s="264"/>
      <c r="C78" s="264"/>
      <c r="D78" s="264"/>
      <c r="E78" s="264"/>
      <c r="F78" s="264"/>
      <c r="G78" s="158"/>
    </row>
    <row r="79" spans="1:7" ht="97" customHeight="1" x14ac:dyDescent="0.35">
      <c r="A79" s="264"/>
      <c r="B79" s="264"/>
      <c r="C79" s="264"/>
      <c r="D79" s="264"/>
      <c r="E79" s="264"/>
      <c r="F79" s="264"/>
      <c r="G79" s="158"/>
    </row>
    <row r="80" spans="1:7" ht="97" customHeight="1" x14ac:dyDescent="0.35">
      <c r="A80" s="181"/>
      <c r="B80" s="181"/>
      <c r="C80" s="181"/>
      <c r="D80" s="181"/>
      <c r="E80" s="181"/>
      <c r="F80" s="181"/>
    </row>
    <row r="81" spans="1:7" ht="50.15" customHeight="1" x14ac:dyDescent="0.35">
      <c r="A81" s="234" t="s">
        <v>774</v>
      </c>
      <c r="B81" s="254"/>
      <c r="C81" s="254"/>
      <c r="D81" s="254"/>
      <c r="E81" s="254"/>
      <c r="F81" s="254"/>
      <c r="G81" s="158"/>
    </row>
    <row r="82" spans="1:7" ht="97" customHeight="1" x14ac:dyDescent="0.35">
      <c r="A82" s="265" t="s">
        <v>775</v>
      </c>
      <c r="B82" s="256"/>
      <c r="C82" s="256"/>
      <c r="D82" s="256"/>
      <c r="E82" s="256"/>
      <c r="F82" s="256"/>
      <c r="G82" s="158"/>
    </row>
    <row r="83" spans="1:7" ht="97" customHeight="1" x14ac:dyDescent="0.35">
      <c r="A83" s="256"/>
      <c r="B83" s="256"/>
      <c r="C83" s="256"/>
      <c r="D83" s="256"/>
      <c r="E83" s="256"/>
      <c r="F83" s="256"/>
      <c r="G83" s="158"/>
    </row>
    <row r="84" spans="1:7" ht="97" customHeight="1" x14ac:dyDescent="0.35">
      <c r="A84" s="256"/>
      <c r="B84" s="256"/>
      <c r="C84" s="256"/>
      <c r="D84" s="256"/>
      <c r="E84" s="256"/>
      <c r="F84" s="256"/>
      <c r="G84" s="158"/>
    </row>
    <row r="85" spans="1:7" ht="97" customHeight="1" x14ac:dyDescent="0.35">
      <c r="A85" s="181"/>
      <c r="B85" s="181"/>
      <c r="C85" s="181"/>
      <c r="D85" s="181"/>
      <c r="E85" s="181"/>
      <c r="F85" s="181"/>
    </row>
    <row r="86" spans="1:7" ht="50.15" customHeight="1" x14ac:dyDescent="0.35">
      <c r="A86" s="234" t="s">
        <v>776</v>
      </c>
      <c r="B86" s="254"/>
      <c r="C86" s="254"/>
      <c r="D86" s="254"/>
      <c r="E86" s="254"/>
      <c r="F86" s="254"/>
      <c r="G86" s="158"/>
    </row>
    <row r="87" spans="1:7" ht="97" customHeight="1" x14ac:dyDescent="0.35">
      <c r="A87" s="259" t="s">
        <v>777</v>
      </c>
      <c r="B87" s="256"/>
      <c r="C87" s="256"/>
      <c r="D87" s="256"/>
      <c r="E87" s="256"/>
      <c r="F87" s="256"/>
      <c r="G87" s="158"/>
    </row>
    <row r="88" spans="1:7" ht="97" customHeight="1" x14ac:dyDescent="0.35">
      <c r="A88" s="256"/>
      <c r="B88" s="256"/>
      <c r="C88" s="256"/>
      <c r="D88" s="256"/>
      <c r="E88" s="256"/>
      <c r="F88" s="256"/>
      <c r="G88" s="158"/>
    </row>
    <row r="89" spans="1:7" ht="97" customHeight="1" x14ac:dyDescent="0.35">
      <c r="A89" s="256"/>
      <c r="B89" s="256"/>
      <c r="C89" s="256"/>
      <c r="D89" s="256"/>
      <c r="E89" s="256"/>
      <c r="F89" s="256"/>
      <c r="G89" s="158"/>
    </row>
    <row r="90" spans="1:7" ht="97" customHeight="1" x14ac:dyDescent="0.35">
      <c r="A90" s="181"/>
      <c r="B90" s="181"/>
      <c r="C90" s="181"/>
      <c r="D90" s="181"/>
      <c r="E90" s="181"/>
      <c r="F90" s="181"/>
    </row>
    <row r="91" spans="1:7" ht="50.15" customHeight="1" x14ac:dyDescent="0.35">
      <c r="A91" s="234" t="s">
        <v>778</v>
      </c>
      <c r="B91" s="254"/>
      <c r="C91" s="254"/>
      <c r="D91" s="254"/>
      <c r="E91" s="254"/>
      <c r="F91" s="254"/>
      <c r="G91" s="158"/>
    </row>
    <row r="92" spans="1:7" ht="97" customHeight="1" x14ac:dyDescent="0.35">
      <c r="A92" s="259" t="s">
        <v>779</v>
      </c>
      <c r="B92" s="256"/>
      <c r="C92" s="256"/>
      <c r="D92" s="256"/>
      <c r="E92" s="256"/>
      <c r="F92" s="256"/>
      <c r="G92" s="158"/>
    </row>
    <row r="93" spans="1:7" ht="97" customHeight="1" x14ac:dyDescent="0.35">
      <c r="A93" s="256"/>
      <c r="B93" s="256"/>
      <c r="C93" s="256"/>
      <c r="D93" s="256"/>
      <c r="E93" s="256"/>
      <c r="F93" s="256"/>
      <c r="G93" s="158"/>
    </row>
    <row r="94" spans="1:7" ht="97" customHeight="1" x14ac:dyDescent="0.35">
      <c r="A94" s="256"/>
      <c r="B94" s="256"/>
      <c r="C94" s="256"/>
      <c r="D94" s="256"/>
      <c r="E94" s="256"/>
      <c r="F94" s="256"/>
      <c r="G94" s="158"/>
    </row>
    <row r="95" spans="1:7" ht="97" customHeight="1" x14ac:dyDescent="0.35">
      <c r="A95" s="181"/>
      <c r="B95" s="181"/>
      <c r="C95" s="181"/>
      <c r="D95" s="181"/>
      <c r="E95" s="181"/>
      <c r="F95" s="181"/>
    </row>
    <row r="96" spans="1:7" ht="50.15" customHeight="1" x14ac:dyDescent="0.35">
      <c r="A96" s="234" t="s">
        <v>780</v>
      </c>
      <c r="B96" s="254"/>
      <c r="C96" s="254"/>
      <c r="D96" s="254"/>
      <c r="E96" s="254"/>
      <c r="F96" s="254"/>
      <c r="G96" s="158"/>
    </row>
    <row r="97" spans="1:7" ht="97" customHeight="1" x14ac:dyDescent="0.35">
      <c r="A97" s="252"/>
      <c r="B97" s="252"/>
      <c r="C97" s="252"/>
      <c r="D97" s="252"/>
      <c r="E97" s="252"/>
      <c r="F97" s="252"/>
      <c r="G97" s="158"/>
    </row>
    <row r="98" spans="1:7" ht="97" customHeight="1" x14ac:dyDescent="0.35">
      <c r="A98" s="252"/>
      <c r="B98" s="252"/>
      <c r="C98" s="252"/>
      <c r="D98" s="252"/>
      <c r="E98" s="252"/>
      <c r="F98" s="252"/>
      <c r="G98" s="158"/>
    </row>
    <row r="99" spans="1:7" ht="97" customHeight="1" x14ac:dyDescent="0.35">
      <c r="A99" s="252"/>
      <c r="B99" s="252"/>
      <c r="C99" s="252"/>
      <c r="D99" s="252"/>
      <c r="E99" s="252"/>
      <c r="F99" s="252"/>
      <c r="G99" s="158"/>
    </row>
    <row r="100" spans="1:7" ht="97" customHeight="1" x14ac:dyDescent="0.35">
      <c r="A100" s="181"/>
      <c r="B100" s="181"/>
      <c r="C100" s="181"/>
      <c r="D100" s="181"/>
      <c r="E100" s="181"/>
      <c r="F100" s="181"/>
    </row>
    <row r="101" spans="1:7" ht="50.15" customHeight="1" x14ac:dyDescent="0.35">
      <c r="A101" s="234" t="s">
        <v>781</v>
      </c>
      <c r="B101" s="254"/>
      <c r="C101" s="254"/>
      <c r="D101" s="254"/>
      <c r="E101" s="254"/>
      <c r="F101" s="254"/>
      <c r="G101" s="158"/>
    </row>
    <row r="102" spans="1:7" ht="97" customHeight="1" x14ac:dyDescent="0.35">
      <c r="A102" s="265" t="s">
        <v>782</v>
      </c>
      <c r="B102" s="256"/>
      <c r="C102" s="256"/>
      <c r="D102" s="256"/>
      <c r="E102" s="256"/>
      <c r="F102" s="256"/>
      <c r="G102" s="158"/>
    </row>
    <row r="103" spans="1:7" ht="97" customHeight="1" x14ac:dyDescent="0.35">
      <c r="A103" s="256"/>
      <c r="B103" s="256"/>
      <c r="C103" s="256"/>
      <c r="D103" s="256"/>
      <c r="E103" s="256"/>
      <c r="F103" s="256"/>
      <c r="G103" s="158"/>
    </row>
    <row r="104" spans="1:7" ht="97" customHeight="1" x14ac:dyDescent="0.35">
      <c r="A104" s="256"/>
      <c r="B104" s="256"/>
      <c r="C104" s="256"/>
      <c r="D104" s="256"/>
      <c r="E104" s="256"/>
      <c r="F104" s="256"/>
      <c r="G104" s="158"/>
    </row>
    <row r="105" spans="1:7" ht="97" customHeight="1" x14ac:dyDescent="0.35">
      <c r="A105" s="181"/>
      <c r="B105" s="181"/>
      <c r="C105" s="181"/>
      <c r="D105" s="181"/>
      <c r="E105" s="181"/>
      <c r="F105" s="181"/>
    </row>
    <row r="106" spans="1:7" ht="50.15" customHeight="1" x14ac:dyDescent="0.35">
      <c r="A106" s="234" t="s">
        <v>783</v>
      </c>
      <c r="B106" s="254"/>
      <c r="C106" s="254"/>
      <c r="D106" s="254"/>
      <c r="E106" s="254"/>
      <c r="F106" s="254"/>
      <c r="G106" s="158"/>
    </row>
    <row r="107" spans="1:7" ht="97" customHeight="1" x14ac:dyDescent="0.35">
      <c r="A107" s="269" t="s">
        <v>784</v>
      </c>
      <c r="B107" s="256"/>
      <c r="C107" s="256"/>
      <c r="D107" s="256"/>
      <c r="E107" s="256"/>
      <c r="F107" s="256"/>
      <c r="G107" s="158"/>
    </row>
    <row r="108" spans="1:7" ht="97" customHeight="1" x14ac:dyDescent="0.35">
      <c r="A108" s="256"/>
      <c r="B108" s="256"/>
      <c r="C108" s="256"/>
      <c r="D108" s="256"/>
      <c r="E108" s="256"/>
      <c r="F108" s="256"/>
      <c r="G108" s="158"/>
    </row>
    <row r="109" spans="1:7" ht="97" customHeight="1" x14ac:dyDescent="0.35">
      <c r="A109" s="256"/>
      <c r="B109" s="256"/>
      <c r="C109" s="256"/>
      <c r="D109" s="256"/>
      <c r="E109" s="256"/>
      <c r="F109" s="256"/>
      <c r="G109" s="158"/>
    </row>
    <row r="110" spans="1:7" ht="97" customHeight="1" x14ac:dyDescent="0.35">
      <c r="A110" s="181"/>
      <c r="B110" s="181"/>
      <c r="C110" s="181"/>
      <c r="D110" s="181"/>
      <c r="E110" s="181"/>
      <c r="F110" s="181"/>
    </row>
    <row r="111" spans="1:7" ht="50.15" customHeight="1" x14ac:dyDescent="0.35">
      <c r="A111" s="234" t="s">
        <v>785</v>
      </c>
      <c r="B111" s="254"/>
      <c r="C111" s="254"/>
      <c r="D111" s="254"/>
      <c r="E111" s="254"/>
      <c r="F111" s="254"/>
      <c r="G111" s="158"/>
    </row>
    <row r="112" spans="1:7" ht="97" customHeight="1" x14ac:dyDescent="0.35">
      <c r="A112" s="255" t="s">
        <v>786</v>
      </c>
      <c r="B112" s="256"/>
      <c r="C112" s="256"/>
      <c r="D112" s="256"/>
      <c r="E112" s="256"/>
      <c r="F112" s="256"/>
      <c r="G112" s="158"/>
    </row>
    <row r="113" spans="1:8" ht="97" customHeight="1" x14ac:dyDescent="0.35">
      <c r="A113" s="256"/>
      <c r="B113" s="256"/>
      <c r="C113" s="256"/>
      <c r="D113" s="256"/>
      <c r="E113" s="256"/>
      <c r="F113" s="256"/>
      <c r="G113" s="158"/>
    </row>
    <row r="114" spans="1:8" ht="97" customHeight="1" x14ac:dyDescent="0.35">
      <c r="A114" s="256"/>
      <c r="B114" s="256"/>
      <c r="C114" s="256"/>
      <c r="D114" s="256"/>
      <c r="E114" s="256"/>
      <c r="F114" s="256"/>
      <c r="G114" s="158"/>
    </row>
    <row r="115" spans="1:8" ht="97" customHeight="1" x14ac:dyDescent="0.35">
      <c r="A115" s="181"/>
      <c r="B115" s="181"/>
      <c r="C115" s="181"/>
      <c r="D115" s="181"/>
      <c r="E115" s="181"/>
      <c r="F115" s="181"/>
    </row>
    <row r="116" spans="1:8" ht="50.15" customHeight="1" x14ac:dyDescent="0.35">
      <c r="A116" s="234" t="s">
        <v>787</v>
      </c>
      <c r="B116" s="254"/>
      <c r="C116" s="254"/>
      <c r="D116" s="254"/>
      <c r="E116" s="254"/>
      <c r="F116" s="254"/>
      <c r="G116" s="158"/>
    </row>
    <row r="117" spans="1:8" ht="97" customHeight="1" x14ac:dyDescent="0.35">
      <c r="A117" s="259" t="s">
        <v>788</v>
      </c>
      <c r="B117" s="259"/>
      <c r="C117" s="259"/>
      <c r="D117" s="259"/>
      <c r="E117" s="259"/>
      <c r="F117" s="259"/>
      <c r="G117" s="158"/>
    </row>
    <row r="118" spans="1:8" ht="97" customHeight="1" x14ac:dyDescent="0.35">
      <c r="A118" s="259"/>
      <c r="B118" s="259"/>
      <c r="C118" s="259"/>
      <c r="D118" s="259"/>
      <c r="E118" s="259"/>
      <c r="F118" s="259"/>
      <c r="G118" s="158"/>
    </row>
    <row r="119" spans="1:8" ht="97" customHeight="1" x14ac:dyDescent="0.35">
      <c r="A119" s="259"/>
      <c r="B119" s="259"/>
      <c r="C119" s="259"/>
      <c r="D119" s="259"/>
      <c r="E119" s="259"/>
      <c r="F119" s="259"/>
      <c r="G119" s="158"/>
    </row>
    <row r="120" spans="1:8" ht="97" customHeight="1" x14ac:dyDescent="0.35">
      <c r="A120" s="181"/>
      <c r="B120" s="181"/>
      <c r="C120" s="181"/>
      <c r="D120" s="181"/>
      <c r="E120" s="181"/>
      <c r="F120" s="181"/>
    </row>
    <row r="121" spans="1:8" ht="50.15" customHeight="1" x14ac:dyDescent="0.35">
      <c r="A121" s="234" t="s">
        <v>789</v>
      </c>
      <c r="B121" s="254"/>
      <c r="C121" s="254"/>
      <c r="D121" s="254"/>
      <c r="E121" s="254"/>
      <c r="F121" s="254"/>
      <c r="G121" s="158"/>
    </row>
    <row r="122" spans="1:8" ht="97" customHeight="1" x14ac:dyDescent="0.35">
      <c r="A122" s="257" t="s">
        <v>764</v>
      </c>
      <c r="B122" s="258"/>
      <c r="C122" s="258"/>
      <c r="D122" s="258"/>
      <c r="E122" s="258"/>
      <c r="F122" s="258"/>
      <c r="G122" s="158"/>
    </row>
    <row r="123" spans="1:8" ht="97" customHeight="1" x14ac:dyDescent="0.35">
      <c r="A123" s="258"/>
      <c r="B123" s="258"/>
      <c r="C123" s="258"/>
      <c r="D123" s="258"/>
      <c r="E123" s="258"/>
      <c r="F123" s="258"/>
      <c r="G123" s="158"/>
    </row>
    <row r="124" spans="1:8" ht="97" customHeight="1" x14ac:dyDescent="0.35">
      <c r="A124" s="258"/>
      <c r="B124" s="258"/>
      <c r="C124" s="258"/>
      <c r="D124" s="258"/>
      <c r="E124" s="258"/>
      <c r="F124" s="258"/>
      <c r="G124" s="158"/>
    </row>
    <row r="125" spans="1:8" ht="97" customHeight="1" x14ac:dyDescent="0.35">
      <c r="A125" s="181"/>
      <c r="B125" s="181"/>
      <c r="C125" s="181"/>
      <c r="D125" s="181"/>
      <c r="E125" s="181"/>
      <c r="F125" s="181"/>
    </row>
    <row r="126" spans="1:8" ht="50.15" customHeight="1" x14ac:dyDescent="0.35">
      <c r="A126" s="234" t="s">
        <v>790</v>
      </c>
      <c r="B126" s="254"/>
      <c r="C126" s="254"/>
      <c r="D126" s="254"/>
      <c r="E126" s="254"/>
      <c r="F126" s="254"/>
      <c r="G126" s="183"/>
    </row>
    <row r="127" spans="1:8" ht="97" customHeight="1" x14ac:dyDescent="0.35">
      <c r="A127" s="255" t="s">
        <v>791</v>
      </c>
      <c r="B127" s="259"/>
      <c r="C127" s="259"/>
      <c r="D127" s="259"/>
      <c r="E127" s="259"/>
      <c r="F127" s="259"/>
      <c r="G127" s="158"/>
    </row>
    <row r="128" spans="1:8" ht="97" customHeight="1" x14ac:dyDescent="0.35">
      <c r="A128" s="259"/>
      <c r="B128" s="259"/>
      <c r="C128" s="259"/>
      <c r="D128" s="259"/>
      <c r="E128" s="259"/>
      <c r="F128" s="259"/>
      <c r="G128" s="158"/>
      <c r="H128" s="149"/>
    </row>
    <row r="129" spans="1:7" ht="97" customHeight="1" x14ac:dyDescent="0.35">
      <c r="A129" s="259"/>
      <c r="B129" s="259"/>
      <c r="C129" s="259"/>
      <c r="D129" s="259"/>
      <c r="E129" s="259"/>
      <c r="F129" s="259"/>
      <c r="G129" s="158"/>
    </row>
    <row r="130" spans="1:7" ht="97" customHeight="1" x14ac:dyDescent="0.35">
      <c r="A130" s="181"/>
      <c r="B130" s="181"/>
      <c r="C130" s="181"/>
      <c r="D130" s="181"/>
      <c r="E130" s="181"/>
      <c r="F130" s="181"/>
    </row>
    <row r="131" spans="1:7" ht="50.15" customHeight="1" x14ac:dyDescent="0.35">
      <c r="A131" s="234" t="s">
        <v>792</v>
      </c>
      <c r="B131" s="254"/>
      <c r="C131" s="254"/>
      <c r="D131" s="254"/>
      <c r="E131" s="254"/>
      <c r="F131" s="254"/>
      <c r="G131" s="158"/>
    </row>
    <row r="132" spans="1:7" ht="97" customHeight="1" x14ac:dyDescent="0.35">
      <c r="A132" s="255" t="s">
        <v>793</v>
      </c>
      <c r="B132" s="256"/>
      <c r="C132" s="256"/>
      <c r="D132" s="256"/>
      <c r="E132" s="256"/>
      <c r="F132" s="256"/>
      <c r="G132" s="158"/>
    </row>
    <row r="133" spans="1:7" ht="97" customHeight="1" x14ac:dyDescent="0.35">
      <c r="A133" s="256"/>
      <c r="B133" s="256"/>
      <c r="C133" s="256"/>
      <c r="D133" s="256"/>
      <c r="E133" s="256"/>
      <c r="F133" s="256"/>
      <c r="G133" s="158"/>
    </row>
    <row r="134" spans="1:7" ht="97" customHeight="1" x14ac:dyDescent="0.35">
      <c r="A134" s="256"/>
      <c r="B134" s="256"/>
      <c r="C134" s="256"/>
      <c r="D134" s="256"/>
      <c r="E134" s="256"/>
      <c r="F134" s="256"/>
      <c r="G134" s="158"/>
    </row>
    <row r="135" spans="1:7" ht="97" customHeight="1" x14ac:dyDescent="0.35">
      <c r="A135" s="181"/>
      <c r="B135" s="181"/>
      <c r="C135" s="181"/>
      <c r="D135" s="181"/>
      <c r="E135" s="181"/>
      <c r="F135" s="181"/>
    </row>
    <row r="136" spans="1:7" ht="50.15" customHeight="1" x14ac:dyDescent="0.35">
      <c r="A136" s="234" t="s">
        <v>794</v>
      </c>
      <c r="B136" s="254"/>
      <c r="C136" s="254"/>
      <c r="D136" s="254"/>
      <c r="E136" s="254"/>
      <c r="F136" s="254"/>
      <c r="G136" s="158"/>
    </row>
    <row r="137" spans="1:7" ht="97" customHeight="1" x14ac:dyDescent="0.35">
      <c r="A137" s="259" t="s">
        <v>795</v>
      </c>
      <c r="B137" s="256"/>
      <c r="C137" s="256"/>
      <c r="D137" s="256"/>
      <c r="E137" s="256"/>
      <c r="F137" s="256"/>
      <c r="G137" s="158"/>
    </row>
    <row r="138" spans="1:7" ht="97" customHeight="1" x14ac:dyDescent="0.35">
      <c r="A138" s="256"/>
      <c r="B138" s="256"/>
      <c r="C138" s="256"/>
      <c r="D138" s="256"/>
      <c r="E138" s="256"/>
      <c r="F138" s="256"/>
      <c r="G138" s="158"/>
    </row>
    <row r="139" spans="1:7" ht="97" customHeight="1" x14ac:dyDescent="0.35">
      <c r="A139" s="256"/>
      <c r="B139" s="256"/>
      <c r="C139" s="256"/>
      <c r="D139" s="256"/>
      <c r="E139" s="256"/>
      <c r="F139" s="256"/>
      <c r="G139" s="158"/>
    </row>
    <row r="140" spans="1:7" ht="97" customHeight="1" x14ac:dyDescent="0.35">
      <c r="A140" s="181"/>
      <c r="B140" s="181"/>
      <c r="C140" s="181"/>
      <c r="D140" s="181"/>
      <c r="E140" s="181"/>
      <c r="F140" s="181"/>
    </row>
    <row r="141" spans="1:7" ht="50.15" customHeight="1" x14ac:dyDescent="0.35">
      <c r="A141" s="234" t="s">
        <v>796</v>
      </c>
      <c r="B141" s="254"/>
      <c r="C141" s="254"/>
      <c r="D141" s="254"/>
      <c r="E141" s="254"/>
      <c r="F141" s="254"/>
      <c r="G141" s="158"/>
    </row>
    <row r="142" spans="1:7" ht="97" customHeight="1" x14ac:dyDescent="0.35">
      <c r="A142" s="252"/>
      <c r="B142" s="252"/>
      <c r="C142" s="252"/>
      <c r="D142" s="252"/>
      <c r="E142" s="252"/>
      <c r="F142" s="252"/>
      <c r="G142" s="158"/>
    </row>
    <row r="143" spans="1:7" ht="97" customHeight="1" x14ac:dyDescent="0.35">
      <c r="A143" s="252"/>
      <c r="B143" s="252"/>
      <c r="C143" s="252"/>
      <c r="D143" s="252"/>
      <c r="E143" s="252"/>
      <c r="F143" s="252"/>
      <c r="G143" s="158"/>
    </row>
    <row r="144" spans="1:7" ht="97" customHeight="1" x14ac:dyDescent="0.35">
      <c r="A144" s="252"/>
      <c r="B144" s="252"/>
      <c r="C144" s="252"/>
      <c r="D144" s="252"/>
      <c r="E144" s="252"/>
      <c r="F144" s="252"/>
      <c r="G144" s="158"/>
    </row>
    <row r="145" spans="1:7" ht="97" customHeight="1" x14ac:dyDescent="0.35">
      <c r="A145" s="181"/>
      <c r="B145" s="181"/>
      <c r="C145" s="181"/>
      <c r="D145" s="181"/>
      <c r="E145" s="181"/>
      <c r="F145" s="181"/>
    </row>
    <row r="146" spans="1:7" ht="50.15" customHeight="1" x14ac:dyDescent="0.35">
      <c r="A146" s="234" t="s">
        <v>797</v>
      </c>
      <c r="B146" s="254"/>
      <c r="C146" s="254"/>
      <c r="D146" s="254"/>
      <c r="E146" s="254"/>
      <c r="F146" s="254"/>
      <c r="G146" s="158"/>
    </row>
    <row r="147" spans="1:7" ht="97" customHeight="1" x14ac:dyDescent="0.35">
      <c r="A147" s="268" t="s">
        <v>764</v>
      </c>
      <c r="B147" s="256"/>
      <c r="C147" s="256"/>
      <c r="D147" s="256"/>
      <c r="E147" s="256"/>
      <c r="F147" s="256"/>
      <c r="G147" s="158"/>
    </row>
    <row r="148" spans="1:7" ht="97" customHeight="1" x14ac:dyDescent="0.35">
      <c r="A148" s="256"/>
      <c r="B148" s="256"/>
      <c r="C148" s="256"/>
      <c r="D148" s="256"/>
      <c r="E148" s="256"/>
      <c r="F148" s="256"/>
      <c r="G148" s="158"/>
    </row>
    <row r="149" spans="1:7" ht="97" customHeight="1" x14ac:dyDescent="0.35">
      <c r="A149" s="256"/>
      <c r="B149" s="256"/>
      <c r="C149" s="256"/>
      <c r="D149" s="256"/>
      <c r="E149" s="256"/>
      <c r="F149" s="256"/>
      <c r="G149" s="158"/>
    </row>
    <row r="150" spans="1:7" ht="97" customHeight="1" x14ac:dyDescent="0.35">
      <c r="A150" s="181"/>
      <c r="B150" s="181"/>
      <c r="C150" s="181"/>
      <c r="D150" s="181"/>
      <c r="E150" s="181"/>
      <c r="F150" s="181"/>
    </row>
    <row r="151" spans="1:7" ht="50.15" customHeight="1" x14ac:dyDescent="0.35">
      <c r="A151" s="234" t="s">
        <v>798</v>
      </c>
      <c r="B151" s="254"/>
      <c r="C151" s="254"/>
      <c r="D151" s="254"/>
      <c r="E151" s="254"/>
      <c r="F151" s="254"/>
      <c r="G151" s="158"/>
    </row>
    <row r="152" spans="1:7" ht="97" customHeight="1" x14ac:dyDescent="0.35">
      <c r="A152" s="263" t="s">
        <v>764</v>
      </c>
      <c r="B152" s="264"/>
      <c r="C152" s="264"/>
      <c r="D152" s="264"/>
      <c r="E152" s="264"/>
      <c r="F152" s="264"/>
      <c r="G152" s="158"/>
    </row>
    <row r="153" spans="1:7" ht="97" customHeight="1" x14ac:dyDescent="0.35">
      <c r="A153" s="264"/>
      <c r="B153" s="264"/>
      <c r="C153" s="264"/>
      <c r="D153" s="264"/>
      <c r="E153" s="264"/>
      <c r="F153" s="264"/>
      <c r="G153" s="158"/>
    </row>
    <row r="154" spans="1:7" ht="97" customHeight="1" x14ac:dyDescent="0.35">
      <c r="A154" s="264"/>
      <c r="B154" s="264"/>
      <c r="C154" s="264"/>
      <c r="D154" s="264"/>
      <c r="E154" s="264"/>
      <c r="F154" s="264"/>
      <c r="G154" s="158"/>
    </row>
    <row r="155" spans="1:7" ht="97" customHeight="1" x14ac:dyDescent="0.35">
      <c r="A155" s="181"/>
      <c r="B155" s="181"/>
      <c r="C155" s="181"/>
      <c r="D155" s="181"/>
      <c r="E155" s="181"/>
      <c r="F155" s="181"/>
    </row>
    <row r="156" spans="1:7" ht="50.15" customHeight="1" x14ac:dyDescent="0.35">
      <c r="A156" s="234" t="s">
        <v>799</v>
      </c>
      <c r="B156" s="254"/>
      <c r="C156" s="254"/>
      <c r="D156" s="254"/>
      <c r="E156" s="254"/>
      <c r="F156" s="254"/>
      <c r="G156" s="158"/>
    </row>
    <row r="157" spans="1:7" ht="97" customHeight="1" x14ac:dyDescent="0.35">
      <c r="A157" s="252"/>
      <c r="B157" s="252"/>
      <c r="C157" s="252"/>
      <c r="D157" s="252"/>
      <c r="E157" s="252"/>
      <c r="F157" s="252"/>
      <c r="G157" s="158"/>
    </row>
    <row r="158" spans="1:7" ht="97" customHeight="1" x14ac:dyDescent="0.35">
      <c r="A158" s="252"/>
      <c r="B158" s="252"/>
      <c r="C158" s="252"/>
      <c r="D158" s="252"/>
      <c r="E158" s="252"/>
      <c r="F158" s="252"/>
      <c r="G158" s="158"/>
    </row>
    <row r="159" spans="1:7" ht="97" customHeight="1" x14ac:dyDescent="0.35">
      <c r="A159" s="252"/>
      <c r="B159" s="252"/>
      <c r="C159" s="252"/>
      <c r="D159" s="252"/>
      <c r="E159" s="252"/>
      <c r="F159" s="252"/>
      <c r="G159" s="158"/>
    </row>
    <row r="160" spans="1:7" ht="97" customHeight="1" x14ac:dyDescent="0.35">
      <c r="A160" s="181"/>
      <c r="B160" s="181"/>
      <c r="C160" s="181"/>
      <c r="D160" s="181"/>
      <c r="E160" s="181"/>
      <c r="F160" s="181"/>
    </row>
    <row r="161" spans="1:7" ht="50.15" customHeight="1" x14ac:dyDescent="0.35">
      <c r="A161" s="234" t="s">
        <v>800</v>
      </c>
      <c r="B161" s="254"/>
      <c r="C161" s="254"/>
      <c r="D161" s="254"/>
      <c r="E161" s="254"/>
      <c r="F161" s="254"/>
      <c r="G161" s="158"/>
    </row>
    <row r="162" spans="1:7" ht="97" customHeight="1" x14ac:dyDescent="0.35">
      <c r="A162" s="259" t="s">
        <v>801</v>
      </c>
      <c r="B162" s="256"/>
      <c r="C162" s="256"/>
      <c r="D162" s="256"/>
      <c r="E162" s="256"/>
      <c r="F162" s="256"/>
      <c r="G162" s="158"/>
    </row>
    <row r="163" spans="1:7" ht="97" customHeight="1" x14ac:dyDescent="0.35">
      <c r="A163" s="256"/>
      <c r="B163" s="256"/>
      <c r="C163" s="256"/>
      <c r="D163" s="256"/>
      <c r="E163" s="256"/>
      <c r="F163" s="256"/>
      <c r="G163" s="158"/>
    </row>
    <row r="164" spans="1:7" ht="97" customHeight="1" x14ac:dyDescent="0.35">
      <c r="A164" s="256"/>
      <c r="B164" s="256"/>
      <c r="C164" s="256"/>
      <c r="D164" s="256"/>
      <c r="E164" s="256"/>
      <c r="F164" s="256"/>
      <c r="G164" s="158"/>
    </row>
    <row r="165" spans="1:7" ht="97" customHeight="1" x14ac:dyDescent="0.35">
      <c r="A165" s="181"/>
      <c r="B165" s="181"/>
      <c r="C165" s="181"/>
      <c r="D165" s="181"/>
      <c r="E165" s="181"/>
      <c r="F165" s="181"/>
    </row>
    <row r="166" spans="1:7" ht="50.15" customHeight="1" x14ac:dyDescent="0.35">
      <c r="A166" s="234" t="s">
        <v>802</v>
      </c>
      <c r="B166" s="254"/>
      <c r="C166" s="254"/>
      <c r="D166" s="254"/>
      <c r="E166" s="254"/>
      <c r="F166" s="254"/>
      <c r="G166" s="158"/>
    </row>
    <row r="167" spans="1:7" ht="97" customHeight="1" x14ac:dyDescent="0.35">
      <c r="A167" s="265" t="s">
        <v>803</v>
      </c>
      <c r="B167" s="256"/>
      <c r="C167" s="256"/>
      <c r="D167" s="256"/>
      <c r="E167" s="256"/>
      <c r="F167" s="256"/>
      <c r="G167" s="158"/>
    </row>
    <row r="168" spans="1:7" ht="97" customHeight="1" x14ac:dyDescent="0.35">
      <c r="A168" s="256"/>
      <c r="B168" s="256"/>
      <c r="C168" s="256"/>
      <c r="D168" s="256"/>
      <c r="E168" s="256"/>
      <c r="F168" s="256"/>
      <c r="G168" s="158"/>
    </row>
    <row r="169" spans="1:7" ht="97" customHeight="1" x14ac:dyDescent="0.35">
      <c r="A169" s="256"/>
      <c r="B169" s="256"/>
      <c r="C169" s="256"/>
      <c r="D169" s="256"/>
      <c r="E169" s="256"/>
      <c r="F169" s="256"/>
      <c r="G169" s="158"/>
    </row>
    <row r="170" spans="1:7" ht="97" customHeight="1" x14ac:dyDescent="0.35">
      <c r="A170" s="181"/>
      <c r="B170" s="181"/>
      <c r="C170" s="181"/>
      <c r="D170" s="181"/>
      <c r="E170" s="181"/>
      <c r="F170" s="181"/>
    </row>
    <row r="171" spans="1:7" ht="50.15" customHeight="1" x14ac:dyDescent="0.35">
      <c r="A171" s="234" t="s">
        <v>804</v>
      </c>
      <c r="B171" s="254"/>
      <c r="C171" s="254"/>
      <c r="D171" s="254"/>
      <c r="E171" s="254"/>
      <c r="F171" s="254"/>
      <c r="G171" s="158"/>
    </row>
    <row r="172" spans="1:7" ht="97" customHeight="1" x14ac:dyDescent="0.35">
      <c r="A172" s="255" t="s">
        <v>805</v>
      </c>
      <c r="B172" s="256"/>
      <c r="C172" s="256"/>
      <c r="D172" s="256"/>
      <c r="E172" s="256"/>
      <c r="F172" s="256"/>
      <c r="G172" s="158"/>
    </row>
    <row r="173" spans="1:7" ht="97" customHeight="1" x14ac:dyDescent="0.35">
      <c r="A173" s="256"/>
      <c r="B173" s="256"/>
      <c r="C173" s="256"/>
      <c r="D173" s="256"/>
      <c r="E173" s="256"/>
      <c r="F173" s="256"/>
      <c r="G173" s="158"/>
    </row>
    <row r="174" spans="1:7" ht="97" customHeight="1" x14ac:dyDescent="0.35">
      <c r="A174" s="256"/>
      <c r="B174" s="256"/>
      <c r="C174" s="256"/>
      <c r="D174" s="256"/>
      <c r="E174" s="256"/>
      <c r="F174" s="256"/>
      <c r="G174" s="158"/>
    </row>
    <row r="175" spans="1:7" ht="97" customHeight="1" x14ac:dyDescent="0.35">
      <c r="A175" s="181"/>
      <c r="B175" s="181"/>
      <c r="C175" s="181"/>
      <c r="D175" s="181"/>
      <c r="E175" s="181"/>
      <c r="F175" s="181"/>
    </row>
    <row r="176" spans="1:7" ht="50.15" customHeight="1" x14ac:dyDescent="0.35">
      <c r="A176" s="234" t="s">
        <v>806</v>
      </c>
      <c r="B176" s="254"/>
      <c r="C176" s="254"/>
      <c r="D176" s="254"/>
      <c r="E176" s="254"/>
      <c r="F176" s="254"/>
      <c r="G176" s="158"/>
    </row>
    <row r="177" spans="1:7" ht="97" customHeight="1" x14ac:dyDescent="0.35">
      <c r="A177" s="259" t="s">
        <v>807</v>
      </c>
      <c r="B177" s="256"/>
      <c r="C177" s="256"/>
      <c r="D177" s="256"/>
      <c r="E177" s="256"/>
      <c r="F177" s="256"/>
      <c r="G177" s="158"/>
    </row>
    <row r="178" spans="1:7" ht="97" customHeight="1" x14ac:dyDescent="0.35">
      <c r="A178" s="256"/>
      <c r="B178" s="256"/>
      <c r="C178" s="256"/>
      <c r="D178" s="256"/>
      <c r="E178" s="256"/>
      <c r="F178" s="256"/>
      <c r="G178" s="158"/>
    </row>
    <row r="179" spans="1:7" ht="97" customHeight="1" x14ac:dyDescent="0.35">
      <c r="A179" s="256"/>
      <c r="B179" s="256"/>
      <c r="C179" s="256"/>
      <c r="D179" s="256"/>
      <c r="E179" s="256"/>
      <c r="F179" s="256"/>
      <c r="G179" s="158"/>
    </row>
    <row r="180" spans="1:7" ht="97" customHeight="1" x14ac:dyDescent="0.35">
      <c r="A180" s="181"/>
      <c r="B180" s="181"/>
      <c r="C180" s="181"/>
      <c r="D180" s="181"/>
      <c r="E180" s="181"/>
      <c r="F180" s="181"/>
    </row>
    <row r="181" spans="1:7" ht="50.15" customHeight="1" x14ac:dyDescent="0.35">
      <c r="A181" s="234" t="s">
        <v>808</v>
      </c>
      <c r="B181" s="254"/>
      <c r="C181" s="254"/>
      <c r="D181" s="254"/>
      <c r="E181" s="254"/>
      <c r="F181" s="254"/>
      <c r="G181" s="158"/>
    </row>
    <row r="182" spans="1:7" ht="97" customHeight="1" x14ac:dyDescent="0.35">
      <c r="A182" s="265" t="s">
        <v>809</v>
      </c>
      <c r="B182" s="256"/>
      <c r="C182" s="256"/>
      <c r="D182" s="256"/>
      <c r="E182" s="256"/>
      <c r="F182" s="256"/>
      <c r="G182" s="158"/>
    </row>
    <row r="183" spans="1:7" ht="97" customHeight="1" x14ac:dyDescent="0.35">
      <c r="A183" s="256"/>
      <c r="B183" s="256"/>
      <c r="C183" s="256"/>
      <c r="D183" s="256"/>
      <c r="E183" s="256"/>
      <c r="F183" s="256"/>
      <c r="G183" s="158"/>
    </row>
    <row r="184" spans="1:7" ht="97" customHeight="1" x14ac:dyDescent="0.35">
      <c r="A184" s="256"/>
      <c r="B184" s="256"/>
      <c r="C184" s="256"/>
      <c r="D184" s="256"/>
      <c r="E184" s="256"/>
      <c r="F184" s="256"/>
      <c r="G184" s="158"/>
    </row>
    <row r="185" spans="1:7" ht="97" customHeight="1" x14ac:dyDescent="0.35">
      <c r="A185" s="181"/>
      <c r="B185" s="181"/>
      <c r="C185" s="181"/>
      <c r="D185" s="181"/>
      <c r="E185" s="181"/>
      <c r="F185" s="181"/>
    </row>
    <row r="186" spans="1:7" ht="50.15" customHeight="1" x14ac:dyDescent="0.35">
      <c r="A186" s="234" t="s">
        <v>810</v>
      </c>
      <c r="B186" s="254"/>
      <c r="C186" s="254"/>
      <c r="D186" s="254"/>
      <c r="E186" s="254"/>
      <c r="F186" s="254"/>
      <c r="G186" s="158"/>
    </row>
    <row r="187" spans="1:7" ht="97" customHeight="1" x14ac:dyDescent="0.35">
      <c r="A187" s="259" t="s">
        <v>811</v>
      </c>
      <c r="B187" s="256"/>
      <c r="C187" s="256"/>
      <c r="D187" s="256"/>
      <c r="E187" s="256"/>
      <c r="F187" s="256"/>
      <c r="G187" s="158"/>
    </row>
    <row r="188" spans="1:7" ht="97" customHeight="1" x14ac:dyDescent="0.35">
      <c r="A188" s="256"/>
      <c r="B188" s="256"/>
      <c r="C188" s="256"/>
      <c r="D188" s="256"/>
      <c r="E188" s="256"/>
      <c r="F188" s="256"/>
      <c r="G188" s="158"/>
    </row>
    <row r="189" spans="1:7" ht="97" customHeight="1" x14ac:dyDescent="0.35">
      <c r="A189" s="256"/>
      <c r="B189" s="256"/>
      <c r="C189" s="256"/>
      <c r="D189" s="256"/>
      <c r="E189" s="256"/>
      <c r="F189" s="256"/>
      <c r="G189" s="158"/>
    </row>
    <row r="190" spans="1:7" ht="97" customHeight="1" x14ac:dyDescent="0.35">
      <c r="A190" s="181"/>
      <c r="B190" s="181"/>
      <c r="C190" s="181"/>
      <c r="D190" s="181"/>
      <c r="E190" s="181"/>
      <c r="F190" s="181"/>
    </row>
    <row r="191" spans="1:7" ht="50.15" customHeight="1" x14ac:dyDescent="0.35">
      <c r="A191" s="234" t="s">
        <v>812</v>
      </c>
      <c r="B191" s="254"/>
      <c r="C191" s="254"/>
      <c r="D191" s="254"/>
      <c r="E191" s="254"/>
      <c r="F191" s="254"/>
      <c r="G191" s="158"/>
    </row>
    <row r="192" spans="1:7" ht="97" customHeight="1" x14ac:dyDescent="0.35">
      <c r="A192" s="259" t="s">
        <v>813</v>
      </c>
      <c r="B192" s="256"/>
      <c r="C192" s="256"/>
      <c r="D192" s="256"/>
      <c r="E192" s="256"/>
      <c r="F192" s="256"/>
      <c r="G192" s="158"/>
    </row>
    <row r="193" spans="1:7" ht="97" customHeight="1" x14ac:dyDescent="0.35">
      <c r="A193" s="256"/>
      <c r="B193" s="256"/>
      <c r="C193" s="256"/>
      <c r="D193" s="256"/>
      <c r="E193" s="256"/>
      <c r="F193" s="256"/>
      <c r="G193" s="158"/>
    </row>
    <row r="194" spans="1:7" ht="97" customHeight="1" x14ac:dyDescent="0.35">
      <c r="A194" s="256"/>
      <c r="B194" s="256"/>
      <c r="C194" s="256"/>
      <c r="D194" s="256"/>
      <c r="E194" s="256"/>
      <c r="F194" s="256"/>
      <c r="G194" s="158"/>
    </row>
    <row r="195" spans="1:7" ht="97" customHeight="1" x14ac:dyDescent="0.35">
      <c r="A195" s="181"/>
      <c r="B195" s="181"/>
      <c r="C195" s="181"/>
      <c r="D195" s="181"/>
      <c r="E195" s="181"/>
      <c r="F195" s="181"/>
    </row>
    <row r="196" spans="1:7" ht="50.15" customHeight="1" x14ac:dyDescent="0.35">
      <c r="A196" s="234" t="s">
        <v>814</v>
      </c>
      <c r="B196" s="254"/>
      <c r="C196" s="254"/>
      <c r="D196" s="254"/>
      <c r="E196" s="254"/>
      <c r="F196" s="254"/>
      <c r="G196" s="158"/>
    </row>
    <row r="197" spans="1:7" ht="97" customHeight="1" x14ac:dyDescent="0.35">
      <c r="A197" s="270" t="s">
        <v>815</v>
      </c>
      <c r="B197" s="271"/>
      <c r="C197" s="271"/>
      <c r="D197" s="271"/>
      <c r="E197" s="271"/>
      <c r="F197" s="271"/>
      <c r="G197" s="158"/>
    </row>
    <row r="198" spans="1:7" ht="97" customHeight="1" x14ac:dyDescent="0.35">
      <c r="A198" s="271"/>
      <c r="B198" s="271"/>
      <c r="C198" s="271"/>
      <c r="D198" s="271"/>
      <c r="E198" s="271"/>
      <c r="F198" s="271"/>
      <c r="G198" s="158"/>
    </row>
    <row r="199" spans="1:7" ht="97" customHeight="1" x14ac:dyDescent="0.35">
      <c r="A199" s="271"/>
      <c r="B199" s="271"/>
      <c r="C199" s="271"/>
      <c r="D199" s="271"/>
      <c r="E199" s="271"/>
      <c r="F199" s="271"/>
      <c r="G199" s="158"/>
    </row>
    <row r="200" spans="1:7" ht="97" customHeight="1" x14ac:dyDescent="0.35">
      <c r="A200" s="181"/>
      <c r="B200" s="181"/>
      <c r="C200" s="181"/>
      <c r="D200" s="181"/>
      <c r="E200" s="181"/>
      <c r="F200" s="181"/>
    </row>
    <row r="201" spans="1:7" ht="50.15" customHeight="1" x14ac:dyDescent="0.35">
      <c r="A201" s="234" t="s">
        <v>816</v>
      </c>
      <c r="B201" s="254"/>
      <c r="C201" s="254"/>
      <c r="D201" s="254"/>
      <c r="E201" s="254"/>
      <c r="F201" s="254"/>
      <c r="G201" s="158"/>
    </row>
    <row r="202" spans="1:7" ht="97" customHeight="1" x14ac:dyDescent="0.35">
      <c r="A202" s="259" t="s">
        <v>817</v>
      </c>
      <c r="B202" s="256"/>
      <c r="C202" s="256"/>
      <c r="D202" s="256"/>
      <c r="E202" s="256"/>
      <c r="F202" s="256"/>
      <c r="G202" s="158"/>
    </row>
    <row r="203" spans="1:7" ht="97" customHeight="1" x14ac:dyDescent="0.35">
      <c r="A203" s="256"/>
      <c r="B203" s="256"/>
      <c r="C203" s="256"/>
      <c r="D203" s="256"/>
      <c r="E203" s="256"/>
      <c r="F203" s="256"/>
      <c r="G203" s="158"/>
    </row>
    <row r="204" spans="1:7" ht="97" customHeight="1" x14ac:dyDescent="0.35">
      <c r="A204" s="256"/>
      <c r="B204" s="256"/>
      <c r="C204" s="256"/>
      <c r="D204" s="256"/>
      <c r="E204" s="256"/>
      <c r="F204" s="256"/>
      <c r="G204" s="158"/>
    </row>
    <row r="205" spans="1:7" ht="97" customHeight="1" x14ac:dyDescent="0.35">
      <c r="A205" s="181"/>
      <c r="B205" s="181"/>
      <c r="C205" s="181"/>
      <c r="D205" s="181"/>
      <c r="E205" s="181"/>
      <c r="F205" s="181"/>
    </row>
    <row r="206" spans="1:7" ht="50.15" customHeight="1" x14ac:dyDescent="0.35">
      <c r="A206" s="234" t="s">
        <v>818</v>
      </c>
      <c r="B206" s="254"/>
      <c r="C206" s="254"/>
      <c r="D206" s="254"/>
      <c r="E206" s="254"/>
      <c r="F206" s="254"/>
      <c r="G206" s="158"/>
    </row>
    <row r="207" spans="1:7" ht="97" customHeight="1" x14ac:dyDescent="0.35">
      <c r="A207" s="268" t="s">
        <v>764</v>
      </c>
      <c r="B207" s="256"/>
      <c r="C207" s="256"/>
      <c r="D207" s="256"/>
      <c r="E207" s="256"/>
      <c r="F207" s="256"/>
      <c r="G207" s="158"/>
    </row>
    <row r="208" spans="1:7" ht="97" customHeight="1" x14ac:dyDescent="0.35">
      <c r="A208" s="256"/>
      <c r="B208" s="256"/>
      <c r="C208" s="256"/>
      <c r="D208" s="256"/>
      <c r="E208" s="256"/>
      <c r="F208" s="256"/>
      <c r="G208" s="158"/>
    </row>
    <row r="209" spans="1:9" ht="97" customHeight="1" x14ac:dyDescent="0.35">
      <c r="A209" s="256"/>
      <c r="B209" s="256"/>
      <c r="C209" s="256"/>
      <c r="D209" s="256"/>
      <c r="E209" s="256"/>
      <c r="F209" s="256"/>
      <c r="G209" s="158"/>
    </row>
    <row r="210" spans="1:9" ht="97" customHeight="1" x14ac:dyDescent="0.35">
      <c r="A210" s="181"/>
      <c r="B210" s="181"/>
      <c r="C210" s="181"/>
      <c r="D210" s="181"/>
      <c r="E210" s="181"/>
      <c r="F210" s="181"/>
    </row>
    <row r="211" spans="1:9" ht="50.15" customHeight="1" x14ac:dyDescent="0.35">
      <c r="A211" s="234" t="s">
        <v>819</v>
      </c>
      <c r="B211" s="254"/>
      <c r="C211" s="254"/>
      <c r="D211" s="254"/>
      <c r="E211" s="254"/>
      <c r="F211" s="254"/>
      <c r="G211" s="158"/>
    </row>
    <row r="212" spans="1:9" ht="97" customHeight="1" x14ac:dyDescent="0.35">
      <c r="A212" s="259" t="s">
        <v>820</v>
      </c>
      <c r="B212" s="256"/>
      <c r="C212" s="256"/>
      <c r="D212" s="256"/>
      <c r="E212" s="256"/>
      <c r="F212" s="256"/>
      <c r="G212" s="158"/>
    </row>
    <row r="213" spans="1:9" ht="97" customHeight="1" x14ac:dyDescent="0.35">
      <c r="A213" s="256"/>
      <c r="B213" s="256"/>
      <c r="C213" s="256"/>
      <c r="D213" s="256"/>
      <c r="E213" s="256"/>
      <c r="F213" s="256"/>
      <c r="G213" s="158"/>
    </row>
    <row r="214" spans="1:9" ht="97" customHeight="1" x14ac:dyDescent="0.35">
      <c r="A214" s="256"/>
      <c r="B214" s="256"/>
      <c r="C214" s="256"/>
      <c r="D214" s="256"/>
      <c r="E214" s="256"/>
      <c r="F214" s="256"/>
      <c r="G214" s="158"/>
    </row>
    <row r="215" spans="1:9" ht="97" customHeight="1" x14ac:dyDescent="0.35">
      <c r="A215" s="181"/>
      <c r="B215" s="181"/>
      <c r="C215" s="181"/>
      <c r="D215" s="181"/>
      <c r="E215" s="181"/>
      <c r="F215" s="181"/>
    </row>
    <row r="216" spans="1:9" ht="50.15" customHeight="1" x14ac:dyDescent="0.35">
      <c r="A216" s="234" t="s">
        <v>821</v>
      </c>
      <c r="B216" s="254"/>
      <c r="C216" s="254"/>
      <c r="D216" s="254"/>
      <c r="E216" s="254"/>
      <c r="F216" s="254"/>
      <c r="G216" s="158"/>
    </row>
    <row r="217" spans="1:9" ht="97" customHeight="1" x14ac:dyDescent="0.35">
      <c r="A217" s="255" t="s">
        <v>822</v>
      </c>
      <c r="B217" s="256"/>
      <c r="C217" s="256"/>
      <c r="D217" s="256"/>
      <c r="E217" s="256"/>
      <c r="F217" s="256"/>
      <c r="G217" s="158"/>
    </row>
    <row r="218" spans="1:9" ht="97" customHeight="1" x14ac:dyDescent="0.35">
      <c r="A218" s="256"/>
      <c r="B218" s="256"/>
      <c r="C218" s="256"/>
      <c r="D218" s="256"/>
      <c r="E218" s="256"/>
      <c r="F218" s="256"/>
      <c r="G218" s="158"/>
    </row>
    <row r="219" spans="1:9" ht="97" customHeight="1" x14ac:dyDescent="0.35">
      <c r="A219" s="256"/>
      <c r="B219" s="256"/>
      <c r="C219" s="256"/>
      <c r="D219" s="256"/>
      <c r="E219" s="256"/>
      <c r="F219" s="256"/>
      <c r="G219" s="158"/>
    </row>
    <row r="220" spans="1:9" ht="97" customHeight="1" x14ac:dyDescent="0.35">
      <c r="A220" s="181"/>
      <c r="B220" s="181"/>
      <c r="C220" s="181"/>
      <c r="D220" s="181"/>
      <c r="E220" s="181"/>
      <c r="F220" s="181"/>
    </row>
    <row r="221" spans="1:9" ht="50.15" customHeight="1" x14ac:dyDescent="0.35">
      <c r="A221" s="234" t="s">
        <v>823</v>
      </c>
      <c r="B221" s="254"/>
      <c r="C221" s="254"/>
      <c r="D221" s="254"/>
      <c r="E221" s="254"/>
      <c r="F221" s="254"/>
      <c r="G221" s="158"/>
      <c r="I221" s="184"/>
    </row>
    <row r="222" spans="1:9" ht="97" customHeight="1" x14ac:dyDescent="0.35">
      <c r="A222" s="268" t="s">
        <v>764</v>
      </c>
      <c r="B222" s="256"/>
      <c r="C222" s="256"/>
      <c r="D222" s="256"/>
      <c r="E222" s="256"/>
      <c r="F222" s="256"/>
      <c r="G222" s="158"/>
    </row>
    <row r="223" spans="1:9" ht="97" customHeight="1" x14ac:dyDescent="0.35">
      <c r="A223" s="256"/>
      <c r="B223" s="256"/>
      <c r="C223" s="256"/>
      <c r="D223" s="256"/>
      <c r="E223" s="256"/>
      <c r="F223" s="256"/>
      <c r="G223" s="158"/>
    </row>
    <row r="224" spans="1:9" ht="97" customHeight="1" x14ac:dyDescent="0.35">
      <c r="A224" s="256"/>
      <c r="B224" s="256"/>
      <c r="C224" s="256"/>
      <c r="D224" s="256"/>
      <c r="E224" s="256"/>
      <c r="F224" s="256"/>
      <c r="G224" s="158"/>
    </row>
    <row r="225" spans="1:6" ht="97" customHeight="1" x14ac:dyDescent="0.35">
      <c r="A225" s="165"/>
      <c r="B225" s="165"/>
      <c r="C225" s="165"/>
      <c r="D225" s="165"/>
      <c r="E225" s="165"/>
      <c r="F225" s="165"/>
    </row>
  </sheetData>
  <sheetProtection algorithmName="SHA-512" hashValue="qqjoQ1msDnh2G7unpuNu1jA6E558jD7BuG8XkSkHuBegGL3+PVYSjhuFxkuzBALt7dXc/mhU4VU/C71OxfQmIg==" saltValue="KLsyBTplPDMp1+08HhAFew==" spinCount="100000" sheet="1" objects="1" scenarios="1"/>
  <mergeCells count="102">
    <mergeCell ref="A222:F224"/>
    <mergeCell ref="A192:F194"/>
    <mergeCell ref="A197:F199"/>
    <mergeCell ref="A202:F204"/>
    <mergeCell ref="A207:F209"/>
    <mergeCell ref="A212:F214"/>
    <mergeCell ref="A167:F169"/>
    <mergeCell ref="A172:F174"/>
    <mergeCell ref="A177:F179"/>
    <mergeCell ref="A182:F184"/>
    <mergeCell ref="A187:F189"/>
    <mergeCell ref="A142:F144"/>
    <mergeCell ref="A147:F149"/>
    <mergeCell ref="A152:F154"/>
    <mergeCell ref="A157:F159"/>
    <mergeCell ref="A162:F164"/>
    <mergeCell ref="A97:F99"/>
    <mergeCell ref="A102:F104"/>
    <mergeCell ref="A107:F109"/>
    <mergeCell ref="A112:F114"/>
    <mergeCell ref="A117:F119"/>
    <mergeCell ref="A146:F146"/>
    <mergeCell ref="A151:F151"/>
    <mergeCell ref="A156:F156"/>
    <mergeCell ref="A161:F161"/>
    <mergeCell ref="A72:F74"/>
    <mergeCell ref="A77:F79"/>
    <mergeCell ref="A82:F84"/>
    <mergeCell ref="A87:F89"/>
    <mergeCell ref="A92:F94"/>
    <mergeCell ref="A37:F39"/>
    <mergeCell ref="A42:F44"/>
    <mergeCell ref="A47:F49"/>
    <mergeCell ref="A52:F54"/>
    <mergeCell ref="A57:F59"/>
    <mergeCell ref="A51:F51"/>
    <mergeCell ref="A56:F56"/>
    <mergeCell ref="A61:F61"/>
    <mergeCell ref="A66:F66"/>
    <mergeCell ref="A71:F71"/>
    <mergeCell ref="A62:F64"/>
    <mergeCell ref="A67:F69"/>
    <mergeCell ref="A76:F76"/>
    <mergeCell ref="A81:F81"/>
    <mergeCell ref="A86:F86"/>
    <mergeCell ref="A91:F91"/>
    <mergeCell ref="AW28:AY28"/>
    <mergeCell ref="H27:H28"/>
    <mergeCell ref="A1:F1"/>
    <mergeCell ref="H1:M1"/>
    <mergeCell ref="H2:H3"/>
    <mergeCell ref="A6:F6"/>
    <mergeCell ref="H6:M6"/>
    <mergeCell ref="H7:H8"/>
    <mergeCell ref="AU7:AV7"/>
    <mergeCell ref="AU8:AV8"/>
    <mergeCell ref="X22:Z22"/>
    <mergeCell ref="X23:Z23"/>
    <mergeCell ref="AW27:AY27"/>
    <mergeCell ref="A31:F31"/>
    <mergeCell ref="A36:F36"/>
    <mergeCell ref="A41:F41"/>
    <mergeCell ref="A46:F46"/>
    <mergeCell ref="H11:M11"/>
    <mergeCell ref="H12:H13"/>
    <mergeCell ref="A16:F16"/>
    <mergeCell ref="H16:M16"/>
    <mergeCell ref="A11:F11"/>
    <mergeCell ref="H17:H18"/>
    <mergeCell ref="A21:F21"/>
    <mergeCell ref="H21:M21"/>
    <mergeCell ref="H22:H23"/>
    <mergeCell ref="A26:F26"/>
    <mergeCell ref="H26:M26"/>
    <mergeCell ref="A32:F34"/>
    <mergeCell ref="A96:F96"/>
    <mergeCell ref="A126:F126"/>
    <mergeCell ref="A131:F131"/>
    <mergeCell ref="A136:F136"/>
    <mergeCell ref="A141:F141"/>
    <mergeCell ref="A101:F101"/>
    <mergeCell ref="A106:F106"/>
    <mergeCell ref="A111:F111"/>
    <mergeCell ref="A116:F116"/>
    <mergeCell ref="A121:F121"/>
    <mergeCell ref="A122:F124"/>
    <mergeCell ref="A127:F129"/>
    <mergeCell ref="A132:F134"/>
    <mergeCell ref="A137:F139"/>
    <mergeCell ref="A166:F166"/>
    <mergeCell ref="A171:F171"/>
    <mergeCell ref="A176:F176"/>
    <mergeCell ref="A181:F181"/>
    <mergeCell ref="A186:F186"/>
    <mergeCell ref="A191:F191"/>
    <mergeCell ref="A221:F221"/>
    <mergeCell ref="A196:F196"/>
    <mergeCell ref="A201:F201"/>
    <mergeCell ref="A206:F206"/>
    <mergeCell ref="A211:F211"/>
    <mergeCell ref="A216:F216"/>
    <mergeCell ref="A217:F219"/>
  </mergeCells>
  <pageMargins left="0.7" right="0.7" top="0.75" bottom="0.75" header="0.3" footer="0.3"/>
  <pageSetup orientation="portrait" horizontalDpi="200" verticalDpi="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788A1-82FB-46D3-A706-37DA5FA02652}">
  <sheetPr>
    <tabColor rgb="FF00B0F0"/>
  </sheetPr>
  <dimension ref="A1:AX49"/>
  <sheetViews>
    <sheetView zoomScale="60" zoomScaleNormal="60" workbookViewId="0">
      <selection activeCell="O15" sqref="O15"/>
    </sheetView>
  </sheetViews>
  <sheetFormatPr defaultColWidth="17.54296875" defaultRowHeight="97" customHeight="1" x14ac:dyDescent="0.35"/>
  <cols>
    <col min="1" max="13" width="17.54296875" style="142"/>
    <col min="14" max="14" width="17.453125" style="142" customWidth="1"/>
    <col min="15" max="21" width="17.54296875" style="142"/>
    <col min="22" max="22" width="23.453125" style="142" customWidth="1"/>
    <col min="23" max="16384" width="17.54296875" style="142"/>
  </cols>
  <sheetData>
    <row r="1" spans="1:30" s="162" customFormat="1" ht="50.15" customHeight="1" x14ac:dyDescent="0.35">
      <c r="A1" s="234" t="s">
        <v>824</v>
      </c>
      <c r="B1" s="234"/>
      <c r="C1" s="234"/>
      <c r="D1" s="234"/>
      <c r="E1" s="234"/>
      <c r="F1" s="234"/>
      <c r="G1" s="166"/>
      <c r="H1" s="234" t="s">
        <v>825</v>
      </c>
      <c r="I1" s="234"/>
      <c r="J1" s="234"/>
      <c r="K1" s="234"/>
      <c r="L1" s="234"/>
      <c r="M1" s="234"/>
      <c r="N1" s="164"/>
    </row>
    <row r="2" spans="1:30" ht="97" customHeight="1" x14ac:dyDescent="0.35">
      <c r="A2" s="165"/>
      <c r="B2" s="165"/>
      <c r="C2" s="165"/>
      <c r="D2" s="165"/>
      <c r="E2" s="165"/>
      <c r="F2" s="165"/>
      <c r="G2" s="157"/>
      <c r="H2" s="249" t="s">
        <v>826</v>
      </c>
      <c r="I2" s="67" t="s">
        <v>597</v>
      </c>
      <c r="J2" s="91" t="s">
        <v>598</v>
      </c>
      <c r="K2" s="91" t="s">
        <v>599</v>
      </c>
      <c r="L2" s="87" t="s">
        <v>827</v>
      </c>
      <c r="M2" s="186"/>
      <c r="N2" s="149"/>
      <c r="O2" s="149"/>
      <c r="P2" s="149"/>
      <c r="Q2" s="149"/>
      <c r="R2" s="149"/>
      <c r="S2" s="184"/>
      <c r="T2" s="184"/>
    </row>
    <row r="3" spans="1:30" ht="97" customHeight="1" x14ac:dyDescent="0.35">
      <c r="G3" s="157"/>
      <c r="H3" s="249"/>
      <c r="I3" s="67" t="s">
        <v>518</v>
      </c>
      <c r="J3" s="65">
        <v>30</v>
      </c>
      <c r="K3" s="65">
        <v>0</v>
      </c>
      <c r="L3" s="88">
        <f>SUM(J3:K3)</f>
        <v>30</v>
      </c>
      <c r="M3" s="152"/>
      <c r="N3" s="148"/>
    </row>
    <row r="4" spans="1:30" ht="97" customHeight="1" x14ac:dyDescent="0.35">
      <c r="H4" s="165"/>
      <c r="I4" s="165"/>
      <c r="J4" s="165"/>
      <c r="K4" s="165"/>
      <c r="L4" s="165"/>
    </row>
    <row r="5" spans="1:30" ht="97" customHeight="1" x14ac:dyDescent="0.35">
      <c r="A5" s="167"/>
      <c r="B5" s="167"/>
      <c r="C5" s="167"/>
      <c r="D5" s="167"/>
      <c r="E5" s="167"/>
      <c r="F5" s="167"/>
      <c r="H5" s="167"/>
      <c r="I5" s="167"/>
      <c r="J5" s="167"/>
      <c r="K5" s="167"/>
      <c r="L5" s="167"/>
      <c r="M5" s="167"/>
    </row>
    <row r="6" spans="1:30" s="162" customFormat="1" ht="50.15" customHeight="1" x14ac:dyDescent="0.35">
      <c r="A6" s="234" t="s">
        <v>828</v>
      </c>
      <c r="B6" s="234"/>
      <c r="C6" s="234"/>
      <c r="D6" s="234"/>
      <c r="E6" s="234"/>
      <c r="F6" s="234"/>
      <c r="G6" s="166"/>
      <c r="H6" s="250" t="s">
        <v>829</v>
      </c>
      <c r="I6" s="250"/>
      <c r="J6" s="250"/>
      <c r="K6" s="250"/>
      <c r="L6" s="250"/>
      <c r="M6" s="250"/>
      <c r="N6" s="168"/>
      <c r="O6" s="169"/>
      <c r="P6" s="169"/>
      <c r="Q6" s="169"/>
      <c r="R6" s="169"/>
      <c r="S6" s="169"/>
      <c r="T6" s="169"/>
      <c r="U6" s="169"/>
      <c r="V6" s="169"/>
    </row>
    <row r="7" spans="1:30" ht="97" customHeight="1" x14ac:dyDescent="0.35">
      <c r="A7" s="165"/>
      <c r="B7" s="165"/>
      <c r="C7" s="165"/>
      <c r="D7" s="165"/>
      <c r="E7" s="165"/>
      <c r="F7" s="165"/>
      <c r="G7" s="157"/>
      <c r="H7" s="249" t="s">
        <v>830</v>
      </c>
      <c r="I7" s="67" t="s">
        <v>831</v>
      </c>
      <c r="J7" s="91" t="s">
        <v>832</v>
      </c>
      <c r="K7" s="91" t="s">
        <v>833</v>
      </c>
      <c r="L7" s="91" t="s">
        <v>834</v>
      </c>
      <c r="M7" s="91" t="s">
        <v>835</v>
      </c>
      <c r="N7" s="91" t="s">
        <v>836</v>
      </c>
      <c r="O7" s="91" t="s">
        <v>837</v>
      </c>
      <c r="P7" s="91" t="s">
        <v>838</v>
      </c>
      <c r="Q7" s="91" t="s">
        <v>839</v>
      </c>
      <c r="R7" s="91" t="s">
        <v>840</v>
      </c>
      <c r="S7" s="91" t="s">
        <v>841</v>
      </c>
      <c r="T7" s="91" t="s">
        <v>842</v>
      </c>
      <c r="U7" s="91" t="s">
        <v>843</v>
      </c>
      <c r="V7" s="87" t="s">
        <v>539</v>
      </c>
      <c r="W7" s="158"/>
    </row>
    <row r="8" spans="1:30" ht="97" customHeight="1" x14ac:dyDescent="0.35">
      <c r="G8" s="157"/>
      <c r="H8" s="249"/>
      <c r="I8" s="67" t="s">
        <v>518</v>
      </c>
      <c r="J8" s="65">
        <v>1</v>
      </c>
      <c r="K8" s="65">
        <v>10</v>
      </c>
      <c r="L8" s="65">
        <v>5</v>
      </c>
      <c r="M8" s="65">
        <v>1</v>
      </c>
      <c r="N8" s="65">
        <v>5</v>
      </c>
      <c r="O8" s="65">
        <v>1</v>
      </c>
      <c r="P8" s="65">
        <v>2</v>
      </c>
      <c r="Q8" s="65">
        <v>1</v>
      </c>
      <c r="R8" s="65">
        <v>1</v>
      </c>
      <c r="S8" s="65">
        <v>1</v>
      </c>
      <c r="T8" s="65">
        <v>1</v>
      </c>
      <c r="U8" s="65">
        <v>1</v>
      </c>
      <c r="V8" s="89">
        <f>SUM(J8:U8)</f>
        <v>30</v>
      </c>
      <c r="W8" s="158"/>
    </row>
    <row r="9" spans="1:30" ht="97" customHeight="1" x14ac:dyDescent="0.35">
      <c r="H9" s="165"/>
      <c r="I9" s="165"/>
      <c r="J9" s="165"/>
      <c r="K9" s="165"/>
      <c r="L9" s="165"/>
      <c r="M9" s="165"/>
      <c r="N9" s="165"/>
      <c r="O9" s="165"/>
      <c r="P9" s="165"/>
      <c r="Q9" s="165"/>
      <c r="R9" s="165"/>
      <c r="S9" s="165"/>
      <c r="T9" s="185"/>
      <c r="U9" s="185"/>
      <c r="V9" s="185"/>
      <c r="W9" s="149"/>
      <c r="X9" s="149"/>
      <c r="Y9" s="149"/>
    </row>
    <row r="10" spans="1:30" ht="97" customHeight="1" x14ac:dyDescent="0.35">
      <c r="A10" s="167"/>
      <c r="B10" s="167"/>
      <c r="C10" s="167"/>
      <c r="D10" s="167"/>
      <c r="E10" s="167"/>
      <c r="F10" s="167"/>
      <c r="H10" s="167"/>
      <c r="I10" s="167"/>
      <c r="J10" s="167"/>
      <c r="K10" s="167"/>
      <c r="L10" s="167"/>
      <c r="M10" s="167"/>
    </row>
    <row r="11" spans="1:30" s="162" customFormat="1" ht="50.15" customHeight="1" x14ac:dyDescent="0.35">
      <c r="A11" s="234" t="s">
        <v>844</v>
      </c>
      <c r="B11" s="234"/>
      <c r="C11" s="234"/>
      <c r="D11" s="234"/>
      <c r="E11" s="234"/>
      <c r="F11" s="234"/>
      <c r="G11" s="166"/>
      <c r="H11" s="250" t="s">
        <v>845</v>
      </c>
      <c r="I11" s="250"/>
      <c r="J11" s="250"/>
      <c r="K11" s="250"/>
      <c r="L11" s="250"/>
      <c r="M11" s="250"/>
      <c r="N11" s="168"/>
      <c r="O11" s="169"/>
      <c r="P11" s="169"/>
      <c r="Q11" s="169"/>
      <c r="R11" s="169"/>
      <c r="S11" s="169"/>
      <c r="T11" s="169"/>
      <c r="U11" s="169"/>
      <c r="V11" s="169"/>
      <c r="W11" s="169"/>
      <c r="X11" s="169"/>
      <c r="Y11" s="169"/>
      <c r="Z11" s="169"/>
      <c r="AA11" s="169"/>
      <c r="AB11" s="169"/>
      <c r="AC11" s="169"/>
    </row>
    <row r="12" spans="1:30" ht="97" customHeight="1" x14ac:dyDescent="0.35">
      <c r="A12" s="165"/>
      <c r="B12" s="165"/>
      <c r="C12" s="165"/>
      <c r="D12" s="165"/>
      <c r="E12" s="165"/>
      <c r="F12" s="165"/>
      <c r="G12" s="157"/>
      <c r="H12" s="249" t="s">
        <v>846</v>
      </c>
      <c r="I12" s="67" t="s">
        <v>847</v>
      </c>
      <c r="J12" s="91" t="s">
        <v>848</v>
      </c>
      <c r="K12" s="91" t="s">
        <v>849</v>
      </c>
      <c r="L12" s="91" t="s">
        <v>850</v>
      </c>
      <c r="M12" s="91" t="s">
        <v>851</v>
      </c>
      <c r="N12" s="91" t="s">
        <v>852</v>
      </c>
      <c r="O12" s="91" t="s">
        <v>853</v>
      </c>
      <c r="P12" s="91" t="s">
        <v>854</v>
      </c>
      <c r="Q12" s="91" t="s">
        <v>855</v>
      </c>
      <c r="R12" s="93" t="s">
        <v>856</v>
      </c>
      <c r="S12" s="93" t="s">
        <v>857</v>
      </c>
      <c r="T12" s="93" t="s">
        <v>858</v>
      </c>
      <c r="U12" s="93" t="s">
        <v>859</v>
      </c>
      <c r="V12" s="93" t="s">
        <v>860</v>
      </c>
      <c r="W12" s="93" t="s">
        <v>861</v>
      </c>
      <c r="X12" s="93" t="s">
        <v>862</v>
      </c>
      <c r="Y12" s="93" t="s">
        <v>863</v>
      </c>
      <c r="Z12" s="94" t="s">
        <v>539</v>
      </c>
      <c r="AA12" s="251" t="s">
        <v>558</v>
      </c>
      <c r="AB12" s="251"/>
      <c r="AC12" s="251"/>
      <c r="AD12" s="158"/>
    </row>
    <row r="13" spans="1:30" ht="97" customHeight="1" x14ac:dyDescent="0.35">
      <c r="G13" s="157"/>
      <c r="H13" s="249"/>
      <c r="I13" s="67" t="s">
        <v>518</v>
      </c>
      <c r="J13" s="65">
        <v>2</v>
      </c>
      <c r="K13" s="65">
        <v>9</v>
      </c>
      <c r="L13" s="213">
        <v>0</v>
      </c>
      <c r="M13" s="65">
        <v>3</v>
      </c>
      <c r="N13" s="65">
        <v>0</v>
      </c>
      <c r="O13" s="81">
        <v>2</v>
      </c>
      <c r="P13" s="81">
        <v>1</v>
      </c>
      <c r="Q13" s="81">
        <v>4</v>
      </c>
      <c r="R13" s="81">
        <v>0</v>
      </c>
      <c r="S13" s="81">
        <v>1</v>
      </c>
      <c r="T13" s="81">
        <v>0</v>
      </c>
      <c r="U13" s="81">
        <v>0</v>
      </c>
      <c r="V13" s="81">
        <v>0</v>
      </c>
      <c r="W13" s="81">
        <v>0</v>
      </c>
      <c r="X13" s="81">
        <v>1</v>
      </c>
      <c r="Y13" s="81">
        <v>7</v>
      </c>
      <c r="Z13" s="89">
        <f>SUM(J13:Y13)</f>
        <v>30</v>
      </c>
      <c r="AA13" s="259" t="s">
        <v>864</v>
      </c>
      <c r="AB13" s="259"/>
      <c r="AC13" s="259"/>
      <c r="AD13" s="158"/>
    </row>
    <row r="14" spans="1:30" ht="97" customHeight="1" x14ac:dyDescent="0.35">
      <c r="H14" s="165"/>
      <c r="I14" s="165"/>
      <c r="J14" s="165"/>
      <c r="K14" s="165"/>
      <c r="L14" s="165"/>
      <c r="M14" s="165"/>
      <c r="N14" s="165"/>
      <c r="O14" s="165"/>
      <c r="P14" s="165"/>
      <c r="Q14" s="165"/>
      <c r="R14" s="165"/>
      <c r="S14" s="165"/>
      <c r="T14" s="165"/>
      <c r="U14" s="165"/>
      <c r="V14" s="165"/>
      <c r="W14" s="165"/>
      <c r="X14" s="165"/>
      <c r="Y14" s="165"/>
      <c r="Z14" s="165"/>
      <c r="AA14" s="165"/>
      <c r="AB14" s="165"/>
      <c r="AC14" s="165"/>
    </row>
    <row r="15" spans="1:30" ht="97" customHeight="1" x14ac:dyDescent="0.35">
      <c r="A15" s="167"/>
      <c r="B15" s="167"/>
      <c r="C15" s="167"/>
      <c r="D15" s="167"/>
      <c r="E15" s="167"/>
      <c r="F15" s="167"/>
      <c r="H15" s="167"/>
      <c r="I15" s="167"/>
      <c r="J15" s="167"/>
      <c r="K15" s="167"/>
      <c r="L15" s="167"/>
      <c r="M15" s="167"/>
    </row>
    <row r="16" spans="1:30" ht="50.15" customHeight="1" x14ac:dyDescent="0.35">
      <c r="A16" s="234" t="s">
        <v>865</v>
      </c>
      <c r="B16" s="234"/>
      <c r="C16" s="234"/>
      <c r="D16" s="234"/>
      <c r="E16" s="234"/>
      <c r="F16" s="234"/>
      <c r="G16" s="171"/>
      <c r="H16" s="250" t="s">
        <v>866</v>
      </c>
      <c r="I16" s="250"/>
      <c r="J16" s="250"/>
      <c r="K16" s="250"/>
      <c r="L16" s="250"/>
      <c r="M16" s="250"/>
      <c r="N16" s="170"/>
      <c r="O16" s="167"/>
      <c r="P16" s="167"/>
      <c r="Q16" s="167"/>
      <c r="R16" s="167"/>
      <c r="S16" s="167"/>
      <c r="T16" s="167"/>
      <c r="U16" s="167"/>
      <c r="V16" s="167"/>
    </row>
    <row r="17" spans="1:42" ht="97" customHeight="1" x14ac:dyDescent="0.35">
      <c r="A17" s="165"/>
      <c r="B17" s="165"/>
      <c r="C17" s="165"/>
      <c r="D17" s="165"/>
      <c r="E17" s="165"/>
      <c r="F17" s="165"/>
      <c r="G17" s="157"/>
      <c r="H17" s="249" t="s">
        <v>867</v>
      </c>
      <c r="I17" s="67" t="s">
        <v>868</v>
      </c>
      <c r="J17" s="91" t="s">
        <v>869</v>
      </c>
      <c r="K17" s="91" t="s">
        <v>870</v>
      </c>
      <c r="L17" s="91" t="s">
        <v>871</v>
      </c>
      <c r="M17" s="91" t="s">
        <v>872</v>
      </c>
      <c r="N17" s="91" t="s">
        <v>873</v>
      </c>
      <c r="O17" s="91" t="s">
        <v>874</v>
      </c>
      <c r="P17" s="93" t="s">
        <v>875</v>
      </c>
      <c r="Q17" s="93" t="s">
        <v>876</v>
      </c>
      <c r="R17" s="93" t="s">
        <v>863</v>
      </c>
      <c r="S17" s="94" t="s">
        <v>539</v>
      </c>
      <c r="T17" s="251" t="s">
        <v>558</v>
      </c>
      <c r="U17" s="251"/>
      <c r="V17" s="251"/>
      <c r="W17" s="158"/>
    </row>
    <row r="18" spans="1:42" ht="97" customHeight="1" x14ac:dyDescent="0.35">
      <c r="G18" s="157"/>
      <c r="H18" s="249"/>
      <c r="I18" s="67" t="s">
        <v>518</v>
      </c>
      <c r="J18" s="65">
        <v>7</v>
      </c>
      <c r="K18" s="65">
        <v>0</v>
      </c>
      <c r="L18" s="65">
        <v>0</v>
      </c>
      <c r="M18" s="65">
        <v>1</v>
      </c>
      <c r="N18" s="65">
        <v>5</v>
      </c>
      <c r="O18" s="81">
        <v>2</v>
      </c>
      <c r="P18" s="81">
        <v>1</v>
      </c>
      <c r="Q18" s="81">
        <v>5</v>
      </c>
      <c r="R18" s="81">
        <v>14</v>
      </c>
      <c r="S18" s="89">
        <f>SUM(J18:R18)</f>
        <v>35</v>
      </c>
      <c r="T18" s="259" t="s">
        <v>877</v>
      </c>
      <c r="U18" s="259"/>
      <c r="V18" s="259"/>
      <c r="W18" s="158"/>
    </row>
    <row r="19" spans="1:42" ht="97" customHeight="1" x14ac:dyDescent="0.35">
      <c r="H19" s="165"/>
      <c r="I19" s="165"/>
      <c r="J19" s="165"/>
      <c r="K19" s="165"/>
      <c r="L19" s="165"/>
      <c r="M19" s="165"/>
      <c r="N19" s="165"/>
      <c r="O19" s="165"/>
      <c r="P19" s="165"/>
      <c r="Q19" s="165"/>
      <c r="R19" s="165"/>
      <c r="S19" s="165"/>
      <c r="T19" s="165"/>
      <c r="U19" s="165"/>
      <c r="V19" s="165"/>
    </row>
    <row r="20" spans="1:42" ht="97" customHeight="1" x14ac:dyDescent="0.35">
      <c r="A20" s="167"/>
      <c r="B20" s="167"/>
      <c r="C20" s="167"/>
      <c r="D20" s="167"/>
      <c r="E20" s="167"/>
      <c r="F20" s="167"/>
      <c r="H20" s="167"/>
      <c r="I20" s="167"/>
      <c r="J20" s="167"/>
      <c r="K20" s="167"/>
      <c r="L20" s="167"/>
      <c r="M20" s="167"/>
    </row>
    <row r="21" spans="1:42" ht="50.15" customHeight="1" x14ac:dyDescent="0.35">
      <c r="A21" s="234" t="s">
        <v>878</v>
      </c>
      <c r="B21" s="234"/>
      <c r="C21" s="234"/>
      <c r="D21" s="234"/>
      <c r="E21" s="234"/>
      <c r="F21" s="234"/>
      <c r="G21" s="171"/>
      <c r="H21" s="250" t="s">
        <v>879</v>
      </c>
      <c r="I21" s="250"/>
      <c r="J21" s="250"/>
      <c r="K21" s="250"/>
      <c r="L21" s="250"/>
      <c r="M21" s="250"/>
      <c r="N21" s="170"/>
      <c r="O21" s="167"/>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row>
    <row r="22" spans="1:42" ht="97" customHeight="1" x14ac:dyDescent="0.35">
      <c r="A22" s="165"/>
      <c r="B22" s="165"/>
      <c r="C22" s="165"/>
      <c r="D22" s="165"/>
      <c r="E22" s="165"/>
      <c r="F22" s="165"/>
      <c r="G22" s="157"/>
      <c r="H22" s="249" t="s">
        <v>880</v>
      </c>
      <c r="I22" s="67" t="s">
        <v>881</v>
      </c>
      <c r="J22" s="91" t="s">
        <v>882</v>
      </c>
      <c r="K22" s="90" t="s">
        <v>883</v>
      </c>
      <c r="L22" s="91" t="s">
        <v>884</v>
      </c>
      <c r="M22" s="91" t="s">
        <v>885</v>
      </c>
      <c r="N22" s="91" t="s">
        <v>886</v>
      </c>
      <c r="O22" s="91" t="s">
        <v>887</v>
      </c>
      <c r="P22" s="91" t="s">
        <v>888</v>
      </c>
      <c r="Q22" s="91" t="s">
        <v>889</v>
      </c>
      <c r="R22" s="91" t="s">
        <v>890</v>
      </c>
      <c r="S22" s="91" t="s">
        <v>891</v>
      </c>
      <c r="T22" s="91" t="s">
        <v>892</v>
      </c>
      <c r="U22" s="91" t="s">
        <v>893</v>
      </c>
      <c r="V22" s="91" t="s">
        <v>894</v>
      </c>
      <c r="W22" s="91" t="s">
        <v>895</v>
      </c>
      <c r="X22" s="91" t="s">
        <v>896</v>
      </c>
      <c r="Y22" s="91" t="s">
        <v>897</v>
      </c>
      <c r="Z22" s="91" t="s">
        <v>898</v>
      </c>
      <c r="AA22" s="91" t="s">
        <v>899</v>
      </c>
      <c r="AB22" s="91" t="s">
        <v>900</v>
      </c>
      <c r="AC22" s="91" t="s">
        <v>901</v>
      </c>
      <c r="AD22" s="91" t="s">
        <v>902</v>
      </c>
      <c r="AE22" s="91" t="s">
        <v>903</v>
      </c>
      <c r="AF22" s="91" t="s">
        <v>904</v>
      </c>
      <c r="AG22" s="91" t="s">
        <v>905</v>
      </c>
      <c r="AH22" s="91" t="s">
        <v>906</v>
      </c>
      <c r="AI22" s="91" t="s">
        <v>907</v>
      </c>
      <c r="AJ22" s="91" t="s">
        <v>908</v>
      </c>
      <c r="AK22" s="91" t="s">
        <v>909</v>
      </c>
      <c r="AL22" s="91" t="s">
        <v>910</v>
      </c>
      <c r="AM22" s="91" t="s">
        <v>911</v>
      </c>
      <c r="AN22" s="91" t="s">
        <v>912</v>
      </c>
      <c r="AO22" s="87" t="s">
        <v>539</v>
      </c>
      <c r="AP22" s="158"/>
    </row>
    <row r="23" spans="1:42" ht="97" customHeight="1" x14ac:dyDescent="0.35">
      <c r="G23" s="157"/>
      <c r="H23" s="249"/>
      <c r="I23" s="67" t="s">
        <v>518</v>
      </c>
      <c r="J23" s="65">
        <v>4</v>
      </c>
      <c r="K23" s="65">
        <v>13</v>
      </c>
      <c r="L23" s="65">
        <v>12</v>
      </c>
      <c r="M23" s="65">
        <v>4</v>
      </c>
      <c r="N23" s="65">
        <v>7</v>
      </c>
      <c r="O23" s="81">
        <v>13</v>
      </c>
      <c r="P23" s="81">
        <v>30</v>
      </c>
      <c r="Q23" s="81">
        <v>3</v>
      </c>
      <c r="R23" s="81">
        <v>7</v>
      </c>
      <c r="S23" s="81">
        <v>10</v>
      </c>
      <c r="T23" s="81">
        <v>5</v>
      </c>
      <c r="U23" s="81">
        <v>8</v>
      </c>
      <c r="V23" s="81">
        <v>4</v>
      </c>
      <c r="W23" s="81">
        <v>3</v>
      </c>
      <c r="X23" s="81">
        <v>10</v>
      </c>
      <c r="Y23" s="81">
        <v>4</v>
      </c>
      <c r="Z23" s="81">
        <v>7</v>
      </c>
      <c r="AA23" s="81">
        <v>8</v>
      </c>
      <c r="AB23" s="81">
        <v>3</v>
      </c>
      <c r="AC23" s="81">
        <v>4</v>
      </c>
      <c r="AD23" s="81">
        <v>6</v>
      </c>
      <c r="AE23" s="81">
        <v>11</v>
      </c>
      <c r="AF23" s="81">
        <v>3</v>
      </c>
      <c r="AG23" s="81">
        <v>3</v>
      </c>
      <c r="AH23" s="81">
        <v>4</v>
      </c>
      <c r="AI23" s="81">
        <v>4</v>
      </c>
      <c r="AJ23" s="81">
        <v>5</v>
      </c>
      <c r="AK23" s="81">
        <v>15</v>
      </c>
      <c r="AL23" s="81">
        <v>9</v>
      </c>
      <c r="AM23" s="81">
        <v>9</v>
      </c>
      <c r="AN23" s="81">
        <v>6</v>
      </c>
      <c r="AO23" s="89">
        <f>SUM(J23:AN23)</f>
        <v>234</v>
      </c>
      <c r="AP23" s="158"/>
    </row>
    <row r="24" spans="1:42" ht="97" customHeight="1" x14ac:dyDescent="0.3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165"/>
      <c r="AH24" s="165"/>
      <c r="AI24" s="165"/>
      <c r="AJ24" s="165"/>
      <c r="AK24" s="165"/>
      <c r="AL24" s="165"/>
      <c r="AM24" s="165"/>
      <c r="AN24" s="165"/>
      <c r="AO24" s="165"/>
    </row>
    <row r="25" spans="1:42" ht="97" customHeight="1" x14ac:dyDescent="0.35">
      <c r="A25" s="167"/>
      <c r="B25" s="167"/>
      <c r="C25" s="167"/>
      <c r="D25" s="167"/>
      <c r="E25" s="167"/>
      <c r="F25" s="167"/>
      <c r="H25" s="167"/>
      <c r="I25" s="167"/>
      <c r="J25" s="167"/>
      <c r="K25" s="167"/>
      <c r="L25" s="167"/>
      <c r="M25" s="167"/>
    </row>
    <row r="26" spans="1:42" ht="50.15" customHeight="1" x14ac:dyDescent="0.35">
      <c r="A26" s="234" t="s">
        <v>913</v>
      </c>
      <c r="B26" s="234"/>
      <c r="C26" s="234"/>
      <c r="D26" s="234"/>
      <c r="E26" s="234"/>
      <c r="F26" s="234"/>
      <c r="G26" s="171"/>
      <c r="H26" s="250" t="s">
        <v>914</v>
      </c>
      <c r="I26" s="250"/>
      <c r="J26" s="250"/>
      <c r="K26" s="250"/>
      <c r="L26" s="250"/>
      <c r="M26" s="250"/>
      <c r="N26" s="170"/>
    </row>
    <row r="27" spans="1:42" ht="97" customHeight="1" x14ac:dyDescent="0.35">
      <c r="A27" s="165"/>
      <c r="B27" s="165"/>
      <c r="C27" s="165"/>
      <c r="D27" s="165"/>
      <c r="E27" s="165"/>
      <c r="F27" s="165"/>
      <c r="G27" s="157"/>
      <c r="H27" s="249" t="s">
        <v>915</v>
      </c>
      <c r="I27" s="67" t="s">
        <v>916</v>
      </c>
      <c r="J27" s="91" t="s">
        <v>917</v>
      </c>
      <c r="K27" s="91" t="s">
        <v>918</v>
      </c>
      <c r="L27" s="91" t="s">
        <v>919</v>
      </c>
      <c r="M27" s="91" t="s">
        <v>920</v>
      </c>
      <c r="N27" s="87" t="s">
        <v>539</v>
      </c>
      <c r="O27" s="173"/>
      <c r="P27" s="149"/>
      <c r="Q27" s="149"/>
    </row>
    <row r="28" spans="1:42" ht="97" customHeight="1" x14ac:dyDescent="0.35">
      <c r="G28" s="157"/>
      <c r="H28" s="249"/>
      <c r="I28" s="67" t="s">
        <v>518</v>
      </c>
      <c r="J28" s="65">
        <v>2</v>
      </c>
      <c r="K28" s="65">
        <v>9</v>
      </c>
      <c r="L28" s="65">
        <v>7</v>
      </c>
      <c r="M28" s="65">
        <v>12</v>
      </c>
      <c r="N28" s="88">
        <f>SUM(J28:M28)</f>
        <v>30</v>
      </c>
      <c r="O28" s="158"/>
    </row>
    <row r="29" spans="1:42" ht="97" customHeight="1" x14ac:dyDescent="0.35">
      <c r="H29" s="165"/>
      <c r="I29" s="165"/>
      <c r="J29" s="165"/>
      <c r="K29" s="165"/>
      <c r="L29" s="165"/>
      <c r="M29" s="165"/>
      <c r="N29" s="165"/>
    </row>
    <row r="30" spans="1:42" ht="97" customHeight="1" x14ac:dyDescent="0.35">
      <c r="A30" s="167"/>
      <c r="B30" s="167"/>
      <c r="C30" s="167"/>
      <c r="D30" s="167"/>
      <c r="E30" s="167"/>
      <c r="F30" s="167"/>
      <c r="H30" s="167"/>
      <c r="I30" s="167"/>
      <c r="J30" s="167"/>
      <c r="K30" s="167"/>
      <c r="L30" s="167"/>
      <c r="M30" s="167"/>
    </row>
    <row r="31" spans="1:42" ht="50.15" customHeight="1" x14ac:dyDescent="0.35">
      <c r="A31" s="234" t="s">
        <v>921</v>
      </c>
      <c r="B31" s="234"/>
      <c r="C31" s="234"/>
      <c r="D31" s="234"/>
      <c r="E31" s="234"/>
      <c r="F31" s="234"/>
      <c r="G31" s="171"/>
      <c r="H31" s="250" t="s">
        <v>922</v>
      </c>
      <c r="I31" s="250"/>
      <c r="J31" s="250"/>
      <c r="K31" s="250"/>
      <c r="L31" s="250"/>
      <c r="M31" s="250"/>
      <c r="N31" s="170"/>
      <c r="O31" s="167"/>
      <c r="P31" s="167"/>
      <c r="Q31" s="167"/>
      <c r="R31" s="167"/>
      <c r="S31" s="167"/>
      <c r="T31" s="167"/>
      <c r="U31" s="167"/>
      <c r="V31" s="167"/>
      <c r="W31" s="167"/>
      <c r="X31" s="167"/>
      <c r="Y31" s="167"/>
      <c r="Z31" s="167"/>
      <c r="AA31" s="167"/>
      <c r="AB31" s="167"/>
      <c r="AC31" s="167"/>
    </row>
    <row r="32" spans="1:42" ht="97" customHeight="1" x14ac:dyDescent="0.35">
      <c r="A32" s="165"/>
      <c r="B32" s="165"/>
      <c r="C32" s="165"/>
      <c r="D32" s="165"/>
      <c r="E32" s="165"/>
      <c r="F32" s="165"/>
      <c r="G32" s="157"/>
      <c r="H32" s="249" t="s">
        <v>923</v>
      </c>
      <c r="I32" s="67" t="s">
        <v>622</v>
      </c>
      <c r="J32" s="91" t="s">
        <v>623</v>
      </c>
      <c r="K32" s="91" t="s">
        <v>624</v>
      </c>
      <c r="L32" s="91" t="s">
        <v>625</v>
      </c>
      <c r="M32" s="91" t="s">
        <v>626</v>
      </c>
      <c r="N32" s="91" t="s">
        <v>627</v>
      </c>
      <c r="O32" s="91" t="s">
        <v>628</v>
      </c>
      <c r="P32" s="91" t="s">
        <v>629</v>
      </c>
      <c r="Q32" s="91" t="s">
        <v>630</v>
      </c>
      <c r="R32" s="91" t="s">
        <v>631</v>
      </c>
      <c r="S32" s="91" t="s">
        <v>632</v>
      </c>
      <c r="T32" s="91" t="s">
        <v>633</v>
      </c>
      <c r="U32" s="91" t="s">
        <v>634</v>
      </c>
      <c r="V32" s="91" t="s">
        <v>635</v>
      </c>
      <c r="W32" s="91" t="s">
        <v>636</v>
      </c>
      <c r="X32" s="91" t="s">
        <v>637</v>
      </c>
      <c r="Y32" s="91" t="s">
        <v>863</v>
      </c>
      <c r="Z32" s="91" t="s">
        <v>539</v>
      </c>
      <c r="AA32" s="272" t="s">
        <v>558</v>
      </c>
      <c r="AB32" s="272"/>
      <c r="AC32" s="272"/>
      <c r="AD32" s="158"/>
    </row>
    <row r="33" spans="1:50" ht="97" customHeight="1" x14ac:dyDescent="0.35">
      <c r="G33" s="157"/>
      <c r="H33" s="249"/>
      <c r="I33" s="67" t="s">
        <v>518</v>
      </c>
      <c r="J33" s="65">
        <v>16</v>
      </c>
      <c r="K33" s="65">
        <v>9</v>
      </c>
      <c r="L33" s="65">
        <v>5</v>
      </c>
      <c r="M33" s="65">
        <v>6</v>
      </c>
      <c r="N33" s="65">
        <v>7</v>
      </c>
      <c r="O33" s="81">
        <v>1</v>
      </c>
      <c r="P33" s="81">
        <v>7</v>
      </c>
      <c r="Q33" s="81">
        <v>2</v>
      </c>
      <c r="R33" s="81">
        <v>0</v>
      </c>
      <c r="S33" s="81">
        <v>2</v>
      </c>
      <c r="T33" s="81">
        <v>19</v>
      </c>
      <c r="U33" s="81">
        <v>9</v>
      </c>
      <c r="V33" s="81">
        <v>1</v>
      </c>
      <c r="W33" s="81">
        <v>2</v>
      </c>
      <c r="X33" s="81">
        <v>2</v>
      </c>
      <c r="Y33" s="81">
        <v>1</v>
      </c>
      <c r="Z33" s="89">
        <f>SUM(J33:Y33)</f>
        <v>89</v>
      </c>
      <c r="AA33" s="259" t="s">
        <v>924</v>
      </c>
      <c r="AB33" s="259"/>
      <c r="AC33" s="259"/>
      <c r="AD33" s="158"/>
    </row>
    <row r="34" spans="1:50" ht="97" customHeight="1" x14ac:dyDescent="0.35">
      <c r="H34" s="165"/>
      <c r="I34" s="165"/>
      <c r="J34" s="165"/>
      <c r="K34" s="165"/>
      <c r="L34" s="165"/>
      <c r="M34" s="165"/>
      <c r="N34" s="165"/>
      <c r="O34" s="165"/>
      <c r="P34" s="165"/>
      <c r="Q34" s="165"/>
      <c r="R34" s="165"/>
      <c r="S34" s="165"/>
      <c r="T34" s="165"/>
      <c r="U34" s="165"/>
      <c r="V34" s="165"/>
      <c r="W34" s="165"/>
      <c r="X34" s="165"/>
      <c r="Y34" s="165"/>
      <c r="Z34" s="165"/>
      <c r="AA34" s="165"/>
      <c r="AB34" s="165"/>
      <c r="AC34" s="165"/>
    </row>
    <row r="35" spans="1:50" ht="97" customHeight="1" x14ac:dyDescent="0.35">
      <c r="A35" s="167"/>
      <c r="B35" s="167"/>
      <c r="C35" s="167"/>
      <c r="D35" s="167"/>
      <c r="E35" s="167"/>
      <c r="F35" s="167"/>
      <c r="H35" s="167"/>
      <c r="I35" s="167"/>
      <c r="J35" s="167"/>
      <c r="K35" s="167"/>
      <c r="L35" s="167"/>
      <c r="M35" s="167"/>
    </row>
    <row r="36" spans="1:50" ht="50.15" customHeight="1" x14ac:dyDescent="0.35">
      <c r="A36" s="234" t="s">
        <v>925</v>
      </c>
      <c r="B36" s="234"/>
      <c r="C36" s="234"/>
      <c r="D36" s="234"/>
      <c r="E36" s="234"/>
      <c r="F36" s="234"/>
      <c r="G36" s="171"/>
      <c r="H36" s="250" t="s">
        <v>639</v>
      </c>
      <c r="I36" s="250"/>
      <c r="J36" s="250"/>
      <c r="K36" s="250"/>
      <c r="L36" s="250"/>
      <c r="M36" s="250"/>
      <c r="N36" s="170"/>
      <c r="O36" s="167"/>
      <c r="P36" s="167"/>
      <c r="Q36" s="167"/>
      <c r="R36" s="167"/>
      <c r="S36" s="167"/>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7"/>
      <c r="AU36" s="167"/>
      <c r="AV36" s="167"/>
      <c r="AW36" s="167"/>
    </row>
    <row r="37" spans="1:50" ht="97" customHeight="1" x14ac:dyDescent="0.35">
      <c r="A37" s="165"/>
      <c r="B37" s="165"/>
      <c r="C37" s="165"/>
      <c r="D37" s="165"/>
      <c r="E37" s="165"/>
      <c r="F37" s="165"/>
      <c r="G37" s="157"/>
      <c r="H37" s="249" t="s">
        <v>926</v>
      </c>
      <c r="I37" s="67" t="s">
        <v>622</v>
      </c>
      <c r="J37" s="91" t="s">
        <v>641</v>
      </c>
      <c r="K37" s="91" t="s">
        <v>642</v>
      </c>
      <c r="L37" s="91" t="s">
        <v>643</v>
      </c>
      <c r="M37" s="91" t="s">
        <v>644</v>
      </c>
      <c r="N37" s="91" t="s">
        <v>645</v>
      </c>
      <c r="O37" s="91" t="s">
        <v>646</v>
      </c>
      <c r="P37" s="91" t="s">
        <v>647</v>
      </c>
      <c r="Q37" s="91" t="s">
        <v>648</v>
      </c>
      <c r="R37" s="91" t="s">
        <v>649</v>
      </c>
      <c r="S37" s="91" t="s">
        <v>650</v>
      </c>
      <c r="T37" s="91" t="s">
        <v>651</v>
      </c>
      <c r="U37" s="91" t="s">
        <v>652</v>
      </c>
      <c r="V37" s="91" t="s">
        <v>653</v>
      </c>
      <c r="W37" s="91" t="s">
        <v>654</v>
      </c>
      <c r="X37" s="91" t="s">
        <v>655</v>
      </c>
      <c r="Y37" s="91" t="s">
        <v>656</v>
      </c>
      <c r="Z37" s="91" t="s">
        <v>657</v>
      </c>
      <c r="AA37" s="91" t="s">
        <v>658</v>
      </c>
      <c r="AB37" s="91" t="s">
        <v>659</v>
      </c>
      <c r="AC37" s="91" t="s">
        <v>660</v>
      </c>
      <c r="AD37" s="91" t="s">
        <v>661</v>
      </c>
      <c r="AE37" s="91" t="s">
        <v>662</v>
      </c>
      <c r="AF37" s="91" t="s">
        <v>663</v>
      </c>
      <c r="AG37" s="91" t="s">
        <v>664</v>
      </c>
      <c r="AH37" s="91" t="s">
        <v>665</v>
      </c>
      <c r="AI37" s="91" t="s">
        <v>666</v>
      </c>
      <c r="AJ37" s="91" t="s">
        <v>667</v>
      </c>
      <c r="AK37" s="91" t="s">
        <v>668</v>
      </c>
      <c r="AL37" s="91" t="s">
        <v>669</v>
      </c>
      <c r="AM37" s="91" t="s">
        <v>670</v>
      </c>
      <c r="AN37" s="91" t="s">
        <v>671</v>
      </c>
      <c r="AO37" s="91" t="s">
        <v>672</v>
      </c>
      <c r="AP37" s="91" t="s">
        <v>673</v>
      </c>
      <c r="AQ37" s="91" t="s">
        <v>674</v>
      </c>
      <c r="AR37" s="91" t="s">
        <v>927</v>
      </c>
      <c r="AS37" s="91" t="s">
        <v>863</v>
      </c>
      <c r="AT37" s="87" t="s">
        <v>539</v>
      </c>
      <c r="AU37" s="251" t="s">
        <v>558</v>
      </c>
      <c r="AV37" s="251"/>
      <c r="AW37" s="251"/>
      <c r="AX37" s="158"/>
    </row>
    <row r="38" spans="1:50" ht="97" customHeight="1" x14ac:dyDescent="0.35">
      <c r="G38" s="157"/>
      <c r="H38" s="249"/>
      <c r="I38" s="67" t="s">
        <v>518</v>
      </c>
      <c r="J38" s="65">
        <v>4</v>
      </c>
      <c r="K38" s="65">
        <v>2</v>
      </c>
      <c r="L38" s="65">
        <v>1</v>
      </c>
      <c r="M38" s="65">
        <v>5</v>
      </c>
      <c r="N38" s="65">
        <v>0</v>
      </c>
      <c r="O38" s="81">
        <v>4</v>
      </c>
      <c r="P38" s="81">
        <v>1</v>
      </c>
      <c r="Q38" s="81">
        <v>10</v>
      </c>
      <c r="R38" s="81">
        <v>1</v>
      </c>
      <c r="S38" s="81">
        <v>6</v>
      </c>
      <c r="T38" s="81"/>
      <c r="U38" s="81">
        <v>0</v>
      </c>
      <c r="V38" s="81">
        <v>0</v>
      </c>
      <c r="W38" s="81">
        <v>0</v>
      </c>
      <c r="X38" s="81">
        <v>1</v>
      </c>
      <c r="Y38" s="81">
        <v>1</v>
      </c>
      <c r="Z38" s="81">
        <v>1</v>
      </c>
      <c r="AA38" s="81">
        <v>1</v>
      </c>
      <c r="AB38" s="81">
        <v>0</v>
      </c>
      <c r="AC38" s="81">
        <v>1</v>
      </c>
      <c r="AD38" s="81">
        <v>10</v>
      </c>
      <c r="AE38" s="81">
        <v>0</v>
      </c>
      <c r="AF38" s="81">
        <v>1</v>
      </c>
      <c r="AG38" s="81">
        <v>1</v>
      </c>
      <c r="AH38" s="81">
        <v>0</v>
      </c>
      <c r="AI38" s="81">
        <v>2</v>
      </c>
      <c r="AJ38" s="81">
        <v>0</v>
      </c>
      <c r="AK38" s="81">
        <v>1</v>
      </c>
      <c r="AL38" s="81">
        <v>3</v>
      </c>
      <c r="AM38" s="81">
        <v>6</v>
      </c>
      <c r="AN38" s="81">
        <v>5</v>
      </c>
      <c r="AO38" s="81">
        <v>4</v>
      </c>
      <c r="AP38" s="81">
        <v>3</v>
      </c>
      <c r="AQ38" s="81">
        <v>11</v>
      </c>
      <c r="AR38" s="81">
        <v>0</v>
      </c>
      <c r="AS38" s="81">
        <v>4</v>
      </c>
      <c r="AT38" s="89">
        <f>SUM(J38:AS38)</f>
        <v>90</v>
      </c>
      <c r="AU38" s="259" t="s">
        <v>928</v>
      </c>
      <c r="AV38" s="259"/>
      <c r="AW38" s="259"/>
      <c r="AX38" s="158"/>
    </row>
    <row r="39" spans="1:50" ht="97" customHeight="1" x14ac:dyDescent="0.3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c r="AG39" s="165"/>
      <c r="AH39" s="165"/>
      <c r="AI39" s="165"/>
      <c r="AJ39" s="165"/>
      <c r="AK39" s="165"/>
      <c r="AL39" s="165"/>
      <c r="AM39" s="165"/>
      <c r="AN39" s="165"/>
      <c r="AO39" s="165"/>
      <c r="AP39" s="165"/>
      <c r="AQ39" s="165"/>
      <c r="AR39" s="165"/>
      <c r="AS39" s="165"/>
      <c r="AT39" s="165"/>
      <c r="AU39" s="165"/>
      <c r="AV39" s="165"/>
      <c r="AW39" s="165"/>
    </row>
    <row r="40" spans="1:50" ht="97" customHeight="1" x14ac:dyDescent="0.35">
      <c r="A40" s="167"/>
      <c r="B40" s="167"/>
      <c r="C40" s="167"/>
      <c r="D40" s="167"/>
      <c r="E40" s="167"/>
      <c r="F40" s="167"/>
      <c r="H40" s="167"/>
      <c r="I40" s="167"/>
      <c r="J40" s="167"/>
      <c r="K40" s="167"/>
      <c r="L40" s="167"/>
      <c r="M40" s="167"/>
    </row>
    <row r="41" spans="1:50" ht="50.15" customHeight="1" x14ac:dyDescent="0.35">
      <c r="A41" s="234" t="s">
        <v>929</v>
      </c>
      <c r="B41" s="234"/>
      <c r="C41" s="234"/>
      <c r="D41" s="234"/>
      <c r="E41" s="234"/>
      <c r="F41" s="234"/>
      <c r="G41" s="171"/>
      <c r="H41" s="250" t="s">
        <v>930</v>
      </c>
      <c r="I41" s="250"/>
      <c r="J41" s="250"/>
      <c r="K41" s="250"/>
      <c r="L41" s="250"/>
      <c r="M41" s="250"/>
      <c r="N41" s="170"/>
      <c r="O41" s="167"/>
      <c r="P41" s="167"/>
      <c r="Q41" s="167"/>
      <c r="R41" s="167"/>
      <c r="S41" s="167"/>
      <c r="T41" s="167"/>
      <c r="U41" s="167"/>
      <c r="V41" s="167"/>
      <c r="W41" s="167"/>
      <c r="X41" s="167"/>
      <c r="Y41" s="167"/>
      <c r="Z41" s="167"/>
      <c r="AA41" s="167"/>
      <c r="AB41" s="167"/>
    </row>
    <row r="42" spans="1:50" ht="97" customHeight="1" x14ac:dyDescent="0.35">
      <c r="A42" s="165"/>
      <c r="B42" s="165"/>
      <c r="C42" s="165"/>
      <c r="D42" s="165"/>
      <c r="E42" s="165"/>
      <c r="F42" s="165"/>
      <c r="G42" s="157"/>
      <c r="H42" s="249" t="s">
        <v>931</v>
      </c>
      <c r="I42" s="67" t="s">
        <v>932</v>
      </c>
      <c r="J42" s="91" t="s">
        <v>933</v>
      </c>
      <c r="K42" s="91" t="s">
        <v>934</v>
      </c>
      <c r="L42" s="91" t="s">
        <v>935</v>
      </c>
      <c r="M42" s="91" t="s">
        <v>936</v>
      </c>
      <c r="N42" s="91" t="s">
        <v>937</v>
      </c>
      <c r="O42" s="91" t="s">
        <v>938</v>
      </c>
      <c r="P42" s="91" t="s">
        <v>939</v>
      </c>
      <c r="Q42" s="91" t="s">
        <v>198</v>
      </c>
      <c r="R42" s="91" t="s">
        <v>869</v>
      </c>
      <c r="S42" s="91" t="s">
        <v>940</v>
      </c>
      <c r="T42" s="91" t="s">
        <v>941</v>
      </c>
      <c r="U42" s="91" t="s">
        <v>942</v>
      </c>
      <c r="V42" s="91" t="s">
        <v>943</v>
      </c>
      <c r="W42" s="91" t="s">
        <v>863</v>
      </c>
      <c r="X42" s="91" t="s">
        <v>944</v>
      </c>
      <c r="Y42" s="94" t="s">
        <v>539</v>
      </c>
      <c r="Z42" s="251" t="s">
        <v>558</v>
      </c>
      <c r="AA42" s="251"/>
      <c r="AB42" s="251"/>
      <c r="AC42" s="158"/>
    </row>
    <row r="43" spans="1:50" ht="97" customHeight="1" x14ac:dyDescent="0.35">
      <c r="G43" s="157"/>
      <c r="H43" s="249"/>
      <c r="I43" s="67" t="s">
        <v>518</v>
      </c>
      <c r="J43" s="65">
        <v>16</v>
      </c>
      <c r="K43" s="65">
        <v>5</v>
      </c>
      <c r="L43" s="65">
        <v>19</v>
      </c>
      <c r="M43" s="65">
        <v>14</v>
      </c>
      <c r="N43" s="65">
        <v>14</v>
      </c>
      <c r="O43" s="81">
        <v>3</v>
      </c>
      <c r="P43" s="81">
        <v>0</v>
      </c>
      <c r="Q43" s="81">
        <v>8</v>
      </c>
      <c r="R43" s="81">
        <v>7</v>
      </c>
      <c r="S43" s="81">
        <v>4</v>
      </c>
      <c r="T43" s="81">
        <v>9</v>
      </c>
      <c r="U43" s="81">
        <v>11</v>
      </c>
      <c r="V43" s="81">
        <v>5</v>
      </c>
      <c r="W43" s="81">
        <v>2</v>
      </c>
      <c r="X43" s="81">
        <v>0</v>
      </c>
      <c r="Y43" s="89">
        <f>SUM(J43:X43)</f>
        <v>117</v>
      </c>
      <c r="Z43" s="259" t="s">
        <v>945</v>
      </c>
      <c r="AA43" s="259"/>
      <c r="AB43" s="259"/>
      <c r="AC43" s="158"/>
    </row>
    <row r="44" spans="1:50" ht="97" customHeight="1" x14ac:dyDescent="0.35">
      <c r="H44" s="165"/>
      <c r="I44" s="165"/>
      <c r="J44" s="165"/>
      <c r="K44" s="165"/>
      <c r="L44" s="165"/>
      <c r="M44" s="165"/>
      <c r="N44" s="165"/>
      <c r="O44" s="165"/>
      <c r="P44" s="165"/>
      <c r="Q44" s="165"/>
      <c r="R44" s="165"/>
      <c r="S44" s="165"/>
      <c r="T44" s="165"/>
      <c r="U44" s="165"/>
      <c r="V44" s="165"/>
      <c r="W44" s="165"/>
      <c r="X44" s="165"/>
      <c r="Y44" s="165"/>
      <c r="Z44" s="165"/>
      <c r="AA44" s="165"/>
      <c r="AB44" s="165"/>
    </row>
    <row r="45" spans="1:50" ht="97" customHeight="1" x14ac:dyDescent="0.35">
      <c r="A45" s="167"/>
      <c r="B45" s="167"/>
      <c r="C45" s="167"/>
      <c r="D45" s="167"/>
      <c r="E45" s="167"/>
      <c r="F45" s="167"/>
      <c r="H45" s="167"/>
      <c r="I45" s="167"/>
      <c r="J45" s="167"/>
      <c r="K45" s="167"/>
      <c r="L45" s="167"/>
      <c r="M45" s="167"/>
    </row>
    <row r="46" spans="1:50" ht="50.15" customHeight="1" x14ac:dyDescent="0.35">
      <c r="A46" s="234" t="s">
        <v>946</v>
      </c>
      <c r="B46" s="234"/>
      <c r="C46" s="234"/>
      <c r="D46" s="234"/>
      <c r="E46" s="234"/>
      <c r="F46" s="234"/>
      <c r="G46" s="171"/>
      <c r="H46" s="234" t="s">
        <v>947</v>
      </c>
      <c r="I46" s="234"/>
      <c r="J46" s="234"/>
      <c r="K46" s="234"/>
      <c r="L46" s="234"/>
      <c r="M46" s="234"/>
      <c r="N46" s="158"/>
    </row>
    <row r="47" spans="1:50" ht="97" customHeight="1" x14ac:dyDescent="0.35">
      <c r="A47" s="165"/>
      <c r="B47" s="165"/>
      <c r="C47" s="165"/>
      <c r="D47" s="165"/>
      <c r="E47" s="165"/>
      <c r="F47" s="165"/>
      <c r="G47" s="157"/>
      <c r="H47" s="249" t="s">
        <v>948</v>
      </c>
      <c r="I47" s="67" t="s">
        <v>597</v>
      </c>
      <c r="J47" s="91" t="s">
        <v>598</v>
      </c>
      <c r="K47" s="91" t="s">
        <v>599</v>
      </c>
      <c r="L47" s="87" t="s">
        <v>539</v>
      </c>
      <c r="M47" s="172"/>
    </row>
    <row r="48" spans="1:50" ht="97" customHeight="1" x14ac:dyDescent="0.35">
      <c r="G48" s="157"/>
      <c r="H48" s="249"/>
      <c r="I48" s="67" t="s">
        <v>518</v>
      </c>
      <c r="J48" s="65">
        <v>13</v>
      </c>
      <c r="K48" s="65">
        <v>17</v>
      </c>
      <c r="L48" s="88">
        <f>SUM(J48:K48)</f>
        <v>30</v>
      </c>
      <c r="M48" s="158"/>
    </row>
    <row r="49" spans="8:12" ht="97" customHeight="1" x14ac:dyDescent="0.35">
      <c r="H49" s="165"/>
      <c r="I49" s="165"/>
      <c r="J49" s="165"/>
      <c r="K49" s="165"/>
      <c r="L49" s="165"/>
    </row>
  </sheetData>
  <sheetProtection algorithmName="SHA-512" hashValue="pd7izWDFA1jeXQbRQj4tQo9H6pCHeQk/TjpCoB1w2pTiePxNa4Z7oy4X8Qfp4gzg9FVVGJ+I55VQt3I4tDYMYQ==" saltValue="4f72RQC9OEYhKeOZUrxN7w==" spinCount="100000" sheet="1" objects="1" scenarios="1"/>
  <mergeCells count="40">
    <mergeCell ref="H7:H8"/>
    <mergeCell ref="A1:F1"/>
    <mergeCell ref="H1:M1"/>
    <mergeCell ref="H2:H3"/>
    <mergeCell ref="A6:F6"/>
    <mergeCell ref="H6:M6"/>
    <mergeCell ref="A11:F11"/>
    <mergeCell ref="H11:M11"/>
    <mergeCell ref="H12:H13"/>
    <mergeCell ref="A16:F16"/>
    <mergeCell ref="H16:M16"/>
    <mergeCell ref="A21:F21"/>
    <mergeCell ref="H21:M21"/>
    <mergeCell ref="H22:H23"/>
    <mergeCell ref="A26:F26"/>
    <mergeCell ref="H26:M26"/>
    <mergeCell ref="A46:F46"/>
    <mergeCell ref="H46:M46"/>
    <mergeCell ref="H27:H28"/>
    <mergeCell ref="A31:F31"/>
    <mergeCell ref="H31:M31"/>
    <mergeCell ref="H32:H33"/>
    <mergeCell ref="A36:F36"/>
    <mergeCell ref="H36:M36"/>
    <mergeCell ref="AU37:AW37"/>
    <mergeCell ref="AU38:AW38"/>
    <mergeCell ref="H37:H38"/>
    <mergeCell ref="A41:F41"/>
    <mergeCell ref="H41:M41"/>
    <mergeCell ref="H47:H48"/>
    <mergeCell ref="AA12:AC12"/>
    <mergeCell ref="AA13:AC13"/>
    <mergeCell ref="T17:V17"/>
    <mergeCell ref="T18:V18"/>
    <mergeCell ref="Z42:AB42"/>
    <mergeCell ref="Z43:AB43"/>
    <mergeCell ref="AA32:AC32"/>
    <mergeCell ref="AA33:AC33"/>
    <mergeCell ref="H42:H43"/>
    <mergeCell ref="H17:H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4984CE27C99644A2E11EBD5E994DB3" ma:contentTypeVersion="6" ma:contentTypeDescription="Create a new document." ma:contentTypeScope="" ma:versionID="67bdf2728eb6420e5c8a01b52aff8a0a">
  <xsd:schema xmlns:xsd="http://www.w3.org/2001/XMLSchema" xmlns:xs="http://www.w3.org/2001/XMLSchema" xmlns:p="http://schemas.microsoft.com/office/2006/metadata/properties" xmlns:ns2="7ed9a350-c3ce-4f31-be27-6cbb5073cfaa" xmlns:ns3="e1b70acb-ef7d-430b-867f-3a5622323ecf" targetNamespace="http://schemas.microsoft.com/office/2006/metadata/properties" ma:root="true" ma:fieldsID="6235a1a8a5517ea8d45fa4ef83300e4e" ns2:_="" ns3:_="">
    <xsd:import namespace="7ed9a350-c3ce-4f31-be27-6cbb5073cfaa"/>
    <xsd:import namespace="e1b70acb-ef7d-430b-867f-3a5622323e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d9a350-c3ce-4f31-be27-6cbb5073cf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b70acb-ef7d-430b-867f-3a5622323e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28743C-CB66-480A-A8EC-EE14F3BE40D6}">
  <ds:schemaRefs>
    <ds:schemaRef ds:uri="http://schemas.microsoft.com/sharepoint/v3/contenttype/forms"/>
  </ds:schemaRefs>
</ds:datastoreItem>
</file>

<file path=customXml/itemProps2.xml><?xml version="1.0" encoding="utf-8"?>
<ds:datastoreItem xmlns:ds="http://schemas.openxmlformats.org/officeDocument/2006/customXml" ds:itemID="{49745E31-3065-4BDF-90ED-B8DFB6406C52}">
  <ds:schemaRefs>
    <ds:schemaRef ds:uri="http://schemas.microsoft.com/office/2006/metadata/properties"/>
    <ds:schemaRef ds:uri="http://purl.org/dc/elements/1.1/"/>
    <ds:schemaRef ds:uri="http://purl.org/dc/dcmitype/"/>
    <ds:schemaRef ds:uri="http://schemas.microsoft.com/office/2006/documentManagement/types"/>
    <ds:schemaRef ds:uri="8e6a80be-41be-4d7b-98fe-52c1adff37ff"/>
    <ds:schemaRef ds:uri="http://www.w3.org/XML/1998/namespace"/>
    <ds:schemaRef ds:uri="http://schemas.openxmlformats.org/package/2006/metadata/core-properties"/>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7C79319A-8C5D-4BD9-82B9-381A1C9D375F}"/>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11</vt:i4>
      </vt:variant>
    </vt:vector>
  </HeadingPairs>
  <TitlesOfParts>
    <vt:vector size="11" baseType="lpstr">
      <vt:lpstr> Cheboygan County Cover Sheet</vt:lpstr>
      <vt:lpstr>CHSA</vt:lpstr>
      <vt:lpstr>CHSA Sources</vt:lpstr>
      <vt:lpstr>CSA</vt:lpstr>
      <vt:lpstr>CTSA-Aging Survey</vt:lpstr>
      <vt:lpstr>CTSA-Children Survey</vt:lpstr>
      <vt:lpstr>CTSA-Disability Survey</vt:lpstr>
      <vt:lpstr>CTSA-Economic Survey</vt:lpstr>
      <vt:lpstr>CTSA-Community Demographics</vt:lpstr>
      <vt:lpstr>CTSA-Community Data</vt:lpstr>
      <vt:lpstr>CTSA-Provider Survey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Scott Izzo</dc:creator>
  <cp:keywords/>
  <dc:description/>
  <cp:lastModifiedBy>Erin Barrett</cp:lastModifiedBy>
  <cp:revision/>
  <dcterms:created xsi:type="dcterms:W3CDTF">2022-02-07T16:06:06Z</dcterms:created>
  <dcterms:modified xsi:type="dcterms:W3CDTF">2022-04-13T21:29:01Z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0x010100064984CE27C99644A2E11EBD5E994DB3</vt:lpwstr>
  </property>
</Properties>
</file>