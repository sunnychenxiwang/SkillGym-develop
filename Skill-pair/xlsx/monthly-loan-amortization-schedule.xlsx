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Default Extension="vml" ContentType="application/vnd.openxmlformats-officedocument.vmlDrawing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120" windowWidth="24915" windowHeight="12075"/>
  </bookViews>
  <sheets>
    <sheet name="Loan amortization schedule" sheetId="1" r:id="rId1"/>
  </sheets>
  <definedNames>
    <definedName name="__FPMExcelClient_CellBasedFunctionStatus" localSheetId="0" hidden="1">"2_2_2_2_2"</definedName>
  </definedNames>
  <calcPr calcId="125725"/>
</workbook>
</file>

<file path=xl/calcChain.xml><?xml version="1.0" encoding="utf-8"?>
<calcChain xmlns="http://schemas.openxmlformats.org/spreadsheetml/2006/main">
  <c r="D8" i="1"/>
  <c r="G17" l="1"/>
  <c r="B18" s="1"/>
  <c r="C18" s="1"/>
  <c r="C13"/>
  <c r="D11"/>
  <c r="D13" s="1"/>
  <c r="D18" l="1"/>
  <c r="E18" l="1"/>
  <c r="F18" l="1"/>
  <c r="G18" l="1"/>
  <c r="B19" s="1"/>
  <c r="C19" l="1"/>
  <c r="E19"/>
  <c r="D19"/>
  <c r="F19" l="1"/>
  <c r="G19" s="1"/>
  <c r="B20" s="1"/>
  <c r="C20" l="1"/>
  <c r="E20"/>
  <c r="D20"/>
  <c r="F20" l="1"/>
  <c r="G20" l="1"/>
  <c r="B21" s="1"/>
  <c r="C21" l="1"/>
  <c r="D21"/>
  <c r="F21" s="1"/>
  <c r="E21"/>
  <c r="G21" l="1"/>
  <c r="B22" s="1"/>
  <c r="C22" l="1"/>
  <c r="E22"/>
  <c r="D22"/>
  <c r="F22" l="1"/>
  <c r="G22" l="1"/>
  <c r="B23" s="1"/>
  <c r="C23" l="1"/>
  <c r="E23"/>
  <c r="D23"/>
  <c r="F23" l="1"/>
  <c r="G23" s="1"/>
  <c r="B24" s="1"/>
  <c r="C24" l="1"/>
  <c r="E24"/>
  <c r="F24" s="1"/>
  <c r="G24" s="1"/>
  <c r="B25" s="1"/>
  <c r="D24"/>
  <c r="C25" l="1"/>
  <c r="D25"/>
  <c r="E25"/>
  <c r="F25" l="1"/>
  <c r="G25" s="1"/>
  <c r="B26" s="1"/>
  <c r="C26" l="1"/>
  <c r="D26"/>
  <c r="E26"/>
  <c r="F26" l="1"/>
  <c r="G26" s="1"/>
  <c r="B27" s="1"/>
  <c r="D27" s="1"/>
  <c r="E27" l="1"/>
  <c r="F27" s="1"/>
  <c r="G27" s="1"/>
  <c r="B28" s="1"/>
  <c r="C27"/>
  <c r="C28" l="1"/>
  <c r="E28"/>
  <c r="D28"/>
  <c r="F28" l="1"/>
  <c r="G28" s="1"/>
  <c r="B29" s="1"/>
  <c r="D29" s="1"/>
  <c r="E29" l="1"/>
  <c r="F29" s="1"/>
  <c r="G29" s="1"/>
  <c r="B30" s="1"/>
  <c r="C30" s="1"/>
  <c r="C29"/>
  <c r="D30" l="1"/>
  <c r="F30" s="1"/>
  <c r="G30" s="1"/>
  <c r="B31" s="1"/>
  <c r="C31" s="1"/>
  <c r="E30"/>
  <c r="E31" l="1"/>
  <c r="D31"/>
  <c r="F31" l="1"/>
  <c r="G31" s="1"/>
  <c r="B32" s="1"/>
  <c r="C32" s="1"/>
  <c r="E32" l="1"/>
  <c r="D32" l="1"/>
  <c r="F32" s="1"/>
  <c r="G32" s="1"/>
  <c r="B33" s="1"/>
  <c r="C33" s="1"/>
  <c r="E33" l="1"/>
  <c r="D33"/>
  <c r="F33" l="1"/>
  <c r="G33" s="1"/>
  <c r="B34" s="1"/>
  <c r="C34" s="1"/>
  <c r="D34" l="1"/>
  <c r="E34" l="1"/>
  <c r="F34" s="1"/>
  <c r="G34" s="1"/>
  <c r="B35" s="1"/>
  <c r="C35" s="1"/>
  <c r="E35" l="1"/>
  <c r="D35"/>
  <c r="F35" l="1"/>
  <c r="G35" s="1"/>
  <c r="B36" s="1"/>
  <c r="C36" s="1"/>
  <c r="E36" l="1"/>
  <c r="D36" l="1"/>
  <c r="F36" s="1"/>
  <c r="G36" s="1"/>
  <c r="B37" s="1"/>
  <c r="C37" s="1"/>
  <c r="D37" l="1"/>
  <c r="E37"/>
  <c r="F37" l="1"/>
  <c r="G37" s="1"/>
  <c r="B38" s="1"/>
  <c r="C38" s="1"/>
  <c r="D38" l="1"/>
  <c r="E38" l="1"/>
  <c r="F38" s="1"/>
  <c r="G38" s="1"/>
  <c r="B39" l="1"/>
  <c r="C39" s="1"/>
  <c r="E39" l="1"/>
  <c r="D39"/>
  <c r="F39" l="1"/>
  <c r="G39" s="1"/>
  <c r="B40" s="1"/>
  <c r="E40" l="1"/>
  <c r="C40"/>
  <c r="D40"/>
  <c r="F40" l="1"/>
  <c r="G40" s="1"/>
  <c r="B41" s="1"/>
  <c r="C41" s="1"/>
  <c r="E41" l="1"/>
  <c r="D41"/>
  <c r="F41" s="1"/>
  <c r="G41" s="1"/>
  <c r="B42" s="1"/>
  <c r="C42" s="1"/>
  <c r="E42" l="1"/>
  <c r="D42"/>
  <c r="F42" s="1"/>
  <c r="G42" s="1"/>
  <c r="B43" s="1"/>
  <c r="C43" s="1"/>
  <c r="D43" l="1"/>
  <c r="E43"/>
  <c r="F43" l="1"/>
  <c r="G43" s="1"/>
  <c r="B44" s="1"/>
  <c r="E44" l="1"/>
  <c r="C44"/>
  <c r="F44"/>
  <c r="G44" s="1"/>
  <c r="B45" s="1"/>
  <c r="C45" s="1"/>
  <c r="D44"/>
  <c r="D45" l="1"/>
  <c r="E45"/>
  <c r="F45" s="1"/>
  <c r="G45" s="1"/>
  <c r="B46" l="1"/>
  <c r="C46" s="1"/>
  <c r="D46" l="1"/>
  <c r="E46"/>
  <c r="F46" l="1"/>
  <c r="G46" s="1"/>
  <c r="B47" s="1"/>
  <c r="C47" s="1"/>
  <c r="D47" l="1"/>
  <c r="F47" s="1"/>
  <c r="G47" s="1"/>
  <c r="B48" s="1"/>
  <c r="C48" s="1"/>
  <c r="E47"/>
  <c r="D48" l="1"/>
  <c r="F48" s="1"/>
  <c r="G48" s="1"/>
  <c r="B49" s="1"/>
  <c r="C49" s="1"/>
  <c r="E48"/>
  <c r="D49" l="1"/>
  <c r="E49"/>
  <c r="F49" l="1"/>
  <c r="G49" s="1"/>
  <c r="B50" s="1"/>
  <c r="C50" s="1"/>
  <c r="E50" l="1"/>
  <c r="D50"/>
  <c r="F50" l="1"/>
  <c r="G50" s="1"/>
  <c r="B51" s="1"/>
  <c r="C51" s="1"/>
  <c r="D51" l="1"/>
  <c r="E51"/>
  <c r="F51" l="1"/>
  <c r="G51" s="1"/>
  <c r="B52" s="1"/>
  <c r="C52" s="1"/>
  <c r="E52" l="1"/>
  <c r="D52" l="1"/>
  <c r="F52" s="1"/>
  <c r="G52" s="1"/>
  <c r="B53" l="1"/>
  <c r="C53" s="1"/>
  <c r="D53" l="1"/>
  <c r="E53"/>
  <c r="F53" l="1"/>
  <c r="G53" s="1"/>
  <c r="B54" s="1"/>
  <c r="C54" s="1"/>
  <c r="E54" l="1"/>
  <c r="D54"/>
  <c r="F54" s="1"/>
  <c r="G54" s="1"/>
  <c r="B55" s="1"/>
  <c r="C55" s="1"/>
  <c r="E55" l="1"/>
  <c r="D55"/>
  <c r="F55" s="1"/>
  <c r="G55" s="1"/>
  <c r="B56" s="1"/>
  <c r="C56" s="1"/>
  <c r="E56" l="1"/>
  <c r="D56"/>
  <c r="F56" s="1"/>
  <c r="G56" s="1"/>
  <c r="B57" s="1"/>
  <c r="C57" s="1"/>
  <c r="D57" l="1"/>
  <c r="E57"/>
  <c r="F57"/>
  <c r="G57" s="1"/>
  <c r="B58" l="1"/>
  <c r="C58" s="1"/>
  <c r="E58" l="1"/>
  <c r="D58"/>
  <c r="F58" s="1"/>
  <c r="G58" s="1"/>
  <c r="B59" s="1"/>
  <c r="C59" s="1"/>
  <c r="E59" l="1"/>
  <c r="D59"/>
  <c r="F59"/>
  <c r="G59" s="1"/>
  <c r="B60" s="1"/>
  <c r="C60" s="1"/>
  <c r="D60" l="1"/>
  <c r="E60"/>
  <c r="F60" s="1"/>
  <c r="G60" s="1"/>
  <c r="B61" s="1"/>
  <c r="C61" s="1"/>
  <c r="D61" l="1"/>
  <c r="E61"/>
  <c r="F61" l="1"/>
  <c r="G61" s="1"/>
  <c r="B62" s="1"/>
  <c r="C62" s="1"/>
  <c r="D62" l="1"/>
  <c r="E62"/>
  <c r="F62" l="1"/>
  <c r="G62" s="1"/>
  <c r="B63" s="1"/>
  <c r="C63" s="1"/>
  <c r="D63" l="1"/>
  <c r="E63" l="1"/>
  <c r="F63" s="1"/>
  <c r="G63" s="1"/>
  <c r="B64" l="1"/>
  <c r="C64" s="1"/>
  <c r="D64" l="1"/>
  <c r="E64"/>
  <c r="F64" s="1"/>
  <c r="G64" s="1"/>
  <c r="B65" s="1"/>
  <c r="C65" s="1"/>
  <c r="D65" l="1"/>
  <c r="E65"/>
  <c r="F65" s="1"/>
  <c r="G65" s="1"/>
  <c r="B66" s="1"/>
  <c r="C66" s="1"/>
  <c r="E66" l="1"/>
  <c r="D66"/>
  <c r="F66" s="1"/>
  <c r="G66" s="1"/>
  <c r="B67" s="1"/>
  <c r="C67" s="1"/>
  <c r="D67" l="1"/>
  <c r="E67"/>
  <c r="F67" s="1"/>
  <c r="G67" s="1"/>
  <c r="B68" s="1"/>
  <c r="C68" s="1"/>
  <c r="D68" l="1"/>
  <c r="E68"/>
  <c r="F68" s="1"/>
  <c r="G68" s="1"/>
  <c r="B69" s="1"/>
  <c r="C69" s="1"/>
  <c r="E69" l="1"/>
  <c r="D69"/>
  <c r="F69" l="1"/>
  <c r="G69" s="1"/>
  <c r="B70" s="1"/>
  <c r="C70" s="1"/>
  <c r="E70" l="1"/>
  <c r="D70"/>
  <c r="F70" l="1"/>
  <c r="G70" s="1"/>
  <c r="B71" s="1"/>
  <c r="C71" s="1"/>
  <c r="E71" l="1"/>
  <c r="D71" l="1"/>
  <c r="F71" s="1"/>
  <c r="G71" s="1"/>
  <c r="B72" s="1"/>
  <c r="C72" s="1"/>
  <c r="D72" l="1"/>
  <c r="E72"/>
  <c r="F72" l="1"/>
  <c r="G72" s="1"/>
  <c r="B73" s="1"/>
  <c r="C73" s="1"/>
  <c r="E73" l="1"/>
  <c r="D73"/>
  <c r="F73" l="1"/>
  <c r="G73" s="1"/>
  <c r="B74" s="1"/>
  <c r="C74" s="1"/>
  <c r="E74" l="1"/>
  <c r="D74" l="1"/>
  <c r="F74" s="1"/>
  <c r="G74" s="1"/>
  <c r="B75" s="1"/>
  <c r="C75" s="1"/>
  <c r="D75" l="1"/>
  <c r="E75"/>
  <c r="F75" l="1"/>
  <c r="G75" s="1"/>
  <c r="B76" s="1"/>
  <c r="C76" s="1"/>
  <c r="D76" l="1"/>
  <c r="E76" l="1"/>
  <c r="F76" s="1"/>
  <c r="G76" s="1"/>
  <c r="B77" s="1"/>
  <c r="C77" s="1"/>
  <c r="D77" l="1"/>
  <c r="E77"/>
  <c r="F77" l="1"/>
  <c r="G77" s="1"/>
  <c r="B78" s="1"/>
  <c r="C78" s="1"/>
  <c r="D78" l="1"/>
  <c r="E78"/>
  <c r="F78" l="1"/>
  <c r="G78" s="1"/>
  <c r="B79" s="1"/>
  <c r="C79" s="1"/>
  <c r="E79" l="1"/>
  <c r="D79" l="1"/>
  <c r="F79" s="1"/>
  <c r="G79" s="1"/>
  <c r="B80" l="1"/>
  <c r="C80" s="1"/>
  <c r="E80" l="1"/>
  <c r="D80"/>
  <c r="F80" s="1"/>
  <c r="G80" s="1"/>
  <c r="B81" s="1"/>
  <c r="C81" s="1"/>
  <c r="E81" l="1"/>
  <c r="D81"/>
  <c r="F81" s="1"/>
  <c r="G81" s="1"/>
  <c r="B82" s="1"/>
  <c r="C82" s="1"/>
  <c r="E82" l="1"/>
  <c r="D82"/>
  <c r="F82" s="1"/>
  <c r="G82" s="1"/>
  <c r="B83" s="1"/>
  <c r="C83" s="1"/>
  <c r="E83" l="1"/>
  <c r="D83"/>
  <c r="F83" l="1"/>
  <c r="G83" s="1"/>
  <c r="B84" s="1"/>
  <c r="C84" s="1"/>
  <c r="E84" l="1"/>
  <c r="D84"/>
  <c r="F84" l="1"/>
  <c r="G84" s="1"/>
  <c r="B85" s="1"/>
  <c r="C85" s="1"/>
  <c r="E85" l="1"/>
  <c r="D85"/>
  <c r="F85" l="1"/>
  <c r="G85" s="1"/>
  <c r="B86" s="1"/>
  <c r="C86" s="1"/>
  <c r="E86" l="1"/>
  <c r="D86"/>
  <c r="F86" l="1"/>
  <c r="G86" s="1"/>
  <c r="B87" s="1"/>
  <c r="C87" s="1"/>
  <c r="D87" l="1"/>
  <c r="E87" l="1"/>
  <c r="F87" s="1"/>
  <c r="G87" s="1"/>
  <c r="B88" s="1"/>
  <c r="C88" s="1"/>
  <c r="D88" l="1"/>
  <c r="E88"/>
  <c r="F88" l="1"/>
  <c r="G88" s="1"/>
  <c r="B89" s="1"/>
  <c r="C89" s="1"/>
  <c r="D89" l="1"/>
  <c r="E89"/>
  <c r="F89" l="1"/>
  <c r="G89" s="1"/>
  <c r="B90" s="1"/>
  <c r="C90" s="1"/>
  <c r="D90" l="1"/>
  <c r="E90" l="1"/>
  <c r="F90" s="1"/>
  <c r="G90" s="1"/>
  <c r="B91" l="1"/>
  <c r="C91" s="1"/>
  <c r="D91" l="1"/>
  <c r="E91"/>
  <c r="F91" s="1"/>
  <c r="G91" s="1"/>
  <c r="B92" s="1"/>
  <c r="C92" s="1"/>
  <c r="D92" l="1"/>
  <c r="E92"/>
  <c r="F92" s="1"/>
  <c r="G92" s="1"/>
  <c r="B93" s="1"/>
  <c r="C93" s="1"/>
  <c r="D93" l="1"/>
  <c r="E93"/>
  <c r="F93"/>
  <c r="G93" s="1"/>
  <c r="B94" s="1"/>
  <c r="C94" s="1"/>
  <c r="D94" l="1"/>
  <c r="E94"/>
  <c r="F94" s="1"/>
  <c r="G94" s="1"/>
  <c r="B95" s="1"/>
  <c r="C95" s="1"/>
  <c r="E95" l="1"/>
  <c r="D95"/>
  <c r="F95" l="1"/>
  <c r="G95" s="1"/>
  <c r="B96" s="1"/>
  <c r="C96" s="1"/>
  <c r="D96" l="1"/>
  <c r="E96" l="1"/>
  <c r="F96" s="1"/>
  <c r="G96" s="1"/>
  <c r="B97" s="1"/>
  <c r="C97" s="1"/>
  <c r="E97" l="1"/>
  <c r="D97"/>
  <c r="F97" l="1"/>
  <c r="G97" s="1"/>
  <c r="B98" s="1"/>
  <c r="C98" s="1"/>
  <c r="E98" l="1"/>
  <c r="D98"/>
  <c r="F98" l="1"/>
  <c r="G98" s="1"/>
  <c r="B99" s="1"/>
  <c r="C99" s="1"/>
  <c r="D99" l="1"/>
  <c r="E99"/>
  <c r="F99" l="1"/>
  <c r="G99" s="1"/>
  <c r="B100" s="1"/>
  <c r="C100" s="1"/>
  <c r="D100" l="1"/>
  <c r="E100" l="1"/>
  <c r="F100" s="1"/>
  <c r="G100" s="1"/>
  <c r="B101" l="1"/>
  <c r="C101" s="1"/>
  <c r="D101" l="1"/>
  <c r="E101"/>
  <c r="F101" s="1"/>
  <c r="G101" s="1"/>
  <c r="B102" s="1"/>
  <c r="C102" s="1"/>
  <c r="E102" l="1"/>
  <c r="D102"/>
  <c r="F102"/>
  <c r="G102" s="1"/>
  <c r="B103" s="1"/>
  <c r="C103" s="1"/>
  <c r="E103" l="1"/>
  <c r="D103" l="1"/>
  <c r="F103" s="1"/>
  <c r="G103" s="1"/>
  <c r="B104" s="1"/>
  <c r="C104" s="1"/>
  <c r="E104" l="1"/>
  <c r="D104"/>
  <c r="F104" l="1"/>
  <c r="G104" s="1"/>
  <c r="B105" l="1"/>
  <c r="C105" s="1"/>
  <c r="E105" l="1"/>
  <c r="D105"/>
  <c r="F105" s="1"/>
  <c r="G105" s="1"/>
  <c r="B106" s="1"/>
  <c r="C106" s="1"/>
  <c r="D106" l="1"/>
  <c r="E106"/>
  <c r="F106"/>
  <c r="G106" s="1"/>
  <c r="B107" s="1"/>
  <c r="C107" s="1"/>
  <c r="E107" l="1"/>
  <c r="D107"/>
  <c r="F107" s="1"/>
  <c r="G107" s="1"/>
  <c r="B108" s="1"/>
  <c r="C108" s="1"/>
  <c r="D108" l="1"/>
  <c r="E108" l="1"/>
  <c r="F108" s="1"/>
  <c r="G108" s="1"/>
  <c r="B109" s="1"/>
  <c r="C109" s="1"/>
  <c r="D109" l="1"/>
  <c r="E109"/>
  <c r="F109" l="1"/>
  <c r="G109" s="1"/>
  <c r="B110" l="1"/>
  <c r="C110" s="1"/>
  <c r="E110" l="1"/>
  <c r="D110"/>
  <c r="F110" s="1"/>
  <c r="G110" s="1"/>
  <c r="B111" s="1"/>
  <c r="C111" s="1"/>
  <c r="E111" l="1"/>
  <c r="D111"/>
  <c r="F111" s="1"/>
  <c r="G111" s="1"/>
  <c r="B112" s="1"/>
  <c r="C112" s="1"/>
  <c r="D112" l="1"/>
  <c r="E112"/>
  <c r="F112" s="1"/>
  <c r="G112" s="1"/>
  <c r="B113" s="1"/>
  <c r="C113" s="1"/>
  <c r="E113" l="1"/>
  <c r="D113"/>
  <c r="F113" s="1"/>
  <c r="G113" s="1"/>
  <c r="B114" s="1"/>
  <c r="C114" s="1"/>
  <c r="D114" l="1"/>
  <c r="E114"/>
  <c r="F114" l="1"/>
  <c r="G114" s="1"/>
  <c r="B115" l="1"/>
  <c r="C115" s="1"/>
  <c r="D115" l="1"/>
  <c r="E115"/>
  <c r="F115" s="1"/>
  <c r="G115" s="1"/>
  <c r="B116" s="1"/>
  <c r="C116" s="1"/>
  <c r="D116" l="1"/>
  <c r="E116"/>
  <c r="F116" s="1"/>
  <c r="G116" s="1"/>
  <c r="B117" s="1"/>
  <c r="C117" s="1"/>
  <c r="D117" l="1"/>
  <c r="E117"/>
  <c r="F117"/>
  <c r="G117" s="1"/>
  <c r="B118" s="1"/>
  <c r="C118" s="1"/>
  <c r="D118" l="1"/>
  <c r="E118" l="1"/>
  <c r="F118" s="1"/>
  <c r="G118" s="1"/>
  <c r="B119" l="1"/>
  <c r="C119" s="1"/>
  <c r="E119" l="1"/>
  <c r="D119"/>
  <c r="F119" s="1"/>
  <c r="G119" s="1"/>
  <c r="B120" s="1"/>
  <c r="C120" s="1"/>
  <c r="D120" l="1"/>
  <c r="E120"/>
  <c r="F120" s="1"/>
  <c r="G120" s="1"/>
  <c r="B121" s="1"/>
  <c r="C121" s="1"/>
  <c r="D121" l="1"/>
  <c r="E121"/>
  <c r="F121"/>
  <c r="G121" s="1"/>
  <c r="B122" s="1"/>
  <c r="C122" s="1"/>
  <c r="D122" l="1"/>
  <c r="E122"/>
  <c r="F122" l="1"/>
  <c r="G122" s="1"/>
  <c r="B123" s="1"/>
  <c r="C123" s="1"/>
  <c r="D123" l="1"/>
  <c r="E123"/>
  <c r="F123" l="1"/>
  <c r="G123" s="1"/>
  <c r="B124" s="1"/>
  <c r="C124" s="1"/>
  <c r="D124" l="1"/>
  <c r="E124" l="1"/>
  <c r="F124" s="1"/>
  <c r="G124" s="1"/>
  <c r="B125" l="1"/>
  <c r="C125" s="1"/>
  <c r="E125" l="1"/>
  <c r="D125"/>
  <c r="F125" s="1"/>
  <c r="G125" s="1"/>
  <c r="B126" s="1"/>
  <c r="C126" s="1"/>
  <c r="E126" l="1"/>
  <c r="D126"/>
  <c r="F126"/>
  <c r="G126" s="1"/>
  <c r="B127" s="1"/>
  <c r="C127" s="1"/>
  <c r="E127" l="1"/>
  <c r="D127" l="1"/>
  <c r="F127" s="1"/>
  <c r="G127" s="1"/>
  <c r="B128" l="1"/>
  <c r="C128" s="1"/>
  <c r="E128" l="1"/>
  <c r="D128"/>
  <c r="F128" s="1"/>
  <c r="G128" s="1"/>
  <c r="B129" s="1"/>
  <c r="C129" s="1"/>
  <c r="D129" l="1"/>
  <c r="E129"/>
  <c r="F129" s="1"/>
  <c r="G129" s="1"/>
  <c r="B130" s="1"/>
  <c r="C130" s="1"/>
  <c r="E130" l="1"/>
  <c r="D130"/>
  <c r="F130" l="1"/>
  <c r="G130" s="1"/>
  <c r="B131" s="1"/>
  <c r="C131" s="1"/>
  <c r="D131" l="1"/>
  <c r="E131"/>
  <c r="F131" l="1"/>
  <c r="G131" s="1"/>
  <c r="B132" s="1"/>
  <c r="C132" s="1"/>
  <c r="E132" l="1"/>
  <c r="D132" l="1"/>
  <c r="F132" s="1"/>
  <c r="G132" s="1"/>
  <c r="B133" s="1"/>
  <c r="C133" s="1"/>
  <c r="D133" l="1"/>
  <c r="E133"/>
  <c r="F133" l="1"/>
  <c r="G133" s="1"/>
  <c r="B134" s="1"/>
  <c r="C134" s="1"/>
  <c r="D134" l="1"/>
  <c r="E134"/>
  <c r="F134" l="1"/>
  <c r="G134" s="1"/>
  <c r="B135" s="1"/>
  <c r="C135" s="1"/>
  <c r="E135" l="1"/>
  <c r="D135" l="1"/>
  <c r="F135" s="1"/>
  <c r="G135" s="1"/>
  <c r="B136" s="1"/>
  <c r="C136" s="1"/>
  <c r="E136" l="1"/>
  <c r="D136"/>
  <c r="F136" l="1"/>
  <c r="G136" s="1"/>
  <c r="B137" s="1"/>
  <c r="C137" s="1"/>
  <c r="E137" l="1"/>
  <c r="D137"/>
  <c r="F137" l="1"/>
  <c r="G137" s="1"/>
  <c r="B138" s="1"/>
  <c r="C138" s="1"/>
  <c r="D138" l="1"/>
  <c r="E138" l="1"/>
  <c r="F138" s="1"/>
  <c r="G138" s="1"/>
  <c r="B139" l="1"/>
  <c r="C139" s="1"/>
  <c r="D139" l="1"/>
  <c r="E139"/>
  <c r="F139" s="1"/>
  <c r="G139" s="1"/>
  <c r="B140" s="1"/>
  <c r="C140" s="1"/>
  <c r="E140" l="1"/>
  <c r="D140"/>
  <c r="F140"/>
  <c r="G140" s="1"/>
  <c r="B141" s="1"/>
  <c r="C141" s="1"/>
  <c r="E141" l="1"/>
  <c r="D141" l="1"/>
  <c r="F141" s="1"/>
  <c r="G141" s="1"/>
  <c r="B142" l="1"/>
  <c r="C142" s="1"/>
  <c r="D142" l="1"/>
  <c r="E142"/>
  <c r="F142" s="1"/>
  <c r="G142" s="1"/>
  <c r="B143" s="1"/>
  <c r="C143" s="1"/>
  <c r="D143" l="1"/>
  <c r="E143"/>
  <c r="F143" s="1"/>
  <c r="G143" s="1"/>
  <c r="B144" s="1"/>
  <c r="C144" s="1"/>
  <c r="E144" l="1"/>
  <c r="D144"/>
  <c r="F144" s="1"/>
  <c r="G144" s="1"/>
  <c r="B145" s="1"/>
  <c r="C145" s="1"/>
  <c r="E145" l="1"/>
  <c r="D145"/>
  <c r="F145"/>
  <c r="G145" s="1"/>
  <c r="B146" s="1"/>
  <c r="C146" s="1"/>
  <c r="D146" l="1"/>
  <c r="E146"/>
  <c r="F146" s="1"/>
  <c r="G146" s="1"/>
  <c r="B147" s="1"/>
  <c r="C147" s="1"/>
  <c r="E147" l="1"/>
  <c r="D147"/>
  <c r="F147" l="1"/>
  <c r="G147" s="1"/>
  <c r="B148" s="1"/>
  <c r="C148" s="1"/>
  <c r="D148" l="1"/>
  <c r="E148" l="1"/>
  <c r="F148" s="1"/>
  <c r="G148" s="1"/>
  <c r="B149" l="1"/>
  <c r="C149" s="1"/>
  <c r="D149" l="1"/>
  <c r="E149"/>
  <c r="F149" s="1"/>
  <c r="G149" s="1"/>
  <c r="B150" s="1"/>
  <c r="C150" s="1"/>
  <c r="D150" l="1"/>
  <c r="E150"/>
  <c r="F150" s="1"/>
  <c r="G150" s="1"/>
  <c r="B151" s="1"/>
  <c r="C151" s="1"/>
  <c r="D151" l="1"/>
  <c r="E151"/>
  <c r="F151"/>
  <c r="G151" s="1"/>
  <c r="B152" s="1"/>
  <c r="C152" s="1"/>
  <c r="D152" l="1"/>
  <c r="E152"/>
  <c r="F152" s="1"/>
  <c r="G152" s="1"/>
  <c r="B153" s="1"/>
  <c r="C153" s="1"/>
  <c r="D153" l="1"/>
  <c r="E153"/>
  <c r="F153" l="1"/>
  <c r="G153" s="1"/>
  <c r="B154" s="1"/>
  <c r="C154" s="1"/>
  <c r="D154" l="1"/>
  <c r="E154"/>
  <c r="F154" l="1"/>
  <c r="G154" s="1"/>
  <c r="B155" s="1"/>
  <c r="C155" s="1"/>
  <c r="E155" l="1"/>
  <c r="D155"/>
  <c r="F155" l="1"/>
  <c r="G155" s="1"/>
  <c r="B156" s="1"/>
  <c r="C156" s="1"/>
  <c r="E156" l="1"/>
  <c r="D156" l="1"/>
  <c r="F156" s="1"/>
  <c r="G156" s="1"/>
  <c r="B157" l="1"/>
  <c r="C157" s="1"/>
  <c r="E157" l="1"/>
  <c r="D157"/>
  <c r="F157" s="1"/>
  <c r="G157" s="1"/>
  <c r="B158" s="1"/>
  <c r="C158" s="1"/>
  <c r="D158" l="1"/>
  <c r="E158"/>
  <c r="F158"/>
  <c r="G158" s="1"/>
  <c r="B159" s="1"/>
  <c r="C159" s="1"/>
  <c r="E159" l="1"/>
  <c r="D159"/>
  <c r="F159" s="1"/>
  <c r="G159" s="1"/>
  <c r="B160" s="1"/>
  <c r="C160" s="1"/>
  <c r="E160" l="1"/>
  <c r="D160"/>
  <c r="F160" l="1"/>
  <c r="G160" s="1"/>
  <c r="B161" s="1"/>
  <c r="C161" s="1"/>
  <c r="D161" l="1"/>
  <c r="F161" s="1"/>
  <c r="G161" s="1"/>
  <c r="B162" s="1"/>
  <c r="C162" s="1"/>
  <c r="E161"/>
  <c r="E162" l="1"/>
  <c r="D162"/>
  <c r="F162" l="1"/>
  <c r="G162" s="1"/>
  <c r="B163" s="1"/>
  <c r="C163" s="1"/>
  <c r="D163" l="1"/>
  <c r="E163"/>
  <c r="F163" l="1"/>
  <c r="G163" s="1"/>
  <c r="B164" l="1"/>
  <c r="C164" s="1"/>
  <c r="E164" l="1"/>
  <c r="D164"/>
  <c r="F164" s="1"/>
  <c r="G164" s="1"/>
  <c r="B165" s="1"/>
  <c r="C165" s="1"/>
  <c r="D165" l="1"/>
  <c r="E165"/>
  <c r="F165" s="1"/>
  <c r="G165" s="1"/>
  <c r="B166" s="1"/>
  <c r="C166" s="1"/>
  <c r="D166" l="1"/>
  <c r="E166"/>
  <c r="F166"/>
  <c r="G166" s="1"/>
  <c r="B167" s="1"/>
  <c r="C167" s="1"/>
  <c r="E167" l="1"/>
  <c r="D167"/>
  <c r="F167" s="1"/>
  <c r="G167" s="1"/>
  <c r="B168" s="1"/>
  <c r="C168" s="1"/>
  <c r="D168" l="1"/>
  <c r="E168"/>
  <c r="F168" s="1"/>
  <c r="G168" s="1"/>
  <c r="B169" s="1"/>
  <c r="C169" s="1"/>
  <c r="E169" l="1"/>
  <c r="D169"/>
  <c r="F169" s="1"/>
  <c r="G169" s="1"/>
  <c r="B170" s="1"/>
  <c r="C170" s="1"/>
  <c r="E170" l="1"/>
  <c r="D170"/>
  <c r="F170" s="1"/>
  <c r="G170" s="1"/>
  <c r="B171" s="1"/>
  <c r="C171" s="1"/>
  <c r="E171" l="1"/>
  <c r="D171" l="1"/>
  <c r="F171" s="1"/>
  <c r="G171" s="1"/>
  <c r="B172" s="1"/>
  <c r="C172" s="1"/>
  <c r="D172" l="1"/>
  <c r="E172"/>
  <c r="F172" l="1"/>
  <c r="G172" s="1"/>
  <c r="B173" s="1"/>
  <c r="C173" s="1"/>
  <c r="E173" l="1"/>
  <c r="D173"/>
  <c r="F173" l="1"/>
  <c r="G173" s="1"/>
  <c r="B174" s="1"/>
  <c r="C174" s="1"/>
  <c r="D174" l="1"/>
  <c r="E174"/>
  <c r="F174" l="1"/>
  <c r="G174" s="1"/>
  <c r="B175" s="1"/>
  <c r="C175" s="1"/>
  <c r="D175" l="1"/>
  <c r="E175"/>
  <c r="F175" l="1"/>
  <c r="G175" s="1"/>
  <c r="B176" s="1"/>
  <c r="C176" s="1"/>
  <c r="E176" l="1"/>
  <c r="D176"/>
  <c r="F176" l="1"/>
  <c r="G176" s="1"/>
  <c r="B177" s="1"/>
  <c r="C177" s="1"/>
  <c r="D177" l="1"/>
  <c r="E177"/>
  <c r="F177" l="1"/>
  <c r="G177" s="1"/>
  <c r="B178" s="1"/>
  <c r="C178" s="1"/>
  <c r="E178" l="1"/>
  <c r="D178" l="1"/>
  <c r="F178" s="1"/>
  <c r="G178" s="1"/>
  <c r="B179" s="1"/>
  <c r="C179" s="1"/>
  <c r="E179" l="1"/>
  <c r="D179"/>
  <c r="F179" l="1"/>
  <c r="G179" s="1"/>
  <c r="B180" s="1"/>
  <c r="C180" s="1"/>
  <c r="E180" l="1"/>
  <c r="D180"/>
  <c r="F180" l="1"/>
  <c r="G180" s="1"/>
  <c r="B181" s="1"/>
  <c r="C181" s="1"/>
  <c r="E181" l="1"/>
  <c r="D181" l="1"/>
  <c r="F181" s="1"/>
  <c r="G181" s="1"/>
  <c r="B182" s="1"/>
  <c r="C182" s="1"/>
  <c r="D182" l="1"/>
  <c r="E182"/>
  <c r="F182" l="1"/>
  <c r="G182" s="1"/>
  <c r="B183" s="1"/>
  <c r="C183" s="1"/>
  <c r="D183" l="1"/>
  <c r="E183" l="1"/>
  <c r="F183" s="1"/>
  <c r="G183" s="1"/>
  <c r="B184" s="1"/>
  <c r="C184" s="1"/>
  <c r="D184" l="1"/>
  <c r="E184"/>
  <c r="F184" l="1"/>
  <c r="G184" s="1"/>
  <c r="B185" s="1"/>
  <c r="C185" s="1"/>
  <c r="E185" l="1"/>
  <c r="D185"/>
  <c r="F185" l="1"/>
  <c r="G185" s="1"/>
  <c r="B186" s="1"/>
  <c r="C186" s="1"/>
  <c r="E186" l="1"/>
  <c r="D186"/>
  <c r="F186" l="1"/>
  <c r="G186" s="1"/>
  <c r="B187" s="1"/>
  <c r="C187" s="1"/>
  <c r="D187" l="1"/>
  <c r="E187" l="1"/>
  <c r="F187" s="1"/>
  <c r="G187" s="1"/>
  <c r="B188" s="1"/>
  <c r="C188" s="1"/>
  <c r="E188" l="1"/>
  <c r="D188"/>
  <c r="F188" l="1"/>
  <c r="G188" s="1"/>
  <c r="B189" s="1"/>
  <c r="C189" s="1"/>
  <c r="E189" l="1"/>
  <c r="D189"/>
  <c r="F189" l="1"/>
  <c r="G189" s="1"/>
  <c r="B190" s="1"/>
  <c r="C190" s="1"/>
  <c r="D190" l="1"/>
  <c r="E190"/>
  <c r="F190" l="1"/>
  <c r="G190" s="1"/>
  <c r="B191" l="1"/>
  <c r="C191" s="1"/>
  <c r="D191" l="1"/>
  <c r="E191"/>
  <c r="F191" s="1"/>
  <c r="G191" s="1"/>
  <c r="B192" s="1"/>
  <c r="C192" s="1"/>
  <c r="E192" l="1"/>
  <c r="D192"/>
  <c r="F192"/>
  <c r="G192" s="1"/>
  <c r="B193" s="1"/>
  <c r="C193" s="1"/>
  <c r="E193" l="1"/>
  <c r="D193" l="1"/>
  <c r="F193" s="1"/>
  <c r="G193" s="1"/>
  <c r="B194" s="1"/>
  <c r="C194" s="1"/>
  <c r="E194" l="1"/>
  <c r="D194"/>
  <c r="F194" l="1"/>
  <c r="G194" s="1"/>
  <c r="B195" s="1"/>
  <c r="C195" s="1"/>
  <c r="D195" l="1"/>
  <c r="E195"/>
  <c r="F195" l="1"/>
  <c r="G195" s="1"/>
  <c r="B196" l="1"/>
  <c r="C196" s="1"/>
  <c r="D196" l="1"/>
  <c r="E196"/>
  <c r="F196" s="1"/>
  <c r="G196" s="1"/>
  <c r="B197" s="1"/>
  <c r="C197" s="1"/>
  <c r="E197" l="1"/>
  <c r="D197"/>
  <c r="F197"/>
  <c r="G197" s="1"/>
  <c r="B198" s="1"/>
  <c r="C198" s="1"/>
  <c r="E198" l="1"/>
  <c r="D198" l="1"/>
  <c r="F198" s="1"/>
  <c r="G198" s="1"/>
  <c r="B199" l="1"/>
  <c r="C199" s="1"/>
  <c r="E199" l="1"/>
  <c r="D199"/>
  <c r="F199" s="1"/>
  <c r="G199" s="1"/>
  <c r="B200" s="1"/>
  <c r="C200" s="1"/>
  <c r="E200" l="1"/>
  <c r="D200"/>
  <c r="F200"/>
  <c r="G200" s="1"/>
  <c r="B201" s="1"/>
  <c r="C201" s="1"/>
  <c r="E201" l="1"/>
  <c r="D201" l="1"/>
  <c r="F201" s="1"/>
  <c r="G201" s="1"/>
  <c r="B202" l="1"/>
  <c r="C202" s="1"/>
  <c r="E202" l="1"/>
  <c r="D202"/>
  <c r="F202" s="1"/>
  <c r="G202" s="1"/>
  <c r="B203" s="1"/>
  <c r="C203" s="1"/>
  <c r="E203" l="1"/>
  <c r="D203"/>
  <c r="F203" s="1"/>
  <c r="G203" s="1"/>
  <c r="B204" s="1"/>
  <c r="C204" s="1"/>
  <c r="D204" l="1"/>
  <c r="E204"/>
  <c r="F204"/>
  <c r="G204" s="1"/>
  <c r="B205" s="1"/>
  <c r="C205" s="1"/>
  <c r="E205" l="1"/>
  <c r="D205"/>
  <c r="F205" l="1"/>
  <c r="G205" s="1"/>
  <c r="B206" s="1"/>
  <c r="C206" s="1"/>
  <c r="E206" l="1"/>
  <c r="D206"/>
  <c r="F206" l="1"/>
  <c r="G206" s="1"/>
  <c r="B207" s="1"/>
  <c r="C207" s="1"/>
  <c r="D207" l="1"/>
  <c r="E207"/>
  <c r="F207" l="1"/>
  <c r="G207" s="1"/>
  <c r="B208" s="1"/>
  <c r="C208" s="1"/>
  <c r="D208" l="1"/>
  <c r="E208"/>
  <c r="F208" l="1"/>
  <c r="G208" s="1"/>
  <c r="B209" s="1"/>
  <c r="C209" s="1"/>
  <c r="E209" l="1"/>
  <c r="D209" l="1"/>
  <c r="F209" s="1"/>
  <c r="G209" s="1"/>
  <c r="B210" l="1"/>
  <c r="C210" s="1"/>
  <c r="D210" l="1"/>
  <c r="E210"/>
  <c r="F210" s="1"/>
  <c r="G210" s="1"/>
  <c r="B211" s="1"/>
  <c r="C211" s="1"/>
  <c r="D211" l="1"/>
  <c r="E211"/>
  <c r="F211" s="1"/>
  <c r="G211" s="1"/>
  <c r="B212" s="1"/>
  <c r="C212" s="1"/>
  <c r="D212" l="1"/>
  <c r="E212"/>
  <c r="F212" l="1"/>
  <c r="G212" s="1"/>
  <c r="B213" l="1"/>
  <c r="C213" s="1"/>
  <c r="E213" l="1"/>
  <c r="D213"/>
  <c r="F213" s="1"/>
  <c r="G213" s="1"/>
  <c r="B214" s="1"/>
  <c r="C214" s="1"/>
  <c r="D214" l="1"/>
  <c r="E214"/>
  <c r="F214" s="1"/>
  <c r="G214" s="1"/>
  <c r="B215" s="1"/>
  <c r="C215" s="1"/>
  <c r="D215" l="1"/>
  <c r="E215"/>
  <c r="F215" s="1"/>
  <c r="G215" s="1"/>
  <c r="B216" s="1"/>
  <c r="C216" s="1"/>
  <c r="E216" l="1"/>
  <c r="D216"/>
  <c r="F216" s="1"/>
  <c r="G216" s="1"/>
  <c r="B217" s="1"/>
  <c r="C217" s="1"/>
  <c r="D217" l="1"/>
  <c r="E217"/>
  <c r="F217" s="1"/>
  <c r="G217" s="1"/>
  <c r="B218" s="1"/>
  <c r="C218" s="1"/>
  <c r="D218" l="1"/>
  <c r="E218" l="1"/>
  <c r="F218" s="1"/>
  <c r="G218" s="1"/>
  <c r="B219" s="1"/>
  <c r="C219" s="1"/>
  <c r="E219" l="1"/>
  <c r="D219"/>
  <c r="F219" l="1"/>
  <c r="G219" s="1"/>
  <c r="B220" s="1"/>
  <c r="C220" s="1"/>
  <c r="E220" l="1"/>
  <c r="D220"/>
  <c r="F220" l="1"/>
  <c r="G220" s="1"/>
  <c r="B221" s="1"/>
  <c r="C221" s="1"/>
  <c r="E221" l="1"/>
  <c r="D221" l="1"/>
  <c r="F221" s="1"/>
  <c r="G221" s="1"/>
  <c r="B222" s="1"/>
  <c r="C222" s="1"/>
  <c r="E222" l="1"/>
  <c r="D222"/>
  <c r="F222" l="1"/>
  <c r="G222" s="1"/>
  <c r="B223" s="1"/>
  <c r="C223" s="1"/>
  <c r="D223" l="1"/>
  <c r="E223"/>
  <c r="F223" l="1"/>
  <c r="G223" s="1"/>
  <c r="B224" s="1"/>
  <c r="C224" s="1"/>
  <c r="E224" l="1"/>
  <c r="D224" l="1"/>
  <c r="F224" s="1"/>
  <c r="G224" s="1"/>
  <c r="B225" l="1"/>
  <c r="C225" s="1"/>
  <c r="E225" l="1"/>
  <c r="D225"/>
  <c r="F225" s="1"/>
  <c r="G225" s="1"/>
  <c r="B226" s="1"/>
  <c r="C226" s="1"/>
  <c r="D226" l="1"/>
  <c r="F226" s="1"/>
  <c r="G226" s="1"/>
  <c r="B227" s="1"/>
  <c r="C227" s="1"/>
  <c r="E226"/>
  <c r="D227" l="1"/>
  <c r="E227"/>
  <c r="F227"/>
  <c r="G227" s="1"/>
  <c r="B228" s="1"/>
  <c r="C228" s="1"/>
  <c r="D228" l="1"/>
  <c r="E228" l="1"/>
  <c r="F228" s="1"/>
  <c r="G228" s="1"/>
  <c r="B229" s="1"/>
  <c r="C229" s="1"/>
  <c r="D229" l="1"/>
  <c r="E229"/>
  <c r="F229" l="1"/>
  <c r="G229" s="1"/>
  <c r="B230" s="1"/>
  <c r="C230" s="1"/>
  <c r="E230" l="1"/>
  <c r="D230" l="1"/>
  <c r="F230" s="1"/>
  <c r="G230" s="1"/>
  <c r="B231" l="1"/>
  <c r="C231" s="1"/>
  <c r="D231" l="1"/>
  <c r="E231"/>
  <c r="F231" s="1"/>
  <c r="G231" s="1"/>
  <c r="B232" s="1"/>
  <c r="C232" s="1"/>
  <c r="D232" l="1"/>
  <c r="E232"/>
  <c r="F232" s="1"/>
  <c r="G232" s="1"/>
  <c r="B233" s="1"/>
  <c r="C233" s="1"/>
  <c r="D233" l="1"/>
  <c r="E233"/>
  <c r="F233" s="1"/>
  <c r="G233" s="1"/>
  <c r="B234" s="1"/>
  <c r="C234" s="1"/>
  <c r="E234" l="1"/>
  <c r="D234"/>
  <c r="F234" s="1"/>
  <c r="G234" s="1"/>
  <c r="B235" s="1"/>
  <c r="C235" s="1"/>
  <c r="E235" l="1"/>
  <c r="D235"/>
  <c r="F235" l="1"/>
  <c r="G235" s="1"/>
  <c r="B236" s="1"/>
  <c r="C236" s="1"/>
  <c r="D236" l="1"/>
  <c r="E236" l="1"/>
  <c r="F236" s="1"/>
  <c r="G236" s="1"/>
  <c r="B237" l="1"/>
  <c r="C237" s="1"/>
  <c r="E237" l="1"/>
  <c r="D237"/>
  <c r="F237" s="1"/>
  <c r="G237" s="1"/>
  <c r="B238" s="1"/>
  <c r="C238" s="1"/>
  <c r="E238" l="1"/>
  <c r="D238"/>
  <c r="F238"/>
  <c r="G238" s="1"/>
  <c r="B239" s="1"/>
  <c r="C239" s="1"/>
  <c r="E239" l="1"/>
  <c r="D239"/>
  <c r="F239" s="1"/>
  <c r="G239" s="1"/>
  <c r="B240" s="1"/>
  <c r="C240" s="1"/>
  <c r="E240" l="1"/>
  <c r="D240"/>
  <c r="F240" s="1"/>
  <c r="G240" s="1"/>
  <c r="B241" s="1"/>
  <c r="C241" s="1"/>
  <c r="E241" l="1"/>
  <c r="D241" l="1"/>
  <c r="F241" s="1"/>
  <c r="G241" s="1"/>
  <c r="B242" s="1"/>
  <c r="C242" s="1"/>
  <c r="D242" l="1"/>
  <c r="E242"/>
  <c r="F242" l="1"/>
  <c r="G242" s="1"/>
  <c r="B243" l="1"/>
  <c r="C243" s="1"/>
  <c r="E243" l="1"/>
  <c r="D243"/>
  <c r="F243" s="1"/>
  <c r="G243" s="1"/>
  <c r="B244" s="1"/>
  <c r="C244" s="1"/>
  <c r="E244" l="1"/>
  <c r="D244"/>
  <c r="F244" s="1"/>
  <c r="G244" s="1"/>
  <c r="B245" s="1"/>
  <c r="C245" s="1"/>
  <c r="E245" l="1"/>
  <c r="D245"/>
  <c r="F245" s="1"/>
  <c r="G245" s="1"/>
  <c r="B246" s="1"/>
  <c r="C246" s="1"/>
  <c r="D246" l="1"/>
  <c r="E246"/>
  <c r="F246" s="1"/>
  <c r="G246" s="1"/>
  <c r="B247" s="1"/>
  <c r="C247" s="1"/>
  <c r="D247" l="1"/>
  <c r="E247"/>
  <c r="F247"/>
  <c r="G247" s="1"/>
  <c r="B248" s="1"/>
  <c r="C248" s="1"/>
  <c r="D248" l="1"/>
  <c r="E248"/>
  <c r="F248" l="1"/>
  <c r="G248" s="1"/>
  <c r="B249" s="1"/>
  <c r="C249" s="1"/>
  <c r="D249" l="1"/>
  <c r="E249"/>
  <c r="F249" l="1"/>
  <c r="G249" s="1"/>
  <c r="B250" s="1"/>
  <c r="C250" s="1"/>
  <c r="D250" l="1"/>
  <c r="E250" l="1"/>
  <c r="F250" s="1"/>
  <c r="G250" s="1"/>
  <c r="B251" l="1"/>
  <c r="C251" s="1"/>
  <c r="D251" l="1"/>
  <c r="E251"/>
  <c r="F251" s="1"/>
  <c r="G251" s="1"/>
  <c r="B252" s="1"/>
  <c r="C252" s="1"/>
  <c r="D252" l="1"/>
  <c r="E252"/>
  <c r="F252" s="1"/>
  <c r="G252" s="1"/>
  <c r="B253" s="1"/>
  <c r="C253" s="1"/>
  <c r="D253" l="1"/>
  <c r="E253"/>
  <c r="F253"/>
  <c r="G253" s="1"/>
  <c r="B254" s="1"/>
  <c r="C254" s="1"/>
  <c r="D254" l="1"/>
  <c r="E254" l="1"/>
  <c r="F254" s="1"/>
  <c r="G254" s="1"/>
  <c r="B255" l="1"/>
  <c r="C255" s="1"/>
  <c r="D255" l="1"/>
  <c r="E255"/>
  <c r="F255" s="1"/>
  <c r="G255" s="1"/>
  <c r="B256" s="1"/>
  <c r="C256" s="1"/>
  <c r="E256" l="1"/>
  <c r="D256"/>
  <c r="F256" s="1"/>
  <c r="G256" s="1"/>
  <c r="B257" s="1"/>
  <c r="C257" s="1"/>
  <c r="E257" l="1"/>
  <c r="D257"/>
  <c r="F257" l="1"/>
  <c r="G257" s="1"/>
  <c r="B258" l="1"/>
  <c r="C258" s="1"/>
  <c r="E258" l="1"/>
  <c r="D258"/>
  <c r="F258" s="1"/>
  <c r="G258" s="1"/>
  <c r="B259" s="1"/>
  <c r="C259" s="1"/>
  <c r="D259" l="1"/>
  <c r="E259"/>
  <c r="F259" s="1"/>
  <c r="G259" s="1"/>
  <c r="B260" s="1"/>
  <c r="C260" s="1"/>
  <c r="E260" l="1"/>
  <c r="D260"/>
  <c r="F260" s="1"/>
  <c r="G260" s="1"/>
  <c r="B261" s="1"/>
  <c r="C261" s="1"/>
  <c r="D261" l="1"/>
  <c r="E261" l="1"/>
  <c r="F261" s="1"/>
  <c r="G261" s="1"/>
  <c r="B262" s="1"/>
  <c r="C262" s="1"/>
  <c r="D262" l="1"/>
  <c r="E262"/>
  <c r="F262" l="1"/>
  <c r="G262" s="1"/>
  <c r="B263" l="1"/>
  <c r="C263" s="1"/>
  <c r="D263" l="1"/>
  <c r="E263"/>
  <c r="F263" s="1"/>
  <c r="G263" s="1"/>
  <c r="B264" s="1"/>
  <c r="C264" s="1"/>
  <c r="E264" l="1"/>
  <c r="D264"/>
  <c r="F264"/>
  <c r="G264" s="1"/>
  <c r="B265" s="1"/>
  <c r="C265" s="1"/>
  <c r="D265" l="1"/>
  <c r="E265"/>
  <c r="F265" l="1"/>
  <c r="G265" s="1"/>
  <c r="B266" s="1"/>
  <c r="C266" s="1"/>
  <c r="E266" l="1"/>
  <c r="D266"/>
  <c r="F266" l="1"/>
  <c r="G266" s="1"/>
  <c r="B267" s="1"/>
  <c r="C267" s="1"/>
  <c r="D267" l="1"/>
  <c r="E267"/>
  <c r="F267" l="1"/>
  <c r="G267" s="1"/>
  <c r="B268" s="1"/>
  <c r="C268" s="1"/>
  <c r="E268" l="1"/>
  <c r="D268"/>
  <c r="F268" l="1"/>
  <c r="G268" s="1"/>
  <c r="B269" s="1"/>
  <c r="C269" s="1"/>
  <c r="E269" l="1"/>
  <c r="D269"/>
  <c r="F269" l="1"/>
  <c r="G269" s="1"/>
  <c r="B270" s="1"/>
  <c r="C270" s="1"/>
  <c r="E270" l="1"/>
  <c r="D270" l="1"/>
  <c r="F270" s="1"/>
  <c r="G270" s="1"/>
  <c r="B271" l="1"/>
  <c r="C271" s="1"/>
  <c r="D271" l="1"/>
  <c r="E271"/>
  <c r="F271" s="1"/>
  <c r="G271" s="1"/>
  <c r="B272" s="1"/>
  <c r="C272" s="1"/>
  <c r="E272" l="1"/>
  <c r="D272"/>
  <c r="F272" s="1"/>
  <c r="G272" s="1"/>
  <c r="B273" s="1"/>
  <c r="C273" s="1"/>
  <c r="D273" l="1"/>
  <c r="E273"/>
  <c r="F273" l="1"/>
  <c r="G273" s="1"/>
  <c r="B274" l="1"/>
  <c r="C274" s="1"/>
  <c r="D274" l="1"/>
  <c r="E274"/>
  <c r="F274" s="1"/>
  <c r="G274" s="1"/>
  <c r="B275" s="1"/>
  <c r="C275" s="1"/>
  <c r="E275" l="1"/>
  <c r="D275"/>
  <c r="F275"/>
  <c r="G275" s="1"/>
  <c r="B276" s="1"/>
  <c r="C276" s="1"/>
  <c r="E276" l="1"/>
  <c r="D276"/>
  <c r="F276" s="1"/>
  <c r="G276" s="1"/>
  <c r="B277" s="1"/>
  <c r="C277" s="1"/>
  <c r="D277" l="1"/>
  <c r="E277"/>
  <c r="F277" s="1"/>
  <c r="G277" s="1"/>
  <c r="B278" s="1"/>
  <c r="C278" s="1"/>
  <c r="D278" l="1"/>
  <c r="E278"/>
  <c r="F278" s="1"/>
  <c r="G278" s="1"/>
  <c r="B279" s="1"/>
  <c r="C279" s="1"/>
  <c r="E279" l="1"/>
  <c r="D279" l="1"/>
  <c r="F279" s="1"/>
  <c r="G279" s="1"/>
  <c r="B280" l="1"/>
  <c r="C280" s="1"/>
  <c r="D280" l="1"/>
  <c r="E280"/>
  <c r="F280" s="1"/>
  <c r="G280" s="1"/>
  <c r="B281" s="1"/>
  <c r="C281" s="1"/>
  <c r="D281" l="1"/>
  <c r="E281"/>
  <c r="F281" s="1"/>
  <c r="G281" s="1"/>
  <c r="B282" s="1"/>
  <c r="C282" s="1"/>
  <c r="D282" l="1"/>
  <c r="E282"/>
  <c r="F282" l="1"/>
  <c r="G282" s="1"/>
  <c r="B283" l="1"/>
  <c r="C283" s="1"/>
  <c r="D283" l="1"/>
  <c r="E283"/>
  <c r="F283" s="1"/>
  <c r="G283" s="1"/>
  <c r="B284" s="1"/>
  <c r="C284" s="1"/>
  <c r="E284" l="1"/>
  <c r="D284"/>
  <c r="F284" s="1"/>
  <c r="G284" s="1"/>
  <c r="B285" s="1"/>
  <c r="C285" s="1"/>
  <c r="D285" l="1"/>
  <c r="E285"/>
  <c r="F285" s="1"/>
  <c r="G285" s="1"/>
  <c r="B286" s="1"/>
  <c r="C286" s="1"/>
  <c r="E286" l="1"/>
  <c r="D286"/>
  <c r="F286" s="1"/>
  <c r="G286" s="1"/>
  <c r="B287" s="1"/>
  <c r="C287" s="1"/>
  <c r="E287" l="1"/>
  <c r="D287"/>
  <c r="F287" s="1"/>
  <c r="G287" s="1"/>
  <c r="B288" s="1"/>
  <c r="C288" s="1"/>
  <c r="E288" l="1"/>
  <c r="D288"/>
  <c r="F288" l="1"/>
  <c r="G288" s="1"/>
  <c r="B289" s="1"/>
  <c r="C289" s="1"/>
  <c r="D289" l="1"/>
  <c r="E289"/>
  <c r="F289" l="1"/>
  <c r="G289" s="1"/>
  <c r="B290" s="1"/>
  <c r="C290" s="1"/>
  <c r="D290" l="1"/>
  <c r="E290"/>
  <c r="F290" l="1"/>
  <c r="G290" s="1"/>
  <c r="B291" s="1"/>
  <c r="C291" s="1"/>
  <c r="E291" l="1"/>
  <c r="D291"/>
  <c r="F291" l="1"/>
  <c r="G291" s="1"/>
  <c r="B292" s="1"/>
  <c r="C292" s="1"/>
  <c r="E292" l="1"/>
  <c r="D292" l="1"/>
  <c r="F292" s="1"/>
  <c r="G292" s="1"/>
  <c r="B293" l="1"/>
  <c r="C293" s="1"/>
  <c r="E293" l="1"/>
  <c r="D293"/>
  <c r="F293" s="1"/>
  <c r="G293" s="1"/>
  <c r="B294" s="1"/>
  <c r="C294" s="1"/>
  <c r="E294" l="1"/>
  <c r="D294"/>
  <c r="F294"/>
  <c r="G294" s="1"/>
  <c r="B295" s="1"/>
  <c r="C295" s="1"/>
  <c r="E295" l="1"/>
  <c r="D295"/>
  <c r="F295" s="1"/>
  <c r="G295" s="1"/>
  <c r="B296" s="1"/>
  <c r="C296" s="1"/>
  <c r="D296" l="1"/>
  <c r="E296"/>
  <c r="F296" l="1"/>
  <c r="G296" s="1"/>
  <c r="B297" s="1"/>
  <c r="C297" s="1"/>
  <c r="D297" l="1"/>
  <c r="E297" l="1"/>
  <c r="F297" s="1"/>
  <c r="G297" s="1"/>
  <c r="B298" l="1"/>
  <c r="C298" s="1"/>
  <c r="D298" l="1"/>
  <c r="E298"/>
  <c r="F298" s="1"/>
  <c r="G298" s="1"/>
  <c r="B299" s="1"/>
  <c r="C299" s="1"/>
  <c r="D299" l="1"/>
  <c r="E299"/>
  <c r="F299" s="1"/>
  <c r="G299" s="1"/>
  <c r="B300" s="1"/>
  <c r="C300" s="1"/>
  <c r="D300" l="1"/>
  <c r="E300"/>
  <c r="F300"/>
  <c r="G300" s="1"/>
  <c r="B301" s="1"/>
  <c r="C301" s="1"/>
  <c r="D301" l="1"/>
  <c r="E301"/>
  <c r="F301" s="1"/>
  <c r="G301" s="1"/>
  <c r="B302" s="1"/>
  <c r="C302" s="1"/>
  <c r="E302" l="1"/>
  <c r="D302"/>
  <c r="F302" l="1"/>
  <c r="G302" s="1"/>
  <c r="B303" l="1"/>
  <c r="C303" s="1"/>
  <c r="D303" l="1"/>
  <c r="E303"/>
  <c r="F303" s="1"/>
  <c r="G303" s="1"/>
  <c r="B304" s="1"/>
  <c r="C304" s="1"/>
  <c r="E304" l="1"/>
  <c r="D304"/>
  <c r="F304"/>
  <c r="G304" s="1"/>
  <c r="B305" s="1"/>
  <c r="C305" s="1"/>
  <c r="D305" l="1"/>
  <c r="E305"/>
  <c r="F305" l="1"/>
  <c r="G305" s="1"/>
  <c r="B306" s="1"/>
  <c r="C306" s="1"/>
  <c r="E306" l="1"/>
  <c r="D306"/>
  <c r="F306" l="1"/>
  <c r="G306" s="1"/>
  <c r="B307" s="1"/>
  <c r="C307" s="1"/>
  <c r="E307" l="1"/>
  <c r="D307" l="1"/>
  <c r="F307" s="1"/>
  <c r="G307" s="1"/>
  <c r="B308" s="1"/>
  <c r="C308" s="1"/>
  <c r="D308" l="1"/>
  <c r="E308"/>
  <c r="F308" l="1"/>
  <c r="G308" s="1"/>
  <c r="B309" s="1"/>
  <c r="C309" s="1"/>
  <c r="E309" l="1"/>
  <c r="D309" l="1"/>
  <c r="F309" s="1"/>
  <c r="G309" s="1"/>
  <c r="B310" l="1"/>
  <c r="C310" s="1"/>
  <c r="E310" l="1"/>
  <c r="D310"/>
  <c r="F310" s="1"/>
  <c r="G310" s="1"/>
  <c r="B311" s="1"/>
  <c r="C311" s="1"/>
  <c r="E311" l="1"/>
  <c r="D311"/>
  <c r="F311" l="1"/>
  <c r="G311" s="1"/>
  <c r="B312" s="1"/>
  <c r="C312" s="1"/>
  <c r="D312" l="1"/>
  <c r="E312"/>
  <c r="F312" l="1"/>
  <c r="G312" s="1"/>
  <c r="B313" s="1"/>
  <c r="C313" s="1"/>
  <c r="D313" l="1"/>
  <c r="E313"/>
  <c r="F313" l="1"/>
  <c r="G313" s="1"/>
  <c r="B314" s="1"/>
  <c r="C314" s="1"/>
  <c r="E314" l="1"/>
  <c r="D314"/>
  <c r="F314" l="1"/>
  <c r="G314" s="1"/>
  <c r="B315" s="1"/>
  <c r="C315" s="1"/>
  <c r="D315" l="1"/>
  <c r="E315"/>
  <c r="F315" l="1"/>
  <c r="G315" s="1"/>
  <c r="B316" s="1"/>
  <c r="C316" s="1"/>
  <c r="E316" l="1"/>
  <c r="D316" l="1"/>
  <c r="F316" s="1"/>
  <c r="G316" s="1"/>
  <c r="B317" s="1"/>
  <c r="C317" l="1"/>
  <c r="G6"/>
  <c r="E317"/>
  <c r="D317"/>
  <c r="F317" l="1"/>
  <c r="G317" s="1"/>
  <c r="B318" s="1"/>
  <c r="C318" s="1"/>
  <c r="D318" l="1"/>
  <c r="E318"/>
  <c r="F318" l="1"/>
  <c r="G318" s="1"/>
  <c r="B319" s="1"/>
  <c r="C319" s="1"/>
  <c r="D319" l="1"/>
  <c r="E319"/>
  <c r="F319" l="1"/>
  <c r="G319" s="1"/>
  <c r="B320" s="1"/>
  <c r="C320" s="1"/>
  <c r="E320" l="1"/>
  <c r="D320"/>
  <c r="F320" l="1"/>
  <c r="G320" s="1"/>
  <c r="B321" s="1"/>
  <c r="C321" s="1"/>
  <c r="E321" l="1"/>
  <c r="D321" l="1"/>
  <c r="F321" s="1"/>
  <c r="G321" s="1"/>
  <c r="B322" s="1"/>
  <c r="C322" s="1"/>
  <c r="D322" l="1"/>
  <c r="E322"/>
  <c r="F322" l="1"/>
  <c r="G322" s="1"/>
  <c r="B323" s="1"/>
  <c r="C323" s="1"/>
  <c r="D323" l="1"/>
  <c r="E323"/>
  <c r="F323" l="1"/>
  <c r="G323" s="1"/>
  <c r="B324" s="1"/>
  <c r="C324" s="1"/>
  <c r="D324" l="1"/>
  <c r="E324" l="1"/>
  <c r="F324" s="1"/>
  <c r="G324" s="1"/>
  <c r="B325" l="1"/>
  <c r="C325" s="1"/>
  <c r="D325" l="1"/>
  <c r="E325"/>
  <c r="F325" s="1"/>
  <c r="G325" s="1"/>
  <c r="B326" s="1"/>
  <c r="C326" s="1"/>
  <c r="D326" l="1"/>
  <c r="E326"/>
  <c r="F326" s="1"/>
  <c r="G326" s="1"/>
  <c r="B327" s="1"/>
  <c r="C327" s="1"/>
  <c r="D327" l="1"/>
  <c r="E327"/>
  <c r="F327"/>
  <c r="G327" s="1"/>
  <c r="B328" s="1"/>
  <c r="C328" s="1"/>
  <c r="D328" l="1"/>
  <c r="E328"/>
  <c r="F328" s="1"/>
  <c r="G328" s="1"/>
  <c r="B329" s="1"/>
  <c r="C329" s="1"/>
  <c r="D329" l="1"/>
  <c r="E329"/>
  <c r="F329" l="1"/>
  <c r="G329" s="1"/>
  <c r="B330" s="1"/>
  <c r="C330" s="1"/>
  <c r="D330" l="1"/>
  <c r="E330"/>
  <c r="F330" l="1"/>
  <c r="G330" s="1"/>
  <c r="B331" s="1"/>
  <c r="C331" s="1"/>
  <c r="E331" l="1"/>
  <c r="D331" l="1"/>
  <c r="F331" s="1"/>
  <c r="G331" s="1"/>
  <c r="B332" l="1"/>
  <c r="C332" s="1"/>
  <c r="D332" l="1"/>
  <c r="E332"/>
  <c r="F332" s="1"/>
  <c r="G332" s="1"/>
  <c r="B333" s="1"/>
  <c r="C333" s="1"/>
  <c r="D333" l="1"/>
  <c r="E333"/>
  <c r="F333"/>
  <c r="G333" s="1"/>
  <c r="B334" s="1"/>
  <c r="C334" s="1"/>
  <c r="E334" l="1"/>
  <c r="D334"/>
  <c r="F334" s="1"/>
  <c r="G334" s="1"/>
  <c r="B335" s="1"/>
  <c r="C335" s="1"/>
  <c r="D335" l="1"/>
  <c r="E335" l="1"/>
  <c r="F335" s="1"/>
  <c r="G335" s="1"/>
  <c r="B336" l="1"/>
  <c r="C336" s="1"/>
  <c r="E336" l="1"/>
  <c r="D336"/>
  <c r="F336" s="1"/>
  <c r="G336" s="1"/>
  <c r="B337" s="1"/>
  <c r="C337" s="1"/>
  <c r="D337" l="1"/>
  <c r="E337"/>
  <c r="F337"/>
  <c r="G337" s="1"/>
  <c r="B338" s="1"/>
  <c r="C338" s="1"/>
  <c r="E338" l="1"/>
  <c r="D338"/>
  <c r="F338" s="1"/>
  <c r="G338" s="1"/>
  <c r="B339" s="1"/>
  <c r="C339" s="1"/>
  <c r="D339" l="1"/>
  <c r="E339"/>
  <c r="F339" s="1"/>
  <c r="G339" s="1"/>
  <c r="B340" s="1"/>
  <c r="C340" s="1"/>
  <c r="D340" l="1"/>
  <c r="E340" l="1"/>
  <c r="F340" s="1"/>
  <c r="G340" s="1"/>
  <c r="B341" s="1"/>
  <c r="C341" s="1"/>
  <c r="E341" l="1"/>
  <c r="D341"/>
  <c r="F341" l="1"/>
  <c r="G341" s="1"/>
  <c r="B342" l="1"/>
  <c r="C342" s="1"/>
  <c r="D342" l="1"/>
  <c r="E342"/>
  <c r="F342" s="1"/>
  <c r="G342" s="1"/>
  <c r="B343" s="1"/>
  <c r="C343" s="1"/>
  <c r="D343" l="1"/>
  <c r="E343"/>
  <c r="F343" s="1"/>
  <c r="G343" s="1"/>
  <c r="B344" s="1"/>
  <c r="C344" s="1"/>
  <c r="E344" l="1"/>
  <c r="D344"/>
  <c r="F344"/>
  <c r="G344" s="1"/>
  <c r="B345" s="1"/>
  <c r="C345" s="1"/>
  <c r="E345" l="1"/>
  <c r="D345"/>
  <c r="F345" s="1"/>
  <c r="G345" s="1"/>
  <c r="B346" s="1"/>
  <c r="C346" s="1"/>
  <c r="D346" l="1"/>
  <c r="E346"/>
  <c r="F346" s="1"/>
  <c r="G346" s="1"/>
  <c r="B347" s="1"/>
  <c r="C347" s="1"/>
  <c r="D347" l="1"/>
  <c r="E347"/>
  <c r="F347" l="1"/>
  <c r="G347" s="1"/>
  <c r="B348" s="1"/>
  <c r="C348" s="1"/>
  <c r="D348" l="1"/>
  <c r="E348" l="1"/>
  <c r="F348" s="1"/>
  <c r="G348" s="1"/>
  <c r="B349" s="1"/>
  <c r="C349" s="1"/>
  <c r="D349" l="1"/>
  <c r="F349" s="1"/>
  <c r="G349" s="1"/>
  <c r="B350" s="1"/>
  <c r="C350" s="1"/>
  <c r="E349"/>
  <c r="D350" l="1"/>
  <c r="E350"/>
  <c r="F350" l="1"/>
  <c r="G350" s="1"/>
  <c r="B351" s="1"/>
  <c r="C351" s="1"/>
  <c r="E351" l="1"/>
  <c r="D351"/>
  <c r="F351" l="1"/>
  <c r="G351" s="1"/>
  <c r="B352" s="1"/>
  <c r="C352" s="1"/>
  <c r="E352" l="1"/>
  <c r="D352"/>
  <c r="F352" l="1"/>
  <c r="G352" s="1"/>
  <c r="B353" s="1"/>
  <c r="C353" s="1"/>
  <c r="E353" l="1"/>
  <c r="D353" l="1"/>
  <c r="F353" s="1"/>
  <c r="G353" s="1"/>
  <c r="B354" s="1"/>
  <c r="C354" s="1"/>
  <c r="D354" l="1"/>
  <c r="E354"/>
  <c r="F354" l="1"/>
  <c r="G354" s="1"/>
  <c r="B355" l="1"/>
  <c r="C355" s="1"/>
  <c r="E355" l="1"/>
  <c r="D355"/>
  <c r="F355" s="1"/>
  <c r="G355" s="1"/>
  <c r="B356" s="1"/>
  <c r="C356" s="1"/>
  <c r="D356" l="1"/>
  <c r="E356"/>
  <c r="F356" s="1"/>
  <c r="G356" s="1"/>
  <c r="B357" s="1"/>
  <c r="C357" s="1"/>
  <c r="E357" l="1"/>
  <c r="D357"/>
  <c r="F357"/>
  <c r="G357" s="1"/>
  <c r="B358" s="1"/>
  <c r="C358" s="1"/>
  <c r="D358" l="1"/>
  <c r="E358" l="1"/>
  <c r="F358" s="1"/>
  <c r="G358" s="1"/>
  <c r="B359" l="1"/>
  <c r="C359" s="1"/>
  <c r="D359" l="1"/>
  <c r="E359"/>
  <c r="F359" s="1"/>
  <c r="G359" s="1"/>
  <c r="B360" s="1"/>
  <c r="C360" s="1"/>
  <c r="D360" l="1"/>
  <c r="E360"/>
  <c r="F360" s="1"/>
  <c r="G360" s="1"/>
  <c r="B361" s="1"/>
  <c r="C361" s="1"/>
  <c r="D361" l="1"/>
  <c r="F361" s="1"/>
  <c r="G361" s="1"/>
  <c r="B362" s="1"/>
  <c r="C362" s="1"/>
  <c r="E361"/>
  <c r="D362" l="1"/>
  <c r="E362"/>
  <c r="F362"/>
  <c r="G362" s="1"/>
  <c r="B363" l="1"/>
  <c r="C363" s="1"/>
  <c r="E363" l="1"/>
  <c r="D363"/>
  <c r="F363" s="1"/>
  <c r="G363" s="1"/>
  <c r="B364" s="1"/>
  <c r="C364" s="1"/>
  <c r="E364" l="1"/>
  <c r="D364"/>
  <c r="F364" s="1"/>
  <c r="G364" s="1"/>
  <c r="B365" s="1"/>
  <c r="C365" s="1"/>
  <c r="D365" l="1"/>
  <c r="E365"/>
  <c r="F365" l="1"/>
  <c r="G365" s="1"/>
  <c r="B366" s="1"/>
  <c r="C366" s="1"/>
  <c r="E366" l="1"/>
  <c r="D366"/>
  <c r="F366" l="1"/>
  <c r="G366" s="1"/>
  <c r="B367" s="1"/>
  <c r="C367" s="1"/>
  <c r="E367" l="1"/>
  <c r="D367"/>
  <c r="F367" l="1"/>
  <c r="G367" s="1"/>
  <c r="B368" l="1"/>
  <c r="C368" s="1"/>
  <c r="E368" l="1"/>
  <c r="D368"/>
  <c r="F368" s="1"/>
  <c r="G368" s="1"/>
  <c r="B369" s="1"/>
  <c r="C369" s="1"/>
  <c r="E369" l="1"/>
  <c r="D369"/>
  <c r="F369" s="1"/>
  <c r="G369" s="1"/>
  <c r="B370" s="1"/>
  <c r="C370" s="1"/>
  <c r="D370" l="1"/>
  <c r="F370" s="1"/>
  <c r="G370" s="1"/>
  <c r="B371" s="1"/>
  <c r="C371" s="1"/>
  <c r="E370"/>
  <c r="E371" l="1"/>
  <c r="D371"/>
  <c r="F371" s="1"/>
  <c r="G371" s="1"/>
  <c r="B372" s="1"/>
  <c r="C372" s="1"/>
  <c r="D372" l="1"/>
  <c r="E372"/>
  <c r="F372" s="1"/>
  <c r="G372" s="1"/>
  <c r="B373" s="1"/>
  <c r="C373" s="1"/>
  <c r="E373" l="1"/>
  <c r="D373"/>
  <c r="F373" s="1"/>
  <c r="G373" s="1"/>
  <c r="B374" s="1"/>
  <c r="C374" s="1"/>
  <c r="D374" l="1"/>
  <c r="E374"/>
  <c r="F374"/>
  <c r="G374" s="1"/>
  <c r="B375" s="1"/>
  <c r="C375" s="1"/>
  <c r="D375" l="1"/>
  <c r="E375"/>
  <c r="F375" l="1"/>
  <c r="G375" s="1"/>
  <c r="B376" s="1"/>
  <c r="C376" s="1"/>
  <c r="D376" l="1"/>
  <c r="E376"/>
  <c r="F376" l="1"/>
  <c r="G376" s="1"/>
  <c r="B377" l="1"/>
  <c r="C377" s="1"/>
  <c r="D377" l="1"/>
  <c r="E377"/>
  <c r="F377" s="1"/>
  <c r="G377" s="1"/>
  <c r="B378" s="1"/>
  <c r="C378" s="1"/>
  <c r="E378" l="1"/>
  <c r="D378"/>
  <c r="F378"/>
  <c r="G378" s="1"/>
  <c r="B379" s="1"/>
  <c r="C379" s="1"/>
  <c r="E379" l="1"/>
  <c r="D379"/>
  <c r="F379" s="1"/>
  <c r="G379" s="1"/>
  <c r="B380" s="1"/>
  <c r="C380" s="1"/>
  <c r="D380" l="1"/>
  <c r="E380"/>
  <c r="F380" s="1"/>
  <c r="G380" s="1"/>
  <c r="B381" s="1"/>
  <c r="C381" s="1"/>
  <c r="E381" l="1"/>
  <c r="D381"/>
  <c r="F381" l="1"/>
  <c r="G381" s="1"/>
  <c r="B382" l="1"/>
  <c r="C382" s="1"/>
  <c r="D382" l="1"/>
  <c r="E382"/>
  <c r="F382" s="1"/>
  <c r="G382" s="1"/>
  <c r="B383" s="1"/>
  <c r="C383" s="1"/>
  <c r="E383" l="1"/>
  <c r="G8" s="1"/>
  <c r="D383"/>
  <c r="F383" s="1"/>
  <c r="G383" l="1"/>
  <c r="G7"/>
  <c r="G9" s="1"/>
</calcChain>
</file>

<file path=xl/sharedStrings.xml><?xml version="1.0" encoding="utf-8"?>
<sst xmlns="http://schemas.openxmlformats.org/spreadsheetml/2006/main" count="25" uniqueCount="24">
  <si>
    <t>Principal</t>
  </si>
  <si>
    <t>Beginning of a period</t>
  </si>
  <si>
    <t>End of a period</t>
  </si>
  <si>
    <t>Months</t>
  </si>
  <si>
    <t>Monthly payment</t>
  </si>
  <si>
    <t>Payment type</t>
  </si>
  <si>
    <t>Monthly</t>
  </si>
  <si>
    <t>Compounding</t>
  </si>
  <si>
    <t>Term (months)</t>
  </si>
  <si>
    <t>Annual interest rate</t>
  </si>
  <si>
    <t>Interest</t>
  </si>
  <si>
    <t>Balance</t>
  </si>
  <si>
    <t>Due date</t>
  </si>
  <si>
    <t>Number of payments</t>
  </si>
  <si>
    <t>Total payments</t>
  </si>
  <si>
    <t>Total interest payments</t>
  </si>
  <si>
    <t>Summary</t>
  </si>
  <si>
    <t>Total principal payments</t>
  </si>
  <si>
    <t>Inputs</t>
  </si>
  <si>
    <t>Payment frequency</t>
  </si>
  <si>
    <t>Loan date</t>
  </si>
  <si>
    <t>Monthly amortization schedule</t>
  </si>
  <si>
    <t>MONTHLY LOAN AMORTIZATION SCHEDULE</t>
  </si>
  <si>
    <t>©khaliloff</t>
  </si>
</sst>
</file>

<file path=xl/styles.xml><?xml version="1.0" encoding="utf-8"?>
<styleSheet xmlns="http://schemas.openxmlformats.org/spreadsheetml/2006/main">
  <numFmts count="5">
    <numFmt numFmtId="43" formatCode="_-* #,##0.00_р_._-;\-* #,##0.00_р_._-;_-* &quot;-&quot;??_р_._-;_-@_-"/>
    <numFmt numFmtId="164" formatCode="_-* #,##0_р_._-;\-* #,##0_р_._-;_-* &quot;-&quot;??_р_._-;_-@_-"/>
    <numFmt numFmtId="165" formatCode="dd/mm/yyyy;@"/>
    <numFmt numFmtId="166" formatCode="dd\.mm\.yyyy;@"/>
    <numFmt numFmtId="167" formatCode="[$-409]d\-mmm\-yy;@"/>
  </numFmts>
  <fonts count="8">
    <font>
      <sz val="11"/>
      <color theme="1"/>
      <name val="Calibri"/>
      <family val="2"/>
      <charset val="204"/>
    </font>
    <font>
      <sz val="11"/>
      <color theme="1"/>
      <name val="Calibri"/>
      <family val="2"/>
      <charset val="204"/>
    </font>
    <font>
      <b/>
      <sz val="11"/>
      <color theme="1"/>
      <name val="Calibri"/>
      <family val="2"/>
      <charset val="162"/>
    </font>
    <font>
      <sz val="11"/>
      <color theme="0"/>
      <name val="Calibri"/>
      <family val="2"/>
      <charset val="204"/>
    </font>
    <font>
      <sz val="11"/>
      <color rgb="FF002060"/>
      <name val="Calibri"/>
      <family val="2"/>
      <charset val="204"/>
    </font>
    <font>
      <b/>
      <sz val="16"/>
      <color theme="1"/>
      <name val="Calibri"/>
      <family val="2"/>
      <charset val="162"/>
    </font>
    <font>
      <sz val="10"/>
      <color theme="0" tint="-0.34998626667073579"/>
      <name val="Calibri"/>
      <family val="2"/>
      <charset val="204"/>
    </font>
    <font>
      <sz val="10"/>
      <color theme="1" tint="0.499984740745262"/>
      <name val="Calibri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theme="0" tint="-0.14999847407452621"/>
      </bottom>
      <diagonal/>
    </border>
    <border>
      <left/>
      <right/>
      <top style="thin">
        <color theme="0" tint="-0.14999847407452621"/>
      </top>
      <bottom style="thin">
        <color theme="0" tint="-0.14999847407452621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9">
    <xf numFmtId="0" fontId="0" fillId="0" borderId="0" xfId="0"/>
    <xf numFmtId="164" fontId="0" fillId="0" borderId="0" xfId="1" applyNumberFormat="1" applyFont="1"/>
    <xf numFmtId="0" fontId="2" fillId="0" borderId="0" xfId="0" applyFont="1"/>
    <xf numFmtId="2" fontId="2" fillId="0" borderId="0" xfId="0" applyNumberFormat="1" applyFont="1"/>
    <xf numFmtId="43" fontId="2" fillId="0" borderId="0" xfId="1" applyFont="1"/>
    <xf numFmtId="0" fontId="2" fillId="2" borderId="0" xfId="0" applyFont="1" applyFill="1" applyAlignment="1">
      <alignment horizontal="center"/>
    </xf>
    <xf numFmtId="0" fontId="0" fillId="0" borderId="0" xfId="0" applyAlignment="1">
      <alignment horizontal="right"/>
    </xf>
    <xf numFmtId="0" fontId="3" fillId="0" borderId="0" xfId="0" applyFont="1"/>
    <xf numFmtId="3" fontId="4" fillId="4" borderId="0" xfId="1" applyNumberFormat="1" applyFont="1" applyFill="1"/>
    <xf numFmtId="3" fontId="0" fillId="0" borderId="0" xfId="1" applyNumberFormat="1" applyFont="1"/>
    <xf numFmtId="0" fontId="0" fillId="3" borderId="1" xfId="0" applyFill="1" applyBorder="1" applyAlignment="1">
      <alignment horizontal="center"/>
    </xf>
    <xf numFmtId="43" fontId="0" fillId="3" borderId="1" xfId="1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43" fontId="0" fillId="0" borderId="2" xfId="1" applyFont="1" applyBorder="1" applyAlignment="1">
      <alignment horizontal="center"/>
    </xf>
    <xf numFmtId="0" fontId="2" fillId="3" borderId="1" xfId="0" applyFont="1" applyFill="1" applyBorder="1"/>
    <xf numFmtId="0" fontId="0" fillId="3" borderId="1" xfId="0" applyFill="1" applyBorder="1"/>
    <xf numFmtId="2" fontId="2" fillId="3" borderId="1" xfId="0" applyNumberFormat="1" applyFont="1" applyFill="1" applyBorder="1"/>
    <xf numFmtId="0" fontId="2" fillId="0" borderId="0" xfId="0" applyFont="1" applyFill="1" applyBorder="1"/>
    <xf numFmtId="0" fontId="0" fillId="0" borderId="0" xfId="0" applyFill="1" applyBorder="1"/>
    <xf numFmtId="0" fontId="0" fillId="0" borderId="0" xfId="0" applyFill="1"/>
    <xf numFmtId="0" fontId="0" fillId="5" borderId="1" xfId="0" applyFill="1" applyBorder="1"/>
    <xf numFmtId="165" fontId="4" fillId="4" borderId="0" xfId="0" applyNumberFormat="1" applyFont="1" applyFill="1"/>
    <xf numFmtId="0" fontId="0" fillId="0" borderId="0" xfId="0" applyAlignment="1">
      <alignment vertical="center"/>
    </xf>
    <xf numFmtId="0" fontId="6" fillId="0" borderId="0" xfId="0" applyFont="1" applyAlignment="1">
      <alignment horizontal="right"/>
    </xf>
    <xf numFmtId="166" fontId="7" fillId="3" borderId="1" xfId="1" applyNumberFormat="1" applyFont="1" applyFill="1" applyBorder="1" applyAlignment="1">
      <alignment horizontal="center"/>
    </xf>
    <xf numFmtId="167" fontId="7" fillId="0" borderId="2" xfId="0" applyNumberFormat="1" applyFont="1" applyBorder="1" applyAlignment="1">
      <alignment horizontal="center"/>
    </xf>
    <xf numFmtId="167" fontId="7" fillId="3" borderId="1" xfId="1" applyNumberFormat="1" applyFont="1" applyFill="1" applyBorder="1" applyAlignment="1">
      <alignment horizontal="center"/>
    </xf>
    <xf numFmtId="9" fontId="4" fillId="4" borderId="0" xfId="0" applyNumberFormat="1" applyFont="1" applyFill="1"/>
    <xf numFmtId="0" fontId="5" fillId="6" borderId="1" xfId="0" applyFont="1" applyFill="1" applyBorder="1" applyAlignment="1">
      <alignment horizontal="center"/>
    </xf>
  </cellXfs>
  <cellStyles count="2">
    <cellStyle name="Comma" xfId="1" builtinId="3"/>
    <cellStyle name="Normal" xfId="0" builtinId="0"/>
  </cellStyles>
  <dxfs count="10"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  <dxf>
      <fill>
        <patternFill patternType="none">
          <bgColor auto="1"/>
        </patternFill>
      </fill>
      <border>
        <left/>
        <right/>
        <top/>
        <bottom/>
      </border>
    </dxf>
  </dxfs>
  <tableStyles count="0" defaultTableStyle="TableStyleMedium9" defaultPivotStyle="PivotStyleLight16"/>
  <colors>
    <mruColors>
      <color rgb="FFFFFFCC"/>
    </mruColors>
  </color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M383"/>
  <sheetViews>
    <sheetView showGridLines="0" tabSelected="1" workbookViewId="0">
      <pane ySplit="16" topLeftCell="A17" activePane="bottomLeft" state="frozen"/>
      <selection pane="bottomLeft"/>
    </sheetView>
  </sheetViews>
  <sheetFormatPr defaultColWidth="0" defaultRowHeight="15"/>
  <cols>
    <col min="1" max="1" width="9.140625" customWidth="1"/>
    <col min="2" max="2" width="7.28515625" customWidth="1"/>
    <col min="3" max="3" width="19" bestFit="1" customWidth="1"/>
    <col min="4" max="4" width="19.5703125" customWidth="1"/>
    <col min="5" max="5" width="14.140625" customWidth="1"/>
    <col min="6" max="6" width="23.140625" bestFit="1" customWidth="1"/>
    <col min="7" max="7" width="15.7109375" bestFit="1" customWidth="1"/>
    <col min="8" max="8" width="9.140625" customWidth="1"/>
    <col min="9" max="11" width="9.140625" hidden="1" customWidth="1"/>
    <col min="12" max="12" width="20.140625" hidden="1" customWidth="1"/>
    <col min="13" max="16384" width="9.140625" hidden="1"/>
  </cols>
  <sheetData>
    <row r="1" spans="2:8">
      <c r="H1" s="23" t="s">
        <v>23</v>
      </c>
    </row>
    <row r="2" spans="2:8" ht="21">
      <c r="B2" s="28" t="s">
        <v>22</v>
      </c>
      <c r="C2" s="28"/>
      <c r="D2" s="28"/>
      <c r="E2" s="28"/>
      <c r="F2" s="28"/>
      <c r="G2" s="28"/>
    </row>
    <row r="3" spans="2:8">
      <c r="B3" s="14" t="s">
        <v>18</v>
      </c>
      <c r="C3" s="15"/>
      <c r="D3" s="15"/>
      <c r="E3" s="15"/>
      <c r="F3" s="15"/>
      <c r="G3" s="15"/>
    </row>
    <row r="4" spans="2:8" s="19" customFormat="1">
      <c r="B4" s="17"/>
      <c r="C4" s="18"/>
      <c r="D4" s="18"/>
      <c r="E4" s="18"/>
      <c r="F4" s="18"/>
      <c r="G4" s="18"/>
    </row>
    <row r="5" spans="2:8">
      <c r="C5" t="s">
        <v>0</v>
      </c>
      <c r="D5" s="8">
        <v>2000</v>
      </c>
      <c r="F5" s="20" t="s">
        <v>16</v>
      </c>
      <c r="G5" s="20"/>
    </row>
    <row r="6" spans="2:8">
      <c r="C6" t="s">
        <v>9</v>
      </c>
      <c r="D6" s="27">
        <v>0.16</v>
      </c>
      <c r="F6" s="6" t="s">
        <v>13</v>
      </c>
      <c r="G6" s="1">
        <f>COUNT(B17:B317)-1</f>
        <v>12</v>
      </c>
    </row>
    <row r="7" spans="2:8">
      <c r="C7" t="s">
        <v>8</v>
      </c>
      <c r="D7" s="8">
        <v>12</v>
      </c>
      <c r="F7" s="6" t="s">
        <v>17</v>
      </c>
      <c r="G7" s="1">
        <f>SUM(F18:F383)</f>
        <v>1999.9999999999832</v>
      </c>
    </row>
    <row r="8" spans="2:8">
      <c r="C8" t="s">
        <v>20</v>
      </c>
      <c r="D8" s="21">
        <f ca="1">TODAY()</f>
        <v>41928</v>
      </c>
      <c r="F8" s="6" t="s">
        <v>15</v>
      </c>
      <c r="G8" s="1">
        <f>SUM(E18:E383)</f>
        <v>148.88873877071674</v>
      </c>
    </row>
    <row r="9" spans="2:8">
      <c r="B9" s="7">
        <v>2</v>
      </c>
      <c r="C9" t="s">
        <v>5</v>
      </c>
      <c r="F9" s="6" t="s">
        <v>14</v>
      </c>
      <c r="G9" s="1">
        <f>SUM(G7:G8)</f>
        <v>2148.8887387707</v>
      </c>
    </row>
    <row r="10" spans="2:8" ht="20.25" customHeight="1">
      <c r="B10" s="7">
        <v>1</v>
      </c>
      <c r="C10" s="22" t="s">
        <v>19</v>
      </c>
    </row>
    <row r="11" spans="2:8">
      <c r="C11" t="s">
        <v>7</v>
      </c>
      <c r="D11" s="9">
        <f>INDEX(M23:M26,B10)</f>
        <v>12</v>
      </c>
    </row>
    <row r="12" spans="2:8">
      <c r="G12" s="1"/>
    </row>
    <row r="13" spans="2:8">
      <c r="C13" s="2" t="str">
        <f>CONCATENATE(INDEX(L23:L26,B10)," payment")</f>
        <v>Monthly payment</v>
      </c>
      <c r="D13" s="4">
        <f>PMT(D6/D11,D11*D7/12,-D5,0,B9-1)</f>
        <v>179.07406156422496</v>
      </c>
      <c r="G13" s="1"/>
    </row>
    <row r="14" spans="2:8">
      <c r="C14" s="2"/>
      <c r="D14" s="3"/>
    </row>
    <row r="15" spans="2:8">
      <c r="B15" s="14" t="s">
        <v>21</v>
      </c>
      <c r="C15" s="14"/>
      <c r="D15" s="16"/>
      <c r="E15" s="15"/>
      <c r="F15" s="15"/>
      <c r="G15" s="15"/>
    </row>
    <row r="16" spans="2:8">
      <c r="B16" s="5" t="s">
        <v>3</v>
      </c>
      <c r="C16" s="5" t="s">
        <v>12</v>
      </c>
      <c r="D16" s="5" t="s">
        <v>4</v>
      </c>
      <c r="E16" s="5" t="s">
        <v>10</v>
      </c>
      <c r="F16" s="5" t="s">
        <v>0</v>
      </c>
      <c r="G16" s="5" t="s">
        <v>11</v>
      </c>
    </row>
    <row r="17" spans="2:13">
      <c r="B17" s="10">
        <v>0</v>
      </c>
      <c r="C17" s="24"/>
      <c r="D17" s="11">
        <v>0</v>
      </c>
      <c r="E17" s="11">
        <v>0</v>
      </c>
      <c r="F17" s="11">
        <v>0</v>
      </c>
      <c r="G17" s="11">
        <f>D5</f>
        <v>2000</v>
      </c>
    </row>
    <row r="18" spans="2:13">
      <c r="B18" s="12">
        <f>IFERROR(IF(AND(B17&lt;=$D$7,G17&gt;-1,G17&lt;1),"",B17+1),"")</f>
        <v>1</v>
      </c>
      <c r="C18" s="25">
        <f ca="1">IF(B18&lt;&gt;"",CHOOSE($B$9,EOMONTH(D8,0),EOMONTH(D8,0)+1),"")</f>
        <v>41944</v>
      </c>
      <c r="D18" s="13">
        <f t="shared" ref="D18:D31" si="0">IF(B18&lt;&gt;"",$D$13,"")</f>
        <v>179.07406156422496</v>
      </c>
      <c r="E18" s="13">
        <f>IF(B18&lt;&gt;"",CHOOSE(B9,G17*$D$6/$D$11,0),"")</f>
        <v>0</v>
      </c>
      <c r="F18" s="13">
        <f t="shared" ref="F18:F81" si="1">IF(B18&lt;&gt;"",D18-E18,"")</f>
        <v>179.07406156422496</v>
      </c>
      <c r="G18" s="13">
        <f t="shared" ref="G18:G55" si="2">IF(B18&lt;&gt;"",G17-F18,"")</f>
        <v>1820.9259384357752</v>
      </c>
      <c r="L18" t="s">
        <v>2</v>
      </c>
      <c r="M18">
        <v>0</v>
      </c>
    </row>
    <row r="19" spans="2:13">
      <c r="B19" s="10">
        <f t="shared" ref="B19:B82" si="3">IFERROR(IF(AND(B18&lt;=$D$7,G18&gt;-1,G18&lt;1),"",B18+1),"")</f>
        <v>2</v>
      </c>
      <c r="C19" s="26">
        <f ca="1">IF(B19&lt;&gt;"",CHOOSE($B$9,EOMONTH(C18,1),EOMONTH(C18,1)+1),"")</f>
        <v>42005</v>
      </c>
      <c r="D19" s="11">
        <f t="shared" si="0"/>
        <v>179.07406156422496</v>
      </c>
      <c r="E19" s="11">
        <f t="shared" ref="E19:E82" si="4">IF(B19&lt;&gt;"",G18*$D$6/$D$11,"")</f>
        <v>24.279012512476999</v>
      </c>
      <c r="F19" s="11">
        <f t="shared" si="1"/>
        <v>154.79504905174795</v>
      </c>
      <c r="G19" s="11">
        <f t="shared" si="2"/>
        <v>1666.1308893840271</v>
      </c>
      <c r="L19" t="s">
        <v>1</v>
      </c>
      <c r="M19">
        <v>1</v>
      </c>
    </row>
    <row r="20" spans="2:13">
      <c r="B20" s="12">
        <f t="shared" si="3"/>
        <v>3</v>
      </c>
      <c r="C20" s="25">
        <f t="shared" ref="C20:C83" ca="1" si="5">IF(B20&lt;&gt;"",CHOOSE($B$9,EOMONTH(C19,1),EOMONTH(C19,1)+1),"")</f>
        <v>42064</v>
      </c>
      <c r="D20" s="13">
        <f t="shared" si="0"/>
        <v>179.07406156422496</v>
      </c>
      <c r="E20" s="13">
        <f t="shared" si="4"/>
        <v>22.215078525120362</v>
      </c>
      <c r="F20" s="13">
        <f t="shared" si="1"/>
        <v>156.8589830391046</v>
      </c>
      <c r="G20" s="13">
        <f t="shared" si="2"/>
        <v>1509.2719063449226</v>
      </c>
      <c r="L20" s="19"/>
      <c r="M20" s="19"/>
    </row>
    <row r="21" spans="2:13">
      <c r="B21" s="10">
        <f t="shared" si="3"/>
        <v>4</v>
      </c>
      <c r="C21" s="26">
        <f t="shared" ca="1" si="5"/>
        <v>42125</v>
      </c>
      <c r="D21" s="11">
        <f t="shared" si="0"/>
        <v>179.07406156422496</v>
      </c>
      <c r="E21" s="11">
        <f t="shared" si="4"/>
        <v>20.123625417932303</v>
      </c>
      <c r="F21" s="11">
        <f t="shared" si="1"/>
        <v>158.95043614629265</v>
      </c>
      <c r="G21" s="11">
        <f t="shared" si="2"/>
        <v>1350.3214701986299</v>
      </c>
    </row>
    <row r="22" spans="2:13">
      <c r="B22" s="12">
        <f t="shared" si="3"/>
        <v>5</v>
      </c>
      <c r="C22" s="25">
        <f t="shared" ca="1" si="5"/>
        <v>42186</v>
      </c>
      <c r="D22" s="13">
        <f t="shared" si="0"/>
        <v>179.07406156422496</v>
      </c>
      <c r="E22" s="13">
        <f t="shared" si="4"/>
        <v>18.004286269315063</v>
      </c>
      <c r="F22" s="13">
        <f t="shared" si="1"/>
        <v>161.0697752949099</v>
      </c>
      <c r="G22" s="13">
        <f t="shared" si="2"/>
        <v>1189.2516949037199</v>
      </c>
    </row>
    <row r="23" spans="2:13">
      <c r="B23" s="10">
        <f t="shared" si="3"/>
        <v>6</v>
      </c>
      <c r="C23" s="26">
        <f t="shared" ca="1" si="5"/>
        <v>42248</v>
      </c>
      <c r="D23" s="11">
        <f t="shared" si="0"/>
        <v>179.07406156422496</v>
      </c>
      <c r="E23" s="11">
        <f t="shared" si="4"/>
        <v>15.856689265382933</v>
      </c>
      <c r="F23" s="11">
        <f t="shared" si="1"/>
        <v>163.21737229884204</v>
      </c>
      <c r="G23" s="11">
        <f t="shared" si="2"/>
        <v>1026.0343226048778</v>
      </c>
      <c r="L23" t="s">
        <v>6</v>
      </c>
      <c r="M23">
        <v>12</v>
      </c>
    </row>
    <row r="24" spans="2:13">
      <c r="B24" s="12">
        <f t="shared" si="3"/>
        <v>7</v>
      </c>
      <c r="C24" s="25">
        <f t="shared" ca="1" si="5"/>
        <v>42309</v>
      </c>
      <c r="D24" s="13">
        <f t="shared" si="0"/>
        <v>179.07406156422496</v>
      </c>
      <c r="E24" s="13">
        <f t="shared" si="4"/>
        <v>13.680457634731704</v>
      </c>
      <c r="F24" s="13">
        <f t="shared" si="1"/>
        <v>165.39360392949325</v>
      </c>
      <c r="G24" s="13">
        <f t="shared" si="2"/>
        <v>860.64071867538462</v>
      </c>
    </row>
    <row r="25" spans="2:13">
      <c r="B25" s="10">
        <f t="shared" si="3"/>
        <v>8</v>
      </c>
      <c r="C25" s="26">
        <f t="shared" ca="1" si="5"/>
        <v>42370</v>
      </c>
      <c r="D25" s="11">
        <f t="shared" si="0"/>
        <v>179.07406156422496</v>
      </c>
      <c r="E25" s="11">
        <f t="shared" si="4"/>
        <v>11.475209582338463</v>
      </c>
      <c r="F25" s="11">
        <f t="shared" si="1"/>
        <v>167.5988519818865</v>
      </c>
      <c r="G25" s="11">
        <f t="shared" si="2"/>
        <v>693.04186669349815</v>
      </c>
    </row>
    <row r="26" spans="2:13">
      <c r="B26" s="12">
        <f t="shared" si="3"/>
        <v>9</v>
      </c>
      <c r="C26" s="25">
        <f t="shared" ca="1" si="5"/>
        <v>42430</v>
      </c>
      <c r="D26" s="13">
        <f t="shared" si="0"/>
        <v>179.07406156422496</v>
      </c>
      <c r="E26" s="13">
        <f t="shared" si="4"/>
        <v>9.2405582225799758</v>
      </c>
      <c r="F26" s="13">
        <f t="shared" si="1"/>
        <v>169.83350334164498</v>
      </c>
      <c r="G26" s="13">
        <f t="shared" si="2"/>
        <v>523.20836335185322</v>
      </c>
    </row>
    <row r="27" spans="2:13">
      <c r="B27" s="10">
        <f t="shared" si="3"/>
        <v>10</v>
      </c>
      <c r="C27" s="26">
        <f t="shared" ca="1" si="5"/>
        <v>42491</v>
      </c>
      <c r="D27" s="11">
        <f t="shared" si="0"/>
        <v>179.07406156422496</v>
      </c>
      <c r="E27" s="11">
        <f t="shared" si="4"/>
        <v>6.9761115113580425</v>
      </c>
      <c r="F27" s="11">
        <f t="shared" si="1"/>
        <v>172.09795005286691</v>
      </c>
      <c r="G27" s="11">
        <f t="shared" si="2"/>
        <v>351.11041329898632</v>
      </c>
    </row>
    <row r="28" spans="2:13">
      <c r="B28" s="12">
        <f t="shared" si="3"/>
        <v>11</v>
      </c>
      <c r="C28" s="25">
        <f t="shared" ca="1" si="5"/>
        <v>42552</v>
      </c>
      <c r="D28" s="13">
        <f t="shared" si="0"/>
        <v>179.07406156422496</v>
      </c>
      <c r="E28" s="13">
        <f t="shared" si="4"/>
        <v>4.6814721773198178</v>
      </c>
      <c r="F28" s="13">
        <f t="shared" si="1"/>
        <v>174.39258938690514</v>
      </c>
      <c r="G28" s="13">
        <f t="shared" si="2"/>
        <v>176.71782391208117</v>
      </c>
    </row>
    <row r="29" spans="2:13">
      <c r="B29" s="10">
        <f t="shared" si="3"/>
        <v>12</v>
      </c>
      <c r="C29" s="26">
        <f t="shared" ca="1" si="5"/>
        <v>42614</v>
      </c>
      <c r="D29" s="11">
        <f t="shared" si="0"/>
        <v>179.07406156422496</v>
      </c>
      <c r="E29" s="11">
        <f t="shared" si="4"/>
        <v>2.3562376521610822</v>
      </c>
      <c r="F29" s="11">
        <f t="shared" si="1"/>
        <v>176.71782391206389</v>
      </c>
      <c r="G29" s="11">
        <f t="shared" si="2"/>
        <v>1.7280399333685637E-11</v>
      </c>
    </row>
    <row r="30" spans="2:13">
      <c r="B30" s="12" t="str">
        <f t="shared" si="3"/>
        <v/>
      </c>
      <c r="C30" s="25" t="str">
        <f t="shared" si="5"/>
        <v/>
      </c>
      <c r="D30" s="13" t="str">
        <f t="shared" si="0"/>
        <v/>
      </c>
      <c r="E30" s="13" t="str">
        <f t="shared" si="4"/>
        <v/>
      </c>
      <c r="F30" s="13" t="str">
        <f t="shared" si="1"/>
        <v/>
      </c>
      <c r="G30" s="13" t="str">
        <f t="shared" si="2"/>
        <v/>
      </c>
    </row>
    <row r="31" spans="2:13">
      <c r="B31" s="10" t="str">
        <f t="shared" si="3"/>
        <v/>
      </c>
      <c r="C31" s="26" t="str">
        <f t="shared" si="5"/>
        <v/>
      </c>
      <c r="D31" s="11" t="str">
        <f t="shared" si="0"/>
        <v/>
      </c>
      <c r="E31" s="11" t="str">
        <f t="shared" si="4"/>
        <v/>
      </c>
      <c r="F31" s="11" t="str">
        <f t="shared" si="1"/>
        <v/>
      </c>
      <c r="G31" s="11" t="str">
        <f t="shared" si="2"/>
        <v/>
      </c>
    </row>
    <row r="32" spans="2:13">
      <c r="B32" s="12" t="str">
        <f t="shared" si="3"/>
        <v/>
      </c>
      <c r="C32" s="25" t="str">
        <f t="shared" si="5"/>
        <v/>
      </c>
      <c r="D32" s="13" t="str">
        <f t="shared" ref="D32:D49" si="6">IF(B32&lt;&gt;"",$D$13,"")</f>
        <v/>
      </c>
      <c r="E32" s="13" t="str">
        <f t="shared" si="4"/>
        <v/>
      </c>
      <c r="F32" s="13" t="str">
        <f t="shared" si="1"/>
        <v/>
      </c>
      <c r="G32" s="13" t="str">
        <f t="shared" si="2"/>
        <v/>
      </c>
    </row>
    <row r="33" spans="2:7">
      <c r="B33" s="10" t="str">
        <f t="shared" si="3"/>
        <v/>
      </c>
      <c r="C33" s="26" t="str">
        <f t="shared" si="5"/>
        <v/>
      </c>
      <c r="D33" s="11" t="str">
        <f t="shared" si="6"/>
        <v/>
      </c>
      <c r="E33" s="11" t="str">
        <f t="shared" si="4"/>
        <v/>
      </c>
      <c r="F33" s="11" t="str">
        <f t="shared" si="1"/>
        <v/>
      </c>
      <c r="G33" s="11" t="str">
        <f t="shared" si="2"/>
        <v/>
      </c>
    </row>
    <row r="34" spans="2:7">
      <c r="B34" s="12" t="str">
        <f t="shared" si="3"/>
        <v/>
      </c>
      <c r="C34" s="25" t="str">
        <f t="shared" si="5"/>
        <v/>
      </c>
      <c r="D34" s="13" t="str">
        <f t="shared" si="6"/>
        <v/>
      </c>
      <c r="E34" s="13" t="str">
        <f t="shared" si="4"/>
        <v/>
      </c>
      <c r="F34" s="13" t="str">
        <f t="shared" si="1"/>
        <v/>
      </c>
      <c r="G34" s="13" t="str">
        <f t="shared" si="2"/>
        <v/>
      </c>
    </row>
    <row r="35" spans="2:7">
      <c r="B35" s="10" t="str">
        <f t="shared" si="3"/>
        <v/>
      </c>
      <c r="C35" s="26" t="str">
        <f t="shared" si="5"/>
        <v/>
      </c>
      <c r="D35" s="11" t="str">
        <f t="shared" si="6"/>
        <v/>
      </c>
      <c r="E35" s="11" t="str">
        <f t="shared" si="4"/>
        <v/>
      </c>
      <c r="F35" s="11" t="str">
        <f t="shared" si="1"/>
        <v/>
      </c>
      <c r="G35" s="11" t="str">
        <f t="shared" si="2"/>
        <v/>
      </c>
    </row>
    <row r="36" spans="2:7">
      <c r="B36" s="12" t="str">
        <f t="shared" si="3"/>
        <v/>
      </c>
      <c r="C36" s="25" t="str">
        <f t="shared" si="5"/>
        <v/>
      </c>
      <c r="D36" s="13" t="str">
        <f t="shared" si="6"/>
        <v/>
      </c>
      <c r="E36" s="13" t="str">
        <f t="shared" si="4"/>
        <v/>
      </c>
      <c r="F36" s="13" t="str">
        <f t="shared" si="1"/>
        <v/>
      </c>
      <c r="G36" s="13" t="str">
        <f t="shared" si="2"/>
        <v/>
      </c>
    </row>
    <row r="37" spans="2:7">
      <c r="B37" s="10" t="str">
        <f t="shared" si="3"/>
        <v/>
      </c>
      <c r="C37" s="26" t="str">
        <f t="shared" si="5"/>
        <v/>
      </c>
      <c r="D37" s="11" t="str">
        <f t="shared" si="6"/>
        <v/>
      </c>
      <c r="E37" s="11" t="str">
        <f t="shared" si="4"/>
        <v/>
      </c>
      <c r="F37" s="11" t="str">
        <f t="shared" si="1"/>
        <v/>
      </c>
      <c r="G37" s="11" t="str">
        <f t="shared" si="2"/>
        <v/>
      </c>
    </row>
    <row r="38" spans="2:7">
      <c r="B38" s="12" t="str">
        <f t="shared" si="3"/>
        <v/>
      </c>
      <c r="C38" s="25" t="str">
        <f t="shared" si="5"/>
        <v/>
      </c>
      <c r="D38" s="13" t="str">
        <f t="shared" si="6"/>
        <v/>
      </c>
      <c r="E38" s="13" t="str">
        <f t="shared" si="4"/>
        <v/>
      </c>
      <c r="F38" s="13" t="str">
        <f t="shared" si="1"/>
        <v/>
      </c>
      <c r="G38" s="13" t="str">
        <f t="shared" si="2"/>
        <v/>
      </c>
    </row>
    <row r="39" spans="2:7">
      <c r="B39" s="10" t="str">
        <f t="shared" si="3"/>
        <v/>
      </c>
      <c r="C39" s="26" t="str">
        <f t="shared" si="5"/>
        <v/>
      </c>
      <c r="D39" s="11" t="str">
        <f t="shared" si="6"/>
        <v/>
      </c>
      <c r="E39" s="11" t="str">
        <f t="shared" si="4"/>
        <v/>
      </c>
      <c r="F39" s="11" t="str">
        <f t="shared" si="1"/>
        <v/>
      </c>
      <c r="G39" s="11" t="str">
        <f t="shared" si="2"/>
        <v/>
      </c>
    </row>
    <row r="40" spans="2:7">
      <c r="B40" s="12" t="str">
        <f t="shared" si="3"/>
        <v/>
      </c>
      <c r="C40" s="25" t="str">
        <f t="shared" si="5"/>
        <v/>
      </c>
      <c r="D40" s="13" t="str">
        <f t="shared" si="6"/>
        <v/>
      </c>
      <c r="E40" s="13" t="str">
        <f t="shared" si="4"/>
        <v/>
      </c>
      <c r="F40" s="13" t="str">
        <f t="shared" si="1"/>
        <v/>
      </c>
      <c r="G40" s="13" t="str">
        <f t="shared" si="2"/>
        <v/>
      </c>
    </row>
    <row r="41" spans="2:7">
      <c r="B41" s="10" t="str">
        <f t="shared" si="3"/>
        <v/>
      </c>
      <c r="C41" s="26" t="str">
        <f t="shared" si="5"/>
        <v/>
      </c>
      <c r="D41" s="11" t="str">
        <f t="shared" si="6"/>
        <v/>
      </c>
      <c r="E41" s="11" t="str">
        <f t="shared" si="4"/>
        <v/>
      </c>
      <c r="F41" s="11" t="str">
        <f t="shared" si="1"/>
        <v/>
      </c>
      <c r="G41" s="11" t="str">
        <f t="shared" si="2"/>
        <v/>
      </c>
    </row>
    <row r="42" spans="2:7">
      <c r="B42" s="12" t="str">
        <f t="shared" si="3"/>
        <v/>
      </c>
      <c r="C42" s="25" t="str">
        <f t="shared" si="5"/>
        <v/>
      </c>
      <c r="D42" s="13" t="str">
        <f t="shared" si="6"/>
        <v/>
      </c>
      <c r="E42" s="13" t="str">
        <f t="shared" si="4"/>
        <v/>
      </c>
      <c r="F42" s="13" t="str">
        <f t="shared" si="1"/>
        <v/>
      </c>
      <c r="G42" s="13" t="str">
        <f t="shared" si="2"/>
        <v/>
      </c>
    </row>
    <row r="43" spans="2:7">
      <c r="B43" s="10" t="str">
        <f t="shared" si="3"/>
        <v/>
      </c>
      <c r="C43" s="26" t="str">
        <f t="shared" si="5"/>
        <v/>
      </c>
      <c r="D43" s="11" t="str">
        <f t="shared" si="6"/>
        <v/>
      </c>
      <c r="E43" s="11" t="str">
        <f t="shared" si="4"/>
        <v/>
      </c>
      <c r="F43" s="11" t="str">
        <f t="shared" si="1"/>
        <v/>
      </c>
      <c r="G43" s="11" t="str">
        <f t="shared" si="2"/>
        <v/>
      </c>
    </row>
    <row r="44" spans="2:7">
      <c r="B44" s="12" t="str">
        <f t="shared" si="3"/>
        <v/>
      </c>
      <c r="C44" s="25" t="str">
        <f t="shared" si="5"/>
        <v/>
      </c>
      <c r="D44" s="13" t="str">
        <f t="shared" si="6"/>
        <v/>
      </c>
      <c r="E44" s="13" t="str">
        <f t="shared" si="4"/>
        <v/>
      </c>
      <c r="F44" s="13" t="str">
        <f t="shared" si="1"/>
        <v/>
      </c>
      <c r="G44" s="13" t="str">
        <f t="shared" si="2"/>
        <v/>
      </c>
    </row>
    <row r="45" spans="2:7">
      <c r="B45" s="10" t="str">
        <f t="shared" si="3"/>
        <v/>
      </c>
      <c r="C45" s="26" t="str">
        <f t="shared" si="5"/>
        <v/>
      </c>
      <c r="D45" s="11" t="str">
        <f t="shared" si="6"/>
        <v/>
      </c>
      <c r="E45" s="11" t="str">
        <f t="shared" si="4"/>
        <v/>
      </c>
      <c r="F45" s="11" t="str">
        <f t="shared" si="1"/>
        <v/>
      </c>
      <c r="G45" s="11" t="str">
        <f t="shared" si="2"/>
        <v/>
      </c>
    </row>
    <row r="46" spans="2:7">
      <c r="B46" s="12" t="str">
        <f t="shared" si="3"/>
        <v/>
      </c>
      <c r="C46" s="25" t="str">
        <f t="shared" si="5"/>
        <v/>
      </c>
      <c r="D46" s="13" t="str">
        <f t="shared" si="6"/>
        <v/>
      </c>
      <c r="E46" s="13" t="str">
        <f t="shared" si="4"/>
        <v/>
      </c>
      <c r="F46" s="13" t="str">
        <f t="shared" si="1"/>
        <v/>
      </c>
      <c r="G46" s="13" t="str">
        <f t="shared" si="2"/>
        <v/>
      </c>
    </row>
    <row r="47" spans="2:7">
      <c r="B47" s="10" t="str">
        <f t="shared" si="3"/>
        <v/>
      </c>
      <c r="C47" s="26" t="str">
        <f t="shared" si="5"/>
        <v/>
      </c>
      <c r="D47" s="11" t="str">
        <f t="shared" si="6"/>
        <v/>
      </c>
      <c r="E47" s="11" t="str">
        <f t="shared" si="4"/>
        <v/>
      </c>
      <c r="F47" s="11" t="str">
        <f t="shared" si="1"/>
        <v/>
      </c>
      <c r="G47" s="11" t="str">
        <f t="shared" si="2"/>
        <v/>
      </c>
    </row>
    <row r="48" spans="2:7">
      <c r="B48" s="12" t="str">
        <f t="shared" si="3"/>
        <v/>
      </c>
      <c r="C48" s="25" t="str">
        <f t="shared" si="5"/>
        <v/>
      </c>
      <c r="D48" s="13" t="str">
        <f t="shared" si="6"/>
        <v/>
      </c>
      <c r="E48" s="13" t="str">
        <f t="shared" si="4"/>
        <v/>
      </c>
      <c r="F48" s="13" t="str">
        <f t="shared" si="1"/>
        <v/>
      </c>
      <c r="G48" s="13" t="str">
        <f t="shared" si="2"/>
        <v/>
      </c>
    </row>
    <row r="49" spans="2:7">
      <c r="B49" s="10" t="str">
        <f t="shared" si="3"/>
        <v/>
      </c>
      <c r="C49" s="26" t="str">
        <f t="shared" si="5"/>
        <v/>
      </c>
      <c r="D49" s="11" t="str">
        <f t="shared" si="6"/>
        <v/>
      </c>
      <c r="E49" s="11" t="str">
        <f t="shared" si="4"/>
        <v/>
      </c>
      <c r="F49" s="11" t="str">
        <f t="shared" si="1"/>
        <v/>
      </c>
      <c r="G49" s="11" t="str">
        <f t="shared" si="2"/>
        <v/>
      </c>
    </row>
    <row r="50" spans="2:7">
      <c r="B50" s="12" t="str">
        <f t="shared" si="3"/>
        <v/>
      </c>
      <c r="C50" s="25" t="str">
        <f t="shared" si="5"/>
        <v/>
      </c>
      <c r="D50" s="13" t="str">
        <f t="shared" ref="D50:D55" si="7">IF(B50&lt;&gt;"",$D$13,"")</f>
        <v/>
      </c>
      <c r="E50" s="13" t="str">
        <f t="shared" si="4"/>
        <v/>
      </c>
      <c r="F50" s="13" t="str">
        <f t="shared" si="1"/>
        <v/>
      </c>
      <c r="G50" s="13" t="str">
        <f t="shared" si="2"/>
        <v/>
      </c>
    </row>
    <row r="51" spans="2:7">
      <c r="B51" s="10" t="str">
        <f t="shared" si="3"/>
        <v/>
      </c>
      <c r="C51" s="26" t="str">
        <f t="shared" si="5"/>
        <v/>
      </c>
      <c r="D51" s="11" t="str">
        <f t="shared" si="7"/>
        <v/>
      </c>
      <c r="E51" s="11" t="str">
        <f t="shared" si="4"/>
        <v/>
      </c>
      <c r="F51" s="11" t="str">
        <f t="shared" si="1"/>
        <v/>
      </c>
      <c r="G51" s="11" t="str">
        <f t="shared" si="2"/>
        <v/>
      </c>
    </row>
    <row r="52" spans="2:7">
      <c r="B52" s="12" t="str">
        <f t="shared" si="3"/>
        <v/>
      </c>
      <c r="C52" s="25" t="str">
        <f t="shared" si="5"/>
        <v/>
      </c>
      <c r="D52" s="13" t="str">
        <f t="shared" si="7"/>
        <v/>
      </c>
      <c r="E52" s="13" t="str">
        <f t="shared" si="4"/>
        <v/>
      </c>
      <c r="F52" s="13" t="str">
        <f t="shared" si="1"/>
        <v/>
      </c>
      <c r="G52" s="13" t="str">
        <f t="shared" si="2"/>
        <v/>
      </c>
    </row>
    <row r="53" spans="2:7">
      <c r="B53" s="10" t="str">
        <f t="shared" si="3"/>
        <v/>
      </c>
      <c r="C53" s="26" t="str">
        <f t="shared" si="5"/>
        <v/>
      </c>
      <c r="D53" s="11" t="str">
        <f t="shared" si="7"/>
        <v/>
      </c>
      <c r="E53" s="11" t="str">
        <f t="shared" si="4"/>
        <v/>
      </c>
      <c r="F53" s="11" t="str">
        <f t="shared" si="1"/>
        <v/>
      </c>
      <c r="G53" s="11" t="str">
        <f t="shared" si="2"/>
        <v/>
      </c>
    </row>
    <row r="54" spans="2:7">
      <c r="B54" s="12" t="str">
        <f t="shared" si="3"/>
        <v/>
      </c>
      <c r="C54" s="25" t="str">
        <f t="shared" si="5"/>
        <v/>
      </c>
      <c r="D54" s="13" t="str">
        <f t="shared" si="7"/>
        <v/>
      </c>
      <c r="E54" s="13" t="str">
        <f t="shared" si="4"/>
        <v/>
      </c>
      <c r="F54" s="13" t="str">
        <f t="shared" si="1"/>
        <v/>
      </c>
      <c r="G54" s="13" t="str">
        <f t="shared" si="2"/>
        <v/>
      </c>
    </row>
    <row r="55" spans="2:7">
      <c r="B55" s="10" t="str">
        <f t="shared" si="3"/>
        <v/>
      </c>
      <c r="C55" s="26" t="str">
        <f t="shared" si="5"/>
        <v/>
      </c>
      <c r="D55" s="11" t="str">
        <f t="shared" si="7"/>
        <v/>
      </c>
      <c r="E55" s="11" t="str">
        <f t="shared" si="4"/>
        <v/>
      </c>
      <c r="F55" s="11" t="str">
        <f t="shared" si="1"/>
        <v/>
      </c>
      <c r="G55" s="11" t="str">
        <f t="shared" si="2"/>
        <v/>
      </c>
    </row>
    <row r="56" spans="2:7">
      <c r="B56" s="12" t="str">
        <f t="shared" si="3"/>
        <v/>
      </c>
      <c r="C56" s="25" t="str">
        <f t="shared" si="5"/>
        <v/>
      </c>
      <c r="D56" s="13" t="str">
        <f t="shared" ref="D56:D119" si="8">IF(B56&lt;&gt;"",$D$13,"")</f>
        <v/>
      </c>
      <c r="E56" s="13" t="str">
        <f t="shared" si="4"/>
        <v/>
      </c>
      <c r="F56" s="13" t="str">
        <f t="shared" si="1"/>
        <v/>
      </c>
      <c r="G56" s="13" t="str">
        <f t="shared" ref="G56:G119" si="9">IF(B56&lt;&gt;"",G55-F56,"")</f>
        <v/>
      </c>
    </row>
    <row r="57" spans="2:7">
      <c r="B57" s="10" t="str">
        <f t="shared" si="3"/>
        <v/>
      </c>
      <c r="C57" s="26" t="str">
        <f t="shared" si="5"/>
        <v/>
      </c>
      <c r="D57" s="11" t="str">
        <f t="shared" si="8"/>
        <v/>
      </c>
      <c r="E57" s="11" t="str">
        <f t="shared" si="4"/>
        <v/>
      </c>
      <c r="F57" s="11" t="str">
        <f t="shared" si="1"/>
        <v/>
      </c>
      <c r="G57" s="11" t="str">
        <f t="shared" si="9"/>
        <v/>
      </c>
    </row>
    <row r="58" spans="2:7">
      <c r="B58" s="12" t="str">
        <f t="shared" si="3"/>
        <v/>
      </c>
      <c r="C58" s="25" t="str">
        <f t="shared" si="5"/>
        <v/>
      </c>
      <c r="D58" s="13" t="str">
        <f t="shared" si="8"/>
        <v/>
      </c>
      <c r="E58" s="13" t="str">
        <f t="shared" si="4"/>
        <v/>
      </c>
      <c r="F58" s="13" t="str">
        <f t="shared" si="1"/>
        <v/>
      </c>
      <c r="G58" s="13" t="str">
        <f t="shared" si="9"/>
        <v/>
      </c>
    </row>
    <row r="59" spans="2:7">
      <c r="B59" s="10" t="str">
        <f t="shared" si="3"/>
        <v/>
      </c>
      <c r="C59" s="26" t="str">
        <f t="shared" si="5"/>
        <v/>
      </c>
      <c r="D59" s="11" t="str">
        <f t="shared" si="8"/>
        <v/>
      </c>
      <c r="E59" s="11" t="str">
        <f t="shared" si="4"/>
        <v/>
      </c>
      <c r="F59" s="11" t="str">
        <f t="shared" si="1"/>
        <v/>
      </c>
      <c r="G59" s="11" t="str">
        <f t="shared" si="9"/>
        <v/>
      </c>
    </row>
    <row r="60" spans="2:7">
      <c r="B60" s="12" t="str">
        <f t="shared" si="3"/>
        <v/>
      </c>
      <c r="C60" s="25" t="str">
        <f t="shared" si="5"/>
        <v/>
      </c>
      <c r="D60" s="13" t="str">
        <f t="shared" si="8"/>
        <v/>
      </c>
      <c r="E60" s="13" t="str">
        <f t="shared" si="4"/>
        <v/>
      </c>
      <c r="F60" s="13" t="str">
        <f t="shared" si="1"/>
        <v/>
      </c>
      <c r="G60" s="13" t="str">
        <f t="shared" si="9"/>
        <v/>
      </c>
    </row>
    <row r="61" spans="2:7">
      <c r="B61" s="10" t="str">
        <f t="shared" si="3"/>
        <v/>
      </c>
      <c r="C61" s="26" t="str">
        <f t="shared" si="5"/>
        <v/>
      </c>
      <c r="D61" s="11" t="str">
        <f t="shared" si="8"/>
        <v/>
      </c>
      <c r="E61" s="11" t="str">
        <f t="shared" si="4"/>
        <v/>
      </c>
      <c r="F61" s="11" t="str">
        <f t="shared" si="1"/>
        <v/>
      </c>
      <c r="G61" s="11" t="str">
        <f t="shared" si="9"/>
        <v/>
      </c>
    </row>
    <row r="62" spans="2:7">
      <c r="B62" s="12" t="str">
        <f t="shared" si="3"/>
        <v/>
      </c>
      <c r="C62" s="25" t="str">
        <f t="shared" si="5"/>
        <v/>
      </c>
      <c r="D62" s="13" t="str">
        <f t="shared" si="8"/>
        <v/>
      </c>
      <c r="E62" s="13" t="str">
        <f t="shared" si="4"/>
        <v/>
      </c>
      <c r="F62" s="13" t="str">
        <f t="shared" si="1"/>
        <v/>
      </c>
      <c r="G62" s="13" t="str">
        <f t="shared" si="9"/>
        <v/>
      </c>
    </row>
    <row r="63" spans="2:7">
      <c r="B63" s="10" t="str">
        <f t="shared" si="3"/>
        <v/>
      </c>
      <c r="C63" s="26" t="str">
        <f t="shared" si="5"/>
        <v/>
      </c>
      <c r="D63" s="11" t="str">
        <f t="shared" si="8"/>
        <v/>
      </c>
      <c r="E63" s="11" t="str">
        <f t="shared" si="4"/>
        <v/>
      </c>
      <c r="F63" s="11" t="str">
        <f t="shared" si="1"/>
        <v/>
      </c>
      <c r="G63" s="11" t="str">
        <f t="shared" si="9"/>
        <v/>
      </c>
    </row>
    <row r="64" spans="2:7">
      <c r="B64" s="12" t="str">
        <f t="shared" si="3"/>
        <v/>
      </c>
      <c r="C64" s="25" t="str">
        <f t="shared" si="5"/>
        <v/>
      </c>
      <c r="D64" s="13" t="str">
        <f t="shared" si="8"/>
        <v/>
      </c>
      <c r="E64" s="13" t="str">
        <f t="shared" si="4"/>
        <v/>
      </c>
      <c r="F64" s="13" t="str">
        <f t="shared" si="1"/>
        <v/>
      </c>
      <c r="G64" s="13" t="str">
        <f t="shared" si="9"/>
        <v/>
      </c>
    </row>
    <row r="65" spans="2:7">
      <c r="B65" s="10" t="str">
        <f t="shared" si="3"/>
        <v/>
      </c>
      <c r="C65" s="26" t="str">
        <f t="shared" si="5"/>
        <v/>
      </c>
      <c r="D65" s="11" t="str">
        <f t="shared" si="8"/>
        <v/>
      </c>
      <c r="E65" s="11" t="str">
        <f t="shared" si="4"/>
        <v/>
      </c>
      <c r="F65" s="11" t="str">
        <f t="shared" si="1"/>
        <v/>
      </c>
      <c r="G65" s="11" t="str">
        <f t="shared" si="9"/>
        <v/>
      </c>
    </row>
    <row r="66" spans="2:7">
      <c r="B66" s="12" t="str">
        <f t="shared" si="3"/>
        <v/>
      </c>
      <c r="C66" s="25" t="str">
        <f t="shared" si="5"/>
        <v/>
      </c>
      <c r="D66" s="13" t="str">
        <f t="shared" si="8"/>
        <v/>
      </c>
      <c r="E66" s="13" t="str">
        <f t="shared" si="4"/>
        <v/>
      </c>
      <c r="F66" s="13" t="str">
        <f t="shared" si="1"/>
        <v/>
      </c>
      <c r="G66" s="13" t="str">
        <f t="shared" si="9"/>
        <v/>
      </c>
    </row>
    <row r="67" spans="2:7">
      <c r="B67" s="10" t="str">
        <f t="shared" si="3"/>
        <v/>
      </c>
      <c r="C67" s="26" t="str">
        <f t="shared" si="5"/>
        <v/>
      </c>
      <c r="D67" s="11" t="str">
        <f t="shared" si="8"/>
        <v/>
      </c>
      <c r="E67" s="11" t="str">
        <f t="shared" si="4"/>
        <v/>
      </c>
      <c r="F67" s="11" t="str">
        <f t="shared" si="1"/>
        <v/>
      </c>
      <c r="G67" s="11" t="str">
        <f t="shared" si="9"/>
        <v/>
      </c>
    </row>
    <row r="68" spans="2:7">
      <c r="B68" s="12" t="str">
        <f t="shared" si="3"/>
        <v/>
      </c>
      <c r="C68" s="25" t="str">
        <f t="shared" si="5"/>
        <v/>
      </c>
      <c r="D68" s="13" t="str">
        <f t="shared" si="8"/>
        <v/>
      </c>
      <c r="E68" s="13" t="str">
        <f t="shared" si="4"/>
        <v/>
      </c>
      <c r="F68" s="13" t="str">
        <f t="shared" si="1"/>
        <v/>
      </c>
      <c r="G68" s="13" t="str">
        <f t="shared" si="9"/>
        <v/>
      </c>
    </row>
    <row r="69" spans="2:7">
      <c r="B69" s="10" t="str">
        <f t="shared" si="3"/>
        <v/>
      </c>
      <c r="C69" s="26" t="str">
        <f t="shared" si="5"/>
        <v/>
      </c>
      <c r="D69" s="11" t="str">
        <f t="shared" si="8"/>
        <v/>
      </c>
      <c r="E69" s="11" t="str">
        <f t="shared" si="4"/>
        <v/>
      </c>
      <c r="F69" s="11" t="str">
        <f t="shared" si="1"/>
        <v/>
      </c>
      <c r="G69" s="11" t="str">
        <f t="shared" si="9"/>
        <v/>
      </c>
    </row>
    <row r="70" spans="2:7">
      <c r="B70" s="12" t="str">
        <f t="shared" si="3"/>
        <v/>
      </c>
      <c r="C70" s="25" t="str">
        <f t="shared" si="5"/>
        <v/>
      </c>
      <c r="D70" s="13" t="str">
        <f t="shared" si="8"/>
        <v/>
      </c>
      <c r="E70" s="13" t="str">
        <f t="shared" si="4"/>
        <v/>
      </c>
      <c r="F70" s="13" t="str">
        <f t="shared" si="1"/>
        <v/>
      </c>
      <c r="G70" s="13" t="str">
        <f t="shared" si="9"/>
        <v/>
      </c>
    </row>
    <row r="71" spans="2:7">
      <c r="B71" s="10" t="str">
        <f t="shared" si="3"/>
        <v/>
      </c>
      <c r="C71" s="26" t="str">
        <f t="shared" si="5"/>
        <v/>
      </c>
      <c r="D71" s="11" t="str">
        <f t="shared" si="8"/>
        <v/>
      </c>
      <c r="E71" s="11" t="str">
        <f t="shared" si="4"/>
        <v/>
      </c>
      <c r="F71" s="11" t="str">
        <f t="shared" si="1"/>
        <v/>
      </c>
      <c r="G71" s="11" t="str">
        <f t="shared" si="9"/>
        <v/>
      </c>
    </row>
    <row r="72" spans="2:7">
      <c r="B72" s="12" t="str">
        <f t="shared" si="3"/>
        <v/>
      </c>
      <c r="C72" s="25" t="str">
        <f t="shared" si="5"/>
        <v/>
      </c>
      <c r="D72" s="13" t="str">
        <f t="shared" si="8"/>
        <v/>
      </c>
      <c r="E72" s="13" t="str">
        <f t="shared" si="4"/>
        <v/>
      </c>
      <c r="F72" s="13" t="str">
        <f t="shared" si="1"/>
        <v/>
      </c>
      <c r="G72" s="13" t="str">
        <f t="shared" si="9"/>
        <v/>
      </c>
    </row>
    <row r="73" spans="2:7">
      <c r="B73" s="10" t="str">
        <f t="shared" si="3"/>
        <v/>
      </c>
      <c r="C73" s="26" t="str">
        <f t="shared" si="5"/>
        <v/>
      </c>
      <c r="D73" s="11" t="str">
        <f t="shared" si="8"/>
        <v/>
      </c>
      <c r="E73" s="11" t="str">
        <f t="shared" si="4"/>
        <v/>
      </c>
      <c r="F73" s="11" t="str">
        <f t="shared" si="1"/>
        <v/>
      </c>
      <c r="G73" s="11" t="str">
        <f t="shared" si="9"/>
        <v/>
      </c>
    </row>
    <row r="74" spans="2:7">
      <c r="B74" s="12" t="str">
        <f t="shared" si="3"/>
        <v/>
      </c>
      <c r="C74" s="25" t="str">
        <f t="shared" si="5"/>
        <v/>
      </c>
      <c r="D74" s="13" t="str">
        <f t="shared" si="8"/>
        <v/>
      </c>
      <c r="E74" s="13" t="str">
        <f t="shared" si="4"/>
        <v/>
      </c>
      <c r="F74" s="13" t="str">
        <f t="shared" si="1"/>
        <v/>
      </c>
      <c r="G74" s="13" t="str">
        <f t="shared" si="9"/>
        <v/>
      </c>
    </row>
    <row r="75" spans="2:7">
      <c r="B75" s="10" t="str">
        <f t="shared" si="3"/>
        <v/>
      </c>
      <c r="C75" s="26" t="str">
        <f t="shared" si="5"/>
        <v/>
      </c>
      <c r="D75" s="11" t="str">
        <f t="shared" si="8"/>
        <v/>
      </c>
      <c r="E75" s="11" t="str">
        <f t="shared" si="4"/>
        <v/>
      </c>
      <c r="F75" s="11" t="str">
        <f t="shared" si="1"/>
        <v/>
      </c>
      <c r="G75" s="11" t="str">
        <f t="shared" si="9"/>
        <v/>
      </c>
    </row>
    <row r="76" spans="2:7">
      <c r="B76" s="12" t="str">
        <f t="shared" si="3"/>
        <v/>
      </c>
      <c r="C76" s="25" t="str">
        <f t="shared" si="5"/>
        <v/>
      </c>
      <c r="D76" s="13" t="str">
        <f t="shared" si="8"/>
        <v/>
      </c>
      <c r="E76" s="13" t="str">
        <f t="shared" si="4"/>
        <v/>
      </c>
      <c r="F76" s="13" t="str">
        <f t="shared" si="1"/>
        <v/>
      </c>
      <c r="G76" s="13" t="str">
        <f t="shared" si="9"/>
        <v/>
      </c>
    </row>
    <row r="77" spans="2:7">
      <c r="B77" s="10" t="str">
        <f t="shared" si="3"/>
        <v/>
      </c>
      <c r="C77" s="26" t="str">
        <f t="shared" si="5"/>
        <v/>
      </c>
      <c r="D77" s="11" t="str">
        <f t="shared" si="8"/>
        <v/>
      </c>
      <c r="E77" s="11" t="str">
        <f t="shared" si="4"/>
        <v/>
      </c>
      <c r="F77" s="11" t="str">
        <f t="shared" si="1"/>
        <v/>
      </c>
      <c r="G77" s="11" t="str">
        <f t="shared" si="9"/>
        <v/>
      </c>
    </row>
    <row r="78" spans="2:7">
      <c r="B78" s="12" t="str">
        <f t="shared" si="3"/>
        <v/>
      </c>
      <c r="C78" s="25" t="str">
        <f t="shared" si="5"/>
        <v/>
      </c>
      <c r="D78" s="13" t="str">
        <f t="shared" si="8"/>
        <v/>
      </c>
      <c r="E78" s="13" t="str">
        <f t="shared" si="4"/>
        <v/>
      </c>
      <c r="F78" s="13" t="str">
        <f t="shared" si="1"/>
        <v/>
      </c>
      <c r="G78" s="13" t="str">
        <f t="shared" si="9"/>
        <v/>
      </c>
    </row>
    <row r="79" spans="2:7">
      <c r="B79" s="10" t="str">
        <f t="shared" si="3"/>
        <v/>
      </c>
      <c r="C79" s="26" t="str">
        <f t="shared" si="5"/>
        <v/>
      </c>
      <c r="D79" s="11" t="str">
        <f t="shared" si="8"/>
        <v/>
      </c>
      <c r="E79" s="11" t="str">
        <f t="shared" si="4"/>
        <v/>
      </c>
      <c r="F79" s="11" t="str">
        <f t="shared" si="1"/>
        <v/>
      </c>
      <c r="G79" s="11" t="str">
        <f t="shared" si="9"/>
        <v/>
      </c>
    </row>
    <row r="80" spans="2:7">
      <c r="B80" s="12" t="str">
        <f t="shared" si="3"/>
        <v/>
      </c>
      <c r="C80" s="25" t="str">
        <f t="shared" si="5"/>
        <v/>
      </c>
      <c r="D80" s="13" t="str">
        <f t="shared" si="8"/>
        <v/>
      </c>
      <c r="E80" s="13" t="str">
        <f t="shared" si="4"/>
        <v/>
      </c>
      <c r="F80" s="13" t="str">
        <f t="shared" si="1"/>
        <v/>
      </c>
      <c r="G80" s="13" t="str">
        <f t="shared" si="9"/>
        <v/>
      </c>
    </row>
    <row r="81" spans="2:7">
      <c r="B81" s="10" t="str">
        <f t="shared" si="3"/>
        <v/>
      </c>
      <c r="C81" s="26" t="str">
        <f t="shared" si="5"/>
        <v/>
      </c>
      <c r="D81" s="11" t="str">
        <f t="shared" si="8"/>
        <v/>
      </c>
      <c r="E81" s="11" t="str">
        <f t="shared" si="4"/>
        <v/>
      </c>
      <c r="F81" s="11" t="str">
        <f t="shared" si="1"/>
        <v/>
      </c>
      <c r="G81" s="11" t="str">
        <f t="shared" si="9"/>
        <v/>
      </c>
    </row>
    <row r="82" spans="2:7">
      <c r="B82" s="12" t="str">
        <f t="shared" si="3"/>
        <v/>
      </c>
      <c r="C82" s="25" t="str">
        <f t="shared" si="5"/>
        <v/>
      </c>
      <c r="D82" s="13" t="str">
        <f t="shared" si="8"/>
        <v/>
      </c>
      <c r="E82" s="13" t="str">
        <f t="shared" si="4"/>
        <v/>
      </c>
      <c r="F82" s="13" t="str">
        <f t="shared" ref="F82:F145" si="10">IF(B82&lt;&gt;"",D82-E82,"")</f>
        <v/>
      </c>
      <c r="G82" s="13" t="str">
        <f t="shared" si="9"/>
        <v/>
      </c>
    </row>
    <row r="83" spans="2:7">
      <c r="B83" s="10" t="str">
        <f t="shared" ref="B83:B146" si="11">IFERROR(IF(AND(B82&lt;=$D$7,G82&gt;-1,G82&lt;1),"",B82+1),"")</f>
        <v/>
      </c>
      <c r="C83" s="26" t="str">
        <f t="shared" si="5"/>
        <v/>
      </c>
      <c r="D83" s="11" t="str">
        <f t="shared" si="8"/>
        <v/>
      </c>
      <c r="E83" s="11" t="str">
        <f t="shared" ref="E83:E146" si="12">IF(B83&lt;&gt;"",G82*$D$6/$D$11,"")</f>
        <v/>
      </c>
      <c r="F83" s="11" t="str">
        <f t="shared" si="10"/>
        <v/>
      </c>
      <c r="G83" s="11" t="str">
        <f t="shared" si="9"/>
        <v/>
      </c>
    </row>
    <row r="84" spans="2:7">
      <c r="B84" s="12" t="str">
        <f t="shared" si="11"/>
        <v/>
      </c>
      <c r="C84" s="25" t="str">
        <f t="shared" ref="C84:C147" si="13">IF(B84&lt;&gt;"",CHOOSE($B$9,EOMONTH(C83,1),EOMONTH(C83,1)+1),"")</f>
        <v/>
      </c>
      <c r="D84" s="13" t="str">
        <f t="shared" si="8"/>
        <v/>
      </c>
      <c r="E84" s="13" t="str">
        <f t="shared" si="12"/>
        <v/>
      </c>
      <c r="F84" s="13" t="str">
        <f t="shared" si="10"/>
        <v/>
      </c>
      <c r="G84" s="13" t="str">
        <f t="shared" si="9"/>
        <v/>
      </c>
    </row>
    <row r="85" spans="2:7">
      <c r="B85" s="10" t="str">
        <f t="shared" si="11"/>
        <v/>
      </c>
      <c r="C85" s="26" t="str">
        <f t="shared" si="13"/>
        <v/>
      </c>
      <c r="D85" s="11" t="str">
        <f t="shared" si="8"/>
        <v/>
      </c>
      <c r="E85" s="11" t="str">
        <f t="shared" si="12"/>
        <v/>
      </c>
      <c r="F85" s="11" t="str">
        <f t="shared" si="10"/>
        <v/>
      </c>
      <c r="G85" s="11" t="str">
        <f t="shared" si="9"/>
        <v/>
      </c>
    </row>
    <row r="86" spans="2:7">
      <c r="B86" s="12" t="str">
        <f t="shared" si="11"/>
        <v/>
      </c>
      <c r="C86" s="25" t="str">
        <f t="shared" si="13"/>
        <v/>
      </c>
      <c r="D86" s="13" t="str">
        <f t="shared" si="8"/>
        <v/>
      </c>
      <c r="E86" s="13" t="str">
        <f t="shared" si="12"/>
        <v/>
      </c>
      <c r="F86" s="13" t="str">
        <f t="shared" si="10"/>
        <v/>
      </c>
      <c r="G86" s="13" t="str">
        <f t="shared" si="9"/>
        <v/>
      </c>
    </row>
    <row r="87" spans="2:7">
      <c r="B87" s="10" t="str">
        <f t="shared" si="11"/>
        <v/>
      </c>
      <c r="C87" s="26" t="str">
        <f t="shared" si="13"/>
        <v/>
      </c>
      <c r="D87" s="11" t="str">
        <f t="shared" si="8"/>
        <v/>
      </c>
      <c r="E87" s="11" t="str">
        <f t="shared" si="12"/>
        <v/>
      </c>
      <c r="F87" s="11" t="str">
        <f t="shared" si="10"/>
        <v/>
      </c>
      <c r="G87" s="11" t="str">
        <f t="shared" si="9"/>
        <v/>
      </c>
    </row>
    <row r="88" spans="2:7">
      <c r="B88" s="12" t="str">
        <f t="shared" si="11"/>
        <v/>
      </c>
      <c r="C88" s="25" t="str">
        <f t="shared" si="13"/>
        <v/>
      </c>
      <c r="D88" s="13" t="str">
        <f t="shared" si="8"/>
        <v/>
      </c>
      <c r="E88" s="13" t="str">
        <f t="shared" si="12"/>
        <v/>
      </c>
      <c r="F88" s="13" t="str">
        <f t="shared" si="10"/>
        <v/>
      </c>
      <c r="G88" s="13" t="str">
        <f t="shared" si="9"/>
        <v/>
      </c>
    </row>
    <row r="89" spans="2:7">
      <c r="B89" s="10" t="str">
        <f t="shared" si="11"/>
        <v/>
      </c>
      <c r="C89" s="26" t="str">
        <f t="shared" si="13"/>
        <v/>
      </c>
      <c r="D89" s="11" t="str">
        <f t="shared" si="8"/>
        <v/>
      </c>
      <c r="E89" s="11" t="str">
        <f t="shared" si="12"/>
        <v/>
      </c>
      <c r="F89" s="11" t="str">
        <f t="shared" si="10"/>
        <v/>
      </c>
      <c r="G89" s="11" t="str">
        <f t="shared" si="9"/>
        <v/>
      </c>
    </row>
    <row r="90" spans="2:7">
      <c r="B90" s="12" t="str">
        <f t="shared" si="11"/>
        <v/>
      </c>
      <c r="C90" s="25" t="str">
        <f t="shared" si="13"/>
        <v/>
      </c>
      <c r="D90" s="13" t="str">
        <f t="shared" si="8"/>
        <v/>
      </c>
      <c r="E90" s="13" t="str">
        <f t="shared" si="12"/>
        <v/>
      </c>
      <c r="F90" s="13" t="str">
        <f t="shared" si="10"/>
        <v/>
      </c>
      <c r="G90" s="13" t="str">
        <f t="shared" si="9"/>
        <v/>
      </c>
    </row>
    <row r="91" spans="2:7">
      <c r="B91" s="10" t="str">
        <f t="shared" si="11"/>
        <v/>
      </c>
      <c r="C91" s="26" t="str">
        <f t="shared" si="13"/>
        <v/>
      </c>
      <c r="D91" s="11" t="str">
        <f t="shared" si="8"/>
        <v/>
      </c>
      <c r="E91" s="11" t="str">
        <f t="shared" si="12"/>
        <v/>
      </c>
      <c r="F91" s="11" t="str">
        <f t="shared" si="10"/>
        <v/>
      </c>
      <c r="G91" s="11" t="str">
        <f t="shared" si="9"/>
        <v/>
      </c>
    </row>
    <row r="92" spans="2:7">
      <c r="B92" s="12" t="str">
        <f t="shared" si="11"/>
        <v/>
      </c>
      <c r="C92" s="25" t="str">
        <f t="shared" si="13"/>
        <v/>
      </c>
      <c r="D92" s="13" t="str">
        <f t="shared" si="8"/>
        <v/>
      </c>
      <c r="E92" s="13" t="str">
        <f t="shared" si="12"/>
        <v/>
      </c>
      <c r="F92" s="13" t="str">
        <f t="shared" si="10"/>
        <v/>
      </c>
      <c r="G92" s="13" t="str">
        <f t="shared" si="9"/>
        <v/>
      </c>
    </row>
    <row r="93" spans="2:7">
      <c r="B93" s="10" t="str">
        <f t="shared" si="11"/>
        <v/>
      </c>
      <c r="C93" s="26" t="str">
        <f t="shared" si="13"/>
        <v/>
      </c>
      <c r="D93" s="11" t="str">
        <f t="shared" si="8"/>
        <v/>
      </c>
      <c r="E93" s="11" t="str">
        <f t="shared" si="12"/>
        <v/>
      </c>
      <c r="F93" s="11" t="str">
        <f t="shared" si="10"/>
        <v/>
      </c>
      <c r="G93" s="11" t="str">
        <f t="shared" si="9"/>
        <v/>
      </c>
    </row>
    <row r="94" spans="2:7">
      <c r="B94" s="12" t="str">
        <f t="shared" si="11"/>
        <v/>
      </c>
      <c r="C94" s="25" t="str">
        <f t="shared" si="13"/>
        <v/>
      </c>
      <c r="D94" s="13" t="str">
        <f t="shared" si="8"/>
        <v/>
      </c>
      <c r="E94" s="13" t="str">
        <f t="shared" si="12"/>
        <v/>
      </c>
      <c r="F94" s="13" t="str">
        <f t="shared" si="10"/>
        <v/>
      </c>
      <c r="G94" s="13" t="str">
        <f t="shared" si="9"/>
        <v/>
      </c>
    </row>
    <row r="95" spans="2:7">
      <c r="B95" s="10" t="str">
        <f t="shared" si="11"/>
        <v/>
      </c>
      <c r="C95" s="26" t="str">
        <f t="shared" si="13"/>
        <v/>
      </c>
      <c r="D95" s="11" t="str">
        <f t="shared" si="8"/>
        <v/>
      </c>
      <c r="E95" s="11" t="str">
        <f t="shared" si="12"/>
        <v/>
      </c>
      <c r="F95" s="11" t="str">
        <f t="shared" si="10"/>
        <v/>
      </c>
      <c r="G95" s="11" t="str">
        <f t="shared" si="9"/>
        <v/>
      </c>
    </row>
    <row r="96" spans="2:7">
      <c r="B96" s="12" t="str">
        <f t="shared" si="11"/>
        <v/>
      </c>
      <c r="C96" s="25" t="str">
        <f t="shared" si="13"/>
        <v/>
      </c>
      <c r="D96" s="13" t="str">
        <f t="shared" si="8"/>
        <v/>
      </c>
      <c r="E96" s="13" t="str">
        <f t="shared" si="12"/>
        <v/>
      </c>
      <c r="F96" s="13" t="str">
        <f t="shared" si="10"/>
        <v/>
      </c>
      <c r="G96" s="13" t="str">
        <f t="shared" si="9"/>
        <v/>
      </c>
    </row>
    <row r="97" spans="2:7">
      <c r="B97" s="10" t="str">
        <f t="shared" si="11"/>
        <v/>
      </c>
      <c r="C97" s="26" t="str">
        <f t="shared" si="13"/>
        <v/>
      </c>
      <c r="D97" s="11" t="str">
        <f t="shared" si="8"/>
        <v/>
      </c>
      <c r="E97" s="11" t="str">
        <f t="shared" si="12"/>
        <v/>
      </c>
      <c r="F97" s="11" t="str">
        <f t="shared" si="10"/>
        <v/>
      </c>
      <c r="G97" s="11" t="str">
        <f t="shared" si="9"/>
        <v/>
      </c>
    </row>
    <row r="98" spans="2:7">
      <c r="B98" s="12" t="str">
        <f t="shared" si="11"/>
        <v/>
      </c>
      <c r="C98" s="25" t="str">
        <f t="shared" si="13"/>
        <v/>
      </c>
      <c r="D98" s="13" t="str">
        <f t="shared" si="8"/>
        <v/>
      </c>
      <c r="E98" s="13" t="str">
        <f t="shared" si="12"/>
        <v/>
      </c>
      <c r="F98" s="13" t="str">
        <f t="shared" si="10"/>
        <v/>
      </c>
      <c r="G98" s="13" t="str">
        <f t="shared" si="9"/>
        <v/>
      </c>
    </row>
    <row r="99" spans="2:7">
      <c r="B99" s="10" t="str">
        <f t="shared" si="11"/>
        <v/>
      </c>
      <c r="C99" s="26" t="str">
        <f t="shared" si="13"/>
        <v/>
      </c>
      <c r="D99" s="11" t="str">
        <f t="shared" si="8"/>
        <v/>
      </c>
      <c r="E99" s="11" t="str">
        <f t="shared" si="12"/>
        <v/>
      </c>
      <c r="F99" s="11" t="str">
        <f t="shared" si="10"/>
        <v/>
      </c>
      <c r="G99" s="11" t="str">
        <f t="shared" si="9"/>
        <v/>
      </c>
    </row>
    <row r="100" spans="2:7">
      <c r="B100" s="12" t="str">
        <f t="shared" si="11"/>
        <v/>
      </c>
      <c r="C100" s="25" t="str">
        <f t="shared" si="13"/>
        <v/>
      </c>
      <c r="D100" s="13" t="str">
        <f t="shared" si="8"/>
        <v/>
      </c>
      <c r="E100" s="13" t="str">
        <f t="shared" si="12"/>
        <v/>
      </c>
      <c r="F100" s="13" t="str">
        <f t="shared" si="10"/>
        <v/>
      </c>
      <c r="G100" s="13" t="str">
        <f t="shared" si="9"/>
        <v/>
      </c>
    </row>
    <row r="101" spans="2:7">
      <c r="B101" s="10" t="str">
        <f t="shared" si="11"/>
        <v/>
      </c>
      <c r="C101" s="26" t="str">
        <f t="shared" si="13"/>
        <v/>
      </c>
      <c r="D101" s="11" t="str">
        <f t="shared" si="8"/>
        <v/>
      </c>
      <c r="E101" s="11" t="str">
        <f t="shared" si="12"/>
        <v/>
      </c>
      <c r="F101" s="11" t="str">
        <f t="shared" si="10"/>
        <v/>
      </c>
      <c r="G101" s="11" t="str">
        <f t="shared" si="9"/>
        <v/>
      </c>
    </row>
    <row r="102" spans="2:7">
      <c r="B102" s="12" t="str">
        <f t="shared" si="11"/>
        <v/>
      </c>
      <c r="C102" s="25" t="str">
        <f t="shared" si="13"/>
        <v/>
      </c>
      <c r="D102" s="13" t="str">
        <f t="shared" si="8"/>
        <v/>
      </c>
      <c r="E102" s="13" t="str">
        <f t="shared" si="12"/>
        <v/>
      </c>
      <c r="F102" s="13" t="str">
        <f t="shared" si="10"/>
        <v/>
      </c>
      <c r="G102" s="13" t="str">
        <f t="shared" si="9"/>
        <v/>
      </c>
    </row>
    <row r="103" spans="2:7">
      <c r="B103" s="10" t="str">
        <f t="shared" si="11"/>
        <v/>
      </c>
      <c r="C103" s="26" t="str">
        <f t="shared" si="13"/>
        <v/>
      </c>
      <c r="D103" s="11" t="str">
        <f t="shared" si="8"/>
        <v/>
      </c>
      <c r="E103" s="11" t="str">
        <f t="shared" si="12"/>
        <v/>
      </c>
      <c r="F103" s="11" t="str">
        <f t="shared" si="10"/>
        <v/>
      </c>
      <c r="G103" s="11" t="str">
        <f t="shared" si="9"/>
        <v/>
      </c>
    </row>
    <row r="104" spans="2:7">
      <c r="B104" s="12" t="str">
        <f t="shared" si="11"/>
        <v/>
      </c>
      <c r="C104" s="25" t="str">
        <f t="shared" si="13"/>
        <v/>
      </c>
      <c r="D104" s="13" t="str">
        <f t="shared" si="8"/>
        <v/>
      </c>
      <c r="E104" s="13" t="str">
        <f t="shared" si="12"/>
        <v/>
      </c>
      <c r="F104" s="13" t="str">
        <f t="shared" si="10"/>
        <v/>
      </c>
      <c r="G104" s="13" t="str">
        <f t="shared" si="9"/>
        <v/>
      </c>
    </row>
    <row r="105" spans="2:7">
      <c r="B105" s="10" t="str">
        <f t="shared" si="11"/>
        <v/>
      </c>
      <c r="C105" s="26" t="str">
        <f t="shared" si="13"/>
        <v/>
      </c>
      <c r="D105" s="11" t="str">
        <f t="shared" si="8"/>
        <v/>
      </c>
      <c r="E105" s="11" t="str">
        <f t="shared" si="12"/>
        <v/>
      </c>
      <c r="F105" s="11" t="str">
        <f t="shared" si="10"/>
        <v/>
      </c>
      <c r="G105" s="11" t="str">
        <f t="shared" si="9"/>
        <v/>
      </c>
    </row>
    <row r="106" spans="2:7">
      <c r="B106" s="12" t="str">
        <f t="shared" si="11"/>
        <v/>
      </c>
      <c r="C106" s="25" t="str">
        <f t="shared" si="13"/>
        <v/>
      </c>
      <c r="D106" s="13" t="str">
        <f t="shared" si="8"/>
        <v/>
      </c>
      <c r="E106" s="13" t="str">
        <f t="shared" si="12"/>
        <v/>
      </c>
      <c r="F106" s="13" t="str">
        <f t="shared" si="10"/>
        <v/>
      </c>
      <c r="G106" s="13" t="str">
        <f t="shared" si="9"/>
        <v/>
      </c>
    </row>
    <row r="107" spans="2:7">
      <c r="B107" s="10" t="str">
        <f t="shared" si="11"/>
        <v/>
      </c>
      <c r="C107" s="26" t="str">
        <f t="shared" si="13"/>
        <v/>
      </c>
      <c r="D107" s="11" t="str">
        <f t="shared" si="8"/>
        <v/>
      </c>
      <c r="E107" s="11" t="str">
        <f t="shared" si="12"/>
        <v/>
      </c>
      <c r="F107" s="11" t="str">
        <f t="shared" si="10"/>
        <v/>
      </c>
      <c r="G107" s="11" t="str">
        <f t="shared" si="9"/>
        <v/>
      </c>
    </row>
    <row r="108" spans="2:7">
      <c r="B108" s="12" t="str">
        <f t="shared" si="11"/>
        <v/>
      </c>
      <c r="C108" s="25" t="str">
        <f t="shared" si="13"/>
        <v/>
      </c>
      <c r="D108" s="13" t="str">
        <f t="shared" si="8"/>
        <v/>
      </c>
      <c r="E108" s="13" t="str">
        <f t="shared" si="12"/>
        <v/>
      </c>
      <c r="F108" s="13" t="str">
        <f t="shared" si="10"/>
        <v/>
      </c>
      <c r="G108" s="13" t="str">
        <f t="shared" si="9"/>
        <v/>
      </c>
    </row>
    <row r="109" spans="2:7">
      <c r="B109" s="10" t="str">
        <f t="shared" si="11"/>
        <v/>
      </c>
      <c r="C109" s="26" t="str">
        <f t="shared" si="13"/>
        <v/>
      </c>
      <c r="D109" s="11" t="str">
        <f t="shared" si="8"/>
        <v/>
      </c>
      <c r="E109" s="11" t="str">
        <f t="shared" si="12"/>
        <v/>
      </c>
      <c r="F109" s="11" t="str">
        <f t="shared" si="10"/>
        <v/>
      </c>
      <c r="G109" s="11" t="str">
        <f t="shared" si="9"/>
        <v/>
      </c>
    </row>
    <row r="110" spans="2:7">
      <c r="B110" s="12" t="str">
        <f t="shared" si="11"/>
        <v/>
      </c>
      <c r="C110" s="25" t="str">
        <f t="shared" si="13"/>
        <v/>
      </c>
      <c r="D110" s="13" t="str">
        <f t="shared" si="8"/>
        <v/>
      </c>
      <c r="E110" s="13" t="str">
        <f t="shared" si="12"/>
        <v/>
      </c>
      <c r="F110" s="13" t="str">
        <f t="shared" si="10"/>
        <v/>
      </c>
      <c r="G110" s="13" t="str">
        <f t="shared" si="9"/>
        <v/>
      </c>
    </row>
    <row r="111" spans="2:7">
      <c r="B111" s="10" t="str">
        <f t="shared" si="11"/>
        <v/>
      </c>
      <c r="C111" s="26" t="str">
        <f t="shared" si="13"/>
        <v/>
      </c>
      <c r="D111" s="11" t="str">
        <f t="shared" si="8"/>
        <v/>
      </c>
      <c r="E111" s="11" t="str">
        <f t="shared" si="12"/>
        <v/>
      </c>
      <c r="F111" s="11" t="str">
        <f t="shared" si="10"/>
        <v/>
      </c>
      <c r="G111" s="11" t="str">
        <f t="shared" si="9"/>
        <v/>
      </c>
    </row>
    <row r="112" spans="2:7">
      <c r="B112" s="12" t="str">
        <f t="shared" si="11"/>
        <v/>
      </c>
      <c r="C112" s="25" t="str">
        <f t="shared" si="13"/>
        <v/>
      </c>
      <c r="D112" s="13" t="str">
        <f t="shared" si="8"/>
        <v/>
      </c>
      <c r="E112" s="13" t="str">
        <f t="shared" si="12"/>
        <v/>
      </c>
      <c r="F112" s="13" t="str">
        <f t="shared" si="10"/>
        <v/>
      </c>
      <c r="G112" s="13" t="str">
        <f t="shared" si="9"/>
        <v/>
      </c>
    </row>
    <row r="113" spans="2:7">
      <c r="B113" s="10" t="str">
        <f t="shared" si="11"/>
        <v/>
      </c>
      <c r="C113" s="26" t="str">
        <f t="shared" si="13"/>
        <v/>
      </c>
      <c r="D113" s="11" t="str">
        <f t="shared" si="8"/>
        <v/>
      </c>
      <c r="E113" s="11" t="str">
        <f t="shared" si="12"/>
        <v/>
      </c>
      <c r="F113" s="11" t="str">
        <f t="shared" si="10"/>
        <v/>
      </c>
      <c r="G113" s="11" t="str">
        <f t="shared" si="9"/>
        <v/>
      </c>
    </row>
    <row r="114" spans="2:7">
      <c r="B114" s="12" t="str">
        <f t="shared" si="11"/>
        <v/>
      </c>
      <c r="C114" s="25" t="str">
        <f t="shared" si="13"/>
        <v/>
      </c>
      <c r="D114" s="13" t="str">
        <f t="shared" si="8"/>
        <v/>
      </c>
      <c r="E114" s="13" t="str">
        <f t="shared" si="12"/>
        <v/>
      </c>
      <c r="F114" s="13" t="str">
        <f t="shared" si="10"/>
        <v/>
      </c>
      <c r="G114" s="13" t="str">
        <f t="shared" si="9"/>
        <v/>
      </c>
    </row>
    <row r="115" spans="2:7">
      <c r="B115" s="10" t="str">
        <f t="shared" si="11"/>
        <v/>
      </c>
      <c r="C115" s="26" t="str">
        <f t="shared" si="13"/>
        <v/>
      </c>
      <c r="D115" s="11" t="str">
        <f t="shared" si="8"/>
        <v/>
      </c>
      <c r="E115" s="11" t="str">
        <f t="shared" si="12"/>
        <v/>
      </c>
      <c r="F115" s="11" t="str">
        <f t="shared" si="10"/>
        <v/>
      </c>
      <c r="G115" s="11" t="str">
        <f t="shared" si="9"/>
        <v/>
      </c>
    </row>
    <row r="116" spans="2:7">
      <c r="B116" s="12" t="str">
        <f t="shared" si="11"/>
        <v/>
      </c>
      <c r="C116" s="25" t="str">
        <f t="shared" si="13"/>
        <v/>
      </c>
      <c r="D116" s="13" t="str">
        <f t="shared" si="8"/>
        <v/>
      </c>
      <c r="E116" s="13" t="str">
        <f t="shared" si="12"/>
        <v/>
      </c>
      <c r="F116" s="13" t="str">
        <f t="shared" si="10"/>
        <v/>
      </c>
      <c r="G116" s="13" t="str">
        <f t="shared" si="9"/>
        <v/>
      </c>
    </row>
    <row r="117" spans="2:7">
      <c r="B117" s="10" t="str">
        <f t="shared" si="11"/>
        <v/>
      </c>
      <c r="C117" s="26" t="str">
        <f t="shared" si="13"/>
        <v/>
      </c>
      <c r="D117" s="11" t="str">
        <f t="shared" si="8"/>
        <v/>
      </c>
      <c r="E117" s="11" t="str">
        <f t="shared" si="12"/>
        <v/>
      </c>
      <c r="F117" s="11" t="str">
        <f t="shared" si="10"/>
        <v/>
      </c>
      <c r="G117" s="11" t="str">
        <f t="shared" si="9"/>
        <v/>
      </c>
    </row>
    <row r="118" spans="2:7">
      <c r="B118" s="12" t="str">
        <f t="shared" si="11"/>
        <v/>
      </c>
      <c r="C118" s="25" t="str">
        <f t="shared" si="13"/>
        <v/>
      </c>
      <c r="D118" s="13" t="str">
        <f t="shared" si="8"/>
        <v/>
      </c>
      <c r="E118" s="13" t="str">
        <f t="shared" si="12"/>
        <v/>
      </c>
      <c r="F118" s="13" t="str">
        <f t="shared" si="10"/>
        <v/>
      </c>
      <c r="G118" s="13" t="str">
        <f t="shared" si="9"/>
        <v/>
      </c>
    </row>
    <row r="119" spans="2:7">
      <c r="B119" s="10" t="str">
        <f t="shared" si="11"/>
        <v/>
      </c>
      <c r="C119" s="26" t="str">
        <f t="shared" si="13"/>
        <v/>
      </c>
      <c r="D119" s="11" t="str">
        <f t="shared" si="8"/>
        <v/>
      </c>
      <c r="E119" s="11" t="str">
        <f t="shared" si="12"/>
        <v/>
      </c>
      <c r="F119" s="11" t="str">
        <f t="shared" si="10"/>
        <v/>
      </c>
      <c r="G119" s="11" t="str">
        <f t="shared" si="9"/>
        <v/>
      </c>
    </row>
    <row r="120" spans="2:7">
      <c r="B120" s="12" t="str">
        <f t="shared" si="11"/>
        <v/>
      </c>
      <c r="C120" s="25" t="str">
        <f t="shared" si="13"/>
        <v/>
      </c>
      <c r="D120" s="13" t="str">
        <f t="shared" ref="D120:D143" si="14">IF(B120&lt;&gt;"",$D$13,"")</f>
        <v/>
      </c>
      <c r="E120" s="13" t="str">
        <f t="shared" si="12"/>
        <v/>
      </c>
      <c r="F120" s="13" t="str">
        <f t="shared" si="10"/>
        <v/>
      </c>
      <c r="G120" s="13" t="str">
        <f t="shared" ref="G120:G143" si="15">IF(B120&lt;&gt;"",G119-F120,"")</f>
        <v/>
      </c>
    </row>
    <row r="121" spans="2:7">
      <c r="B121" s="10" t="str">
        <f t="shared" si="11"/>
        <v/>
      </c>
      <c r="C121" s="26" t="str">
        <f t="shared" si="13"/>
        <v/>
      </c>
      <c r="D121" s="11" t="str">
        <f t="shared" si="14"/>
        <v/>
      </c>
      <c r="E121" s="11" t="str">
        <f t="shared" si="12"/>
        <v/>
      </c>
      <c r="F121" s="11" t="str">
        <f t="shared" si="10"/>
        <v/>
      </c>
      <c r="G121" s="11" t="str">
        <f t="shared" si="15"/>
        <v/>
      </c>
    </row>
    <row r="122" spans="2:7">
      <c r="B122" s="12" t="str">
        <f t="shared" si="11"/>
        <v/>
      </c>
      <c r="C122" s="25" t="str">
        <f t="shared" si="13"/>
        <v/>
      </c>
      <c r="D122" s="13" t="str">
        <f t="shared" si="14"/>
        <v/>
      </c>
      <c r="E122" s="13" t="str">
        <f t="shared" si="12"/>
        <v/>
      </c>
      <c r="F122" s="13" t="str">
        <f t="shared" si="10"/>
        <v/>
      </c>
      <c r="G122" s="13" t="str">
        <f t="shared" si="15"/>
        <v/>
      </c>
    </row>
    <row r="123" spans="2:7">
      <c r="B123" s="10" t="str">
        <f t="shared" si="11"/>
        <v/>
      </c>
      <c r="C123" s="26" t="str">
        <f t="shared" si="13"/>
        <v/>
      </c>
      <c r="D123" s="11" t="str">
        <f t="shared" si="14"/>
        <v/>
      </c>
      <c r="E123" s="11" t="str">
        <f t="shared" si="12"/>
        <v/>
      </c>
      <c r="F123" s="11" t="str">
        <f t="shared" si="10"/>
        <v/>
      </c>
      <c r="G123" s="11" t="str">
        <f t="shared" si="15"/>
        <v/>
      </c>
    </row>
    <row r="124" spans="2:7">
      <c r="B124" s="12" t="str">
        <f t="shared" si="11"/>
        <v/>
      </c>
      <c r="C124" s="25" t="str">
        <f t="shared" si="13"/>
        <v/>
      </c>
      <c r="D124" s="13" t="str">
        <f t="shared" si="14"/>
        <v/>
      </c>
      <c r="E124" s="13" t="str">
        <f t="shared" si="12"/>
        <v/>
      </c>
      <c r="F124" s="13" t="str">
        <f t="shared" si="10"/>
        <v/>
      </c>
      <c r="G124" s="13" t="str">
        <f t="shared" si="15"/>
        <v/>
      </c>
    </row>
    <row r="125" spans="2:7">
      <c r="B125" s="10" t="str">
        <f t="shared" si="11"/>
        <v/>
      </c>
      <c r="C125" s="26" t="str">
        <f t="shared" si="13"/>
        <v/>
      </c>
      <c r="D125" s="11" t="str">
        <f t="shared" si="14"/>
        <v/>
      </c>
      <c r="E125" s="11" t="str">
        <f t="shared" si="12"/>
        <v/>
      </c>
      <c r="F125" s="11" t="str">
        <f t="shared" si="10"/>
        <v/>
      </c>
      <c r="G125" s="11" t="str">
        <f t="shared" si="15"/>
        <v/>
      </c>
    </row>
    <row r="126" spans="2:7">
      <c r="B126" s="12" t="str">
        <f t="shared" si="11"/>
        <v/>
      </c>
      <c r="C126" s="25" t="str">
        <f t="shared" si="13"/>
        <v/>
      </c>
      <c r="D126" s="13" t="str">
        <f t="shared" si="14"/>
        <v/>
      </c>
      <c r="E126" s="13" t="str">
        <f t="shared" si="12"/>
        <v/>
      </c>
      <c r="F126" s="13" t="str">
        <f t="shared" si="10"/>
        <v/>
      </c>
      <c r="G126" s="13" t="str">
        <f t="shared" si="15"/>
        <v/>
      </c>
    </row>
    <row r="127" spans="2:7">
      <c r="B127" s="10" t="str">
        <f t="shared" si="11"/>
        <v/>
      </c>
      <c r="C127" s="26" t="str">
        <f t="shared" si="13"/>
        <v/>
      </c>
      <c r="D127" s="11" t="str">
        <f t="shared" si="14"/>
        <v/>
      </c>
      <c r="E127" s="11" t="str">
        <f t="shared" si="12"/>
        <v/>
      </c>
      <c r="F127" s="11" t="str">
        <f t="shared" si="10"/>
        <v/>
      </c>
      <c r="G127" s="11" t="str">
        <f t="shared" si="15"/>
        <v/>
      </c>
    </row>
    <row r="128" spans="2:7">
      <c r="B128" s="12" t="str">
        <f t="shared" si="11"/>
        <v/>
      </c>
      <c r="C128" s="25" t="str">
        <f t="shared" si="13"/>
        <v/>
      </c>
      <c r="D128" s="13" t="str">
        <f t="shared" si="14"/>
        <v/>
      </c>
      <c r="E128" s="13" t="str">
        <f t="shared" si="12"/>
        <v/>
      </c>
      <c r="F128" s="13" t="str">
        <f t="shared" si="10"/>
        <v/>
      </c>
      <c r="G128" s="13" t="str">
        <f t="shared" si="15"/>
        <v/>
      </c>
    </row>
    <row r="129" spans="2:7">
      <c r="B129" s="10" t="str">
        <f t="shared" si="11"/>
        <v/>
      </c>
      <c r="C129" s="26" t="str">
        <f t="shared" si="13"/>
        <v/>
      </c>
      <c r="D129" s="11" t="str">
        <f t="shared" si="14"/>
        <v/>
      </c>
      <c r="E129" s="11" t="str">
        <f t="shared" si="12"/>
        <v/>
      </c>
      <c r="F129" s="11" t="str">
        <f t="shared" si="10"/>
        <v/>
      </c>
      <c r="G129" s="11" t="str">
        <f t="shared" si="15"/>
        <v/>
      </c>
    </row>
    <row r="130" spans="2:7">
      <c r="B130" s="12" t="str">
        <f t="shared" si="11"/>
        <v/>
      </c>
      <c r="C130" s="25" t="str">
        <f t="shared" si="13"/>
        <v/>
      </c>
      <c r="D130" s="13" t="str">
        <f t="shared" si="14"/>
        <v/>
      </c>
      <c r="E130" s="13" t="str">
        <f t="shared" si="12"/>
        <v/>
      </c>
      <c r="F130" s="13" t="str">
        <f t="shared" si="10"/>
        <v/>
      </c>
      <c r="G130" s="13" t="str">
        <f t="shared" si="15"/>
        <v/>
      </c>
    </row>
    <row r="131" spans="2:7">
      <c r="B131" s="10" t="str">
        <f t="shared" si="11"/>
        <v/>
      </c>
      <c r="C131" s="26" t="str">
        <f t="shared" si="13"/>
        <v/>
      </c>
      <c r="D131" s="11" t="str">
        <f t="shared" si="14"/>
        <v/>
      </c>
      <c r="E131" s="11" t="str">
        <f t="shared" si="12"/>
        <v/>
      </c>
      <c r="F131" s="11" t="str">
        <f t="shared" si="10"/>
        <v/>
      </c>
      <c r="G131" s="11" t="str">
        <f t="shared" si="15"/>
        <v/>
      </c>
    </row>
    <row r="132" spans="2:7">
      <c r="B132" s="12" t="str">
        <f t="shared" si="11"/>
        <v/>
      </c>
      <c r="C132" s="25" t="str">
        <f t="shared" si="13"/>
        <v/>
      </c>
      <c r="D132" s="13" t="str">
        <f t="shared" si="14"/>
        <v/>
      </c>
      <c r="E132" s="13" t="str">
        <f t="shared" si="12"/>
        <v/>
      </c>
      <c r="F132" s="13" t="str">
        <f t="shared" si="10"/>
        <v/>
      </c>
      <c r="G132" s="13" t="str">
        <f t="shared" si="15"/>
        <v/>
      </c>
    </row>
    <row r="133" spans="2:7">
      <c r="B133" s="10" t="str">
        <f t="shared" si="11"/>
        <v/>
      </c>
      <c r="C133" s="26" t="str">
        <f t="shared" si="13"/>
        <v/>
      </c>
      <c r="D133" s="11" t="str">
        <f t="shared" si="14"/>
        <v/>
      </c>
      <c r="E133" s="11" t="str">
        <f t="shared" si="12"/>
        <v/>
      </c>
      <c r="F133" s="11" t="str">
        <f t="shared" si="10"/>
        <v/>
      </c>
      <c r="G133" s="11" t="str">
        <f t="shared" si="15"/>
        <v/>
      </c>
    </row>
    <row r="134" spans="2:7">
      <c r="B134" s="12" t="str">
        <f t="shared" si="11"/>
        <v/>
      </c>
      <c r="C134" s="25" t="str">
        <f t="shared" si="13"/>
        <v/>
      </c>
      <c r="D134" s="13" t="str">
        <f t="shared" si="14"/>
        <v/>
      </c>
      <c r="E134" s="13" t="str">
        <f t="shared" si="12"/>
        <v/>
      </c>
      <c r="F134" s="13" t="str">
        <f t="shared" si="10"/>
        <v/>
      </c>
      <c r="G134" s="13" t="str">
        <f t="shared" si="15"/>
        <v/>
      </c>
    </row>
    <row r="135" spans="2:7">
      <c r="B135" s="10" t="str">
        <f t="shared" si="11"/>
        <v/>
      </c>
      <c r="C135" s="26" t="str">
        <f t="shared" si="13"/>
        <v/>
      </c>
      <c r="D135" s="11" t="str">
        <f t="shared" si="14"/>
        <v/>
      </c>
      <c r="E135" s="11" t="str">
        <f t="shared" si="12"/>
        <v/>
      </c>
      <c r="F135" s="11" t="str">
        <f t="shared" si="10"/>
        <v/>
      </c>
      <c r="G135" s="11" t="str">
        <f t="shared" si="15"/>
        <v/>
      </c>
    </row>
    <row r="136" spans="2:7">
      <c r="B136" s="12" t="str">
        <f t="shared" si="11"/>
        <v/>
      </c>
      <c r="C136" s="25" t="str">
        <f t="shared" si="13"/>
        <v/>
      </c>
      <c r="D136" s="13" t="str">
        <f t="shared" si="14"/>
        <v/>
      </c>
      <c r="E136" s="13" t="str">
        <f t="shared" si="12"/>
        <v/>
      </c>
      <c r="F136" s="13" t="str">
        <f t="shared" si="10"/>
        <v/>
      </c>
      <c r="G136" s="13" t="str">
        <f t="shared" si="15"/>
        <v/>
      </c>
    </row>
    <row r="137" spans="2:7">
      <c r="B137" s="10" t="str">
        <f t="shared" si="11"/>
        <v/>
      </c>
      <c r="C137" s="26" t="str">
        <f t="shared" si="13"/>
        <v/>
      </c>
      <c r="D137" s="11" t="str">
        <f t="shared" si="14"/>
        <v/>
      </c>
      <c r="E137" s="11" t="str">
        <f t="shared" si="12"/>
        <v/>
      </c>
      <c r="F137" s="11" t="str">
        <f t="shared" si="10"/>
        <v/>
      </c>
      <c r="G137" s="11" t="str">
        <f t="shared" si="15"/>
        <v/>
      </c>
    </row>
    <row r="138" spans="2:7">
      <c r="B138" s="12" t="str">
        <f t="shared" si="11"/>
        <v/>
      </c>
      <c r="C138" s="25" t="str">
        <f t="shared" si="13"/>
        <v/>
      </c>
      <c r="D138" s="13" t="str">
        <f t="shared" si="14"/>
        <v/>
      </c>
      <c r="E138" s="13" t="str">
        <f t="shared" si="12"/>
        <v/>
      </c>
      <c r="F138" s="13" t="str">
        <f t="shared" si="10"/>
        <v/>
      </c>
      <c r="G138" s="13" t="str">
        <f t="shared" si="15"/>
        <v/>
      </c>
    </row>
    <row r="139" spans="2:7">
      <c r="B139" s="10" t="str">
        <f t="shared" si="11"/>
        <v/>
      </c>
      <c r="C139" s="26" t="str">
        <f t="shared" si="13"/>
        <v/>
      </c>
      <c r="D139" s="11" t="str">
        <f t="shared" si="14"/>
        <v/>
      </c>
      <c r="E139" s="11" t="str">
        <f t="shared" si="12"/>
        <v/>
      </c>
      <c r="F139" s="11" t="str">
        <f t="shared" si="10"/>
        <v/>
      </c>
      <c r="G139" s="11" t="str">
        <f t="shared" si="15"/>
        <v/>
      </c>
    </row>
    <row r="140" spans="2:7">
      <c r="B140" s="12" t="str">
        <f t="shared" si="11"/>
        <v/>
      </c>
      <c r="C140" s="25" t="str">
        <f t="shared" si="13"/>
        <v/>
      </c>
      <c r="D140" s="13" t="str">
        <f t="shared" si="14"/>
        <v/>
      </c>
      <c r="E140" s="13" t="str">
        <f t="shared" si="12"/>
        <v/>
      </c>
      <c r="F140" s="13" t="str">
        <f t="shared" si="10"/>
        <v/>
      </c>
      <c r="G140" s="13" t="str">
        <f t="shared" si="15"/>
        <v/>
      </c>
    </row>
    <row r="141" spans="2:7">
      <c r="B141" s="10" t="str">
        <f t="shared" si="11"/>
        <v/>
      </c>
      <c r="C141" s="26" t="str">
        <f t="shared" si="13"/>
        <v/>
      </c>
      <c r="D141" s="11" t="str">
        <f t="shared" si="14"/>
        <v/>
      </c>
      <c r="E141" s="11" t="str">
        <f t="shared" si="12"/>
        <v/>
      </c>
      <c r="F141" s="11" t="str">
        <f t="shared" si="10"/>
        <v/>
      </c>
      <c r="G141" s="11" t="str">
        <f t="shared" si="15"/>
        <v/>
      </c>
    </row>
    <row r="142" spans="2:7">
      <c r="B142" s="12" t="str">
        <f t="shared" si="11"/>
        <v/>
      </c>
      <c r="C142" s="25" t="str">
        <f t="shared" si="13"/>
        <v/>
      </c>
      <c r="D142" s="13" t="str">
        <f t="shared" si="14"/>
        <v/>
      </c>
      <c r="E142" s="13" t="str">
        <f t="shared" si="12"/>
        <v/>
      </c>
      <c r="F142" s="13" t="str">
        <f t="shared" si="10"/>
        <v/>
      </c>
      <c r="G142" s="13" t="str">
        <f t="shared" si="15"/>
        <v/>
      </c>
    </row>
    <row r="143" spans="2:7">
      <c r="B143" s="10" t="str">
        <f t="shared" si="11"/>
        <v/>
      </c>
      <c r="C143" s="26" t="str">
        <f t="shared" si="13"/>
        <v/>
      </c>
      <c r="D143" s="11" t="str">
        <f t="shared" si="14"/>
        <v/>
      </c>
      <c r="E143" s="11" t="str">
        <f t="shared" si="12"/>
        <v/>
      </c>
      <c r="F143" s="11" t="str">
        <f t="shared" si="10"/>
        <v/>
      </c>
      <c r="G143" s="11" t="str">
        <f t="shared" si="15"/>
        <v/>
      </c>
    </row>
    <row r="144" spans="2:7">
      <c r="B144" s="12" t="str">
        <f t="shared" si="11"/>
        <v/>
      </c>
      <c r="C144" s="25" t="str">
        <f t="shared" si="13"/>
        <v/>
      </c>
      <c r="D144" s="13" t="str">
        <f t="shared" ref="D144:D207" si="16">IF(B144&lt;&gt;"",$D$13,"")</f>
        <v/>
      </c>
      <c r="E144" s="13" t="str">
        <f t="shared" si="12"/>
        <v/>
      </c>
      <c r="F144" s="13" t="str">
        <f t="shared" si="10"/>
        <v/>
      </c>
      <c r="G144" s="13" t="str">
        <f t="shared" ref="G144:G207" si="17">IF(B144&lt;&gt;"",G143-F144,"")</f>
        <v/>
      </c>
    </row>
    <row r="145" spans="2:7">
      <c r="B145" s="10" t="str">
        <f t="shared" si="11"/>
        <v/>
      </c>
      <c r="C145" s="26" t="str">
        <f t="shared" si="13"/>
        <v/>
      </c>
      <c r="D145" s="11" t="str">
        <f t="shared" si="16"/>
        <v/>
      </c>
      <c r="E145" s="11" t="str">
        <f t="shared" si="12"/>
        <v/>
      </c>
      <c r="F145" s="11" t="str">
        <f t="shared" si="10"/>
        <v/>
      </c>
      <c r="G145" s="11" t="str">
        <f t="shared" si="17"/>
        <v/>
      </c>
    </row>
    <row r="146" spans="2:7">
      <c r="B146" s="12" t="str">
        <f t="shared" si="11"/>
        <v/>
      </c>
      <c r="C146" s="25" t="str">
        <f t="shared" si="13"/>
        <v/>
      </c>
      <c r="D146" s="13" t="str">
        <f t="shared" si="16"/>
        <v/>
      </c>
      <c r="E146" s="13" t="str">
        <f t="shared" si="12"/>
        <v/>
      </c>
      <c r="F146" s="13" t="str">
        <f t="shared" ref="F146:F209" si="18">IF(B146&lt;&gt;"",D146-E146,"")</f>
        <v/>
      </c>
      <c r="G146" s="13" t="str">
        <f t="shared" si="17"/>
        <v/>
      </c>
    </row>
    <row r="147" spans="2:7">
      <c r="B147" s="10" t="str">
        <f t="shared" ref="B147:B210" si="19">IFERROR(IF(AND(B146&lt;=$D$7,G146&gt;-1,G146&lt;1),"",B146+1),"")</f>
        <v/>
      </c>
      <c r="C147" s="26" t="str">
        <f t="shared" si="13"/>
        <v/>
      </c>
      <c r="D147" s="11" t="str">
        <f t="shared" si="16"/>
        <v/>
      </c>
      <c r="E147" s="11" t="str">
        <f t="shared" ref="E147:E210" si="20">IF(B147&lt;&gt;"",G146*$D$6/$D$11,"")</f>
        <v/>
      </c>
      <c r="F147" s="11" t="str">
        <f t="shared" si="18"/>
        <v/>
      </c>
      <c r="G147" s="11" t="str">
        <f t="shared" si="17"/>
        <v/>
      </c>
    </row>
    <row r="148" spans="2:7">
      <c r="B148" s="12" t="str">
        <f t="shared" si="19"/>
        <v/>
      </c>
      <c r="C148" s="25" t="str">
        <f t="shared" ref="C148:C211" si="21">IF(B148&lt;&gt;"",CHOOSE($B$9,EOMONTH(C147,1),EOMONTH(C147,1)+1),"")</f>
        <v/>
      </c>
      <c r="D148" s="13" t="str">
        <f t="shared" si="16"/>
        <v/>
      </c>
      <c r="E148" s="13" t="str">
        <f t="shared" si="20"/>
        <v/>
      </c>
      <c r="F148" s="13" t="str">
        <f t="shared" si="18"/>
        <v/>
      </c>
      <c r="G148" s="13" t="str">
        <f t="shared" si="17"/>
        <v/>
      </c>
    </row>
    <row r="149" spans="2:7">
      <c r="B149" s="10" t="str">
        <f t="shared" si="19"/>
        <v/>
      </c>
      <c r="C149" s="26" t="str">
        <f t="shared" si="21"/>
        <v/>
      </c>
      <c r="D149" s="11" t="str">
        <f t="shared" si="16"/>
        <v/>
      </c>
      <c r="E149" s="11" t="str">
        <f t="shared" si="20"/>
        <v/>
      </c>
      <c r="F149" s="11" t="str">
        <f t="shared" si="18"/>
        <v/>
      </c>
      <c r="G149" s="11" t="str">
        <f t="shared" si="17"/>
        <v/>
      </c>
    </row>
    <row r="150" spans="2:7">
      <c r="B150" s="12" t="str">
        <f t="shared" si="19"/>
        <v/>
      </c>
      <c r="C150" s="25" t="str">
        <f t="shared" si="21"/>
        <v/>
      </c>
      <c r="D150" s="13" t="str">
        <f t="shared" si="16"/>
        <v/>
      </c>
      <c r="E150" s="13" t="str">
        <f t="shared" si="20"/>
        <v/>
      </c>
      <c r="F150" s="13" t="str">
        <f t="shared" si="18"/>
        <v/>
      </c>
      <c r="G150" s="13" t="str">
        <f t="shared" si="17"/>
        <v/>
      </c>
    </row>
    <row r="151" spans="2:7">
      <c r="B151" s="10" t="str">
        <f t="shared" si="19"/>
        <v/>
      </c>
      <c r="C151" s="26" t="str">
        <f t="shared" si="21"/>
        <v/>
      </c>
      <c r="D151" s="11" t="str">
        <f t="shared" si="16"/>
        <v/>
      </c>
      <c r="E151" s="11" t="str">
        <f t="shared" si="20"/>
        <v/>
      </c>
      <c r="F151" s="11" t="str">
        <f t="shared" si="18"/>
        <v/>
      </c>
      <c r="G151" s="11" t="str">
        <f t="shared" si="17"/>
        <v/>
      </c>
    </row>
    <row r="152" spans="2:7">
      <c r="B152" s="12" t="str">
        <f t="shared" si="19"/>
        <v/>
      </c>
      <c r="C152" s="25" t="str">
        <f t="shared" si="21"/>
        <v/>
      </c>
      <c r="D152" s="13" t="str">
        <f t="shared" si="16"/>
        <v/>
      </c>
      <c r="E152" s="13" t="str">
        <f t="shared" si="20"/>
        <v/>
      </c>
      <c r="F152" s="13" t="str">
        <f t="shared" si="18"/>
        <v/>
      </c>
      <c r="G152" s="13" t="str">
        <f t="shared" si="17"/>
        <v/>
      </c>
    </row>
    <row r="153" spans="2:7">
      <c r="B153" s="10" t="str">
        <f t="shared" si="19"/>
        <v/>
      </c>
      <c r="C153" s="26" t="str">
        <f t="shared" si="21"/>
        <v/>
      </c>
      <c r="D153" s="11" t="str">
        <f t="shared" si="16"/>
        <v/>
      </c>
      <c r="E153" s="11" t="str">
        <f t="shared" si="20"/>
        <v/>
      </c>
      <c r="F153" s="11" t="str">
        <f t="shared" si="18"/>
        <v/>
      </c>
      <c r="G153" s="11" t="str">
        <f t="shared" si="17"/>
        <v/>
      </c>
    </row>
    <row r="154" spans="2:7">
      <c r="B154" s="12" t="str">
        <f t="shared" si="19"/>
        <v/>
      </c>
      <c r="C154" s="25" t="str">
        <f t="shared" si="21"/>
        <v/>
      </c>
      <c r="D154" s="13" t="str">
        <f t="shared" si="16"/>
        <v/>
      </c>
      <c r="E154" s="13" t="str">
        <f t="shared" si="20"/>
        <v/>
      </c>
      <c r="F154" s="13" t="str">
        <f t="shared" si="18"/>
        <v/>
      </c>
      <c r="G154" s="13" t="str">
        <f t="shared" si="17"/>
        <v/>
      </c>
    </row>
    <row r="155" spans="2:7">
      <c r="B155" s="10" t="str">
        <f t="shared" si="19"/>
        <v/>
      </c>
      <c r="C155" s="26" t="str">
        <f t="shared" si="21"/>
        <v/>
      </c>
      <c r="D155" s="11" t="str">
        <f t="shared" si="16"/>
        <v/>
      </c>
      <c r="E155" s="11" t="str">
        <f t="shared" si="20"/>
        <v/>
      </c>
      <c r="F155" s="11" t="str">
        <f t="shared" si="18"/>
        <v/>
      </c>
      <c r="G155" s="11" t="str">
        <f t="shared" si="17"/>
        <v/>
      </c>
    </row>
    <row r="156" spans="2:7">
      <c r="B156" s="12" t="str">
        <f t="shared" si="19"/>
        <v/>
      </c>
      <c r="C156" s="25" t="str">
        <f t="shared" si="21"/>
        <v/>
      </c>
      <c r="D156" s="13" t="str">
        <f t="shared" si="16"/>
        <v/>
      </c>
      <c r="E156" s="13" t="str">
        <f t="shared" si="20"/>
        <v/>
      </c>
      <c r="F156" s="13" t="str">
        <f t="shared" si="18"/>
        <v/>
      </c>
      <c r="G156" s="13" t="str">
        <f t="shared" si="17"/>
        <v/>
      </c>
    </row>
    <row r="157" spans="2:7">
      <c r="B157" s="10" t="str">
        <f t="shared" si="19"/>
        <v/>
      </c>
      <c r="C157" s="26" t="str">
        <f t="shared" si="21"/>
        <v/>
      </c>
      <c r="D157" s="11" t="str">
        <f t="shared" si="16"/>
        <v/>
      </c>
      <c r="E157" s="11" t="str">
        <f t="shared" si="20"/>
        <v/>
      </c>
      <c r="F157" s="11" t="str">
        <f t="shared" si="18"/>
        <v/>
      </c>
      <c r="G157" s="11" t="str">
        <f t="shared" si="17"/>
        <v/>
      </c>
    </row>
    <row r="158" spans="2:7">
      <c r="B158" s="12" t="str">
        <f t="shared" si="19"/>
        <v/>
      </c>
      <c r="C158" s="25" t="str">
        <f t="shared" si="21"/>
        <v/>
      </c>
      <c r="D158" s="13" t="str">
        <f t="shared" si="16"/>
        <v/>
      </c>
      <c r="E158" s="13" t="str">
        <f t="shared" si="20"/>
        <v/>
      </c>
      <c r="F158" s="13" t="str">
        <f t="shared" si="18"/>
        <v/>
      </c>
      <c r="G158" s="13" t="str">
        <f t="shared" si="17"/>
        <v/>
      </c>
    </row>
    <row r="159" spans="2:7">
      <c r="B159" s="10" t="str">
        <f t="shared" si="19"/>
        <v/>
      </c>
      <c r="C159" s="26" t="str">
        <f t="shared" si="21"/>
        <v/>
      </c>
      <c r="D159" s="11" t="str">
        <f t="shared" si="16"/>
        <v/>
      </c>
      <c r="E159" s="11" t="str">
        <f t="shared" si="20"/>
        <v/>
      </c>
      <c r="F159" s="11" t="str">
        <f t="shared" si="18"/>
        <v/>
      </c>
      <c r="G159" s="11" t="str">
        <f t="shared" si="17"/>
        <v/>
      </c>
    </row>
    <row r="160" spans="2:7">
      <c r="B160" s="12" t="str">
        <f t="shared" si="19"/>
        <v/>
      </c>
      <c r="C160" s="25" t="str">
        <f t="shared" si="21"/>
        <v/>
      </c>
      <c r="D160" s="13" t="str">
        <f t="shared" si="16"/>
        <v/>
      </c>
      <c r="E160" s="13" t="str">
        <f t="shared" si="20"/>
        <v/>
      </c>
      <c r="F160" s="13" t="str">
        <f t="shared" si="18"/>
        <v/>
      </c>
      <c r="G160" s="13" t="str">
        <f t="shared" si="17"/>
        <v/>
      </c>
    </row>
    <row r="161" spans="2:7">
      <c r="B161" s="10" t="str">
        <f t="shared" si="19"/>
        <v/>
      </c>
      <c r="C161" s="26" t="str">
        <f t="shared" si="21"/>
        <v/>
      </c>
      <c r="D161" s="11" t="str">
        <f t="shared" si="16"/>
        <v/>
      </c>
      <c r="E161" s="11" t="str">
        <f t="shared" si="20"/>
        <v/>
      </c>
      <c r="F161" s="11" t="str">
        <f t="shared" si="18"/>
        <v/>
      </c>
      <c r="G161" s="11" t="str">
        <f t="shared" si="17"/>
        <v/>
      </c>
    </row>
    <row r="162" spans="2:7">
      <c r="B162" s="12" t="str">
        <f t="shared" si="19"/>
        <v/>
      </c>
      <c r="C162" s="25" t="str">
        <f t="shared" si="21"/>
        <v/>
      </c>
      <c r="D162" s="13" t="str">
        <f t="shared" si="16"/>
        <v/>
      </c>
      <c r="E162" s="13" t="str">
        <f t="shared" si="20"/>
        <v/>
      </c>
      <c r="F162" s="13" t="str">
        <f t="shared" si="18"/>
        <v/>
      </c>
      <c r="G162" s="13" t="str">
        <f t="shared" si="17"/>
        <v/>
      </c>
    </row>
    <row r="163" spans="2:7">
      <c r="B163" s="10" t="str">
        <f t="shared" si="19"/>
        <v/>
      </c>
      <c r="C163" s="26" t="str">
        <f t="shared" si="21"/>
        <v/>
      </c>
      <c r="D163" s="11" t="str">
        <f t="shared" si="16"/>
        <v/>
      </c>
      <c r="E163" s="11" t="str">
        <f t="shared" si="20"/>
        <v/>
      </c>
      <c r="F163" s="11" t="str">
        <f t="shared" si="18"/>
        <v/>
      </c>
      <c r="G163" s="11" t="str">
        <f t="shared" si="17"/>
        <v/>
      </c>
    </row>
    <row r="164" spans="2:7">
      <c r="B164" s="12" t="str">
        <f t="shared" si="19"/>
        <v/>
      </c>
      <c r="C164" s="25" t="str">
        <f t="shared" si="21"/>
        <v/>
      </c>
      <c r="D164" s="13" t="str">
        <f t="shared" si="16"/>
        <v/>
      </c>
      <c r="E164" s="13" t="str">
        <f t="shared" si="20"/>
        <v/>
      </c>
      <c r="F164" s="13" t="str">
        <f t="shared" si="18"/>
        <v/>
      </c>
      <c r="G164" s="13" t="str">
        <f t="shared" si="17"/>
        <v/>
      </c>
    </row>
    <row r="165" spans="2:7">
      <c r="B165" s="10" t="str">
        <f t="shared" si="19"/>
        <v/>
      </c>
      <c r="C165" s="26" t="str">
        <f t="shared" si="21"/>
        <v/>
      </c>
      <c r="D165" s="11" t="str">
        <f t="shared" si="16"/>
        <v/>
      </c>
      <c r="E165" s="11" t="str">
        <f t="shared" si="20"/>
        <v/>
      </c>
      <c r="F165" s="11" t="str">
        <f t="shared" si="18"/>
        <v/>
      </c>
      <c r="G165" s="11" t="str">
        <f t="shared" si="17"/>
        <v/>
      </c>
    </row>
    <row r="166" spans="2:7">
      <c r="B166" s="12" t="str">
        <f t="shared" si="19"/>
        <v/>
      </c>
      <c r="C166" s="25" t="str">
        <f t="shared" si="21"/>
        <v/>
      </c>
      <c r="D166" s="13" t="str">
        <f t="shared" si="16"/>
        <v/>
      </c>
      <c r="E166" s="13" t="str">
        <f t="shared" si="20"/>
        <v/>
      </c>
      <c r="F166" s="13" t="str">
        <f t="shared" si="18"/>
        <v/>
      </c>
      <c r="G166" s="13" t="str">
        <f t="shared" si="17"/>
        <v/>
      </c>
    </row>
    <row r="167" spans="2:7">
      <c r="B167" s="10" t="str">
        <f t="shared" si="19"/>
        <v/>
      </c>
      <c r="C167" s="26" t="str">
        <f t="shared" si="21"/>
        <v/>
      </c>
      <c r="D167" s="11" t="str">
        <f t="shared" si="16"/>
        <v/>
      </c>
      <c r="E167" s="11" t="str">
        <f t="shared" si="20"/>
        <v/>
      </c>
      <c r="F167" s="11" t="str">
        <f t="shared" si="18"/>
        <v/>
      </c>
      <c r="G167" s="11" t="str">
        <f t="shared" si="17"/>
        <v/>
      </c>
    </row>
    <row r="168" spans="2:7">
      <c r="B168" s="12" t="str">
        <f t="shared" si="19"/>
        <v/>
      </c>
      <c r="C168" s="25" t="str">
        <f t="shared" si="21"/>
        <v/>
      </c>
      <c r="D168" s="13" t="str">
        <f t="shared" si="16"/>
        <v/>
      </c>
      <c r="E168" s="13" t="str">
        <f t="shared" si="20"/>
        <v/>
      </c>
      <c r="F168" s="13" t="str">
        <f t="shared" si="18"/>
        <v/>
      </c>
      <c r="G168" s="13" t="str">
        <f t="shared" si="17"/>
        <v/>
      </c>
    </row>
    <row r="169" spans="2:7">
      <c r="B169" s="10" t="str">
        <f t="shared" si="19"/>
        <v/>
      </c>
      <c r="C169" s="26" t="str">
        <f t="shared" si="21"/>
        <v/>
      </c>
      <c r="D169" s="11" t="str">
        <f t="shared" si="16"/>
        <v/>
      </c>
      <c r="E169" s="11" t="str">
        <f t="shared" si="20"/>
        <v/>
      </c>
      <c r="F169" s="11" t="str">
        <f t="shared" si="18"/>
        <v/>
      </c>
      <c r="G169" s="11" t="str">
        <f t="shared" si="17"/>
        <v/>
      </c>
    </row>
    <row r="170" spans="2:7">
      <c r="B170" s="12" t="str">
        <f t="shared" si="19"/>
        <v/>
      </c>
      <c r="C170" s="25" t="str">
        <f t="shared" si="21"/>
        <v/>
      </c>
      <c r="D170" s="13" t="str">
        <f t="shared" si="16"/>
        <v/>
      </c>
      <c r="E170" s="13" t="str">
        <f t="shared" si="20"/>
        <v/>
      </c>
      <c r="F170" s="13" t="str">
        <f t="shared" si="18"/>
        <v/>
      </c>
      <c r="G170" s="13" t="str">
        <f t="shared" si="17"/>
        <v/>
      </c>
    </row>
    <row r="171" spans="2:7">
      <c r="B171" s="10" t="str">
        <f t="shared" si="19"/>
        <v/>
      </c>
      <c r="C171" s="26" t="str">
        <f t="shared" si="21"/>
        <v/>
      </c>
      <c r="D171" s="11" t="str">
        <f t="shared" si="16"/>
        <v/>
      </c>
      <c r="E171" s="11" t="str">
        <f t="shared" si="20"/>
        <v/>
      </c>
      <c r="F171" s="11" t="str">
        <f t="shared" si="18"/>
        <v/>
      </c>
      <c r="G171" s="11" t="str">
        <f t="shared" si="17"/>
        <v/>
      </c>
    </row>
    <row r="172" spans="2:7">
      <c r="B172" s="12" t="str">
        <f t="shared" si="19"/>
        <v/>
      </c>
      <c r="C172" s="25" t="str">
        <f t="shared" si="21"/>
        <v/>
      </c>
      <c r="D172" s="13" t="str">
        <f t="shared" si="16"/>
        <v/>
      </c>
      <c r="E172" s="13" t="str">
        <f t="shared" si="20"/>
        <v/>
      </c>
      <c r="F172" s="13" t="str">
        <f t="shared" si="18"/>
        <v/>
      </c>
      <c r="G172" s="13" t="str">
        <f t="shared" si="17"/>
        <v/>
      </c>
    </row>
    <row r="173" spans="2:7">
      <c r="B173" s="10" t="str">
        <f t="shared" si="19"/>
        <v/>
      </c>
      <c r="C173" s="26" t="str">
        <f t="shared" si="21"/>
        <v/>
      </c>
      <c r="D173" s="11" t="str">
        <f t="shared" si="16"/>
        <v/>
      </c>
      <c r="E173" s="11" t="str">
        <f t="shared" si="20"/>
        <v/>
      </c>
      <c r="F173" s="11" t="str">
        <f t="shared" si="18"/>
        <v/>
      </c>
      <c r="G173" s="11" t="str">
        <f t="shared" si="17"/>
        <v/>
      </c>
    </row>
    <row r="174" spans="2:7">
      <c r="B174" s="12" t="str">
        <f t="shared" si="19"/>
        <v/>
      </c>
      <c r="C174" s="25" t="str">
        <f t="shared" si="21"/>
        <v/>
      </c>
      <c r="D174" s="13" t="str">
        <f t="shared" si="16"/>
        <v/>
      </c>
      <c r="E174" s="13" t="str">
        <f t="shared" si="20"/>
        <v/>
      </c>
      <c r="F174" s="13" t="str">
        <f t="shared" si="18"/>
        <v/>
      </c>
      <c r="G174" s="13" t="str">
        <f t="shared" si="17"/>
        <v/>
      </c>
    </row>
    <row r="175" spans="2:7">
      <c r="B175" s="10" t="str">
        <f t="shared" si="19"/>
        <v/>
      </c>
      <c r="C175" s="26" t="str">
        <f t="shared" si="21"/>
        <v/>
      </c>
      <c r="D175" s="11" t="str">
        <f t="shared" si="16"/>
        <v/>
      </c>
      <c r="E175" s="11" t="str">
        <f t="shared" si="20"/>
        <v/>
      </c>
      <c r="F175" s="11" t="str">
        <f t="shared" si="18"/>
        <v/>
      </c>
      <c r="G175" s="11" t="str">
        <f t="shared" si="17"/>
        <v/>
      </c>
    </row>
    <row r="176" spans="2:7">
      <c r="B176" s="12" t="str">
        <f t="shared" si="19"/>
        <v/>
      </c>
      <c r="C176" s="25" t="str">
        <f t="shared" si="21"/>
        <v/>
      </c>
      <c r="D176" s="13" t="str">
        <f t="shared" si="16"/>
        <v/>
      </c>
      <c r="E176" s="13" t="str">
        <f t="shared" si="20"/>
        <v/>
      </c>
      <c r="F176" s="13" t="str">
        <f t="shared" si="18"/>
        <v/>
      </c>
      <c r="G176" s="13" t="str">
        <f t="shared" si="17"/>
        <v/>
      </c>
    </row>
    <row r="177" spans="2:7">
      <c r="B177" s="10" t="str">
        <f t="shared" si="19"/>
        <v/>
      </c>
      <c r="C177" s="26" t="str">
        <f t="shared" si="21"/>
        <v/>
      </c>
      <c r="D177" s="11" t="str">
        <f t="shared" si="16"/>
        <v/>
      </c>
      <c r="E177" s="11" t="str">
        <f t="shared" si="20"/>
        <v/>
      </c>
      <c r="F177" s="11" t="str">
        <f t="shared" si="18"/>
        <v/>
      </c>
      <c r="G177" s="11" t="str">
        <f t="shared" si="17"/>
        <v/>
      </c>
    </row>
    <row r="178" spans="2:7">
      <c r="B178" s="12" t="str">
        <f t="shared" si="19"/>
        <v/>
      </c>
      <c r="C178" s="25" t="str">
        <f t="shared" si="21"/>
        <v/>
      </c>
      <c r="D178" s="13" t="str">
        <f t="shared" si="16"/>
        <v/>
      </c>
      <c r="E178" s="13" t="str">
        <f t="shared" si="20"/>
        <v/>
      </c>
      <c r="F178" s="13" t="str">
        <f t="shared" si="18"/>
        <v/>
      </c>
      <c r="G178" s="13" t="str">
        <f t="shared" si="17"/>
        <v/>
      </c>
    </row>
    <row r="179" spans="2:7">
      <c r="B179" s="10" t="str">
        <f t="shared" si="19"/>
        <v/>
      </c>
      <c r="C179" s="26" t="str">
        <f t="shared" si="21"/>
        <v/>
      </c>
      <c r="D179" s="11" t="str">
        <f t="shared" si="16"/>
        <v/>
      </c>
      <c r="E179" s="11" t="str">
        <f t="shared" si="20"/>
        <v/>
      </c>
      <c r="F179" s="11" t="str">
        <f t="shared" si="18"/>
        <v/>
      </c>
      <c r="G179" s="11" t="str">
        <f t="shared" si="17"/>
        <v/>
      </c>
    </row>
    <row r="180" spans="2:7">
      <c r="B180" s="12" t="str">
        <f t="shared" si="19"/>
        <v/>
      </c>
      <c r="C180" s="25" t="str">
        <f t="shared" si="21"/>
        <v/>
      </c>
      <c r="D180" s="13" t="str">
        <f t="shared" si="16"/>
        <v/>
      </c>
      <c r="E180" s="13" t="str">
        <f t="shared" si="20"/>
        <v/>
      </c>
      <c r="F180" s="13" t="str">
        <f t="shared" si="18"/>
        <v/>
      </c>
      <c r="G180" s="13" t="str">
        <f t="shared" si="17"/>
        <v/>
      </c>
    </row>
    <row r="181" spans="2:7">
      <c r="B181" s="10" t="str">
        <f t="shared" si="19"/>
        <v/>
      </c>
      <c r="C181" s="26" t="str">
        <f t="shared" si="21"/>
        <v/>
      </c>
      <c r="D181" s="11" t="str">
        <f t="shared" si="16"/>
        <v/>
      </c>
      <c r="E181" s="11" t="str">
        <f t="shared" si="20"/>
        <v/>
      </c>
      <c r="F181" s="11" t="str">
        <f t="shared" si="18"/>
        <v/>
      </c>
      <c r="G181" s="11" t="str">
        <f t="shared" si="17"/>
        <v/>
      </c>
    </row>
    <row r="182" spans="2:7">
      <c r="B182" s="12" t="str">
        <f t="shared" si="19"/>
        <v/>
      </c>
      <c r="C182" s="25" t="str">
        <f t="shared" si="21"/>
        <v/>
      </c>
      <c r="D182" s="13" t="str">
        <f t="shared" si="16"/>
        <v/>
      </c>
      <c r="E182" s="13" t="str">
        <f t="shared" si="20"/>
        <v/>
      </c>
      <c r="F182" s="13" t="str">
        <f t="shared" si="18"/>
        <v/>
      </c>
      <c r="G182" s="13" t="str">
        <f t="shared" si="17"/>
        <v/>
      </c>
    </row>
    <row r="183" spans="2:7">
      <c r="B183" s="10" t="str">
        <f t="shared" si="19"/>
        <v/>
      </c>
      <c r="C183" s="26" t="str">
        <f t="shared" si="21"/>
        <v/>
      </c>
      <c r="D183" s="11" t="str">
        <f t="shared" si="16"/>
        <v/>
      </c>
      <c r="E183" s="11" t="str">
        <f t="shared" si="20"/>
        <v/>
      </c>
      <c r="F183" s="11" t="str">
        <f t="shared" si="18"/>
        <v/>
      </c>
      <c r="G183" s="11" t="str">
        <f t="shared" si="17"/>
        <v/>
      </c>
    </row>
    <row r="184" spans="2:7">
      <c r="B184" s="12" t="str">
        <f t="shared" si="19"/>
        <v/>
      </c>
      <c r="C184" s="25" t="str">
        <f t="shared" si="21"/>
        <v/>
      </c>
      <c r="D184" s="13" t="str">
        <f t="shared" si="16"/>
        <v/>
      </c>
      <c r="E184" s="13" t="str">
        <f t="shared" si="20"/>
        <v/>
      </c>
      <c r="F184" s="13" t="str">
        <f t="shared" si="18"/>
        <v/>
      </c>
      <c r="G184" s="13" t="str">
        <f t="shared" si="17"/>
        <v/>
      </c>
    </row>
    <row r="185" spans="2:7">
      <c r="B185" s="10" t="str">
        <f t="shared" si="19"/>
        <v/>
      </c>
      <c r="C185" s="26" t="str">
        <f t="shared" si="21"/>
        <v/>
      </c>
      <c r="D185" s="11" t="str">
        <f t="shared" si="16"/>
        <v/>
      </c>
      <c r="E185" s="11" t="str">
        <f t="shared" si="20"/>
        <v/>
      </c>
      <c r="F185" s="11" t="str">
        <f t="shared" si="18"/>
        <v/>
      </c>
      <c r="G185" s="11" t="str">
        <f t="shared" si="17"/>
        <v/>
      </c>
    </row>
    <row r="186" spans="2:7">
      <c r="B186" s="12" t="str">
        <f t="shared" si="19"/>
        <v/>
      </c>
      <c r="C186" s="25" t="str">
        <f t="shared" si="21"/>
        <v/>
      </c>
      <c r="D186" s="13" t="str">
        <f t="shared" si="16"/>
        <v/>
      </c>
      <c r="E186" s="13" t="str">
        <f t="shared" si="20"/>
        <v/>
      </c>
      <c r="F186" s="13" t="str">
        <f t="shared" si="18"/>
        <v/>
      </c>
      <c r="G186" s="13" t="str">
        <f t="shared" si="17"/>
        <v/>
      </c>
    </row>
    <row r="187" spans="2:7">
      <c r="B187" s="10" t="str">
        <f t="shared" si="19"/>
        <v/>
      </c>
      <c r="C187" s="26" t="str">
        <f t="shared" si="21"/>
        <v/>
      </c>
      <c r="D187" s="11" t="str">
        <f t="shared" si="16"/>
        <v/>
      </c>
      <c r="E187" s="11" t="str">
        <f t="shared" si="20"/>
        <v/>
      </c>
      <c r="F187" s="11" t="str">
        <f t="shared" si="18"/>
        <v/>
      </c>
      <c r="G187" s="11" t="str">
        <f t="shared" si="17"/>
        <v/>
      </c>
    </row>
    <row r="188" spans="2:7">
      <c r="B188" s="12" t="str">
        <f t="shared" si="19"/>
        <v/>
      </c>
      <c r="C188" s="25" t="str">
        <f t="shared" si="21"/>
        <v/>
      </c>
      <c r="D188" s="13" t="str">
        <f t="shared" si="16"/>
        <v/>
      </c>
      <c r="E188" s="13" t="str">
        <f t="shared" si="20"/>
        <v/>
      </c>
      <c r="F188" s="13" t="str">
        <f t="shared" si="18"/>
        <v/>
      </c>
      <c r="G188" s="13" t="str">
        <f t="shared" si="17"/>
        <v/>
      </c>
    </row>
    <row r="189" spans="2:7">
      <c r="B189" s="10" t="str">
        <f t="shared" si="19"/>
        <v/>
      </c>
      <c r="C189" s="26" t="str">
        <f t="shared" si="21"/>
        <v/>
      </c>
      <c r="D189" s="11" t="str">
        <f t="shared" si="16"/>
        <v/>
      </c>
      <c r="E189" s="11" t="str">
        <f t="shared" si="20"/>
        <v/>
      </c>
      <c r="F189" s="11" t="str">
        <f t="shared" si="18"/>
        <v/>
      </c>
      <c r="G189" s="11" t="str">
        <f t="shared" si="17"/>
        <v/>
      </c>
    </row>
    <row r="190" spans="2:7">
      <c r="B190" s="12" t="str">
        <f t="shared" si="19"/>
        <v/>
      </c>
      <c r="C190" s="25" t="str">
        <f t="shared" si="21"/>
        <v/>
      </c>
      <c r="D190" s="13" t="str">
        <f t="shared" si="16"/>
        <v/>
      </c>
      <c r="E190" s="13" t="str">
        <f t="shared" si="20"/>
        <v/>
      </c>
      <c r="F190" s="13" t="str">
        <f t="shared" si="18"/>
        <v/>
      </c>
      <c r="G190" s="13" t="str">
        <f t="shared" si="17"/>
        <v/>
      </c>
    </row>
    <row r="191" spans="2:7">
      <c r="B191" s="10" t="str">
        <f t="shared" si="19"/>
        <v/>
      </c>
      <c r="C191" s="26" t="str">
        <f t="shared" si="21"/>
        <v/>
      </c>
      <c r="D191" s="11" t="str">
        <f t="shared" si="16"/>
        <v/>
      </c>
      <c r="E191" s="11" t="str">
        <f t="shared" si="20"/>
        <v/>
      </c>
      <c r="F191" s="11" t="str">
        <f t="shared" si="18"/>
        <v/>
      </c>
      <c r="G191" s="11" t="str">
        <f t="shared" si="17"/>
        <v/>
      </c>
    </row>
    <row r="192" spans="2:7">
      <c r="B192" s="12" t="str">
        <f t="shared" si="19"/>
        <v/>
      </c>
      <c r="C192" s="25" t="str">
        <f t="shared" si="21"/>
        <v/>
      </c>
      <c r="D192" s="13" t="str">
        <f t="shared" si="16"/>
        <v/>
      </c>
      <c r="E192" s="13" t="str">
        <f t="shared" si="20"/>
        <v/>
      </c>
      <c r="F192" s="13" t="str">
        <f t="shared" si="18"/>
        <v/>
      </c>
      <c r="G192" s="13" t="str">
        <f t="shared" si="17"/>
        <v/>
      </c>
    </row>
    <row r="193" spans="2:7">
      <c r="B193" s="10" t="str">
        <f t="shared" si="19"/>
        <v/>
      </c>
      <c r="C193" s="26" t="str">
        <f t="shared" si="21"/>
        <v/>
      </c>
      <c r="D193" s="11" t="str">
        <f t="shared" si="16"/>
        <v/>
      </c>
      <c r="E193" s="11" t="str">
        <f t="shared" si="20"/>
        <v/>
      </c>
      <c r="F193" s="11" t="str">
        <f t="shared" si="18"/>
        <v/>
      </c>
      <c r="G193" s="11" t="str">
        <f t="shared" si="17"/>
        <v/>
      </c>
    </row>
    <row r="194" spans="2:7">
      <c r="B194" s="12" t="str">
        <f t="shared" si="19"/>
        <v/>
      </c>
      <c r="C194" s="25" t="str">
        <f t="shared" si="21"/>
        <v/>
      </c>
      <c r="D194" s="13" t="str">
        <f t="shared" si="16"/>
        <v/>
      </c>
      <c r="E194" s="13" t="str">
        <f t="shared" si="20"/>
        <v/>
      </c>
      <c r="F194" s="13" t="str">
        <f t="shared" si="18"/>
        <v/>
      </c>
      <c r="G194" s="13" t="str">
        <f t="shared" si="17"/>
        <v/>
      </c>
    </row>
    <row r="195" spans="2:7">
      <c r="B195" s="10" t="str">
        <f t="shared" si="19"/>
        <v/>
      </c>
      <c r="C195" s="26" t="str">
        <f t="shared" si="21"/>
        <v/>
      </c>
      <c r="D195" s="11" t="str">
        <f t="shared" si="16"/>
        <v/>
      </c>
      <c r="E195" s="11" t="str">
        <f t="shared" si="20"/>
        <v/>
      </c>
      <c r="F195" s="11" t="str">
        <f t="shared" si="18"/>
        <v/>
      </c>
      <c r="G195" s="11" t="str">
        <f t="shared" si="17"/>
        <v/>
      </c>
    </row>
    <row r="196" spans="2:7">
      <c r="B196" s="12" t="str">
        <f t="shared" si="19"/>
        <v/>
      </c>
      <c r="C196" s="25" t="str">
        <f t="shared" si="21"/>
        <v/>
      </c>
      <c r="D196" s="13" t="str">
        <f t="shared" si="16"/>
        <v/>
      </c>
      <c r="E196" s="13" t="str">
        <f t="shared" si="20"/>
        <v/>
      </c>
      <c r="F196" s="13" t="str">
        <f t="shared" si="18"/>
        <v/>
      </c>
      <c r="G196" s="13" t="str">
        <f t="shared" si="17"/>
        <v/>
      </c>
    </row>
    <row r="197" spans="2:7">
      <c r="B197" s="10" t="str">
        <f t="shared" si="19"/>
        <v/>
      </c>
      <c r="C197" s="26" t="str">
        <f t="shared" si="21"/>
        <v/>
      </c>
      <c r="D197" s="11" t="str">
        <f t="shared" si="16"/>
        <v/>
      </c>
      <c r="E197" s="11" t="str">
        <f t="shared" si="20"/>
        <v/>
      </c>
      <c r="F197" s="11" t="str">
        <f t="shared" si="18"/>
        <v/>
      </c>
      <c r="G197" s="11" t="str">
        <f t="shared" si="17"/>
        <v/>
      </c>
    </row>
    <row r="198" spans="2:7">
      <c r="B198" s="12" t="str">
        <f t="shared" si="19"/>
        <v/>
      </c>
      <c r="C198" s="25" t="str">
        <f t="shared" si="21"/>
        <v/>
      </c>
      <c r="D198" s="13" t="str">
        <f t="shared" si="16"/>
        <v/>
      </c>
      <c r="E198" s="13" t="str">
        <f t="shared" si="20"/>
        <v/>
      </c>
      <c r="F198" s="13" t="str">
        <f t="shared" si="18"/>
        <v/>
      </c>
      <c r="G198" s="13" t="str">
        <f t="shared" si="17"/>
        <v/>
      </c>
    </row>
    <row r="199" spans="2:7">
      <c r="B199" s="10" t="str">
        <f t="shared" si="19"/>
        <v/>
      </c>
      <c r="C199" s="26" t="str">
        <f t="shared" si="21"/>
        <v/>
      </c>
      <c r="D199" s="11" t="str">
        <f t="shared" si="16"/>
        <v/>
      </c>
      <c r="E199" s="11" t="str">
        <f t="shared" si="20"/>
        <v/>
      </c>
      <c r="F199" s="11" t="str">
        <f t="shared" si="18"/>
        <v/>
      </c>
      <c r="G199" s="11" t="str">
        <f t="shared" si="17"/>
        <v/>
      </c>
    </row>
    <row r="200" spans="2:7">
      <c r="B200" s="12" t="str">
        <f t="shared" si="19"/>
        <v/>
      </c>
      <c r="C200" s="25" t="str">
        <f t="shared" si="21"/>
        <v/>
      </c>
      <c r="D200" s="13" t="str">
        <f t="shared" si="16"/>
        <v/>
      </c>
      <c r="E200" s="13" t="str">
        <f t="shared" si="20"/>
        <v/>
      </c>
      <c r="F200" s="13" t="str">
        <f t="shared" si="18"/>
        <v/>
      </c>
      <c r="G200" s="13" t="str">
        <f t="shared" si="17"/>
        <v/>
      </c>
    </row>
    <row r="201" spans="2:7">
      <c r="B201" s="10" t="str">
        <f t="shared" si="19"/>
        <v/>
      </c>
      <c r="C201" s="26" t="str">
        <f t="shared" si="21"/>
        <v/>
      </c>
      <c r="D201" s="11" t="str">
        <f t="shared" si="16"/>
        <v/>
      </c>
      <c r="E201" s="11" t="str">
        <f t="shared" si="20"/>
        <v/>
      </c>
      <c r="F201" s="11" t="str">
        <f t="shared" si="18"/>
        <v/>
      </c>
      <c r="G201" s="11" t="str">
        <f t="shared" si="17"/>
        <v/>
      </c>
    </row>
    <row r="202" spans="2:7">
      <c r="B202" s="12" t="str">
        <f t="shared" si="19"/>
        <v/>
      </c>
      <c r="C202" s="25" t="str">
        <f t="shared" si="21"/>
        <v/>
      </c>
      <c r="D202" s="13" t="str">
        <f t="shared" si="16"/>
        <v/>
      </c>
      <c r="E202" s="13" t="str">
        <f t="shared" si="20"/>
        <v/>
      </c>
      <c r="F202" s="13" t="str">
        <f t="shared" si="18"/>
        <v/>
      </c>
      <c r="G202" s="13" t="str">
        <f t="shared" si="17"/>
        <v/>
      </c>
    </row>
    <row r="203" spans="2:7">
      <c r="B203" s="10" t="str">
        <f t="shared" si="19"/>
        <v/>
      </c>
      <c r="C203" s="26" t="str">
        <f t="shared" si="21"/>
        <v/>
      </c>
      <c r="D203" s="11" t="str">
        <f t="shared" si="16"/>
        <v/>
      </c>
      <c r="E203" s="11" t="str">
        <f t="shared" si="20"/>
        <v/>
      </c>
      <c r="F203" s="11" t="str">
        <f t="shared" si="18"/>
        <v/>
      </c>
      <c r="G203" s="11" t="str">
        <f t="shared" si="17"/>
        <v/>
      </c>
    </row>
    <row r="204" spans="2:7">
      <c r="B204" s="12" t="str">
        <f t="shared" si="19"/>
        <v/>
      </c>
      <c r="C204" s="25" t="str">
        <f t="shared" si="21"/>
        <v/>
      </c>
      <c r="D204" s="13" t="str">
        <f t="shared" si="16"/>
        <v/>
      </c>
      <c r="E204" s="13" t="str">
        <f t="shared" si="20"/>
        <v/>
      </c>
      <c r="F204" s="13" t="str">
        <f t="shared" si="18"/>
        <v/>
      </c>
      <c r="G204" s="13" t="str">
        <f t="shared" si="17"/>
        <v/>
      </c>
    </row>
    <row r="205" spans="2:7">
      <c r="B205" s="10" t="str">
        <f t="shared" si="19"/>
        <v/>
      </c>
      <c r="C205" s="26" t="str">
        <f t="shared" si="21"/>
        <v/>
      </c>
      <c r="D205" s="11" t="str">
        <f t="shared" si="16"/>
        <v/>
      </c>
      <c r="E205" s="11" t="str">
        <f t="shared" si="20"/>
        <v/>
      </c>
      <c r="F205" s="11" t="str">
        <f t="shared" si="18"/>
        <v/>
      </c>
      <c r="G205" s="11" t="str">
        <f t="shared" si="17"/>
        <v/>
      </c>
    </row>
    <row r="206" spans="2:7">
      <c r="B206" s="12" t="str">
        <f t="shared" si="19"/>
        <v/>
      </c>
      <c r="C206" s="25" t="str">
        <f t="shared" si="21"/>
        <v/>
      </c>
      <c r="D206" s="13" t="str">
        <f t="shared" si="16"/>
        <v/>
      </c>
      <c r="E206" s="13" t="str">
        <f t="shared" si="20"/>
        <v/>
      </c>
      <c r="F206" s="13" t="str">
        <f t="shared" si="18"/>
        <v/>
      </c>
      <c r="G206" s="13" t="str">
        <f t="shared" si="17"/>
        <v/>
      </c>
    </row>
    <row r="207" spans="2:7">
      <c r="B207" s="10" t="str">
        <f t="shared" si="19"/>
        <v/>
      </c>
      <c r="C207" s="26" t="str">
        <f t="shared" si="21"/>
        <v/>
      </c>
      <c r="D207" s="11" t="str">
        <f t="shared" si="16"/>
        <v/>
      </c>
      <c r="E207" s="11" t="str">
        <f t="shared" si="20"/>
        <v/>
      </c>
      <c r="F207" s="11" t="str">
        <f t="shared" si="18"/>
        <v/>
      </c>
      <c r="G207" s="11" t="str">
        <f t="shared" si="17"/>
        <v/>
      </c>
    </row>
    <row r="208" spans="2:7">
      <c r="B208" s="12" t="str">
        <f t="shared" si="19"/>
        <v/>
      </c>
      <c r="C208" s="25" t="str">
        <f t="shared" si="21"/>
        <v/>
      </c>
      <c r="D208" s="13" t="str">
        <f t="shared" ref="D208:D271" si="22">IF(B208&lt;&gt;"",$D$13,"")</f>
        <v/>
      </c>
      <c r="E208" s="13" t="str">
        <f t="shared" si="20"/>
        <v/>
      </c>
      <c r="F208" s="13" t="str">
        <f t="shared" si="18"/>
        <v/>
      </c>
      <c r="G208" s="13" t="str">
        <f t="shared" ref="G208:G271" si="23">IF(B208&lt;&gt;"",G207-F208,"")</f>
        <v/>
      </c>
    </row>
    <row r="209" spans="2:7">
      <c r="B209" s="10" t="str">
        <f t="shared" si="19"/>
        <v/>
      </c>
      <c r="C209" s="26" t="str">
        <f t="shared" si="21"/>
        <v/>
      </c>
      <c r="D209" s="11" t="str">
        <f t="shared" si="22"/>
        <v/>
      </c>
      <c r="E209" s="11" t="str">
        <f t="shared" si="20"/>
        <v/>
      </c>
      <c r="F209" s="11" t="str">
        <f t="shared" si="18"/>
        <v/>
      </c>
      <c r="G209" s="11" t="str">
        <f t="shared" si="23"/>
        <v/>
      </c>
    </row>
    <row r="210" spans="2:7">
      <c r="B210" s="12" t="str">
        <f t="shared" si="19"/>
        <v/>
      </c>
      <c r="C210" s="25" t="str">
        <f t="shared" si="21"/>
        <v/>
      </c>
      <c r="D210" s="13" t="str">
        <f t="shared" si="22"/>
        <v/>
      </c>
      <c r="E210" s="13" t="str">
        <f t="shared" si="20"/>
        <v/>
      </c>
      <c r="F210" s="13" t="str">
        <f t="shared" ref="F210:F273" si="24">IF(B210&lt;&gt;"",D210-E210,"")</f>
        <v/>
      </c>
      <c r="G210" s="13" t="str">
        <f t="shared" si="23"/>
        <v/>
      </c>
    </row>
    <row r="211" spans="2:7">
      <c r="B211" s="10" t="str">
        <f t="shared" ref="B211:B274" si="25">IFERROR(IF(AND(B210&lt;=$D$7,G210&gt;-1,G210&lt;1),"",B210+1),"")</f>
        <v/>
      </c>
      <c r="C211" s="26" t="str">
        <f t="shared" si="21"/>
        <v/>
      </c>
      <c r="D211" s="11" t="str">
        <f t="shared" si="22"/>
        <v/>
      </c>
      <c r="E211" s="11" t="str">
        <f t="shared" ref="E211:E274" si="26">IF(B211&lt;&gt;"",G210*$D$6/$D$11,"")</f>
        <v/>
      </c>
      <c r="F211" s="11" t="str">
        <f t="shared" si="24"/>
        <v/>
      </c>
      <c r="G211" s="11" t="str">
        <f t="shared" si="23"/>
        <v/>
      </c>
    </row>
    <row r="212" spans="2:7">
      <c r="B212" s="12" t="str">
        <f t="shared" si="25"/>
        <v/>
      </c>
      <c r="C212" s="25" t="str">
        <f t="shared" ref="C212:C275" si="27">IF(B212&lt;&gt;"",CHOOSE($B$9,EOMONTH(C211,1),EOMONTH(C211,1)+1),"")</f>
        <v/>
      </c>
      <c r="D212" s="13" t="str">
        <f t="shared" si="22"/>
        <v/>
      </c>
      <c r="E212" s="13" t="str">
        <f t="shared" si="26"/>
        <v/>
      </c>
      <c r="F212" s="13" t="str">
        <f t="shared" si="24"/>
        <v/>
      </c>
      <c r="G212" s="13" t="str">
        <f t="shared" si="23"/>
        <v/>
      </c>
    </row>
    <row r="213" spans="2:7">
      <c r="B213" s="10" t="str">
        <f t="shared" si="25"/>
        <v/>
      </c>
      <c r="C213" s="26" t="str">
        <f t="shared" si="27"/>
        <v/>
      </c>
      <c r="D213" s="11" t="str">
        <f t="shared" si="22"/>
        <v/>
      </c>
      <c r="E213" s="11" t="str">
        <f t="shared" si="26"/>
        <v/>
      </c>
      <c r="F213" s="11" t="str">
        <f t="shared" si="24"/>
        <v/>
      </c>
      <c r="G213" s="11" t="str">
        <f t="shared" si="23"/>
        <v/>
      </c>
    </row>
    <row r="214" spans="2:7">
      <c r="B214" s="12" t="str">
        <f t="shared" si="25"/>
        <v/>
      </c>
      <c r="C214" s="25" t="str">
        <f t="shared" si="27"/>
        <v/>
      </c>
      <c r="D214" s="13" t="str">
        <f t="shared" si="22"/>
        <v/>
      </c>
      <c r="E214" s="13" t="str">
        <f t="shared" si="26"/>
        <v/>
      </c>
      <c r="F214" s="13" t="str">
        <f t="shared" si="24"/>
        <v/>
      </c>
      <c r="G214" s="13" t="str">
        <f t="shared" si="23"/>
        <v/>
      </c>
    </row>
    <row r="215" spans="2:7">
      <c r="B215" s="10" t="str">
        <f t="shared" si="25"/>
        <v/>
      </c>
      <c r="C215" s="26" t="str">
        <f t="shared" si="27"/>
        <v/>
      </c>
      <c r="D215" s="11" t="str">
        <f t="shared" si="22"/>
        <v/>
      </c>
      <c r="E215" s="11" t="str">
        <f t="shared" si="26"/>
        <v/>
      </c>
      <c r="F215" s="11" t="str">
        <f t="shared" si="24"/>
        <v/>
      </c>
      <c r="G215" s="11" t="str">
        <f t="shared" si="23"/>
        <v/>
      </c>
    </row>
    <row r="216" spans="2:7">
      <c r="B216" s="12" t="str">
        <f t="shared" si="25"/>
        <v/>
      </c>
      <c r="C216" s="25" t="str">
        <f t="shared" si="27"/>
        <v/>
      </c>
      <c r="D216" s="13" t="str">
        <f t="shared" si="22"/>
        <v/>
      </c>
      <c r="E216" s="13" t="str">
        <f t="shared" si="26"/>
        <v/>
      </c>
      <c r="F216" s="13" t="str">
        <f t="shared" si="24"/>
        <v/>
      </c>
      <c r="G216" s="13" t="str">
        <f t="shared" si="23"/>
        <v/>
      </c>
    </row>
    <row r="217" spans="2:7">
      <c r="B217" s="10" t="str">
        <f t="shared" si="25"/>
        <v/>
      </c>
      <c r="C217" s="26" t="str">
        <f t="shared" si="27"/>
        <v/>
      </c>
      <c r="D217" s="11" t="str">
        <f t="shared" si="22"/>
        <v/>
      </c>
      <c r="E217" s="11" t="str">
        <f t="shared" si="26"/>
        <v/>
      </c>
      <c r="F217" s="11" t="str">
        <f t="shared" si="24"/>
        <v/>
      </c>
      <c r="G217" s="11" t="str">
        <f t="shared" si="23"/>
        <v/>
      </c>
    </row>
    <row r="218" spans="2:7">
      <c r="B218" s="12" t="str">
        <f t="shared" si="25"/>
        <v/>
      </c>
      <c r="C218" s="25" t="str">
        <f t="shared" si="27"/>
        <v/>
      </c>
      <c r="D218" s="13" t="str">
        <f t="shared" si="22"/>
        <v/>
      </c>
      <c r="E218" s="13" t="str">
        <f t="shared" si="26"/>
        <v/>
      </c>
      <c r="F218" s="13" t="str">
        <f t="shared" si="24"/>
        <v/>
      </c>
      <c r="G218" s="13" t="str">
        <f t="shared" si="23"/>
        <v/>
      </c>
    </row>
    <row r="219" spans="2:7">
      <c r="B219" s="10" t="str">
        <f t="shared" si="25"/>
        <v/>
      </c>
      <c r="C219" s="26" t="str">
        <f t="shared" si="27"/>
        <v/>
      </c>
      <c r="D219" s="11" t="str">
        <f t="shared" si="22"/>
        <v/>
      </c>
      <c r="E219" s="11" t="str">
        <f t="shared" si="26"/>
        <v/>
      </c>
      <c r="F219" s="11" t="str">
        <f t="shared" si="24"/>
        <v/>
      </c>
      <c r="G219" s="11" t="str">
        <f t="shared" si="23"/>
        <v/>
      </c>
    </row>
    <row r="220" spans="2:7">
      <c r="B220" s="12" t="str">
        <f t="shared" si="25"/>
        <v/>
      </c>
      <c r="C220" s="25" t="str">
        <f t="shared" si="27"/>
        <v/>
      </c>
      <c r="D220" s="13" t="str">
        <f t="shared" si="22"/>
        <v/>
      </c>
      <c r="E220" s="13" t="str">
        <f t="shared" si="26"/>
        <v/>
      </c>
      <c r="F220" s="13" t="str">
        <f t="shared" si="24"/>
        <v/>
      </c>
      <c r="G220" s="13" t="str">
        <f t="shared" si="23"/>
        <v/>
      </c>
    </row>
    <row r="221" spans="2:7">
      <c r="B221" s="10" t="str">
        <f t="shared" si="25"/>
        <v/>
      </c>
      <c r="C221" s="26" t="str">
        <f t="shared" si="27"/>
        <v/>
      </c>
      <c r="D221" s="11" t="str">
        <f t="shared" si="22"/>
        <v/>
      </c>
      <c r="E221" s="11" t="str">
        <f t="shared" si="26"/>
        <v/>
      </c>
      <c r="F221" s="11" t="str">
        <f t="shared" si="24"/>
        <v/>
      </c>
      <c r="G221" s="11" t="str">
        <f t="shared" si="23"/>
        <v/>
      </c>
    </row>
    <row r="222" spans="2:7">
      <c r="B222" s="12" t="str">
        <f t="shared" si="25"/>
        <v/>
      </c>
      <c r="C222" s="25" t="str">
        <f t="shared" si="27"/>
        <v/>
      </c>
      <c r="D222" s="13" t="str">
        <f t="shared" si="22"/>
        <v/>
      </c>
      <c r="E222" s="13" t="str">
        <f t="shared" si="26"/>
        <v/>
      </c>
      <c r="F222" s="13" t="str">
        <f t="shared" si="24"/>
        <v/>
      </c>
      <c r="G222" s="13" t="str">
        <f t="shared" si="23"/>
        <v/>
      </c>
    </row>
    <row r="223" spans="2:7">
      <c r="B223" s="10" t="str">
        <f t="shared" si="25"/>
        <v/>
      </c>
      <c r="C223" s="26" t="str">
        <f t="shared" si="27"/>
        <v/>
      </c>
      <c r="D223" s="11" t="str">
        <f t="shared" si="22"/>
        <v/>
      </c>
      <c r="E223" s="11" t="str">
        <f t="shared" si="26"/>
        <v/>
      </c>
      <c r="F223" s="11" t="str">
        <f t="shared" si="24"/>
        <v/>
      </c>
      <c r="G223" s="11" t="str">
        <f t="shared" si="23"/>
        <v/>
      </c>
    </row>
    <row r="224" spans="2:7">
      <c r="B224" s="12" t="str">
        <f t="shared" si="25"/>
        <v/>
      </c>
      <c r="C224" s="25" t="str">
        <f t="shared" si="27"/>
        <v/>
      </c>
      <c r="D224" s="13" t="str">
        <f t="shared" si="22"/>
        <v/>
      </c>
      <c r="E224" s="13" t="str">
        <f t="shared" si="26"/>
        <v/>
      </c>
      <c r="F224" s="13" t="str">
        <f t="shared" si="24"/>
        <v/>
      </c>
      <c r="G224" s="13" t="str">
        <f t="shared" si="23"/>
        <v/>
      </c>
    </row>
    <row r="225" spans="2:7">
      <c r="B225" s="10" t="str">
        <f t="shared" si="25"/>
        <v/>
      </c>
      <c r="C225" s="26" t="str">
        <f t="shared" si="27"/>
        <v/>
      </c>
      <c r="D225" s="11" t="str">
        <f t="shared" si="22"/>
        <v/>
      </c>
      <c r="E225" s="11" t="str">
        <f t="shared" si="26"/>
        <v/>
      </c>
      <c r="F225" s="11" t="str">
        <f t="shared" si="24"/>
        <v/>
      </c>
      <c r="G225" s="11" t="str">
        <f t="shared" si="23"/>
        <v/>
      </c>
    </row>
    <row r="226" spans="2:7">
      <c r="B226" s="12" t="str">
        <f t="shared" si="25"/>
        <v/>
      </c>
      <c r="C226" s="25" t="str">
        <f t="shared" si="27"/>
        <v/>
      </c>
      <c r="D226" s="13" t="str">
        <f t="shared" si="22"/>
        <v/>
      </c>
      <c r="E226" s="13" t="str">
        <f t="shared" si="26"/>
        <v/>
      </c>
      <c r="F226" s="13" t="str">
        <f t="shared" si="24"/>
        <v/>
      </c>
      <c r="G226" s="13" t="str">
        <f t="shared" si="23"/>
        <v/>
      </c>
    </row>
    <row r="227" spans="2:7">
      <c r="B227" s="10" t="str">
        <f t="shared" si="25"/>
        <v/>
      </c>
      <c r="C227" s="26" t="str">
        <f t="shared" si="27"/>
        <v/>
      </c>
      <c r="D227" s="11" t="str">
        <f t="shared" si="22"/>
        <v/>
      </c>
      <c r="E227" s="11" t="str">
        <f t="shared" si="26"/>
        <v/>
      </c>
      <c r="F227" s="11" t="str">
        <f t="shared" si="24"/>
        <v/>
      </c>
      <c r="G227" s="11" t="str">
        <f t="shared" si="23"/>
        <v/>
      </c>
    </row>
    <row r="228" spans="2:7">
      <c r="B228" s="12" t="str">
        <f t="shared" si="25"/>
        <v/>
      </c>
      <c r="C228" s="25" t="str">
        <f t="shared" si="27"/>
        <v/>
      </c>
      <c r="D228" s="13" t="str">
        <f t="shared" si="22"/>
        <v/>
      </c>
      <c r="E228" s="13" t="str">
        <f t="shared" si="26"/>
        <v/>
      </c>
      <c r="F228" s="13" t="str">
        <f t="shared" si="24"/>
        <v/>
      </c>
      <c r="G228" s="13" t="str">
        <f t="shared" si="23"/>
        <v/>
      </c>
    </row>
    <row r="229" spans="2:7">
      <c r="B229" s="10" t="str">
        <f t="shared" si="25"/>
        <v/>
      </c>
      <c r="C229" s="26" t="str">
        <f t="shared" si="27"/>
        <v/>
      </c>
      <c r="D229" s="11" t="str">
        <f t="shared" si="22"/>
        <v/>
      </c>
      <c r="E229" s="11" t="str">
        <f t="shared" si="26"/>
        <v/>
      </c>
      <c r="F229" s="11" t="str">
        <f t="shared" si="24"/>
        <v/>
      </c>
      <c r="G229" s="11" t="str">
        <f t="shared" si="23"/>
        <v/>
      </c>
    </row>
    <row r="230" spans="2:7">
      <c r="B230" s="12" t="str">
        <f t="shared" si="25"/>
        <v/>
      </c>
      <c r="C230" s="25" t="str">
        <f t="shared" si="27"/>
        <v/>
      </c>
      <c r="D230" s="13" t="str">
        <f t="shared" si="22"/>
        <v/>
      </c>
      <c r="E230" s="13" t="str">
        <f t="shared" si="26"/>
        <v/>
      </c>
      <c r="F230" s="13" t="str">
        <f t="shared" si="24"/>
        <v/>
      </c>
      <c r="G230" s="13" t="str">
        <f t="shared" si="23"/>
        <v/>
      </c>
    </row>
    <row r="231" spans="2:7">
      <c r="B231" s="10" t="str">
        <f t="shared" si="25"/>
        <v/>
      </c>
      <c r="C231" s="26" t="str">
        <f t="shared" si="27"/>
        <v/>
      </c>
      <c r="D231" s="11" t="str">
        <f t="shared" si="22"/>
        <v/>
      </c>
      <c r="E231" s="11" t="str">
        <f t="shared" si="26"/>
        <v/>
      </c>
      <c r="F231" s="11" t="str">
        <f t="shared" si="24"/>
        <v/>
      </c>
      <c r="G231" s="11" t="str">
        <f t="shared" si="23"/>
        <v/>
      </c>
    </row>
    <row r="232" spans="2:7">
      <c r="B232" s="12" t="str">
        <f t="shared" si="25"/>
        <v/>
      </c>
      <c r="C232" s="25" t="str">
        <f t="shared" si="27"/>
        <v/>
      </c>
      <c r="D232" s="13" t="str">
        <f t="shared" si="22"/>
        <v/>
      </c>
      <c r="E232" s="13" t="str">
        <f t="shared" si="26"/>
        <v/>
      </c>
      <c r="F232" s="13" t="str">
        <f t="shared" si="24"/>
        <v/>
      </c>
      <c r="G232" s="13" t="str">
        <f t="shared" si="23"/>
        <v/>
      </c>
    </row>
    <row r="233" spans="2:7">
      <c r="B233" s="10" t="str">
        <f t="shared" si="25"/>
        <v/>
      </c>
      <c r="C233" s="26" t="str">
        <f t="shared" si="27"/>
        <v/>
      </c>
      <c r="D233" s="11" t="str">
        <f t="shared" si="22"/>
        <v/>
      </c>
      <c r="E233" s="11" t="str">
        <f t="shared" si="26"/>
        <v/>
      </c>
      <c r="F233" s="11" t="str">
        <f t="shared" si="24"/>
        <v/>
      </c>
      <c r="G233" s="11" t="str">
        <f t="shared" si="23"/>
        <v/>
      </c>
    </row>
    <row r="234" spans="2:7">
      <c r="B234" s="12" t="str">
        <f t="shared" si="25"/>
        <v/>
      </c>
      <c r="C234" s="25" t="str">
        <f t="shared" si="27"/>
        <v/>
      </c>
      <c r="D234" s="13" t="str">
        <f t="shared" si="22"/>
        <v/>
      </c>
      <c r="E234" s="13" t="str">
        <f t="shared" si="26"/>
        <v/>
      </c>
      <c r="F234" s="13" t="str">
        <f t="shared" si="24"/>
        <v/>
      </c>
      <c r="G234" s="13" t="str">
        <f t="shared" si="23"/>
        <v/>
      </c>
    </row>
    <row r="235" spans="2:7">
      <c r="B235" s="10" t="str">
        <f t="shared" si="25"/>
        <v/>
      </c>
      <c r="C235" s="26" t="str">
        <f t="shared" si="27"/>
        <v/>
      </c>
      <c r="D235" s="11" t="str">
        <f t="shared" si="22"/>
        <v/>
      </c>
      <c r="E235" s="11" t="str">
        <f t="shared" si="26"/>
        <v/>
      </c>
      <c r="F235" s="11" t="str">
        <f t="shared" si="24"/>
        <v/>
      </c>
      <c r="G235" s="11" t="str">
        <f t="shared" si="23"/>
        <v/>
      </c>
    </row>
    <row r="236" spans="2:7">
      <c r="B236" s="12" t="str">
        <f t="shared" si="25"/>
        <v/>
      </c>
      <c r="C236" s="25" t="str">
        <f t="shared" si="27"/>
        <v/>
      </c>
      <c r="D236" s="13" t="str">
        <f t="shared" si="22"/>
        <v/>
      </c>
      <c r="E236" s="13" t="str">
        <f t="shared" si="26"/>
        <v/>
      </c>
      <c r="F236" s="13" t="str">
        <f t="shared" si="24"/>
        <v/>
      </c>
      <c r="G236" s="13" t="str">
        <f t="shared" si="23"/>
        <v/>
      </c>
    </row>
    <row r="237" spans="2:7">
      <c r="B237" s="10" t="str">
        <f t="shared" si="25"/>
        <v/>
      </c>
      <c r="C237" s="26" t="str">
        <f t="shared" si="27"/>
        <v/>
      </c>
      <c r="D237" s="11" t="str">
        <f t="shared" si="22"/>
        <v/>
      </c>
      <c r="E237" s="11" t="str">
        <f t="shared" si="26"/>
        <v/>
      </c>
      <c r="F237" s="11" t="str">
        <f t="shared" si="24"/>
        <v/>
      </c>
      <c r="G237" s="11" t="str">
        <f t="shared" si="23"/>
        <v/>
      </c>
    </row>
    <row r="238" spans="2:7">
      <c r="B238" s="12" t="str">
        <f t="shared" si="25"/>
        <v/>
      </c>
      <c r="C238" s="25" t="str">
        <f t="shared" si="27"/>
        <v/>
      </c>
      <c r="D238" s="13" t="str">
        <f t="shared" si="22"/>
        <v/>
      </c>
      <c r="E238" s="13" t="str">
        <f t="shared" si="26"/>
        <v/>
      </c>
      <c r="F238" s="13" t="str">
        <f t="shared" si="24"/>
        <v/>
      </c>
      <c r="G238" s="13" t="str">
        <f t="shared" si="23"/>
        <v/>
      </c>
    </row>
    <row r="239" spans="2:7">
      <c r="B239" s="10" t="str">
        <f t="shared" si="25"/>
        <v/>
      </c>
      <c r="C239" s="26" t="str">
        <f t="shared" si="27"/>
        <v/>
      </c>
      <c r="D239" s="11" t="str">
        <f t="shared" si="22"/>
        <v/>
      </c>
      <c r="E239" s="11" t="str">
        <f t="shared" si="26"/>
        <v/>
      </c>
      <c r="F239" s="11" t="str">
        <f t="shared" si="24"/>
        <v/>
      </c>
      <c r="G239" s="11" t="str">
        <f t="shared" si="23"/>
        <v/>
      </c>
    </row>
    <row r="240" spans="2:7">
      <c r="B240" s="12" t="str">
        <f t="shared" si="25"/>
        <v/>
      </c>
      <c r="C240" s="25" t="str">
        <f t="shared" si="27"/>
        <v/>
      </c>
      <c r="D240" s="13" t="str">
        <f t="shared" si="22"/>
        <v/>
      </c>
      <c r="E240" s="13" t="str">
        <f t="shared" si="26"/>
        <v/>
      </c>
      <c r="F240" s="13" t="str">
        <f t="shared" si="24"/>
        <v/>
      </c>
      <c r="G240" s="13" t="str">
        <f t="shared" si="23"/>
        <v/>
      </c>
    </row>
    <row r="241" spans="2:7">
      <c r="B241" s="10" t="str">
        <f t="shared" si="25"/>
        <v/>
      </c>
      <c r="C241" s="26" t="str">
        <f t="shared" si="27"/>
        <v/>
      </c>
      <c r="D241" s="11" t="str">
        <f t="shared" si="22"/>
        <v/>
      </c>
      <c r="E241" s="11" t="str">
        <f t="shared" si="26"/>
        <v/>
      </c>
      <c r="F241" s="11" t="str">
        <f t="shared" si="24"/>
        <v/>
      </c>
      <c r="G241" s="11" t="str">
        <f t="shared" si="23"/>
        <v/>
      </c>
    </row>
    <row r="242" spans="2:7">
      <c r="B242" s="12" t="str">
        <f t="shared" si="25"/>
        <v/>
      </c>
      <c r="C242" s="25" t="str">
        <f t="shared" si="27"/>
        <v/>
      </c>
      <c r="D242" s="13" t="str">
        <f t="shared" si="22"/>
        <v/>
      </c>
      <c r="E242" s="13" t="str">
        <f t="shared" si="26"/>
        <v/>
      </c>
      <c r="F242" s="13" t="str">
        <f t="shared" si="24"/>
        <v/>
      </c>
      <c r="G242" s="13" t="str">
        <f t="shared" si="23"/>
        <v/>
      </c>
    </row>
    <row r="243" spans="2:7">
      <c r="B243" s="10" t="str">
        <f t="shared" si="25"/>
        <v/>
      </c>
      <c r="C243" s="26" t="str">
        <f t="shared" si="27"/>
        <v/>
      </c>
      <c r="D243" s="11" t="str">
        <f t="shared" si="22"/>
        <v/>
      </c>
      <c r="E243" s="11" t="str">
        <f t="shared" si="26"/>
        <v/>
      </c>
      <c r="F243" s="11" t="str">
        <f t="shared" si="24"/>
        <v/>
      </c>
      <c r="G243" s="11" t="str">
        <f t="shared" si="23"/>
        <v/>
      </c>
    </row>
    <row r="244" spans="2:7">
      <c r="B244" s="12" t="str">
        <f t="shared" si="25"/>
        <v/>
      </c>
      <c r="C244" s="25" t="str">
        <f t="shared" si="27"/>
        <v/>
      </c>
      <c r="D244" s="13" t="str">
        <f t="shared" si="22"/>
        <v/>
      </c>
      <c r="E244" s="13" t="str">
        <f t="shared" si="26"/>
        <v/>
      </c>
      <c r="F244" s="13" t="str">
        <f t="shared" si="24"/>
        <v/>
      </c>
      <c r="G244" s="13" t="str">
        <f t="shared" si="23"/>
        <v/>
      </c>
    </row>
    <row r="245" spans="2:7">
      <c r="B245" s="10" t="str">
        <f t="shared" si="25"/>
        <v/>
      </c>
      <c r="C245" s="26" t="str">
        <f t="shared" si="27"/>
        <v/>
      </c>
      <c r="D245" s="11" t="str">
        <f t="shared" si="22"/>
        <v/>
      </c>
      <c r="E245" s="11" t="str">
        <f t="shared" si="26"/>
        <v/>
      </c>
      <c r="F245" s="11" t="str">
        <f t="shared" si="24"/>
        <v/>
      </c>
      <c r="G245" s="11" t="str">
        <f t="shared" si="23"/>
        <v/>
      </c>
    </row>
    <row r="246" spans="2:7">
      <c r="B246" s="12" t="str">
        <f t="shared" si="25"/>
        <v/>
      </c>
      <c r="C246" s="25" t="str">
        <f t="shared" si="27"/>
        <v/>
      </c>
      <c r="D246" s="13" t="str">
        <f t="shared" si="22"/>
        <v/>
      </c>
      <c r="E246" s="13" t="str">
        <f t="shared" si="26"/>
        <v/>
      </c>
      <c r="F246" s="13" t="str">
        <f t="shared" si="24"/>
        <v/>
      </c>
      <c r="G246" s="13" t="str">
        <f t="shared" si="23"/>
        <v/>
      </c>
    </row>
    <row r="247" spans="2:7">
      <c r="B247" s="10" t="str">
        <f t="shared" si="25"/>
        <v/>
      </c>
      <c r="C247" s="26" t="str">
        <f t="shared" si="27"/>
        <v/>
      </c>
      <c r="D247" s="11" t="str">
        <f t="shared" si="22"/>
        <v/>
      </c>
      <c r="E247" s="11" t="str">
        <f t="shared" si="26"/>
        <v/>
      </c>
      <c r="F247" s="11" t="str">
        <f t="shared" si="24"/>
        <v/>
      </c>
      <c r="G247" s="11" t="str">
        <f t="shared" si="23"/>
        <v/>
      </c>
    </row>
    <row r="248" spans="2:7">
      <c r="B248" s="12" t="str">
        <f t="shared" si="25"/>
        <v/>
      </c>
      <c r="C248" s="25" t="str">
        <f t="shared" si="27"/>
        <v/>
      </c>
      <c r="D248" s="13" t="str">
        <f t="shared" si="22"/>
        <v/>
      </c>
      <c r="E248" s="13" t="str">
        <f t="shared" si="26"/>
        <v/>
      </c>
      <c r="F248" s="13" t="str">
        <f t="shared" si="24"/>
        <v/>
      </c>
      <c r="G248" s="13" t="str">
        <f t="shared" si="23"/>
        <v/>
      </c>
    </row>
    <row r="249" spans="2:7">
      <c r="B249" s="10" t="str">
        <f t="shared" si="25"/>
        <v/>
      </c>
      <c r="C249" s="26" t="str">
        <f t="shared" si="27"/>
        <v/>
      </c>
      <c r="D249" s="11" t="str">
        <f t="shared" si="22"/>
        <v/>
      </c>
      <c r="E249" s="11" t="str">
        <f t="shared" si="26"/>
        <v/>
      </c>
      <c r="F249" s="11" t="str">
        <f t="shared" si="24"/>
        <v/>
      </c>
      <c r="G249" s="11" t="str">
        <f t="shared" si="23"/>
        <v/>
      </c>
    </row>
    <row r="250" spans="2:7">
      <c r="B250" s="12" t="str">
        <f t="shared" si="25"/>
        <v/>
      </c>
      <c r="C250" s="25" t="str">
        <f t="shared" si="27"/>
        <v/>
      </c>
      <c r="D250" s="13" t="str">
        <f t="shared" si="22"/>
        <v/>
      </c>
      <c r="E250" s="13" t="str">
        <f t="shared" si="26"/>
        <v/>
      </c>
      <c r="F250" s="13" t="str">
        <f t="shared" si="24"/>
        <v/>
      </c>
      <c r="G250" s="13" t="str">
        <f t="shared" si="23"/>
        <v/>
      </c>
    </row>
    <row r="251" spans="2:7">
      <c r="B251" s="10" t="str">
        <f t="shared" si="25"/>
        <v/>
      </c>
      <c r="C251" s="26" t="str">
        <f t="shared" si="27"/>
        <v/>
      </c>
      <c r="D251" s="11" t="str">
        <f t="shared" si="22"/>
        <v/>
      </c>
      <c r="E251" s="11" t="str">
        <f t="shared" si="26"/>
        <v/>
      </c>
      <c r="F251" s="11" t="str">
        <f t="shared" si="24"/>
        <v/>
      </c>
      <c r="G251" s="11" t="str">
        <f t="shared" si="23"/>
        <v/>
      </c>
    </row>
    <row r="252" spans="2:7">
      <c r="B252" s="12" t="str">
        <f t="shared" si="25"/>
        <v/>
      </c>
      <c r="C252" s="25" t="str">
        <f t="shared" si="27"/>
        <v/>
      </c>
      <c r="D252" s="13" t="str">
        <f t="shared" si="22"/>
        <v/>
      </c>
      <c r="E252" s="13" t="str">
        <f t="shared" si="26"/>
        <v/>
      </c>
      <c r="F252" s="13" t="str">
        <f t="shared" si="24"/>
        <v/>
      </c>
      <c r="G252" s="13" t="str">
        <f t="shared" si="23"/>
        <v/>
      </c>
    </row>
    <row r="253" spans="2:7">
      <c r="B253" s="10" t="str">
        <f t="shared" si="25"/>
        <v/>
      </c>
      <c r="C253" s="26" t="str">
        <f t="shared" si="27"/>
        <v/>
      </c>
      <c r="D253" s="11" t="str">
        <f t="shared" si="22"/>
        <v/>
      </c>
      <c r="E253" s="11" t="str">
        <f t="shared" si="26"/>
        <v/>
      </c>
      <c r="F253" s="11" t="str">
        <f t="shared" si="24"/>
        <v/>
      </c>
      <c r="G253" s="11" t="str">
        <f t="shared" si="23"/>
        <v/>
      </c>
    </row>
    <row r="254" spans="2:7">
      <c r="B254" s="12" t="str">
        <f t="shared" si="25"/>
        <v/>
      </c>
      <c r="C254" s="25" t="str">
        <f t="shared" si="27"/>
        <v/>
      </c>
      <c r="D254" s="13" t="str">
        <f t="shared" si="22"/>
        <v/>
      </c>
      <c r="E254" s="13" t="str">
        <f t="shared" si="26"/>
        <v/>
      </c>
      <c r="F254" s="13" t="str">
        <f t="shared" si="24"/>
        <v/>
      </c>
      <c r="G254" s="13" t="str">
        <f t="shared" si="23"/>
        <v/>
      </c>
    </row>
    <row r="255" spans="2:7">
      <c r="B255" s="10" t="str">
        <f t="shared" si="25"/>
        <v/>
      </c>
      <c r="C255" s="26" t="str">
        <f t="shared" si="27"/>
        <v/>
      </c>
      <c r="D255" s="11" t="str">
        <f t="shared" si="22"/>
        <v/>
      </c>
      <c r="E255" s="11" t="str">
        <f t="shared" si="26"/>
        <v/>
      </c>
      <c r="F255" s="11" t="str">
        <f t="shared" si="24"/>
        <v/>
      </c>
      <c r="G255" s="11" t="str">
        <f t="shared" si="23"/>
        <v/>
      </c>
    </row>
    <row r="256" spans="2:7">
      <c r="B256" s="12" t="str">
        <f t="shared" si="25"/>
        <v/>
      </c>
      <c r="C256" s="25" t="str">
        <f t="shared" si="27"/>
        <v/>
      </c>
      <c r="D256" s="13" t="str">
        <f t="shared" si="22"/>
        <v/>
      </c>
      <c r="E256" s="13" t="str">
        <f t="shared" si="26"/>
        <v/>
      </c>
      <c r="F256" s="13" t="str">
        <f t="shared" si="24"/>
        <v/>
      </c>
      <c r="G256" s="13" t="str">
        <f t="shared" si="23"/>
        <v/>
      </c>
    </row>
    <row r="257" spans="2:7">
      <c r="B257" s="10" t="str">
        <f t="shared" si="25"/>
        <v/>
      </c>
      <c r="C257" s="26" t="str">
        <f t="shared" si="27"/>
        <v/>
      </c>
      <c r="D257" s="11" t="str">
        <f t="shared" si="22"/>
        <v/>
      </c>
      <c r="E257" s="11" t="str">
        <f t="shared" si="26"/>
        <v/>
      </c>
      <c r="F257" s="11" t="str">
        <f t="shared" si="24"/>
        <v/>
      </c>
      <c r="G257" s="11" t="str">
        <f t="shared" si="23"/>
        <v/>
      </c>
    </row>
    <row r="258" spans="2:7">
      <c r="B258" s="12" t="str">
        <f t="shared" si="25"/>
        <v/>
      </c>
      <c r="C258" s="25" t="str">
        <f t="shared" si="27"/>
        <v/>
      </c>
      <c r="D258" s="13" t="str">
        <f t="shared" si="22"/>
        <v/>
      </c>
      <c r="E258" s="13" t="str">
        <f t="shared" si="26"/>
        <v/>
      </c>
      <c r="F258" s="13" t="str">
        <f t="shared" si="24"/>
        <v/>
      </c>
      <c r="G258" s="13" t="str">
        <f t="shared" si="23"/>
        <v/>
      </c>
    </row>
    <row r="259" spans="2:7">
      <c r="B259" s="10" t="str">
        <f t="shared" si="25"/>
        <v/>
      </c>
      <c r="C259" s="26" t="str">
        <f t="shared" si="27"/>
        <v/>
      </c>
      <c r="D259" s="11" t="str">
        <f t="shared" si="22"/>
        <v/>
      </c>
      <c r="E259" s="11" t="str">
        <f t="shared" si="26"/>
        <v/>
      </c>
      <c r="F259" s="11" t="str">
        <f t="shared" si="24"/>
        <v/>
      </c>
      <c r="G259" s="11" t="str">
        <f t="shared" si="23"/>
        <v/>
      </c>
    </row>
    <row r="260" spans="2:7">
      <c r="B260" s="12" t="str">
        <f t="shared" si="25"/>
        <v/>
      </c>
      <c r="C260" s="25" t="str">
        <f t="shared" si="27"/>
        <v/>
      </c>
      <c r="D260" s="13" t="str">
        <f t="shared" si="22"/>
        <v/>
      </c>
      <c r="E260" s="13" t="str">
        <f t="shared" si="26"/>
        <v/>
      </c>
      <c r="F260" s="13" t="str">
        <f t="shared" si="24"/>
        <v/>
      </c>
      <c r="G260" s="13" t="str">
        <f t="shared" si="23"/>
        <v/>
      </c>
    </row>
    <row r="261" spans="2:7">
      <c r="B261" s="10" t="str">
        <f t="shared" si="25"/>
        <v/>
      </c>
      <c r="C261" s="26" t="str">
        <f t="shared" si="27"/>
        <v/>
      </c>
      <c r="D261" s="11" t="str">
        <f t="shared" si="22"/>
        <v/>
      </c>
      <c r="E261" s="11" t="str">
        <f t="shared" si="26"/>
        <v/>
      </c>
      <c r="F261" s="11" t="str">
        <f t="shared" si="24"/>
        <v/>
      </c>
      <c r="G261" s="11" t="str">
        <f t="shared" si="23"/>
        <v/>
      </c>
    </row>
    <row r="262" spans="2:7">
      <c r="B262" s="12" t="str">
        <f t="shared" si="25"/>
        <v/>
      </c>
      <c r="C262" s="25" t="str">
        <f t="shared" si="27"/>
        <v/>
      </c>
      <c r="D262" s="13" t="str">
        <f t="shared" si="22"/>
        <v/>
      </c>
      <c r="E262" s="13" t="str">
        <f t="shared" si="26"/>
        <v/>
      </c>
      <c r="F262" s="13" t="str">
        <f t="shared" si="24"/>
        <v/>
      </c>
      <c r="G262" s="13" t="str">
        <f t="shared" si="23"/>
        <v/>
      </c>
    </row>
    <row r="263" spans="2:7">
      <c r="B263" s="10" t="str">
        <f t="shared" si="25"/>
        <v/>
      </c>
      <c r="C263" s="26" t="str">
        <f t="shared" si="27"/>
        <v/>
      </c>
      <c r="D263" s="11" t="str">
        <f t="shared" si="22"/>
        <v/>
      </c>
      <c r="E263" s="11" t="str">
        <f t="shared" si="26"/>
        <v/>
      </c>
      <c r="F263" s="11" t="str">
        <f t="shared" si="24"/>
        <v/>
      </c>
      <c r="G263" s="11" t="str">
        <f t="shared" si="23"/>
        <v/>
      </c>
    </row>
    <row r="264" spans="2:7">
      <c r="B264" s="12" t="str">
        <f t="shared" si="25"/>
        <v/>
      </c>
      <c r="C264" s="25" t="str">
        <f t="shared" si="27"/>
        <v/>
      </c>
      <c r="D264" s="13" t="str">
        <f t="shared" si="22"/>
        <v/>
      </c>
      <c r="E264" s="13" t="str">
        <f t="shared" si="26"/>
        <v/>
      </c>
      <c r="F264" s="13" t="str">
        <f t="shared" si="24"/>
        <v/>
      </c>
      <c r="G264" s="13" t="str">
        <f t="shared" si="23"/>
        <v/>
      </c>
    </row>
    <row r="265" spans="2:7">
      <c r="B265" s="10" t="str">
        <f t="shared" si="25"/>
        <v/>
      </c>
      <c r="C265" s="26" t="str">
        <f t="shared" si="27"/>
        <v/>
      </c>
      <c r="D265" s="11" t="str">
        <f t="shared" si="22"/>
        <v/>
      </c>
      <c r="E265" s="11" t="str">
        <f t="shared" si="26"/>
        <v/>
      </c>
      <c r="F265" s="11" t="str">
        <f t="shared" si="24"/>
        <v/>
      </c>
      <c r="G265" s="11" t="str">
        <f t="shared" si="23"/>
        <v/>
      </c>
    </row>
    <row r="266" spans="2:7">
      <c r="B266" s="12" t="str">
        <f t="shared" si="25"/>
        <v/>
      </c>
      <c r="C266" s="25" t="str">
        <f t="shared" si="27"/>
        <v/>
      </c>
      <c r="D266" s="13" t="str">
        <f t="shared" si="22"/>
        <v/>
      </c>
      <c r="E266" s="13" t="str">
        <f t="shared" si="26"/>
        <v/>
      </c>
      <c r="F266" s="13" t="str">
        <f t="shared" si="24"/>
        <v/>
      </c>
      <c r="G266" s="13" t="str">
        <f t="shared" si="23"/>
        <v/>
      </c>
    </row>
    <row r="267" spans="2:7">
      <c r="B267" s="10" t="str">
        <f t="shared" si="25"/>
        <v/>
      </c>
      <c r="C267" s="26" t="str">
        <f t="shared" si="27"/>
        <v/>
      </c>
      <c r="D267" s="11" t="str">
        <f t="shared" si="22"/>
        <v/>
      </c>
      <c r="E267" s="11" t="str">
        <f t="shared" si="26"/>
        <v/>
      </c>
      <c r="F267" s="11" t="str">
        <f t="shared" si="24"/>
        <v/>
      </c>
      <c r="G267" s="11" t="str">
        <f t="shared" si="23"/>
        <v/>
      </c>
    </row>
    <row r="268" spans="2:7">
      <c r="B268" s="12" t="str">
        <f t="shared" si="25"/>
        <v/>
      </c>
      <c r="C268" s="25" t="str">
        <f t="shared" si="27"/>
        <v/>
      </c>
      <c r="D268" s="13" t="str">
        <f t="shared" si="22"/>
        <v/>
      </c>
      <c r="E268" s="13" t="str">
        <f t="shared" si="26"/>
        <v/>
      </c>
      <c r="F268" s="13" t="str">
        <f t="shared" si="24"/>
        <v/>
      </c>
      <c r="G268" s="13" t="str">
        <f t="shared" si="23"/>
        <v/>
      </c>
    </row>
    <row r="269" spans="2:7">
      <c r="B269" s="10" t="str">
        <f t="shared" si="25"/>
        <v/>
      </c>
      <c r="C269" s="26" t="str">
        <f t="shared" si="27"/>
        <v/>
      </c>
      <c r="D269" s="11" t="str">
        <f t="shared" si="22"/>
        <v/>
      </c>
      <c r="E269" s="11" t="str">
        <f t="shared" si="26"/>
        <v/>
      </c>
      <c r="F269" s="11" t="str">
        <f t="shared" si="24"/>
        <v/>
      </c>
      <c r="G269" s="11" t="str">
        <f t="shared" si="23"/>
        <v/>
      </c>
    </row>
    <row r="270" spans="2:7">
      <c r="B270" s="12" t="str">
        <f t="shared" si="25"/>
        <v/>
      </c>
      <c r="C270" s="25" t="str">
        <f t="shared" si="27"/>
        <v/>
      </c>
      <c r="D270" s="13" t="str">
        <f t="shared" si="22"/>
        <v/>
      </c>
      <c r="E270" s="13" t="str">
        <f t="shared" si="26"/>
        <v/>
      </c>
      <c r="F270" s="13" t="str">
        <f t="shared" si="24"/>
        <v/>
      </c>
      <c r="G270" s="13" t="str">
        <f t="shared" si="23"/>
        <v/>
      </c>
    </row>
    <row r="271" spans="2:7">
      <c r="B271" s="10" t="str">
        <f t="shared" si="25"/>
        <v/>
      </c>
      <c r="C271" s="26" t="str">
        <f t="shared" si="27"/>
        <v/>
      </c>
      <c r="D271" s="11" t="str">
        <f t="shared" si="22"/>
        <v/>
      </c>
      <c r="E271" s="11" t="str">
        <f t="shared" si="26"/>
        <v/>
      </c>
      <c r="F271" s="11" t="str">
        <f t="shared" si="24"/>
        <v/>
      </c>
      <c r="G271" s="11" t="str">
        <f t="shared" si="23"/>
        <v/>
      </c>
    </row>
    <row r="272" spans="2:7">
      <c r="B272" s="12" t="str">
        <f t="shared" si="25"/>
        <v/>
      </c>
      <c r="C272" s="25" t="str">
        <f t="shared" si="27"/>
        <v/>
      </c>
      <c r="D272" s="13" t="str">
        <f t="shared" ref="D272:D317" si="28">IF(B272&lt;&gt;"",$D$13,"")</f>
        <v/>
      </c>
      <c r="E272" s="13" t="str">
        <f t="shared" si="26"/>
        <v/>
      </c>
      <c r="F272" s="13" t="str">
        <f t="shared" si="24"/>
        <v/>
      </c>
      <c r="G272" s="13" t="str">
        <f t="shared" ref="G272:G317" si="29">IF(B272&lt;&gt;"",G271-F272,"")</f>
        <v/>
      </c>
    </row>
    <row r="273" spans="2:7">
      <c r="B273" s="10" t="str">
        <f t="shared" si="25"/>
        <v/>
      </c>
      <c r="C273" s="26" t="str">
        <f t="shared" si="27"/>
        <v/>
      </c>
      <c r="D273" s="11" t="str">
        <f t="shared" si="28"/>
        <v/>
      </c>
      <c r="E273" s="11" t="str">
        <f t="shared" si="26"/>
        <v/>
      </c>
      <c r="F273" s="11" t="str">
        <f t="shared" si="24"/>
        <v/>
      </c>
      <c r="G273" s="11" t="str">
        <f t="shared" si="29"/>
        <v/>
      </c>
    </row>
    <row r="274" spans="2:7">
      <c r="B274" s="12" t="str">
        <f t="shared" si="25"/>
        <v/>
      </c>
      <c r="C274" s="25" t="str">
        <f t="shared" si="27"/>
        <v/>
      </c>
      <c r="D274" s="13" t="str">
        <f t="shared" si="28"/>
        <v/>
      </c>
      <c r="E274" s="13" t="str">
        <f t="shared" si="26"/>
        <v/>
      </c>
      <c r="F274" s="13" t="str">
        <f t="shared" ref="F274:F317" si="30">IF(B274&lt;&gt;"",D274-E274,"")</f>
        <v/>
      </c>
      <c r="G274" s="13" t="str">
        <f t="shared" si="29"/>
        <v/>
      </c>
    </row>
    <row r="275" spans="2:7">
      <c r="B275" s="10" t="str">
        <f t="shared" ref="B275:B338" si="31">IFERROR(IF(AND(B274&lt;=$D$7,G274&gt;-1,G274&lt;1),"",B274+1),"")</f>
        <v/>
      </c>
      <c r="C275" s="26" t="str">
        <f t="shared" si="27"/>
        <v/>
      </c>
      <c r="D275" s="11" t="str">
        <f t="shared" si="28"/>
        <v/>
      </c>
      <c r="E275" s="11" t="str">
        <f t="shared" ref="E275:E317" si="32">IF(B275&lt;&gt;"",G274*$D$6/$D$11,"")</f>
        <v/>
      </c>
      <c r="F275" s="11" t="str">
        <f t="shared" si="30"/>
        <v/>
      </c>
      <c r="G275" s="11" t="str">
        <f t="shared" si="29"/>
        <v/>
      </c>
    </row>
    <row r="276" spans="2:7">
      <c r="B276" s="12" t="str">
        <f t="shared" si="31"/>
        <v/>
      </c>
      <c r="C276" s="25" t="str">
        <f t="shared" ref="C276:C339" si="33">IF(B276&lt;&gt;"",CHOOSE($B$9,EOMONTH(C275,1),EOMONTH(C275,1)+1),"")</f>
        <v/>
      </c>
      <c r="D276" s="13" t="str">
        <f t="shared" si="28"/>
        <v/>
      </c>
      <c r="E276" s="13" t="str">
        <f t="shared" si="32"/>
        <v/>
      </c>
      <c r="F276" s="13" t="str">
        <f t="shared" si="30"/>
        <v/>
      </c>
      <c r="G276" s="13" t="str">
        <f t="shared" si="29"/>
        <v/>
      </c>
    </row>
    <row r="277" spans="2:7">
      <c r="B277" s="10" t="str">
        <f t="shared" si="31"/>
        <v/>
      </c>
      <c r="C277" s="26" t="str">
        <f t="shared" si="33"/>
        <v/>
      </c>
      <c r="D277" s="11" t="str">
        <f t="shared" si="28"/>
        <v/>
      </c>
      <c r="E277" s="11" t="str">
        <f t="shared" si="32"/>
        <v/>
      </c>
      <c r="F277" s="11" t="str">
        <f t="shared" si="30"/>
        <v/>
      </c>
      <c r="G277" s="11" t="str">
        <f t="shared" si="29"/>
        <v/>
      </c>
    </row>
    <row r="278" spans="2:7">
      <c r="B278" s="12" t="str">
        <f t="shared" si="31"/>
        <v/>
      </c>
      <c r="C278" s="25" t="str">
        <f t="shared" si="33"/>
        <v/>
      </c>
      <c r="D278" s="13" t="str">
        <f t="shared" si="28"/>
        <v/>
      </c>
      <c r="E278" s="13" t="str">
        <f t="shared" si="32"/>
        <v/>
      </c>
      <c r="F278" s="13" t="str">
        <f t="shared" si="30"/>
        <v/>
      </c>
      <c r="G278" s="13" t="str">
        <f t="shared" si="29"/>
        <v/>
      </c>
    </row>
    <row r="279" spans="2:7">
      <c r="B279" s="10" t="str">
        <f t="shared" si="31"/>
        <v/>
      </c>
      <c r="C279" s="26" t="str">
        <f t="shared" si="33"/>
        <v/>
      </c>
      <c r="D279" s="11" t="str">
        <f t="shared" si="28"/>
        <v/>
      </c>
      <c r="E279" s="11" t="str">
        <f t="shared" si="32"/>
        <v/>
      </c>
      <c r="F279" s="11" t="str">
        <f t="shared" si="30"/>
        <v/>
      </c>
      <c r="G279" s="11" t="str">
        <f t="shared" si="29"/>
        <v/>
      </c>
    </row>
    <row r="280" spans="2:7">
      <c r="B280" s="12" t="str">
        <f t="shared" si="31"/>
        <v/>
      </c>
      <c r="C280" s="25" t="str">
        <f t="shared" si="33"/>
        <v/>
      </c>
      <c r="D280" s="13" t="str">
        <f t="shared" si="28"/>
        <v/>
      </c>
      <c r="E280" s="13" t="str">
        <f t="shared" si="32"/>
        <v/>
      </c>
      <c r="F280" s="13" t="str">
        <f t="shared" si="30"/>
        <v/>
      </c>
      <c r="G280" s="13" t="str">
        <f t="shared" si="29"/>
        <v/>
      </c>
    </row>
    <row r="281" spans="2:7">
      <c r="B281" s="10" t="str">
        <f t="shared" si="31"/>
        <v/>
      </c>
      <c r="C281" s="26" t="str">
        <f t="shared" si="33"/>
        <v/>
      </c>
      <c r="D281" s="11" t="str">
        <f t="shared" si="28"/>
        <v/>
      </c>
      <c r="E281" s="11" t="str">
        <f t="shared" si="32"/>
        <v/>
      </c>
      <c r="F281" s="11" t="str">
        <f t="shared" si="30"/>
        <v/>
      </c>
      <c r="G281" s="11" t="str">
        <f t="shared" si="29"/>
        <v/>
      </c>
    </row>
    <row r="282" spans="2:7">
      <c r="B282" s="12" t="str">
        <f t="shared" si="31"/>
        <v/>
      </c>
      <c r="C282" s="25" t="str">
        <f t="shared" si="33"/>
        <v/>
      </c>
      <c r="D282" s="13" t="str">
        <f t="shared" si="28"/>
        <v/>
      </c>
      <c r="E282" s="13" t="str">
        <f t="shared" si="32"/>
        <v/>
      </c>
      <c r="F282" s="13" t="str">
        <f t="shared" si="30"/>
        <v/>
      </c>
      <c r="G282" s="13" t="str">
        <f t="shared" si="29"/>
        <v/>
      </c>
    </row>
    <row r="283" spans="2:7">
      <c r="B283" s="10" t="str">
        <f t="shared" si="31"/>
        <v/>
      </c>
      <c r="C283" s="26" t="str">
        <f t="shared" si="33"/>
        <v/>
      </c>
      <c r="D283" s="11" t="str">
        <f t="shared" si="28"/>
        <v/>
      </c>
      <c r="E283" s="11" t="str">
        <f t="shared" si="32"/>
        <v/>
      </c>
      <c r="F283" s="11" t="str">
        <f t="shared" si="30"/>
        <v/>
      </c>
      <c r="G283" s="11" t="str">
        <f t="shared" si="29"/>
        <v/>
      </c>
    </row>
    <row r="284" spans="2:7">
      <c r="B284" s="12" t="str">
        <f t="shared" si="31"/>
        <v/>
      </c>
      <c r="C284" s="25" t="str">
        <f t="shared" si="33"/>
        <v/>
      </c>
      <c r="D284" s="13" t="str">
        <f t="shared" si="28"/>
        <v/>
      </c>
      <c r="E284" s="13" t="str">
        <f t="shared" si="32"/>
        <v/>
      </c>
      <c r="F284" s="13" t="str">
        <f t="shared" si="30"/>
        <v/>
      </c>
      <c r="G284" s="13" t="str">
        <f t="shared" si="29"/>
        <v/>
      </c>
    </row>
    <row r="285" spans="2:7">
      <c r="B285" s="10" t="str">
        <f t="shared" si="31"/>
        <v/>
      </c>
      <c r="C285" s="26" t="str">
        <f t="shared" si="33"/>
        <v/>
      </c>
      <c r="D285" s="11" t="str">
        <f t="shared" si="28"/>
        <v/>
      </c>
      <c r="E285" s="11" t="str">
        <f t="shared" si="32"/>
        <v/>
      </c>
      <c r="F285" s="11" t="str">
        <f t="shared" si="30"/>
        <v/>
      </c>
      <c r="G285" s="11" t="str">
        <f t="shared" si="29"/>
        <v/>
      </c>
    </row>
    <row r="286" spans="2:7">
      <c r="B286" s="12" t="str">
        <f t="shared" si="31"/>
        <v/>
      </c>
      <c r="C286" s="25" t="str">
        <f t="shared" si="33"/>
        <v/>
      </c>
      <c r="D286" s="13" t="str">
        <f t="shared" si="28"/>
        <v/>
      </c>
      <c r="E286" s="13" t="str">
        <f t="shared" si="32"/>
        <v/>
      </c>
      <c r="F286" s="13" t="str">
        <f t="shared" si="30"/>
        <v/>
      </c>
      <c r="G286" s="13" t="str">
        <f t="shared" si="29"/>
        <v/>
      </c>
    </row>
    <row r="287" spans="2:7">
      <c r="B287" s="10" t="str">
        <f t="shared" si="31"/>
        <v/>
      </c>
      <c r="C287" s="26" t="str">
        <f t="shared" si="33"/>
        <v/>
      </c>
      <c r="D287" s="11" t="str">
        <f t="shared" si="28"/>
        <v/>
      </c>
      <c r="E287" s="11" t="str">
        <f t="shared" si="32"/>
        <v/>
      </c>
      <c r="F287" s="11" t="str">
        <f t="shared" si="30"/>
        <v/>
      </c>
      <c r="G287" s="11" t="str">
        <f t="shared" si="29"/>
        <v/>
      </c>
    </row>
    <row r="288" spans="2:7">
      <c r="B288" s="12" t="str">
        <f t="shared" si="31"/>
        <v/>
      </c>
      <c r="C288" s="25" t="str">
        <f t="shared" si="33"/>
        <v/>
      </c>
      <c r="D288" s="13" t="str">
        <f t="shared" si="28"/>
        <v/>
      </c>
      <c r="E288" s="13" t="str">
        <f t="shared" si="32"/>
        <v/>
      </c>
      <c r="F288" s="13" t="str">
        <f t="shared" si="30"/>
        <v/>
      </c>
      <c r="G288" s="13" t="str">
        <f t="shared" si="29"/>
        <v/>
      </c>
    </row>
    <row r="289" spans="2:7">
      <c r="B289" s="10" t="str">
        <f t="shared" si="31"/>
        <v/>
      </c>
      <c r="C289" s="26" t="str">
        <f t="shared" si="33"/>
        <v/>
      </c>
      <c r="D289" s="11" t="str">
        <f t="shared" si="28"/>
        <v/>
      </c>
      <c r="E289" s="11" t="str">
        <f t="shared" si="32"/>
        <v/>
      </c>
      <c r="F289" s="11" t="str">
        <f t="shared" si="30"/>
        <v/>
      </c>
      <c r="G289" s="11" t="str">
        <f t="shared" si="29"/>
        <v/>
      </c>
    </row>
    <row r="290" spans="2:7">
      <c r="B290" s="12" t="str">
        <f t="shared" si="31"/>
        <v/>
      </c>
      <c r="C290" s="25" t="str">
        <f t="shared" si="33"/>
        <v/>
      </c>
      <c r="D290" s="13" t="str">
        <f t="shared" si="28"/>
        <v/>
      </c>
      <c r="E290" s="13" t="str">
        <f t="shared" si="32"/>
        <v/>
      </c>
      <c r="F290" s="13" t="str">
        <f t="shared" si="30"/>
        <v/>
      </c>
      <c r="G290" s="13" t="str">
        <f t="shared" si="29"/>
        <v/>
      </c>
    </row>
    <row r="291" spans="2:7">
      <c r="B291" s="10" t="str">
        <f t="shared" si="31"/>
        <v/>
      </c>
      <c r="C291" s="26" t="str">
        <f t="shared" si="33"/>
        <v/>
      </c>
      <c r="D291" s="11" t="str">
        <f t="shared" si="28"/>
        <v/>
      </c>
      <c r="E291" s="11" t="str">
        <f t="shared" si="32"/>
        <v/>
      </c>
      <c r="F291" s="11" t="str">
        <f t="shared" si="30"/>
        <v/>
      </c>
      <c r="G291" s="11" t="str">
        <f t="shared" si="29"/>
        <v/>
      </c>
    </row>
    <row r="292" spans="2:7">
      <c r="B292" s="12" t="str">
        <f t="shared" si="31"/>
        <v/>
      </c>
      <c r="C292" s="25" t="str">
        <f t="shared" si="33"/>
        <v/>
      </c>
      <c r="D292" s="13" t="str">
        <f t="shared" si="28"/>
        <v/>
      </c>
      <c r="E292" s="13" t="str">
        <f t="shared" si="32"/>
        <v/>
      </c>
      <c r="F292" s="13" t="str">
        <f t="shared" si="30"/>
        <v/>
      </c>
      <c r="G292" s="13" t="str">
        <f t="shared" si="29"/>
        <v/>
      </c>
    </row>
    <row r="293" spans="2:7">
      <c r="B293" s="10" t="str">
        <f t="shared" si="31"/>
        <v/>
      </c>
      <c r="C293" s="26" t="str">
        <f t="shared" si="33"/>
        <v/>
      </c>
      <c r="D293" s="11" t="str">
        <f t="shared" si="28"/>
        <v/>
      </c>
      <c r="E293" s="11" t="str">
        <f t="shared" si="32"/>
        <v/>
      </c>
      <c r="F293" s="11" t="str">
        <f t="shared" si="30"/>
        <v/>
      </c>
      <c r="G293" s="11" t="str">
        <f t="shared" si="29"/>
        <v/>
      </c>
    </row>
    <row r="294" spans="2:7">
      <c r="B294" s="12" t="str">
        <f t="shared" si="31"/>
        <v/>
      </c>
      <c r="C294" s="25" t="str">
        <f t="shared" si="33"/>
        <v/>
      </c>
      <c r="D294" s="13" t="str">
        <f t="shared" si="28"/>
        <v/>
      </c>
      <c r="E294" s="13" t="str">
        <f t="shared" si="32"/>
        <v/>
      </c>
      <c r="F294" s="13" t="str">
        <f t="shared" si="30"/>
        <v/>
      </c>
      <c r="G294" s="13" t="str">
        <f t="shared" si="29"/>
        <v/>
      </c>
    </row>
    <row r="295" spans="2:7">
      <c r="B295" s="10" t="str">
        <f t="shared" si="31"/>
        <v/>
      </c>
      <c r="C295" s="26" t="str">
        <f t="shared" si="33"/>
        <v/>
      </c>
      <c r="D295" s="11" t="str">
        <f t="shared" si="28"/>
        <v/>
      </c>
      <c r="E295" s="11" t="str">
        <f t="shared" si="32"/>
        <v/>
      </c>
      <c r="F295" s="11" t="str">
        <f t="shared" si="30"/>
        <v/>
      </c>
      <c r="G295" s="11" t="str">
        <f t="shared" si="29"/>
        <v/>
      </c>
    </row>
    <row r="296" spans="2:7">
      <c r="B296" s="12" t="str">
        <f t="shared" si="31"/>
        <v/>
      </c>
      <c r="C296" s="25" t="str">
        <f t="shared" si="33"/>
        <v/>
      </c>
      <c r="D296" s="13" t="str">
        <f t="shared" si="28"/>
        <v/>
      </c>
      <c r="E296" s="13" t="str">
        <f t="shared" si="32"/>
        <v/>
      </c>
      <c r="F296" s="13" t="str">
        <f t="shared" si="30"/>
        <v/>
      </c>
      <c r="G296" s="13" t="str">
        <f t="shared" si="29"/>
        <v/>
      </c>
    </row>
    <row r="297" spans="2:7">
      <c r="B297" s="10" t="str">
        <f t="shared" si="31"/>
        <v/>
      </c>
      <c r="C297" s="26" t="str">
        <f t="shared" si="33"/>
        <v/>
      </c>
      <c r="D297" s="11" t="str">
        <f t="shared" si="28"/>
        <v/>
      </c>
      <c r="E297" s="11" t="str">
        <f t="shared" si="32"/>
        <v/>
      </c>
      <c r="F297" s="11" t="str">
        <f t="shared" si="30"/>
        <v/>
      </c>
      <c r="G297" s="11" t="str">
        <f t="shared" si="29"/>
        <v/>
      </c>
    </row>
    <row r="298" spans="2:7">
      <c r="B298" s="12" t="str">
        <f t="shared" si="31"/>
        <v/>
      </c>
      <c r="C298" s="25" t="str">
        <f t="shared" si="33"/>
        <v/>
      </c>
      <c r="D298" s="13" t="str">
        <f t="shared" si="28"/>
        <v/>
      </c>
      <c r="E298" s="13" t="str">
        <f t="shared" si="32"/>
        <v/>
      </c>
      <c r="F298" s="13" t="str">
        <f t="shared" si="30"/>
        <v/>
      </c>
      <c r="G298" s="13" t="str">
        <f t="shared" si="29"/>
        <v/>
      </c>
    </row>
    <row r="299" spans="2:7">
      <c r="B299" s="10" t="str">
        <f t="shared" si="31"/>
        <v/>
      </c>
      <c r="C299" s="26" t="str">
        <f t="shared" si="33"/>
        <v/>
      </c>
      <c r="D299" s="11" t="str">
        <f t="shared" si="28"/>
        <v/>
      </c>
      <c r="E299" s="11" t="str">
        <f t="shared" si="32"/>
        <v/>
      </c>
      <c r="F299" s="11" t="str">
        <f t="shared" si="30"/>
        <v/>
      </c>
      <c r="G299" s="11" t="str">
        <f t="shared" si="29"/>
        <v/>
      </c>
    </row>
    <row r="300" spans="2:7">
      <c r="B300" s="12" t="str">
        <f t="shared" si="31"/>
        <v/>
      </c>
      <c r="C300" s="25" t="str">
        <f t="shared" si="33"/>
        <v/>
      </c>
      <c r="D300" s="13" t="str">
        <f t="shared" si="28"/>
        <v/>
      </c>
      <c r="E300" s="13" t="str">
        <f t="shared" si="32"/>
        <v/>
      </c>
      <c r="F300" s="13" t="str">
        <f t="shared" si="30"/>
        <v/>
      </c>
      <c r="G300" s="13" t="str">
        <f t="shared" si="29"/>
        <v/>
      </c>
    </row>
    <row r="301" spans="2:7">
      <c r="B301" s="10" t="str">
        <f t="shared" si="31"/>
        <v/>
      </c>
      <c r="C301" s="26" t="str">
        <f t="shared" si="33"/>
        <v/>
      </c>
      <c r="D301" s="11" t="str">
        <f t="shared" si="28"/>
        <v/>
      </c>
      <c r="E301" s="11" t="str">
        <f t="shared" si="32"/>
        <v/>
      </c>
      <c r="F301" s="11" t="str">
        <f t="shared" si="30"/>
        <v/>
      </c>
      <c r="G301" s="11" t="str">
        <f t="shared" si="29"/>
        <v/>
      </c>
    </row>
    <row r="302" spans="2:7">
      <c r="B302" s="12" t="str">
        <f t="shared" si="31"/>
        <v/>
      </c>
      <c r="C302" s="25" t="str">
        <f t="shared" si="33"/>
        <v/>
      </c>
      <c r="D302" s="13" t="str">
        <f t="shared" si="28"/>
        <v/>
      </c>
      <c r="E302" s="13" t="str">
        <f t="shared" si="32"/>
        <v/>
      </c>
      <c r="F302" s="13" t="str">
        <f t="shared" si="30"/>
        <v/>
      </c>
      <c r="G302" s="13" t="str">
        <f t="shared" si="29"/>
        <v/>
      </c>
    </row>
    <row r="303" spans="2:7">
      <c r="B303" s="10" t="str">
        <f t="shared" si="31"/>
        <v/>
      </c>
      <c r="C303" s="26" t="str">
        <f t="shared" si="33"/>
        <v/>
      </c>
      <c r="D303" s="11" t="str">
        <f t="shared" si="28"/>
        <v/>
      </c>
      <c r="E303" s="11" t="str">
        <f t="shared" si="32"/>
        <v/>
      </c>
      <c r="F303" s="11" t="str">
        <f t="shared" si="30"/>
        <v/>
      </c>
      <c r="G303" s="11" t="str">
        <f t="shared" si="29"/>
        <v/>
      </c>
    </row>
    <row r="304" spans="2:7">
      <c r="B304" s="12" t="str">
        <f t="shared" si="31"/>
        <v/>
      </c>
      <c r="C304" s="25" t="str">
        <f t="shared" si="33"/>
        <v/>
      </c>
      <c r="D304" s="13" t="str">
        <f t="shared" si="28"/>
        <v/>
      </c>
      <c r="E304" s="13" t="str">
        <f t="shared" si="32"/>
        <v/>
      </c>
      <c r="F304" s="13" t="str">
        <f t="shared" si="30"/>
        <v/>
      </c>
      <c r="G304" s="13" t="str">
        <f t="shared" si="29"/>
        <v/>
      </c>
    </row>
    <row r="305" spans="2:7">
      <c r="B305" s="10" t="str">
        <f t="shared" si="31"/>
        <v/>
      </c>
      <c r="C305" s="26" t="str">
        <f t="shared" si="33"/>
        <v/>
      </c>
      <c r="D305" s="11" t="str">
        <f t="shared" si="28"/>
        <v/>
      </c>
      <c r="E305" s="11" t="str">
        <f t="shared" si="32"/>
        <v/>
      </c>
      <c r="F305" s="11" t="str">
        <f t="shared" si="30"/>
        <v/>
      </c>
      <c r="G305" s="11" t="str">
        <f t="shared" si="29"/>
        <v/>
      </c>
    </row>
    <row r="306" spans="2:7">
      <c r="B306" s="12" t="str">
        <f t="shared" si="31"/>
        <v/>
      </c>
      <c r="C306" s="25" t="str">
        <f t="shared" si="33"/>
        <v/>
      </c>
      <c r="D306" s="13" t="str">
        <f t="shared" si="28"/>
        <v/>
      </c>
      <c r="E306" s="13" t="str">
        <f t="shared" si="32"/>
        <v/>
      </c>
      <c r="F306" s="13" t="str">
        <f t="shared" si="30"/>
        <v/>
      </c>
      <c r="G306" s="13" t="str">
        <f t="shared" si="29"/>
        <v/>
      </c>
    </row>
    <row r="307" spans="2:7">
      <c r="B307" s="10" t="str">
        <f t="shared" si="31"/>
        <v/>
      </c>
      <c r="C307" s="26" t="str">
        <f t="shared" si="33"/>
        <v/>
      </c>
      <c r="D307" s="11" t="str">
        <f t="shared" si="28"/>
        <v/>
      </c>
      <c r="E307" s="11" t="str">
        <f t="shared" si="32"/>
        <v/>
      </c>
      <c r="F307" s="11" t="str">
        <f t="shared" si="30"/>
        <v/>
      </c>
      <c r="G307" s="11" t="str">
        <f t="shared" si="29"/>
        <v/>
      </c>
    </row>
    <row r="308" spans="2:7">
      <c r="B308" s="12" t="str">
        <f t="shared" si="31"/>
        <v/>
      </c>
      <c r="C308" s="25" t="str">
        <f t="shared" si="33"/>
        <v/>
      </c>
      <c r="D308" s="13" t="str">
        <f t="shared" si="28"/>
        <v/>
      </c>
      <c r="E308" s="13" t="str">
        <f t="shared" si="32"/>
        <v/>
      </c>
      <c r="F308" s="13" t="str">
        <f t="shared" si="30"/>
        <v/>
      </c>
      <c r="G308" s="13" t="str">
        <f t="shared" si="29"/>
        <v/>
      </c>
    </row>
    <row r="309" spans="2:7">
      <c r="B309" s="10" t="str">
        <f t="shared" si="31"/>
        <v/>
      </c>
      <c r="C309" s="26" t="str">
        <f t="shared" si="33"/>
        <v/>
      </c>
      <c r="D309" s="11" t="str">
        <f t="shared" si="28"/>
        <v/>
      </c>
      <c r="E309" s="11" t="str">
        <f t="shared" si="32"/>
        <v/>
      </c>
      <c r="F309" s="11" t="str">
        <f t="shared" si="30"/>
        <v/>
      </c>
      <c r="G309" s="11" t="str">
        <f t="shared" si="29"/>
        <v/>
      </c>
    </row>
    <row r="310" spans="2:7">
      <c r="B310" s="12" t="str">
        <f t="shared" si="31"/>
        <v/>
      </c>
      <c r="C310" s="25" t="str">
        <f t="shared" si="33"/>
        <v/>
      </c>
      <c r="D310" s="13" t="str">
        <f t="shared" si="28"/>
        <v/>
      </c>
      <c r="E310" s="13" t="str">
        <f t="shared" si="32"/>
        <v/>
      </c>
      <c r="F310" s="13" t="str">
        <f t="shared" si="30"/>
        <v/>
      </c>
      <c r="G310" s="13" t="str">
        <f t="shared" si="29"/>
        <v/>
      </c>
    </row>
    <row r="311" spans="2:7">
      <c r="B311" s="10" t="str">
        <f t="shared" si="31"/>
        <v/>
      </c>
      <c r="C311" s="26" t="str">
        <f t="shared" si="33"/>
        <v/>
      </c>
      <c r="D311" s="11" t="str">
        <f t="shared" si="28"/>
        <v/>
      </c>
      <c r="E311" s="11" t="str">
        <f t="shared" si="32"/>
        <v/>
      </c>
      <c r="F311" s="11" t="str">
        <f t="shared" si="30"/>
        <v/>
      </c>
      <c r="G311" s="11" t="str">
        <f t="shared" si="29"/>
        <v/>
      </c>
    </row>
    <row r="312" spans="2:7">
      <c r="B312" s="12" t="str">
        <f t="shared" si="31"/>
        <v/>
      </c>
      <c r="C312" s="25" t="str">
        <f t="shared" si="33"/>
        <v/>
      </c>
      <c r="D312" s="13" t="str">
        <f t="shared" si="28"/>
        <v/>
      </c>
      <c r="E312" s="13" t="str">
        <f t="shared" si="32"/>
        <v/>
      </c>
      <c r="F312" s="13" t="str">
        <f t="shared" si="30"/>
        <v/>
      </c>
      <c r="G312" s="13" t="str">
        <f t="shared" si="29"/>
        <v/>
      </c>
    </row>
    <row r="313" spans="2:7">
      <c r="B313" s="10" t="str">
        <f t="shared" si="31"/>
        <v/>
      </c>
      <c r="C313" s="26" t="str">
        <f t="shared" si="33"/>
        <v/>
      </c>
      <c r="D313" s="11" t="str">
        <f t="shared" si="28"/>
        <v/>
      </c>
      <c r="E313" s="11" t="str">
        <f t="shared" si="32"/>
        <v/>
      </c>
      <c r="F313" s="11" t="str">
        <f t="shared" si="30"/>
        <v/>
      </c>
      <c r="G313" s="11" t="str">
        <f t="shared" si="29"/>
        <v/>
      </c>
    </row>
    <row r="314" spans="2:7">
      <c r="B314" s="12" t="str">
        <f t="shared" si="31"/>
        <v/>
      </c>
      <c r="C314" s="25" t="str">
        <f t="shared" si="33"/>
        <v/>
      </c>
      <c r="D314" s="13" t="str">
        <f t="shared" si="28"/>
        <v/>
      </c>
      <c r="E314" s="13" t="str">
        <f t="shared" si="32"/>
        <v/>
      </c>
      <c r="F314" s="13" t="str">
        <f t="shared" si="30"/>
        <v/>
      </c>
      <c r="G314" s="13" t="str">
        <f t="shared" si="29"/>
        <v/>
      </c>
    </row>
    <row r="315" spans="2:7">
      <c r="B315" s="10" t="str">
        <f t="shared" si="31"/>
        <v/>
      </c>
      <c r="C315" s="26" t="str">
        <f t="shared" si="33"/>
        <v/>
      </c>
      <c r="D315" s="11" t="str">
        <f t="shared" si="28"/>
        <v/>
      </c>
      <c r="E315" s="11" t="str">
        <f t="shared" si="32"/>
        <v/>
      </c>
      <c r="F315" s="11" t="str">
        <f t="shared" si="30"/>
        <v/>
      </c>
      <c r="G315" s="11" t="str">
        <f t="shared" si="29"/>
        <v/>
      </c>
    </row>
    <row r="316" spans="2:7">
      <c r="B316" s="12" t="str">
        <f t="shared" si="31"/>
        <v/>
      </c>
      <c r="C316" s="25" t="str">
        <f t="shared" si="33"/>
        <v/>
      </c>
      <c r="D316" s="13" t="str">
        <f t="shared" si="28"/>
        <v/>
      </c>
      <c r="E316" s="13" t="str">
        <f t="shared" si="32"/>
        <v/>
      </c>
      <c r="F316" s="13" t="str">
        <f t="shared" si="30"/>
        <v/>
      </c>
      <c r="G316" s="13" t="str">
        <f t="shared" si="29"/>
        <v/>
      </c>
    </row>
    <row r="317" spans="2:7">
      <c r="B317" s="10" t="str">
        <f t="shared" si="31"/>
        <v/>
      </c>
      <c r="C317" s="26" t="str">
        <f t="shared" si="33"/>
        <v/>
      </c>
      <c r="D317" s="11" t="str">
        <f t="shared" si="28"/>
        <v/>
      </c>
      <c r="E317" s="11" t="str">
        <f t="shared" si="32"/>
        <v/>
      </c>
      <c r="F317" s="11" t="str">
        <f t="shared" si="30"/>
        <v/>
      </c>
      <c r="G317" s="11" t="str">
        <f t="shared" si="29"/>
        <v/>
      </c>
    </row>
    <row r="318" spans="2:7">
      <c r="B318" s="12" t="str">
        <f t="shared" si="31"/>
        <v/>
      </c>
      <c r="C318" s="25" t="str">
        <f t="shared" si="33"/>
        <v/>
      </c>
      <c r="D318" s="13" t="str">
        <f t="shared" ref="D318:D354" si="34">IF(B318&lt;&gt;"",$D$13,"")</f>
        <v/>
      </c>
      <c r="E318" s="13" t="str">
        <f t="shared" ref="E318:E354" si="35">IF(B318&lt;&gt;"",G317*$D$6/$D$11,"")</f>
        <v/>
      </c>
      <c r="F318" s="13" t="str">
        <f t="shared" ref="F318:F354" si="36">IF(B318&lt;&gt;"",D318-E318,"")</f>
        <v/>
      </c>
      <c r="G318" s="13" t="str">
        <f t="shared" ref="G318:G354" si="37">IF(B318&lt;&gt;"",G317-F318,"")</f>
        <v/>
      </c>
    </row>
    <row r="319" spans="2:7">
      <c r="B319" s="10" t="str">
        <f t="shared" si="31"/>
        <v/>
      </c>
      <c r="C319" s="26" t="str">
        <f t="shared" si="33"/>
        <v/>
      </c>
      <c r="D319" s="11" t="str">
        <f t="shared" si="34"/>
        <v/>
      </c>
      <c r="E319" s="11" t="str">
        <f t="shared" si="35"/>
        <v/>
      </c>
      <c r="F319" s="11" t="str">
        <f t="shared" si="36"/>
        <v/>
      </c>
      <c r="G319" s="11" t="str">
        <f t="shared" si="37"/>
        <v/>
      </c>
    </row>
    <row r="320" spans="2:7">
      <c r="B320" s="12" t="str">
        <f t="shared" si="31"/>
        <v/>
      </c>
      <c r="C320" s="25" t="str">
        <f t="shared" si="33"/>
        <v/>
      </c>
      <c r="D320" s="13" t="str">
        <f t="shared" si="34"/>
        <v/>
      </c>
      <c r="E320" s="13" t="str">
        <f t="shared" si="35"/>
        <v/>
      </c>
      <c r="F320" s="13" t="str">
        <f t="shared" si="36"/>
        <v/>
      </c>
      <c r="G320" s="13" t="str">
        <f t="shared" si="37"/>
        <v/>
      </c>
    </row>
    <row r="321" spans="2:7">
      <c r="B321" s="10" t="str">
        <f t="shared" si="31"/>
        <v/>
      </c>
      <c r="C321" s="26" t="str">
        <f t="shared" si="33"/>
        <v/>
      </c>
      <c r="D321" s="11" t="str">
        <f t="shared" si="34"/>
        <v/>
      </c>
      <c r="E321" s="11" t="str">
        <f t="shared" si="35"/>
        <v/>
      </c>
      <c r="F321" s="11" t="str">
        <f t="shared" si="36"/>
        <v/>
      </c>
      <c r="G321" s="11" t="str">
        <f t="shared" si="37"/>
        <v/>
      </c>
    </row>
    <row r="322" spans="2:7">
      <c r="B322" s="12" t="str">
        <f t="shared" si="31"/>
        <v/>
      </c>
      <c r="C322" s="25" t="str">
        <f t="shared" si="33"/>
        <v/>
      </c>
      <c r="D322" s="13" t="str">
        <f t="shared" si="34"/>
        <v/>
      </c>
      <c r="E322" s="13" t="str">
        <f t="shared" si="35"/>
        <v/>
      </c>
      <c r="F322" s="13" t="str">
        <f t="shared" si="36"/>
        <v/>
      </c>
      <c r="G322" s="13" t="str">
        <f t="shared" si="37"/>
        <v/>
      </c>
    </row>
    <row r="323" spans="2:7">
      <c r="B323" s="10" t="str">
        <f t="shared" si="31"/>
        <v/>
      </c>
      <c r="C323" s="26" t="str">
        <f t="shared" si="33"/>
        <v/>
      </c>
      <c r="D323" s="11" t="str">
        <f t="shared" si="34"/>
        <v/>
      </c>
      <c r="E323" s="11" t="str">
        <f t="shared" si="35"/>
        <v/>
      </c>
      <c r="F323" s="11" t="str">
        <f t="shared" si="36"/>
        <v/>
      </c>
      <c r="G323" s="11" t="str">
        <f t="shared" si="37"/>
        <v/>
      </c>
    </row>
    <row r="324" spans="2:7">
      <c r="B324" s="12" t="str">
        <f t="shared" si="31"/>
        <v/>
      </c>
      <c r="C324" s="25" t="str">
        <f t="shared" si="33"/>
        <v/>
      </c>
      <c r="D324" s="13" t="str">
        <f t="shared" si="34"/>
        <v/>
      </c>
      <c r="E324" s="13" t="str">
        <f t="shared" si="35"/>
        <v/>
      </c>
      <c r="F324" s="13" t="str">
        <f t="shared" si="36"/>
        <v/>
      </c>
      <c r="G324" s="13" t="str">
        <f t="shared" si="37"/>
        <v/>
      </c>
    </row>
    <row r="325" spans="2:7">
      <c r="B325" s="10" t="str">
        <f t="shared" si="31"/>
        <v/>
      </c>
      <c r="C325" s="26" t="str">
        <f t="shared" si="33"/>
        <v/>
      </c>
      <c r="D325" s="11" t="str">
        <f t="shared" si="34"/>
        <v/>
      </c>
      <c r="E325" s="11" t="str">
        <f t="shared" si="35"/>
        <v/>
      </c>
      <c r="F325" s="11" t="str">
        <f t="shared" si="36"/>
        <v/>
      </c>
      <c r="G325" s="11" t="str">
        <f t="shared" si="37"/>
        <v/>
      </c>
    </row>
    <row r="326" spans="2:7">
      <c r="B326" s="12" t="str">
        <f t="shared" si="31"/>
        <v/>
      </c>
      <c r="C326" s="25" t="str">
        <f t="shared" si="33"/>
        <v/>
      </c>
      <c r="D326" s="13" t="str">
        <f t="shared" si="34"/>
        <v/>
      </c>
      <c r="E326" s="13" t="str">
        <f t="shared" si="35"/>
        <v/>
      </c>
      <c r="F326" s="13" t="str">
        <f t="shared" si="36"/>
        <v/>
      </c>
      <c r="G326" s="13" t="str">
        <f t="shared" si="37"/>
        <v/>
      </c>
    </row>
    <row r="327" spans="2:7">
      <c r="B327" s="10" t="str">
        <f t="shared" si="31"/>
        <v/>
      </c>
      <c r="C327" s="26" t="str">
        <f t="shared" si="33"/>
        <v/>
      </c>
      <c r="D327" s="11" t="str">
        <f t="shared" si="34"/>
        <v/>
      </c>
      <c r="E327" s="11" t="str">
        <f t="shared" si="35"/>
        <v/>
      </c>
      <c r="F327" s="11" t="str">
        <f t="shared" si="36"/>
        <v/>
      </c>
      <c r="G327" s="11" t="str">
        <f t="shared" si="37"/>
        <v/>
      </c>
    </row>
    <row r="328" spans="2:7">
      <c r="B328" s="12" t="str">
        <f t="shared" si="31"/>
        <v/>
      </c>
      <c r="C328" s="25" t="str">
        <f t="shared" si="33"/>
        <v/>
      </c>
      <c r="D328" s="13" t="str">
        <f t="shared" si="34"/>
        <v/>
      </c>
      <c r="E328" s="13" t="str">
        <f t="shared" si="35"/>
        <v/>
      </c>
      <c r="F328" s="13" t="str">
        <f t="shared" si="36"/>
        <v/>
      </c>
      <c r="G328" s="13" t="str">
        <f t="shared" si="37"/>
        <v/>
      </c>
    </row>
    <row r="329" spans="2:7">
      <c r="B329" s="10" t="str">
        <f t="shared" si="31"/>
        <v/>
      </c>
      <c r="C329" s="26" t="str">
        <f t="shared" si="33"/>
        <v/>
      </c>
      <c r="D329" s="11" t="str">
        <f t="shared" si="34"/>
        <v/>
      </c>
      <c r="E329" s="11" t="str">
        <f t="shared" si="35"/>
        <v/>
      </c>
      <c r="F329" s="11" t="str">
        <f t="shared" si="36"/>
        <v/>
      </c>
      <c r="G329" s="11" t="str">
        <f t="shared" si="37"/>
        <v/>
      </c>
    </row>
    <row r="330" spans="2:7">
      <c r="B330" s="12" t="str">
        <f t="shared" si="31"/>
        <v/>
      </c>
      <c r="C330" s="25" t="str">
        <f t="shared" si="33"/>
        <v/>
      </c>
      <c r="D330" s="13" t="str">
        <f t="shared" si="34"/>
        <v/>
      </c>
      <c r="E330" s="13" t="str">
        <f t="shared" si="35"/>
        <v/>
      </c>
      <c r="F330" s="13" t="str">
        <f t="shared" si="36"/>
        <v/>
      </c>
      <c r="G330" s="13" t="str">
        <f t="shared" si="37"/>
        <v/>
      </c>
    </row>
    <row r="331" spans="2:7">
      <c r="B331" s="10" t="str">
        <f t="shared" si="31"/>
        <v/>
      </c>
      <c r="C331" s="26" t="str">
        <f t="shared" si="33"/>
        <v/>
      </c>
      <c r="D331" s="11" t="str">
        <f t="shared" si="34"/>
        <v/>
      </c>
      <c r="E331" s="11" t="str">
        <f t="shared" si="35"/>
        <v/>
      </c>
      <c r="F331" s="11" t="str">
        <f t="shared" si="36"/>
        <v/>
      </c>
      <c r="G331" s="11" t="str">
        <f t="shared" si="37"/>
        <v/>
      </c>
    </row>
    <row r="332" spans="2:7">
      <c r="B332" s="12" t="str">
        <f t="shared" si="31"/>
        <v/>
      </c>
      <c r="C332" s="25" t="str">
        <f t="shared" si="33"/>
        <v/>
      </c>
      <c r="D332" s="13" t="str">
        <f t="shared" si="34"/>
        <v/>
      </c>
      <c r="E332" s="13" t="str">
        <f t="shared" si="35"/>
        <v/>
      </c>
      <c r="F332" s="13" t="str">
        <f t="shared" si="36"/>
        <v/>
      </c>
      <c r="G332" s="13" t="str">
        <f t="shared" si="37"/>
        <v/>
      </c>
    </row>
    <row r="333" spans="2:7">
      <c r="B333" s="10" t="str">
        <f t="shared" si="31"/>
        <v/>
      </c>
      <c r="C333" s="26" t="str">
        <f t="shared" si="33"/>
        <v/>
      </c>
      <c r="D333" s="11" t="str">
        <f t="shared" si="34"/>
        <v/>
      </c>
      <c r="E333" s="11" t="str">
        <f t="shared" si="35"/>
        <v/>
      </c>
      <c r="F333" s="11" t="str">
        <f t="shared" si="36"/>
        <v/>
      </c>
      <c r="G333" s="11" t="str">
        <f t="shared" si="37"/>
        <v/>
      </c>
    </row>
    <row r="334" spans="2:7">
      <c r="B334" s="12" t="str">
        <f t="shared" si="31"/>
        <v/>
      </c>
      <c r="C334" s="25" t="str">
        <f t="shared" si="33"/>
        <v/>
      </c>
      <c r="D334" s="13" t="str">
        <f t="shared" si="34"/>
        <v/>
      </c>
      <c r="E334" s="13" t="str">
        <f t="shared" si="35"/>
        <v/>
      </c>
      <c r="F334" s="13" t="str">
        <f t="shared" si="36"/>
        <v/>
      </c>
      <c r="G334" s="13" t="str">
        <f t="shared" si="37"/>
        <v/>
      </c>
    </row>
    <row r="335" spans="2:7">
      <c r="B335" s="10" t="str">
        <f t="shared" si="31"/>
        <v/>
      </c>
      <c r="C335" s="26" t="str">
        <f t="shared" si="33"/>
        <v/>
      </c>
      <c r="D335" s="11" t="str">
        <f t="shared" si="34"/>
        <v/>
      </c>
      <c r="E335" s="11" t="str">
        <f t="shared" si="35"/>
        <v/>
      </c>
      <c r="F335" s="11" t="str">
        <f t="shared" si="36"/>
        <v/>
      </c>
      <c r="G335" s="11" t="str">
        <f t="shared" si="37"/>
        <v/>
      </c>
    </row>
    <row r="336" spans="2:7">
      <c r="B336" s="12" t="str">
        <f t="shared" si="31"/>
        <v/>
      </c>
      <c r="C336" s="25" t="str">
        <f t="shared" si="33"/>
        <v/>
      </c>
      <c r="D336" s="13" t="str">
        <f t="shared" si="34"/>
        <v/>
      </c>
      <c r="E336" s="13" t="str">
        <f t="shared" si="35"/>
        <v/>
      </c>
      <c r="F336" s="13" t="str">
        <f t="shared" si="36"/>
        <v/>
      </c>
      <c r="G336" s="13" t="str">
        <f t="shared" si="37"/>
        <v/>
      </c>
    </row>
    <row r="337" spans="2:7">
      <c r="B337" s="10" t="str">
        <f t="shared" si="31"/>
        <v/>
      </c>
      <c r="C337" s="26" t="str">
        <f t="shared" si="33"/>
        <v/>
      </c>
      <c r="D337" s="11" t="str">
        <f t="shared" si="34"/>
        <v/>
      </c>
      <c r="E337" s="11" t="str">
        <f t="shared" si="35"/>
        <v/>
      </c>
      <c r="F337" s="11" t="str">
        <f t="shared" si="36"/>
        <v/>
      </c>
      <c r="G337" s="11" t="str">
        <f t="shared" si="37"/>
        <v/>
      </c>
    </row>
    <row r="338" spans="2:7">
      <c r="B338" s="12" t="str">
        <f t="shared" si="31"/>
        <v/>
      </c>
      <c r="C338" s="25" t="str">
        <f t="shared" si="33"/>
        <v/>
      </c>
      <c r="D338" s="13" t="str">
        <f t="shared" si="34"/>
        <v/>
      </c>
      <c r="E338" s="13" t="str">
        <f t="shared" si="35"/>
        <v/>
      </c>
      <c r="F338" s="13" t="str">
        <f t="shared" si="36"/>
        <v/>
      </c>
      <c r="G338" s="13" t="str">
        <f t="shared" si="37"/>
        <v/>
      </c>
    </row>
    <row r="339" spans="2:7">
      <c r="B339" s="10" t="str">
        <f t="shared" ref="B339:B383" si="38">IFERROR(IF(AND(B338&lt;=$D$7,G338&gt;-1,G338&lt;1),"",B338+1),"")</f>
        <v/>
      </c>
      <c r="C339" s="26" t="str">
        <f t="shared" si="33"/>
        <v/>
      </c>
      <c r="D339" s="11" t="str">
        <f t="shared" si="34"/>
        <v/>
      </c>
      <c r="E339" s="11" t="str">
        <f t="shared" si="35"/>
        <v/>
      </c>
      <c r="F339" s="11" t="str">
        <f t="shared" si="36"/>
        <v/>
      </c>
      <c r="G339" s="11" t="str">
        <f t="shared" si="37"/>
        <v/>
      </c>
    </row>
    <row r="340" spans="2:7">
      <c r="B340" s="12" t="str">
        <f t="shared" si="38"/>
        <v/>
      </c>
      <c r="C340" s="25" t="str">
        <f t="shared" ref="C340:C383" si="39">IF(B340&lt;&gt;"",CHOOSE($B$9,EOMONTH(C339,1),EOMONTH(C339,1)+1),"")</f>
        <v/>
      </c>
      <c r="D340" s="13" t="str">
        <f t="shared" si="34"/>
        <v/>
      </c>
      <c r="E340" s="13" t="str">
        <f t="shared" si="35"/>
        <v/>
      </c>
      <c r="F340" s="13" t="str">
        <f t="shared" si="36"/>
        <v/>
      </c>
      <c r="G340" s="13" t="str">
        <f t="shared" si="37"/>
        <v/>
      </c>
    </row>
    <row r="341" spans="2:7">
      <c r="B341" s="10" t="str">
        <f t="shared" si="38"/>
        <v/>
      </c>
      <c r="C341" s="26" t="str">
        <f t="shared" si="39"/>
        <v/>
      </c>
      <c r="D341" s="11" t="str">
        <f t="shared" si="34"/>
        <v/>
      </c>
      <c r="E341" s="11" t="str">
        <f t="shared" si="35"/>
        <v/>
      </c>
      <c r="F341" s="11" t="str">
        <f t="shared" si="36"/>
        <v/>
      </c>
      <c r="G341" s="11" t="str">
        <f t="shared" si="37"/>
        <v/>
      </c>
    </row>
    <row r="342" spans="2:7">
      <c r="B342" s="12" t="str">
        <f t="shared" si="38"/>
        <v/>
      </c>
      <c r="C342" s="25" t="str">
        <f t="shared" si="39"/>
        <v/>
      </c>
      <c r="D342" s="13" t="str">
        <f t="shared" si="34"/>
        <v/>
      </c>
      <c r="E342" s="13" t="str">
        <f t="shared" si="35"/>
        <v/>
      </c>
      <c r="F342" s="13" t="str">
        <f t="shared" si="36"/>
        <v/>
      </c>
      <c r="G342" s="13" t="str">
        <f t="shared" si="37"/>
        <v/>
      </c>
    </row>
    <row r="343" spans="2:7">
      <c r="B343" s="10" t="str">
        <f t="shared" si="38"/>
        <v/>
      </c>
      <c r="C343" s="26" t="str">
        <f t="shared" si="39"/>
        <v/>
      </c>
      <c r="D343" s="11" t="str">
        <f t="shared" si="34"/>
        <v/>
      </c>
      <c r="E343" s="11" t="str">
        <f t="shared" si="35"/>
        <v/>
      </c>
      <c r="F343" s="11" t="str">
        <f t="shared" si="36"/>
        <v/>
      </c>
      <c r="G343" s="11" t="str">
        <f t="shared" si="37"/>
        <v/>
      </c>
    </row>
    <row r="344" spans="2:7">
      <c r="B344" s="12" t="str">
        <f t="shared" si="38"/>
        <v/>
      </c>
      <c r="C344" s="25" t="str">
        <f t="shared" si="39"/>
        <v/>
      </c>
      <c r="D344" s="13" t="str">
        <f t="shared" si="34"/>
        <v/>
      </c>
      <c r="E344" s="13" t="str">
        <f t="shared" si="35"/>
        <v/>
      </c>
      <c r="F344" s="13" t="str">
        <f t="shared" si="36"/>
        <v/>
      </c>
      <c r="G344" s="13" t="str">
        <f t="shared" si="37"/>
        <v/>
      </c>
    </row>
    <row r="345" spans="2:7">
      <c r="B345" s="10" t="str">
        <f t="shared" si="38"/>
        <v/>
      </c>
      <c r="C345" s="26" t="str">
        <f t="shared" si="39"/>
        <v/>
      </c>
      <c r="D345" s="11" t="str">
        <f t="shared" si="34"/>
        <v/>
      </c>
      <c r="E345" s="11" t="str">
        <f t="shared" si="35"/>
        <v/>
      </c>
      <c r="F345" s="11" t="str">
        <f t="shared" si="36"/>
        <v/>
      </c>
      <c r="G345" s="11" t="str">
        <f t="shared" si="37"/>
        <v/>
      </c>
    </row>
    <row r="346" spans="2:7">
      <c r="B346" s="12" t="str">
        <f t="shared" si="38"/>
        <v/>
      </c>
      <c r="C346" s="25" t="str">
        <f t="shared" si="39"/>
        <v/>
      </c>
      <c r="D346" s="13" t="str">
        <f t="shared" si="34"/>
        <v/>
      </c>
      <c r="E346" s="13" t="str">
        <f t="shared" si="35"/>
        <v/>
      </c>
      <c r="F346" s="13" t="str">
        <f t="shared" si="36"/>
        <v/>
      </c>
      <c r="G346" s="13" t="str">
        <f t="shared" si="37"/>
        <v/>
      </c>
    </row>
    <row r="347" spans="2:7">
      <c r="B347" s="10" t="str">
        <f t="shared" si="38"/>
        <v/>
      </c>
      <c r="C347" s="26" t="str">
        <f t="shared" si="39"/>
        <v/>
      </c>
      <c r="D347" s="11" t="str">
        <f t="shared" si="34"/>
        <v/>
      </c>
      <c r="E347" s="11" t="str">
        <f t="shared" si="35"/>
        <v/>
      </c>
      <c r="F347" s="11" t="str">
        <f t="shared" si="36"/>
        <v/>
      </c>
      <c r="G347" s="11" t="str">
        <f t="shared" si="37"/>
        <v/>
      </c>
    </row>
    <row r="348" spans="2:7">
      <c r="B348" s="12" t="str">
        <f t="shared" si="38"/>
        <v/>
      </c>
      <c r="C348" s="25" t="str">
        <f t="shared" si="39"/>
        <v/>
      </c>
      <c r="D348" s="13" t="str">
        <f t="shared" si="34"/>
        <v/>
      </c>
      <c r="E348" s="13" t="str">
        <f t="shared" si="35"/>
        <v/>
      </c>
      <c r="F348" s="13" t="str">
        <f t="shared" si="36"/>
        <v/>
      </c>
      <c r="G348" s="13" t="str">
        <f t="shared" si="37"/>
        <v/>
      </c>
    </row>
    <row r="349" spans="2:7">
      <c r="B349" s="10" t="str">
        <f t="shared" si="38"/>
        <v/>
      </c>
      <c r="C349" s="26" t="str">
        <f t="shared" si="39"/>
        <v/>
      </c>
      <c r="D349" s="11" t="str">
        <f t="shared" si="34"/>
        <v/>
      </c>
      <c r="E349" s="11" t="str">
        <f t="shared" si="35"/>
        <v/>
      </c>
      <c r="F349" s="11" t="str">
        <f t="shared" si="36"/>
        <v/>
      </c>
      <c r="G349" s="11" t="str">
        <f t="shared" si="37"/>
        <v/>
      </c>
    </row>
    <row r="350" spans="2:7">
      <c r="B350" s="12" t="str">
        <f t="shared" si="38"/>
        <v/>
      </c>
      <c r="C350" s="25" t="str">
        <f t="shared" si="39"/>
        <v/>
      </c>
      <c r="D350" s="13" t="str">
        <f t="shared" si="34"/>
        <v/>
      </c>
      <c r="E350" s="13" t="str">
        <f t="shared" si="35"/>
        <v/>
      </c>
      <c r="F350" s="13" t="str">
        <f t="shared" si="36"/>
        <v/>
      </c>
      <c r="G350" s="13" t="str">
        <f t="shared" si="37"/>
        <v/>
      </c>
    </row>
    <row r="351" spans="2:7">
      <c r="B351" s="10" t="str">
        <f t="shared" si="38"/>
        <v/>
      </c>
      <c r="C351" s="26" t="str">
        <f t="shared" si="39"/>
        <v/>
      </c>
      <c r="D351" s="11" t="str">
        <f t="shared" si="34"/>
        <v/>
      </c>
      <c r="E351" s="11" t="str">
        <f t="shared" si="35"/>
        <v/>
      </c>
      <c r="F351" s="11" t="str">
        <f t="shared" si="36"/>
        <v/>
      </c>
      <c r="G351" s="11" t="str">
        <f t="shared" si="37"/>
        <v/>
      </c>
    </row>
    <row r="352" spans="2:7">
      <c r="B352" s="12" t="str">
        <f t="shared" si="38"/>
        <v/>
      </c>
      <c r="C352" s="25" t="str">
        <f t="shared" si="39"/>
        <v/>
      </c>
      <c r="D352" s="13" t="str">
        <f t="shared" si="34"/>
        <v/>
      </c>
      <c r="E352" s="13" t="str">
        <f t="shared" si="35"/>
        <v/>
      </c>
      <c r="F352" s="13" t="str">
        <f t="shared" si="36"/>
        <v/>
      </c>
      <c r="G352" s="13" t="str">
        <f t="shared" si="37"/>
        <v/>
      </c>
    </row>
    <row r="353" spans="2:7">
      <c r="B353" s="10" t="str">
        <f t="shared" si="38"/>
        <v/>
      </c>
      <c r="C353" s="26" t="str">
        <f t="shared" si="39"/>
        <v/>
      </c>
      <c r="D353" s="11" t="str">
        <f t="shared" si="34"/>
        <v/>
      </c>
      <c r="E353" s="11" t="str">
        <f t="shared" si="35"/>
        <v/>
      </c>
      <c r="F353" s="11" t="str">
        <f t="shared" si="36"/>
        <v/>
      </c>
      <c r="G353" s="11" t="str">
        <f t="shared" si="37"/>
        <v/>
      </c>
    </row>
    <row r="354" spans="2:7">
      <c r="B354" s="12" t="str">
        <f t="shared" si="38"/>
        <v/>
      </c>
      <c r="C354" s="25" t="str">
        <f t="shared" si="39"/>
        <v/>
      </c>
      <c r="D354" s="13" t="str">
        <f t="shared" si="34"/>
        <v/>
      </c>
      <c r="E354" s="13" t="str">
        <f t="shared" si="35"/>
        <v/>
      </c>
      <c r="F354" s="13" t="str">
        <f t="shared" si="36"/>
        <v/>
      </c>
      <c r="G354" s="13" t="str">
        <f t="shared" si="37"/>
        <v/>
      </c>
    </row>
    <row r="355" spans="2:7">
      <c r="B355" s="10" t="str">
        <f t="shared" si="38"/>
        <v/>
      </c>
      <c r="C355" s="26" t="str">
        <f t="shared" si="39"/>
        <v/>
      </c>
      <c r="D355" s="11" t="str">
        <f t="shared" ref="D355:D374" si="40">IF(B355&lt;&gt;"",$D$13,"")</f>
        <v/>
      </c>
      <c r="E355" s="11" t="str">
        <f t="shared" ref="E355:E374" si="41">IF(B355&lt;&gt;"",G354*$D$6/$D$11,"")</f>
        <v/>
      </c>
      <c r="F355" s="11" t="str">
        <f t="shared" ref="F355:F374" si="42">IF(B355&lt;&gt;"",D355-E355,"")</f>
        <v/>
      </c>
      <c r="G355" s="11" t="str">
        <f t="shared" ref="G355:G374" si="43">IF(B355&lt;&gt;"",G354-F355,"")</f>
        <v/>
      </c>
    </row>
    <row r="356" spans="2:7">
      <c r="B356" s="12" t="str">
        <f t="shared" si="38"/>
        <v/>
      </c>
      <c r="C356" s="25" t="str">
        <f t="shared" si="39"/>
        <v/>
      </c>
      <c r="D356" s="13" t="str">
        <f t="shared" si="40"/>
        <v/>
      </c>
      <c r="E356" s="13" t="str">
        <f t="shared" si="41"/>
        <v/>
      </c>
      <c r="F356" s="13" t="str">
        <f t="shared" si="42"/>
        <v/>
      </c>
      <c r="G356" s="13" t="str">
        <f t="shared" si="43"/>
        <v/>
      </c>
    </row>
    <row r="357" spans="2:7">
      <c r="B357" s="10" t="str">
        <f t="shared" si="38"/>
        <v/>
      </c>
      <c r="C357" s="26" t="str">
        <f t="shared" si="39"/>
        <v/>
      </c>
      <c r="D357" s="11" t="str">
        <f t="shared" si="40"/>
        <v/>
      </c>
      <c r="E357" s="11" t="str">
        <f t="shared" si="41"/>
        <v/>
      </c>
      <c r="F357" s="11" t="str">
        <f t="shared" si="42"/>
        <v/>
      </c>
      <c r="G357" s="11" t="str">
        <f t="shared" si="43"/>
        <v/>
      </c>
    </row>
    <row r="358" spans="2:7">
      <c r="B358" s="12" t="str">
        <f t="shared" si="38"/>
        <v/>
      </c>
      <c r="C358" s="25" t="str">
        <f t="shared" si="39"/>
        <v/>
      </c>
      <c r="D358" s="13" t="str">
        <f t="shared" si="40"/>
        <v/>
      </c>
      <c r="E358" s="13" t="str">
        <f t="shared" si="41"/>
        <v/>
      </c>
      <c r="F358" s="13" t="str">
        <f t="shared" si="42"/>
        <v/>
      </c>
      <c r="G358" s="13" t="str">
        <f t="shared" si="43"/>
        <v/>
      </c>
    </row>
    <row r="359" spans="2:7">
      <c r="B359" s="10" t="str">
        <f t="shared" si="38"/>
        <v/>
      </c>
      <c r="C359" s="26" t="str">
        <f t="shared" si="39"/>
        <v/>
      </c>
      <c r="D359" s="11" t="str">
        <f t="shared" si="40"/>
        <v/>
      </c>
      <c r="E359" s="11" t="str">
        <f t="shared" si="41"/>
        <v/>
      </c>
      <c r="F359" s="11" t="str">
        <f t="shared" si="42"/>
        <v/>
      </c>
      <c r="G359" s="11" t="str">
        <f t="shared" si="43"/>
        <v/>
      </c>
    </row>
    <row r="360" spans="2:7">
      <c r="B360" s="12" t="str">
        <f t="shared" si="38"/>
        <v/>
      </c>
      <c r="C360" s="25" t="str">
        <f t="shared" si="39"/>
        <v/>
      </c>
      <c r="D360" s="13" t="str">
        <f t="shared" si="40"/>
        <v/>
      </c>
      <c r="E360" s="13" t="str">
        <f t="shared" si="41"/>
        <v/>
      </c>
      <c r="F360" s="13" t="str">
        <f t="shared" si="42"/>
        <v/>
      </c>
      <c r="G360" s="13" t="str">
        <f t="shared" si="43"/>
        <v/>
      </c>
    </row>
    <row r="361" spans="2:7">
      <c r="B361" s="10" t="str">
        <f t="shared" si="38"/>
        <v/>
      </c>
      <c r="C361" s="26" t="str">
        <f t="shared" si="39"/>
        <v/>
      </c>
      <c r="D361" s="11" t="str">
        <f t="shared" si="40"/>
        <v/>
      </c>
      <c r="E361" s="11" t="str">
        <f t="shared" si="41"/>
        <v/>
      </c>
      <c r="F361" s="11" t="str">
        <f t="shared" si="42"/>
        <v/>
      </c>
      <c r="G361" s="11" t="str">
        <f t="shared" si="43"/>
        <v/>
      </c>
    </row>
    <row r="362" spans="2:7">
      <c r="B362" s="12" t="str">
        <f t="shared" si="38"/>
        <v/>
      </c>
      <c r="C362" s="25" t="str">
        <f t="shared" si="39"/>
        <v/>
      </c>
      <c r="D362" s="13" t="str">
        <f t="shared" si="40"/>
        <v/>
      </c>
      <c r="E362" s="13" t="str">
        <f t="shared" si="41"/>
        <v/>
      </c>
      <c r="F362" s="13" t="str">
        <f t="shared" si="42"/>
        <v/>
      </c>
      <c r="G362" s="13" t="str">
        <f t="shared" si="43"/>
        <v/>
      </c>
    </row>
    <row r="363" spans="2:7">
      <c r="B363" s="10" t="str">
        <f t="shared" si="38"/>
        <v/>
      </c>
      <c r="C363" s="26" t="str">
        <f t="shared" si="39"/>
        <v/>
      </c>
      <c r="D363" s="11" t="str">
        <f t="shared" si="40"/>
        <v/>
      </c>
      <c r="E363" s="11" t="str">
        <f t="shared" si="41"/>
        <v/>
      </c>
      <c r="F363" s="11" t="str">
        <f t="shared" si="42"/>
        <v/>
      </c>
      <c r="G363" s="11" t="str">
        <f t="shared" si="43"/>
        <v/>
      </c>
    </row>
    <row r="364" spans="2:7">
      <c r="B364" s="12" t="str">
        <f t="shared" si="38"/>
        <v/>
      </c>
      <c r="C364" s="25" t="str">
        <f t="shared" si="39"/>
        <v/>
      </c>
      <c r="D364" s="13" t="str">
        <f t="shared" si="40"/>
        <v/>
      </c>
      <c r="E364" s="13" t="str">
        <f t="shared" si="41"/>
        <v/>
      </c>
      <c r="F364" s="13" t="str">
        <f t="shared" si="42"/>
        <v/>
      </c>
      <c r="G364" s="13" t="str">
        <f t="shared" si="43"/>
        <v/>
      </c>
    </row>
    <row r="365" spans="2:7">
      <c r="B365" s="10" t="str">
        <f t="shared" si="38"/>
        <v/>
      </c>
      <c r="C365" s="26" t="str">
        <f t="shared" si="39"/>
        <v/>
      </c>
      <c r="D365" s="11" t="str">
        <f t="shared" si="40"/>
        <v/>
      </c>
      <c r="E365" s="11" t="str">
        <f t="shared" si="41"/>
        <v/>
      </c>
      <c r="F365" s="11" t="str">
        <f t="shared" si="42"/>
        <v/>
      </c>
      <c r="G365" s="11" t="str">
        <f t="shared" si="43"/>
        <v/>
      </c>
    </row>
    <row r="366" spans="2:7">
      <c r="B366" s="12" t="str">
        <f t="shared" si="38"/>
        <v/>
      </c>
      <c r="C366" s="25" t="str">
        <f t="shared" si="39"/>
        <v/>
      </c>
      <c r="D366" s="13" t="str">
        <f t="shared" si="40"/>
        <v/>
      </c>
      <c r="E366" s="13" t="str">
        <f t="shared" si="41"/>
        <v/>
      </c>
      <c r="F366" s="13" t="str">
        <f t="shared" si="42"/>
        <v/>
      </c>
      <c r="G366" s="13" t="str">
        <f t="shared" si="43"/>
        <v/>
      </c>
    </row>
    <row r="367" spans="2:7">
      <c r="B367" s="10" t="str">
        <f t="shared" si="38"/>
        <v/>
      </c>
      <c r="C367" s="26" t="str">
        <f t="shared" si="39"/>
        <v/>
      </c>
      <c r="D367" s="11" t="str">
        <f t="shared" si="40"/>
        <v/>
      </c>
      <c r="E367" s="11" t="str">
        <f t="shared" si="41"/>
        <v/>
      </c>
      <c r="F367" s="11" t="str">
        <f t="shared" si="42"/>
        <v/>
      </c>
      <c r="G367" s="11" t="str">
        <f t="shared" si="43"/>
        <v/>
      </c>
    </row>
    <row r="368" spans="2:7">
      <c r="B368" s="12" t="str">
        <f t="shared" si="38"/>
        <v/>
      </c>
      <c r="C368" s="25" t="str">
        <f t="shared" si="39"/>
        <v/>
      </c>
      <c r="D368" s="13" t="str">
        <f t="shared" si="40"/>
        <v/>
      </c>
      <c r="E368" s="13" t="str">
        <f t="shared" si="41"/>
        <v/>
      </c>
      <c r="F368" s="13" t="str">
        <f t="shared" si="42"/>
        <v/>
      </c>
      <c r="G368" s="13" t="str">
        <f t="shared" si="43"/>
        <v/>
      </c>
    </row>
    <row r="369" spans="2:7">
      <c r="B369" s="10" t="str">
        <f t="shared" si="38"/>
        <v/>
      </c>
      <c r="C369" s="26" t="str">
        <f t="shared" si="39"/>
        <v/>
      </c>
      <c r="D369" s="11" t="str">
        <f t="shared" si="40"/>
        <v/>
      </c>
      <c r="E369" s="11" t="str">
        <f t="shared" si="41"/>
        <v/>
      </c>
      <c r="F369" s="11" t="str">
        <f t="shared" si="42"/>
        <v/>
      </c>
      <c r="G369" s="11" t="str">
        <f t="shared" si="43"/>
        <v/>
      </c>
    </row>
    <row r="370" spans="2:7">
      <c r="B370" s="12" t="str">
        <f t="shared" si="38"/>
        <v/>
      </c>
      <c r="C370" s="25" t="str">
        <f t="shared" si="39"/>
        <v/>
      </c>
      <c r="D370" s="13" t="str">
        <f t="shared" si="40"/>
        <v/>
      </c>
      <c r="E370" s="13" t="str">
        <f t="shared" si="41"/>
        <v/>
      </c>
      <c r="F370" s="13" t="str">
        <f t="shared" si="42"/>
        <v/>
      </c>
      <c r="G370" s="13" t="str">
        <f t="shared" si="43"/>
        <v/>
      </c>
    </row>
    <row r="371" spans="2:7">
      <c r="B371" s="10" t="str">
        <f t="shared" si="38"/>
        <v/>
      </c>
      <c r="C371" s="26" t="str">
        <f t="shared" si="39"/>
        <v/>
      </c>
      <c r="D371" s="11" t="str">
        <f t="shared" si="40"/>
        <v/>
      </c>
      <c r="E371" s="11" t="str">
        <f t="shared" si="41"/>
        <v/>
      </c>
      <c r="F371" s="11" t="str">
        <f t="shared" si="42"/>
        <v/>
      </c>
      <c r="G371" s="11" t="str">
        <f t="shared" si="43"/>
        <v/>
      </c>
    </row>
    <row r="372" spans="2:7">
      <c r="B372" s="12" t="str">
        <f t="shared" si="38"/>
        <v/>
      </c>
      <c r="C372" s="25" t="str">
        <f t="shared" si="39"/>
        <v/>
      </c>
      <c r="D372" s="13" t="str">
        <f t="shared" si="40"/>
        <v/>
      </c>
      <c r="E372" s="13" t="str">
        <f t="shared" si="41"/>
        <v/>
      </c>
      <c r="F372" s="13" t="str">
        <f t="shared" si="42"/>
        <v/>
      </c>
      <c r="G372" s="13" t="str">
        <f t="shared" si="43"/>
        <v/>
      </c>
    </row>
    <row r="373" spans="2:7">
      <c r="B373" s="10" t="str">
        <f t="shared" si="38"/>
        <v/>
      </c>
      <c r="C373" s="26" t="str">
        <f t="shared" si="39"/>
        <v/>
      </c>
      <c r="D373" s="11" t="str">
        <f t="shared" si="40"/>
        <v/>
      </c>
      <c r="E373" s="11" t="str">
        <f t="shared" si="41"/>
        <v/>
      </c>
      <c r="F373" s="11" t="str">
        <f t="shared" si="42"/>
        <v/>
      </c>
      <c r="G373" s="11" t="str">
        <f t="shared" si="43"/>
        <v/>
      </c>
    </row>
    <row r="374" spans="2:7">
      <c r="B374" s="12" t="str">
        <f t="shared" si="38"/>
        <v/>
      </c>
      <c r="C374" s="25" t="str">
        <f t="shared" si="39"/>
        <v/>
      </c>
      <c r="D374" s="13" t="str">
        <f t="shared" si="40"/>
        <v/>
      </c>
      <c r="E374" s="13" t="str">
        <f t="shared" si="41"/>
        <v/>
      </c>
      <c r="F374" s="13" t="str">
        <f t="shared" si="42"/>
        <v/>
      </c>
      <c r="G374" s="13" t="str">
        <f t="shared" si="43"/>
        <v/>
      </c>
    </row>
    <row r="375" spans="2:7">
      <c r="B375" s="10" t="str">
        <f t="shared" si="38"/>
        <v/>
      </c>
      <c r="C375" s="26" t="str">
        <f t="shared" si="39"/>
        <v/>
      </c>
      <c r="D375" s="11" t="str">
        <f t="shared" ref="D375:D377" si="44">IF(B375&lt;&gt;"",$D$13,"")</f>
        <v/>
      </c>
      <c r="E375" s="11" t="str">
        <f t="shared" ref="E375:E377" si="45">IF(B375&lt;&gt;"",G374*$D$6/$D$11,"")</f>
        <v/>
      </c>
      <c r="F375" s="11" t="str">
        <f t="shared" ref="F375:F377" si="46">IF(B375&lt;&gt;"",D375-E375,"")</f>
        <v/>
      </c>
      <c r="G375" s="11" t="str">
        <f t="shared" ref="G375:G377" si="47">IF(B375&lt;&gt;"",G374-F375,"")</f>
        <v/>
      </c>
    </row>
    <row r="376" spans="2:7">
      <c r="B376" s="12" t="str">
        <f t="shared" si="38"/>
        <v/>
      </c>
      <c r="C376" s="25" t="str">
        <f t="shared" si="39"/>
        <v/>
      </c>
      <c r="D376" s="13" t="str">
        <f t="shared" si="44"/>
        <v/>
      </c>
      <c r="E376" s="13" t="str">
        <f t="shared" si="45"/>
        <v/>
      </c>
      <c r="F376" s="13" t="str">
        <f t="shared" si="46"/>
        <v/>
      </c>
      <c r="G376" s="13" t="str">
        <f t="shared" si="47"/>
        <v/>
      </c>
    </row>
    <row r="377" spans="2:7">
      <c r="B377" s="10" t="str">
        <f t="shared" si="38"/>
        <v/>
      </c>
      <c r="C377" s="26" t="str">
        <f t="shared" si="39"/>
        <v/>
      </c>
      <c r="D377" s="11" t="str">
        <f t="shared" si="44"/>
        <v/>
      </c>
      <c r="E377" s="11" t="str">
        <f t="shared" si="45"/>
        <v/>
      </c>
      <c r="F377" s="11" t="str">
        <f t="shared" si="46"/>
        <v/>
      </c>
      <c r="G377" s="11" t="str">
        <f t="shared" si="47"/>
        <v/>
      </c>
    </row>
    <row r="378" spans="2:7">
      <c r="B378" s="12" t="str">
        <f t="shared" si="38"/>
        <v/>
      </c>
      <c r="C378" s="25" t="str">
        <f t="shared" si="39"/>
        <v/>
      </c>
      <c r="D378" s="13" t="str">
        <f t="shared" ref="D378:D383" si="48">IF(B378&lt;&gt;"",$D$13,"")</f>
        <v/>
      </c>
      <c r="E378" s="13" t="str">
        <f t="shared" ref="E378:E383" si="49">IF(B378&lt;&gt;"",G377*$D$6/$D$11,"")</f>
        <v/>
      </c>
      <c r="F378" s="13" t="str">
        <f t="shared" ref="F378:F383" si="50">IF(B378&lt;&gt;"",D378-E378,"")</f>
        <v/>
      </c>
      <c r="G378" s="13" t="str">
        <f t="shared" ref="G378:G383" si="51">IF(B378&lt;&gt;"",G377-F378,"")</f>
        <v/>
      </c>
    </row>
    <row r="379" spans="2:7">
      <c r="B379" s="10" t="str">
        <f t="shared" si="38"/>
        <v/>
      </c>
      <c r="C379" s="26" t="str">
        <f t="shared" si="39"/>
        <v/>
      </c>
      <c r="D379" s="11" t="str">
        <f t="shared" si="48"/>
        <v/>
      </c>
      <c r="E379" s="11" t="str">
        <f t="shared" si="49"/>
        <v/>
      </c>
      <c r="F379" s="11" t="str">
        <f t="shared" si="50"/>
        <v/>
      </c>
      <c r="G379" s="11" t="str">
        <f t="shared" si="51"/>
        <v/>
      </c>
    </row>
    <row r="380" spans="2:7">
      <c r="B380" s="12" t="str">
        <f t="shared" si="38"/>
        <v/>
      </c>
      <c r="C380" s="25" t="str">
        <f t="shared" si="39"/>
        <v/>
      </c>
      <c r="D380" s="13" t="str">
        <f t="shared" si="48"/>
        <v/>
      </c>
      <c r="E380" s="13" t="str">
        <f t="shared" si="49"/>
        <v/>
      </c>
      <c r="F380" s="13" t="str">
        <f t="shared" si="50"/>
        <v/>
      </c>
      <c r="G380" s="13" t="str">
        <f t="shared" si="51"/>
        <v/>
      </c>
    </row>
    <row r="381" spans="2:7">
      <c r="B381" s="10" t="str">
        <f t="shared" si="38"/>
        <v/>
      </c>
      <c r="C381" s="26" t="str">
        <f t="shared" si="39"/>
        <v/>
      </c>
      <c r="D381" s="11" t="str">
        <f t="shared" si="48"/>
        <v/>
      </c>
      <c r="E381" s="11" t="str">
        <f t="shared" si="49"/>
        <v/>
      </c>
      <c r="F381" s="11" t="str">
        <f t="shared" si="50"/>
        <v/>
      </c>
      <c r="G381" s="11" t="str">
        <f t="shared" si="51"/>
        <v/>
      </c>
    </row>
    <row r="382" spans="2:7">
      <c r="B382" s="12" t="str">
        <f t="shared" si="38"/>
        <v/>
      </c>
      <c r="C382" s="25" t="str">
        <f t="shared" si="39"/>
        <v/>
      </c>
      <c r="D382" s="13" t="str">
        <f t="shared" si="48"/>
        <v/>
      </c>
      <c r="E382" s="13" t="str">
        <f t="shared" si="49"/>
        <v/>
      </c>
      <c r="F382" s="13" t="str">
        <f t="shared" si="50"/>
        <v/>
      </c>
      <c r="G382" s="13" t="str">
        <f t="shared" si="51"/>
        <v/>
      </c>
    </row>
    <row r="383" spans="2:7">
      <c r="B383" s="10" t="str">
        <f t="shared" si="38"/>
        <v/>
      </c>
      <c r="C383" s="26" t="str">
        <f t="shared" si="39"/>
        <v/>
      </c>
      <c r="D383" s="11" t="str">
        <f t="shared" si="48"/>
        <v/>
      </c>
      <c r="E383" s="11" t="str">
        <f t="shared" si="49"/>
        <v/>
      </c>
      <c r="F383" s="11" t="str">
        <f t="shared" si="50"/>
        <v/>
      </c>
      <c r="G383" s="11" t="str">
        <f t="shared" si="51"/>
        <v/>
      </c>
    </row>
  </sheetData>
  <mergeCells count="1">
    <mergeCell ref="B2:G2"/>
  </mergeCells>
  <conditionalFormatting sqref="B17:B317 E17:G317">
    <cfRule type="expression" dxfId="9" priority="9">
      <formula>$B17=""</formula>
    </cfRule>
  </conditionalFormatting>
  <conditionalFormatting sqref="C17:D317 C19:C383">
    <cfRule type="expression" dxfId="8" priority="11">
      <formula>$B17=""</formula>
    </cfRule>
  </conditionalFormatting>
  <conditionalFormatting sqref="B318:B377 E318:G377">
    <cfRule type="expression" dxfId="7" priority="8">
      <formula>$B318=""</formula>
    </cfRule>
  </conditionalFormatting>
  <conditionalFormatting sqref="C318:D377">
    <cfRule type="expression" dxfId="6" priority="7">
      <formula>$B318=""</formula>
    </cfRule>
  </conditionalFormatting>
  <conditionalFormatting sqref="B378:B379 E378:G379">
    <cfRule type="expression" dxfId="5" priority="6">
      <formula>$B378=""</formula>
    </cfRule>
  </conditionalFormatting>
  <conditionalFormatting sqref="C378:D379">
    <cfRule type="expression" dxfId="4" priority="5">
      <formula>$B378=""</formula>
    </cfRule>
  </conditionalFormatting>
  <conditionalFormatting sqref="B380:B381 E380:G381">
    <cfRule type="expression" dxfId="3" priority="4">
      <formula>$B380=""</formula>
    </cfRule>
  </conditionalFormatting>
  <conditionalFormatting sqref="C380:D381">
    <cfRule type="expression" dxfId="2" priority="3">
      <formula>$B380=""</formula>
    </cfRule>
  </conditionalFormatting>
  <conditionalFormatting sqref="B382:B383 E382:G383">
    <cfRule type="expression" dxfId="1" priority="2">
      <formula>$B382=""</formula>
    </cfRule>
  </conditionalFormatting>
  <conditionalFormatting sqref="C382:D383">
    <cfRule type="expression" dxfId="0" priority="1">
      <formula>$B382=""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Loan amortization schedule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Ekhalilov</dc:creator>
  <cp:lastModifiedBy>Ekhalilov</cp:lastModifiedBy>
  <dcterms:created xsi:type="dcterms:W3CDTF">2014-09-17T12:59:34Z</dcterms:created>
  <dcterms:modified xsi:type="dcterms:W3CDTF">2014-10-16T09:21:46Z</dcterms:modified>
</cp:coreProperties>
</file>