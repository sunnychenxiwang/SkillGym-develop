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65" windowWidth="21075" windowHeight="8190" activeTab="4"/>
  </bookViews>
  <sheets>
    <sheet name="Dashboard" sheetId="4" r:id="rId1"/>
    <sheet name="Income Statement" sheetId="1" r:id="rId2"/>
    <sheet name="Working Capital Calculation" sheetId="5" r:id="rId3"/>
    <sheet name="FCF Calculation" sheetId="3" r:id="rId4"/>
    <sheet name="FV Calculation" sheetId="6" r:id="rId5"/>
  </sheets>
  <calcPr calcId="145621"/>
</workbook>
</file>

<file path=xl/calcChain.xml><?xml version="1.0" encoding="utf-8"?>
<calcChain xmlns="http://schemas.openxmlformats.org/spreadsheetml/2006/main">
  <c r="F5" i="5" l="1"/>
  <c r="G5" i="5" s="1"/>
  <c r="C8" i="5"/>
  <c r="D8" i="5"/>
  <c r="D10" i="5" s="1"/>
  <c r="E8" i="5"/>
  <c r="F8" i="5"/>
  <c r="F10" i="5" s="1"/>
  <c r="B8" i="5"/>
  <c r="C10" i="5" s="1"/>
  <c r="H5" i="5" l="1"/>
  <c r="H8" i="5" s="1"/>
  <c r="E10" i="5"/>
  <c r="I5" i="5"/>
  <c r="I8" i="5" s="1"/>
  <c r="I10" i="5" s="1"/>
  <c r="G8" i="5"/>
  <c r="G10" i="5" s="1"/>
  <c r="F11" i="1"/>
  <c r="F8" i="1"/>
  <c r="F10" i="1" s="1"/>
  <c r="G6" i="1"/>
  <c r="H6" i="1" s="1"/>
  <c r="I6" i="1" s="1"/>
  <c r="J6" i="1" s="1"/>
  <c r="D9" i="1"/>
  <c r="E9" i="1"/>
  <c r="C9" i="1"/>
  <c r="D7" i="1"/>
  <c r="E7" i="1"/>
  <c r="C7" i="1"/>
  <c r="B10" i="1"/>
  <c r="H10" i="5" l="1"/>
  <c r="J5" i="5"/>
  <c r="J8" i="5" s="1"/>
  <c r="J10" i="5" s="1"/>
  <c r="G8" i="1"/>
  <c r="H8" i="1" l="1"/>
  <c r="G10" i="1"/>
  <c r="G11" i="1" s="1"/>
  <c r="I8" i="1" l="1"/>
  <c r="H10" i="1"/>
  <c r="H11" i="1" s="1"/>
  <c r="J8" i="1" l="1"/>
  <c r="J10" i="1" s="1"/>
  <c r="I10" i="1"/>
  <c r="I11" i="1" s="1"/>
  <c r="J11" i="1" l="1"/>
  <c r="C16" i="1" l="1"/>
  <c r="C17" i="1" s="1"/>
  <c r="D16" i="1"/>
  <c r="D17" i="1" s="1"/>
  <c r="E16" i="1"/>
  <c r="E17" i="1" s="1"/>
  <c r="B16" i="1"/>
  <c r="B17" i="1" s="1"/>
  <c r="G20" i="1" l="1"/>
  <c r="H20" i="1" s="1"/>
  <c r="I20" i="1" s="1"/>
  <c r="J20" i="1" s="1"/>
  <c r="G14" i="1"/>
  <c r="H14" i="1" s="1"/>
  <c r="I14" i="1" s="1"/>
  <c r="J14" i="1" s="1"/>
  <c r="F6" i="3"/>
  <c r="G6" i="3"/>
  <c r="H6" i="3"/>
  <c r="I6" i="3"/>
  <c r="E6" i="3"/>
  <c r="B28" i="6"/>
  <c r="B29" i="6" s="1"/>
  <c r="F4" i="6"/>
  <c r="G4" i="6" s="1"/>
  <c r="H4" i="6" s="1"/>
  <c r="I4" i="6" s="1"/>
  <c r="B23" i="6"/>
  <c r="B24" i="6" s="1"/>
  <c r="C19" i="6"/>
  <c r="C18" i="6"/>
  <c r="F36" i="1"/>
  <c r="G36" i="1" s="1"/>
  <c r="H36" i="1" s="1"/>
  <c r="I36" i="1" s="1"/>
  <c r="J36" i="1" s="1"/>
  <c r="F35" i="1"/>
  <c r="G35" i="1" s="1"/>
  <c r="C22" i="1"/>
  <c r="D22" i="1"/>
  <c r="E22" i="1"/>
  <c r="B22" i="1"/>
  <c r="C20" i="1"/>
  <c r="D20" i="1"/>
  <c r="E20" i="1"/>
  <c r="C23" i="1"/>
  <c r="C24" i="1" s="1"/>
  <c r="D23" i="1"/>
  <c r="D31" i="1" s="1"/>
  <c r="D33" i="1" s="1"/>
  <c r="E23" i="1"/>
  <c r="E31" i="1" s="1"/>
  <c r="E33" i="1" s="1"/>
  <c r="B23" i="1"/>
  <c r="B31" i="1" s="1"/>
  <c r="B33" i="1" s="1"/>
  <c r="B20" i="1"/>
  <c r="C37" i="1"/>
  <c r="D37" i="1"/>
  <c r="E37" i="1"/>
  <c r="B37" i="1"/>
  <c r="C43" i="1"/>
  <c r="D43" i="1"/>
  <c r="E43" i="1"/>
  <c r="G43" i="1" s="1"/>
  <c r="H43" i="1" s="1"/>
  <c r="I43" i="1" s="1"/>
  <c r="J43" i="1" s="1"/>
  <c r="B43" i="1"/>
  <c r="C29" i="1"/>
  <c r="D29" i="1"/>
  <c r="E29" i="1"/>
  <c r="B29" i="1"/>
  <c r="E24" i="1" l="1"/>
  <c r="C31" i="1"/>
  <c r="C33" i="1" s="1"/>
  <c r="D24" i="1"/>
  <c r="H35" i="1"/>
  <c r="G37" i="1"/>
  <c r="F37" i="1"/>
  <c r="B15" i="6"/>
  <c r="B25" i="4" s="1"/>
  <c r="B24" i="1"/>
  <c r="C45" i="1"/>
  <c r="B45" i="1"/>
  <c r="E45" i="1"/>
  <c r="D45" i="1"/>
  <c r="B10" i="6"/>
  <c r="E8" i="3"/>
  <c r="F8" i="3" s="1"/>
  <c r="C3" i="5"/>
  <c r="D3" i="5"/>
  <c r="E3" i="5"/>
  <c r="F3" i="5"/>
  <c r="G3" i="5"/>
  <c r="H3" i="5"/>
  <c r="I3" i="5"/>
  <c r="J3" i="5"/>
  <c r="B3" i="5"/>
  <c r="B3" i="3"/>
  <c r="B3" i="6" s="1"/>
  <c r="C3" i="3"/>
  <c r="C3" i="6" s="1"/>
  <c r="D3" i="3"/>
  <c r="D3" i="6" s="1"/>
  <c r="E3" i="3"/>
  <c r="E3" i="6" s="1"/>
  <c r="F3" i="3"/>
  <c r="F3" i="6" s="1"/>
  <c r="G3" i="3"/>
  <c r="G3" i="6" s="1"/>
  <c r="H3" i="3"/>
  <c r="H3" i="6" s="1"/>
  <c r="I3" i="3"/>
  <c r="I3" i="6" s="1"/>
  <c r="C14" i="1"/>
  <c r="D14" i="1"/>
  <c r="E14" i="1"/>
  <c r="B14" i="1"/>
  <c r="D11" i="1"/>
  <c r="E11" i="1"/>
  <c r="C11" i="1"/>
  <c r="E48" i="1" l="1"/>
  <c r="E52" i="1"/>
  <c r="D48" i="1"/>
  <c r="D52" i="1"/>
  <c r="C5" i="3" s="1"/>
  <c r="B48" i="1"/>
  <c r="B52" i="1"/>
  <c r="C48" i="1"/>
  <c r="C52" i="1"/>
  <c r="B5" i="3" s="1"/>
  <c r="E6" i="6"/>
  <c r="H6" i="6"/>
  <c r="I6" i="6"/>
  <c r="J6" i="6"/>
  <c r="F6" i="6"/>
  <c r="G6" i="6"/>
  <c r="I35" i="1"/>
  <c r="H37" i="1"/>
  <c r="G8" i="3"/>
  <c r="H8" i="3" s="1"/>
  <c r="F29" i="1"/>
  <c r="F19" i="1"/>
  <c r="F21" i="1"/>
  <c r="D5" i="3"/>
  <c r="F13" i="1"/>
  <c r="F16" i="1" s="1"/>
  <c r="B7" i="3" l="1"/>
  <c r="B10" i="3" s="1"/>
  <c r="B5" i="6" s="1"/>
  <c r="E7" i="3"/>
  <c r="D7" i="3"/>
  <c r="D10" i="3" s="1"/>
  <c r="D5" i="6" s="1"/>
  <c r="C7" i="3"/>
  <c r="C10" i="3" s="1"/>
  <c r="C5" i="6" s="1"/>
  <c r="F7" i="3"/>
  <c r="F17" i="1"/>
  <c r="J35" i="1"/>
  <c r="J37" i="1" s="1"/>
  <c r="I37" i="1"/>
  <c r="I8" i="3"/>
  <c r="G13" i="1"/>
  <c r="G16" i="1" s="1"/>
  <c r="F23" i="1"/>
  <c r="F24" i="1" s="1"/>
  <c r="G29" i="1"/>
  <c r="G19" i="1"/>
  <c r="G21" i="1"/>
  <c r="G7" i="3" l="1"/>
  <c r="G17" i="1"/>
  <c r="F31" i="1"/>
  <c r="F33" i="1" s="1"/>
  <c r="H21" i="1"/>
  <c r="F45" i="1"/>
  <c r="H19" i="1"/>
  <c r="H13" i="1"/>
  <c r="H16" i="1" s="1"/>
  <c r="H29" i="1"/>
  <c r="G23" i="1"/>
  <c r="G24" i="1" s="1"/>
  <c r="H7" i="3" l="1"/>
  <c r="F47" i="1"/>
  <c r="G31" i="1"/>
  <c r="G33" i="1" s="1"/>
  <c r="H17" i="1"/>
  <c r="I21" i="1"/>
  <c r="H23" i="1"/>
  <c r="H24" i="1" s="1"/>
  <c r="G45" i="1"/>
  <c r="I29" i="1"/>
  <c r="I19" i="1"/>
  <c r="I13" i="1"/>
  <c r="I16" i="1" s="1"/>
  <c r="I7" i="3" l="1"/>
  <c r="G47" i="1"/>
  <c r="G52" i="1" s="1"/>
  <c r="F5" i="3" s="1"/>
  <c r="F10" i="3" s="1"/>
  <c r="F52" i="1"/>
  <c r="E5" i="3" s="1"/>
  <c r="E10" i="3" s="1"/>
  <c r="E5" i="6" s="1"/>
  <c r="E7" i="6" s="1"/>
  <c r="H31" i="1"/>
  <c r="H33" i="1" s="1"/>
  <c r="I17" i="1"/>
  <c r="H45" i="1"/>
  <c r="I23" i="1"/>
  <c r="I45" i="1" s="1"/>
  <c r="J13" i="1"/>
  <c r="J16" i="1" s="1"/>
  <c r="J21" i="1"/>
  <c r="J29" i="1"/>
  <c r="J19" i="1"/>
  <c r="H47" i="1" l="1"/>
  <c r="H52" i="1" s="1"/>
  <c r="J17" i="1"/>
  <c r="I31" i="1"/>
  <c r="I33" i="1" s="1"/>
  <c r="I24" i="1"/>
  <c r="F5" i="6"/>
  <c r="F7" i="6" s="1"/>
  <c r="J23" i="1"/>
  <c r="J24" i="1" s="1"/>
  <c r="G5" i="3" l="1"/>
  <c r="G10" i="3" s="1"/>
  <c r="G5" i="6" s="1"/>
  <c r="G7" i="6" s="1"/>
  <c r="I47" i="1"/>
  <c r="I52" i="1" s="1"/>
  <c r="H5" i="3" s="1"/>
  <c r="H10" i="3" s="1"/>
  <c r="H5" i="6" s="1"/>
  <c r="H7" i="6" s="1"/>
  <c r="J31" i="1"/>
  <c r="J33" i="1" s="1"/>
  <c r="J45" i="1"/>
  <c r="J47" i="1" l="1"/>
  <c r="J52" i="1" s="1"/>
  <c r="I5" i="3" s="1"/>
  <c r="I10" i="3" s="1"/>
  <c r="J5" i="6" l="1"/>
  <c r="J7" i="6" s="1"/>
  <c r="I5" i="6"/>
  <c r="I7" i="6" s="1"/>
  <c r="B9" i="6" l="1"/>
  <c r="B11" i="6" s="1"/>
  <c r="B27" i="4" s="1"/>
  <c r="B28" i="4" s="1"/>
  <c r="F6" i="1" l="1"/>
</calcChain>
</file>

<file path=xl/sharedStrings.xml><?xml version="1.0" encoding="utf-8"?>
<sst xmlns="http://schemas.openxmlformats.org/spreadsheetml/2006/main" count="139" uniqueCount="121">
  <si>
    <t>Revenue</t>
  </si>
  <si>
    <t>in mms</t>
  </si>
  <si>
    <t>% change</t>
  </si>
  <si>
    <t>COGS</t>
  </si>
  <si>
    <t>% revenue</t>
  </si>
  <si>
    <t>Gross Profit</t>
  </si>
  <si>
    <t>SGA</t>
  </si>
  <si>
    <t>R&amp;D</t>
  </si>
  <si>
    <t>D&amp;A</t>
  </si>
  <si>
    <t>Net Income</t>
  </si>
  <si>
    <t>Change in Working Capital</t>
  </si>
  <si>
    <t>CapEx</t>
  </si>
  <si>
    <t>FCF</t>
  </si>
  <si>
    <t>Projected Year</t>
  </si>
  <si>
    <t>Discounted</t>
  </si>
  <si>
    <t>Terminal Growth Rate</t>
  </si>
  <si>
    <t>Ticker</t>
  </si>
  <si>
    <t>Company</t>
  </si>
  <si>
    <t>WebMD</t>
  </si>
  <si>
    <t>WBMD</t>
  </si>
  <si>
    <t>WACC</t>
  </si>
  <si>
    <t>Equity</t>
  </si>
  <si>
    <t>Debt</t>
  </si>
  <si>
    <t>Amount</t>
  </si>
  <si>
    <t>Weight</t>
  </si>
  <si>
    <t>Cost of Equity</t>
  </si>
  <si>
    <t>Beta</t>
  </si>
  <si>
    <t>Risk-Free Rate</t>
  </si>
  <si>
    <t>Market Risk Premium</t>
  </si>
  <si>
    <t>Rm-Rf</t>
  </si>
  <si>
    <t>Cost of Debt</t>
  </si>
  <si>
    <t>After Tax Cost of Debt</t>
  </si>
  <si>
    <t>Terminal</t>
  </si>
  <si>
    <t>Shares Outstanding</t>
  </si>
  <si>
    <t>Enterprise Value</t>
  </si>
  <si>
    <t>Net Debt</t>
  </si>
  <si>
    <t>Fair Value</t>
  </si>
  <si>
    <t>Fair Price</t>
  </si>
  <si>
    <t>Current Price</t>
  </si>
  <si>
    <t>Appreciation</t>
  </si>
  <si>
    <t>Sales &amp; Marketing</t>
  </si>
  <si>
    <t>Interest Income</t>
  </si>
  <si>
    <t>Interest Expense</t>
  </si>
  <si>
    <t>Loss (Gain) on Convertible Notes</t>
  </si>
  <si>
    <t>Restructuring</t>
  </si>
  <si>
    <t>Transaction, severance, and other expense</t>
  </si>
  <si>
    <t>Income Statement</t>
  </si>
  <si>
    <t>Historical</t>
  </si>
  <si>
    <t>Projected</t>
  </si>
  <si>
    <t>General &amp; Administrative</t>
  </si>
  <si>
    <t>Gain (Loss) on Investments</t>
  </si>
  <si>
    <t>Net Loss (Gain) from Interest</t>
  </si>
  <si>
    <t>Unusual Expenses</t>
  </si>
  <si>
    <t>Tax</t>
  </si>
  <si>
    <t xml:space="preserve">Net Income </t>
  </si>
  <si>
    <t>% tax rate</t>
  </si>
  <si>
    <t>Notes</t>
  </si>
  <si>
    <t>In general, recurring "unusual expenses" is a red flag for value investors</t>
  </si>
  <si>
    <t>DCF Dashboard</t>
  </si>
  <si>
    <t>WACC Assumptions</t>
  </si>
  <si>
    <t>all numbers in mm's</t>
  </si>
  <si>
    <t>Tax Rate</t>
  </si>
  <si>
    <t>Struck out all of this because these are unusual expenses difficult to forecast individiually</t>
  </si>
  <si>
    <t>Balance Sheet</t>
  </si>
  <si>
    <t>FCF Calculation</t>
  </si>
  <si>
    <t>Source</t>
  </si>
  <si>
    <t>In blue are projections, highlighted in grey are assumptions</t>
  </si>
  <si>
    <t>Keeping this constant as an assumption</t>
  </si>
  <si>
    <t>Keeping this constant; fairly conservative given past numbers</t>
  </si>
  <si>
    <t>Thesis and Notes</t>
  </si>
  <si>
    <t>Patent cliff that is facing many pharmaceutical companies will cause them to slash marketing budgets, which poses a real threat to WebMD revenue.</t>
  </si>
  <si>
    <t>Thesis</t>
  </si>
  <si>
    <t>Note to the Blyth user</t>
  </si>
  <si>
    <t>Happy modeling,</t>
  </si>
  <si>
    <t>Andrew Han</t>
  </si>
  <si>
    <t>To whoever reading this as a template,</t>
  </si>
  <si>
    <t xml:space="preserve">* Please note that for each DCF that you do, the breakdown of the line-items on the financial statements will vary from company to company and ought to be customized accordingly.  </t>
  </si>
  <si>
    <t xml:space="preserve">* Please consult SEC filings, Bloomberg, or Google/Yahoo! Finance to obtain financial statement data. </t>
  </si>
  <si>
    <t>* A rigorous DCF will further break down the conventional GAAP line items to incorporate even more granular assumptions. We strongly suggest that you do so.</t>
  </si>
  <si>
    <t>If you have any questions, please do not hesitate to contact a Director or your Portfolio Manager for help.</t>
  </si>
  <si>
    <t>Assumption: they will need to increase marketing to drive advertising revenue to compete with FB and the like</t>
  </si>
  <si>
    <t>This is where you would note important assumptions that you've included in your model</t>
  </si>
  <si>
    <t>Fair Value Calculation</t>
  </si>
  <si>
    <t>% gross margin</t>
  </si>
  <si>
    <t>Earnings Before Taxes (EBT)</t>
  </si>
  <si>
    <t>EBIT, or Operating Income</t>
  </si>
  <si>
    <t>EBITDA</t>
  </si>
  <si>
    <t>Accounts Payable</t>
  </si>
  <si>
    <t>in $ mms</t>
  </si>
  <si>
    <t>in $ mm's</t>
  </si>
  <si>
    <t>Rolling average assumption</t>
  </si>
  <si>
    <t>Discount Factor</t>
  </si>
  <si>
    <t>Extraordinary Items</t>
  </si>
  <si>
    <t>2013 10K SEC Filing, Google Finance, and Bloomberg</t>
  </si>
  <si>
    <t>Literally "extraordinary" so don't bother modeling it out unless there's some semblance of a recurring nature. Pretty much here only to reconcile historical income statements</t>
  </si>
  <si>
    <t>In blue are assumptions</t>
  </si>
  <si>
    <t>NYU prof estimate. http://people.stern.nyu.edu/adamodar/</t>
  </si>
  <si>
    <t>10-yr treasury. http://www.bloomberg.com/markets/rates-bonds/government-bonds/us/</t>
  </si>
  <si>
    <t>Changes in Operating Working Capital</t>
  </si>
  <si>
    <t>(Yahoo! Finance), although you should try calculating it yourself</t>
  </si>
  <si>
    <t>These are WebMD specific revenue segments. Ideally you want to break it out for your company</t>
  </si>
  <si>
    <t xml:space="preserve">  Public Portal Advertising and Sponsorship</t>
  </si>
  <si>
    <t xml:space="preserve">  Private Portal Services</t>
  </si>
  <si>
    <t>Since it's September 2014 when I'm putting this together, two quarters have already passed in 2014. YTD information can help guide annual projections. Use common sense and compare your assumptions against YTD performance.</t>
  </si>
  <si>
    <t>This way it's a lot more granular than just projecting out total revenue</t>
  </si>
  <si>
    <t>Of course, revenue segment data is a lot harder to find. Dig in the SEC filings or go to the Bloomberg terminals</t>
  </si>
  <si>
    <t>I obviously didn't incorporate great assumptions (10% and 5%)</t>
  </si>
  <si>
    <t>"Unusual expenses" are not really common</t>
  </si>
  <si>
    <t>Tax rate is zero if earnings are negative</t>
  </si>
  <si>
    <t>Accounts Receivable</t>
  </si>
  <si>
    <t>Inventory</t>
  </si>
  <si>
    <t>Working Capital</t>
  </si>
  <si>
    <t>The working capital calculation is supposed to be non-cash working capital.</t>
  </si>
  <si>
    <t>There is no inventory, I'm guessing, because WebMD is a software company and therefore doesn't have actual goods to sell</t>
  </si>
  <si>
    <t>Guess they don't have short-term debt either…</t>
  </si>
  <si>
    <t>Crude approximation through averaging</t>
  </si>
  <si>
    <t>which is calculated as AR - AP + Inventory.</t>
  </si>
  <si>
    <t>Note, this is different from the numbers you'd find on Google or Yahoo Finance</t>
  </si>
  <si>
    <t>and also different from the general definition of "current assets - current liabilities"</t>
  </si>
  <si>
    <t>The motivation for this is that we want to use non-cash working capital.</t>
  </si>
  <si>
    <t>Naively keeping it constant for now; you'd want to inform these decisions more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</si>
</sst>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00"/>
    <numFmt numFmtId="165" formatCode="0.0"/>
  </numFmts>
  <fonts count="15" x14ac:knownFonts="1">
    <font>
      <sz val="11"/>
      <color theme="1"/>
      <name val="Calibri"/>
      <family val="2"/>
      <scheme val="minor"/>
    </font>
    <font>
      <sz val="11"/>
      <color theme="1"/>
      <name val="Garamond"/>
      <family val="1"/>
    </font>
    <font>
      <b/>
      <sz val="11"/>
      <color theme="1"/>
      <name val="Garamond"/>
      <family val="1"/>
    </font>
    <font>
      <sz val="11"/>
      <color theme="3" tint="0.39997558519241921"/>
      <name val="Garamond"/>
      <family val="1"/>
    </font>
    <font>
      <i/>
      <sz val="11"/>
      <color theme="1"/>
      <name val="Garamond"/>
      <family val="1"/>
    </font>
    <font>
      <b/>
      <i/>
      <sz val="11"/>
      <color theme="1"/>
      <name val="Garamond"/>
      <family val="1"/>
    </font>
    <font>
      <b/>
      <sz val="11"/>
      <color theme="4" tint="-0.249977111117893"/>
      <name val="Garamond"/>
      <family val="1"/>
    </font>
    <font>
      <i/>
      <sz val="11"/>
      <color theme="4" tint="-0.249977111117893"/>
      <name val="Garamond"/>
      <family val="1"/>
    </font>
    <font>
      <sz val="11"/>
      <color theme="4" tint="-0.249977111117893"/>
      <name val="Garamond"/>
      <family val="1"/>
    </font>
    <font>
      <b/>
      <sz val="11"/>
      <name val="Garamond"/>
      <family val="1"/>
    </font>
    <font>
      <b/>
      <sz val="18"/>
      <color theme="0"/>
      <name val="Garamond"/>
      <family val="1"/>
    </font>
    <font>
      <b/>
      <u/>
      <sz val="11"/>
      <color theme="1"/>
      <name val="Garamond"/>
      <family val="1"/>
    </font>
    <font>
      <b/>
      <sz val="10"/>
      <color indexed="9"/>
      <name val="Arial"/>
      <family val="2"/>
    </font>
    <font>
      <sz val="10"/>
      <color indexed="63"/>
      <name val="Arial"/>
      <family val="2"/>
    </font>
    <font>
      <sz val="11"/>
      <color rgb="FF333333"/>
      <name val="Garamond"/>
      <family val="1"/>
    </font>
  </fonts>
  <fills count="7">
    <fill>
      <patternFill patternType="none"/>
    </fill>
    <fill>
      <patternFill patternType="gray125"/>
    </fill>
    <fill>
      <patternFill patternType="solid">
        <fgColor theme="0" tint="-0.249977111117893"/>
        <bgColor indexed="64"/>
      </patternFill>
    </fill>
    <fill>
      <patternFill patternType="solid">
        <fgColor theme="5" tint="-0.499984740745262"/>
        <bgColor indexed="64"/>
      </patternFill>
    </fill>
    <fill>
      <patternFill patternType="solid">
        <fgColor rgb="FF4F81BD"/>
        <bgColor indexed="64"/>
      </patternFill>
    </fill>
    <fill>
      <patternFill patternType="solid">
        <fgColor rgb="FFFFFFFF"/>
        <bgColor indexed="64"/>
      </patternFill>
    </fill>
    <fill>
      <patternFill patternType="solid">
        <fgColor rgb="FFFFFFFF"/>
        <bgColor rgb="FF000000"/>
      </patternFill>
    </fill>
  </fills>
  <borders count="5">
    <border>
      <left/>
      <right/>
      <top/>
      <bottom/>
      <diagonal/>
    </border>
    <border>
      <left/>
      <right/>
      <top/>
      <bottom style="thin">
        <color indexed="64"/>
      </bottom>
      <diagonal/>
    </border>
    <border diagonalDown="1">
      <left/>
      <right/>
      <top/>
      <bottom/>
      <diagonal style="thin">
        <color auto="1"/>
      </diagonal>
    </border>
    <border>
      <left style="thin">
        <color auto="1"/>
      </left>
      <right style="thin">
        <color auto="1"/>
      </right>
      <top/>
      <bottom style="thin">
        <color auto="1"/>
      </bottom>
      <diagonal/>
    </border>
    <border>
      <left style="thin">
        <color auto="1"/>
      </left>
      <right/>
      <top/>
      <bottom/>
      <diagonal/>
    </border>
  </borders>
  <cellStyleXfs count="3">
    <xf numFmtId="0" fontId="0" fillId="0" borderId="0"/>
    <xf numFmtId="0" fontId="12" fillId="4" borderId="3">
      <alignment horizontal="right"/>
    </xf>
    <xf numFmtId="0" fontId="13" fillId="5" borderId="4"/>
  </cellStyleXfs>
  <cellXfs count="92">
    <xf numFmtId="0" fontId="0" fillId="0" borderId="0" xfId="0"/>
    <xf numFmtId="0" fontId="1" fillId="0" borderId="0" xfId="0" applyFont="1"/>
    <xf numFmtId="0" fontId="1" fillId="0" borderId="0" xfId="0" applyFont="1" applyAlignment="1">
      <alignment horizontal="right"/>
    </xf>
    <xf numFmtId="10" fontId="1" fillId="0" borderId="0" xfId="0" applyNumberFormat="1" applyFont="1"/>
    <xf numFmtId="0" fontId="2" fillId="0" borderId="0" xfId="0" applyFont="1"/>
    <xf numFmtId="0" fontId="2" fillId="0" borderId="0" xfId="0" applyFont="1" applyAlignment="1">
      <alignment horizontal="right"/>
    </xf>
    <xf numFmtId="0" fontId="3" fillId="0" borderId="0" xfId="0" applyFont="1"/>
    <xf numFmtId="2" fontId="1" fillId="0" borderId="0" xfId="0" applyNumberFormat="1" applyFont="1"/>
    <xf numFmtId="0" fontId="2" fillId="0" borderId="0" xfId="0" applyFont="1" applyAlignment="1">
      <alignment horizontal="center"/>
    </xf>
    <xf numFmtId="0" fontId="4" fillId="0" borderId="0" xfId="0" applyFont="1"/>
    <xf numFmtId="0" fontId="1" fillId="0" borderId="0" xfId="0" applyFont="1" applyBorder="1"/>
    <xf numFmtId="0" fontId="1" fillId="0" borderId="1" xfId="0" applyFont="1" applyBorder="1"/>
    <xf numFmtId="10" fontId="1" fillId="0" borderId="0" xfId="0" applyNumberFormat="1" applyFont="1" applyFill="1" applyBorder="1"/>
    <xf numFmtId="10" fontId="4" fillId="0" borderId="0" xfId="0" applyNumberFormat="1" applyFont="1"/>
    <xf numFmtId="0" fontId="2" fillId="0" borderId="1" xfId="0" applyFont="1" applyBorder="1"/>
    <xf numFmtId="0" fontId="1" fillId="0" borderId="1" xfId="0" applyFont="1" applyFill="1" applyBorder="1"/>
    <xf numFmtId="10" fontId="1" fillId="0" borderId="1" xfId="0" applyNumberFormat="1" applyFont="1" applyFill="1" applyBorder="1"/>
    <xf numFmtId="0" fontId="4" fillId="0" borderId="0" xfId="0" applyFont="1" applyBorder="1" applyAlignment="1">
      <alignment horizontal="right"/>
    </xf>
    <xf numFmtId="2" fontId="6" fillId="0" borderId="0" xfId="0" applyNumberFormat="1" applyFont="1"/>
    <xf numFmtId="0" fontId="8" fillId="0" borderId="0" xfId="0" applyFont="1"/>
    <xf numFmtId="9" fontId="7" fillId="0" borderId="0" xfId="0" applyNumberFormat="1" applyFont="1"/>
    <xf numFmtId="2" fontId="8" fillId="0" borderId="0" xfId="0" applyNumberFormat="1" applyFont="1"/>
    <xf numFmtId="10" fontId="8" fillId="2" borderId="0" xfId="0" applyNumberFormat="1" applyFont="1" applyFill="1"/>
    <xf numFmtId="2" fontId="8" fillId="2" borderId="0" xfId="0" applyNumberFormat="1" applyFont="1" applyFill="1"/>
    <xf numFmtId="0" fontId="8" fillId="0" borderId="2" xfId="0" applyFont="1" applyBorder="1"/>
    <xf numFmtId="2" fontId="8" fillId="0" borderId="2" xfId="0" applyNumberFormat="1" applyFont="1" applyBorder="1"/>
    <xf numFmtId="0" fontId="2" fillId="0" borderId="0" xfId="0" applyFont="1" applyFill="1" applyBorder="1"/>
    <xf numFmtId="0" fontId="1" fillId="0" borderId="0" xfId="0" applyFont="1" applyFill="1" applyBorder="1" applyAlignment="1">
      <alignment horizontal="right"/>
    </xf>
    <xf numFmtId="0" fontId="2" fillId="0" borderId="0" xfId="0" applyFont="1" applyFill="1" applyBorder="1" applyAlignment="1"/>
    <xf numFmtId="10" fontId="1" fillId="0" borderId="0" xfId="0" applyNumberFormat="1" applyFont="1" applyFill="1" applyBorder="1" applyAlignment="1">
      <alignment horizontal="right"/>
    </xf>
    <xf numFmtId="2" fontId="1" fillId="0" borderId="0" xfId="0" applyNumberFormat="1" applyFont="1" applyFill="1" applyBorder="1"/>
    <xf numFmtId="0" fontId="9" fillId="0" borderId="0" xfId="0" applyFont="1" applyFill="1" applyBorder="1"/>
    <xf numFmtId="44" fontId="9" fillId="0" borderId="0" xfId="0" applyNumberFormat="1" applyFont="1" applyFill="1" applyBorder="1" applyAlignment="1">
      <alignment horizontal="center"/>
    </xf>
    <xf numFmtId="10" fontId="9" fillId="0" borderId="0" xfId="0" applyNumberFormat="1" applyFont="1" applyFill="1" applyBorder="1" applyAlignment="1">
      <alignment horizontal="right"/>
    </xf>
    <xf numFmtId="0" fontId="1" fillId="3" borderId="1" xfId="0" applyFont="1" applyFill="1" applyBorder="1"/>
    <xf numFmtId="0" fontId="1" fillId="3" borderId="0" xfId="0" applyFont="1" applyFill="1"/>
    <xf numFmtId="0" fontId="2" fillId="0" borderId="1" xfId="0" applyFont="1" applyFill="1" applyBorder="1"/>
    <xf numFmtId="0" fontId="10" fillId="3" borderId="1" xfId="0" applyFont="1" applyFill="1" applyBorder="1"/>
    <xf numFmtId="164" fontId="1" fillId="0" borderId="0" xfId="0" applyNumberFormat="1" applyFont="1" applyFill="1" applyBorder="1"/>
    <xf numFmtId="0" fontId="1" fillId="0" borderId="0" xfId="0" applyFont="1" applyFill="1"/>
    <xf numFmtId="0" fontId="1" fillId="0" borderId="0" xfId="0" applyFont="1" applyFill="1" applyBorder="1"/>
    <xf numFmtId="0" fontId="2" fillId="0" borderId="0" xfId="0" applyFont="1" applyFill="1"/>
    <xf numFmtId="2" fontId="2" fillId="0" borderId="0" xfId="0" applyNumberFormat="1" applyFont="1"/>
    <xf numFmtId="0" fontId="2" fillId="0" borderId="0" xfId="0" applyFont="1" applyAlignment="1">
      <alignment horizontal="left"/>
    </xf>
    <xf numFmtId="2" fontId="1" fillId="0" borderId="1" xfId="0" applyNumberFormat="1" applyFont="1" applyBorder="1"/>
    <xf numFmtId="0" fontId="10" fillId="3" borderId="0" xfId="0" applyFont="1" applyFill="1"/>
    <xf numFmtId="0" fontId="2" fillId="0" borderId="0" xfId="0" applyFont="1" applyFill="1" applyAlignment="1">
      <alignment horizontal="center"/>
    </xf>
    <xf numFmtId="0" fontId="2" fillId="0" borderId="0" xfId="0" applyFont="1" applyFill="1" applyBorder="1" applyAlignment="1">
      <alignment horizontal="center"/>
    </xf>
    <xf numFmtId="2" fontId="1" fillId="0" borderId="1" xfId="0" applyNumberFormat="1" applyFont="1" applyFill="1" applyBorder="1"/>
    <xf numFmtId="10" fontId="2" fillId="0" borderId="0" xfId="0" applyNumberFormat="1" applyFont="1"/>
    <xf numFmtId="0" fontId="10" fillId="3" borderId="0" xfId="0" applyFont="1" applyFill="1" applyBorder="1"/>
    <xf numFmtId="0" fontId="4" fillId="0" borderId="0" xfId="0" applyFont="1" applyFill="1" applyAlignment="1">
      <alignment horizontal="left"/>
    </xf>
    <xf numFmtId="0" fontId="1" fillId="0" borderId="1" xfId="0" applyFont="1" applyFill="1" applyBorder="1" applyAlignment="1">
      <alignment horizontal="center"/>
    </xf>
    <xf numFmtId="10" fontId="4" fillId="0" borderId="0" xfId="0" applyNumberFormat="1" applyFont="1" applyBorder="1" applyAlignment="1">
      <alignment horizontal="right"/>
    </xf>
    <xf numFmtId="9" fontId="7" fillId="2" borderId="0" xfId="0" applyNumberFormat="1" applyFont="1" applyFill="1" applyBorder="1"/>
    <xf numFmtId="10" fontId="4" fillId="0" borderId="0" xfId="0" applyNumberFormat="1" applyFont="1" applyBorder="1"/>
    <xf numFmtId="10" fontId="7" fillId="0" borderId="0" xfId="0" applyNumberFormat="1" applyFont="1" applyBorder="1"/>
    <xf numFmtId="10" fontId="8" fillId="0" borderId="0" xfId="0" applyNumberFormat="1" applyFont="1" applyBorder="1"/>
    <xf numFmtId="0" fontId="2" fillId="0" borderId="0" xfId="0" applyFont="1" applyBorder="1"/>
    <xf numFmtId="0" fontId="8" fillId="2" borderId="0" xfId="0" applyFont="1" applyFill="1" applyBorder="1"/>
    <xf numFmtId="10" fontId="4" fillId="0" borderId="0" xfId="0" applyNumberFormat="1" applyFont="1" applyFill="1" applyBorder="1"/>
    <xf numFmtId="10" fontId="8" fillId="2" borderId="0" xfId="0" applyNumberFormat="1" applyFont="1" applyFill="1" applyBorder="1"/>
    <xf numFmtId="10" fontId="2" fillId="0" borderId="0" xfId="0" applyNumberFormat="1" applyFont="1" applyBorder="1"/>
    <xf numFmtId="0" fontId="1" fillId="0" borderId="0" xfId="0" applyFont="1" applyAlignment="1"/>
    <xf numFmtId="2" fontId="6" fillId="2" borderId="0" xfId="0" applyNumberFormat="1" applyFont="1" applyFill="1"/>
    <xf numFmtId="0" fontId="1" fillId="0" borderId="0" xfId="0" applyFont="1" applyAlignment="1">
      <alignment horizontal="left"/>
    </xf>
    <xf numFmtId="0" fontId="5" fillId="0" borderId="0" xfId="0" applyFont="1" applyAlignment="1">
      <alignment horizontal="left"/>
    </xf>
    <xf numFmtId="0" fontId="4" fillId="0" borderId="0" xfId="0" applyFont="1" applyAlignment="1">
      <alignment horizontal="left"/>
    </xf>
    <xf numFmtId="0" fontId="5" fillId="0" borderId="0" xfId="0" applyFont="1" applyBorder="1" applyAlignment="1">
      <alignment horizontal="left"/>
    </xf>
    <xf numFmtId="0" fontId="4" fillId="0" borderId="0" xfId="0" applyFont="1" applyBorder="1" applyAlignment="1">
      <alignment horizontal="left" indent="1"/>
    </xf>
    <xf numFmtId="0" fontId="1" fillId="0" borderId="0" xfId="0" applyFont="1" applyAlignment="1">
      <alignment horizontal="left" indent="1"/>
    </xf>
    <xf numFmtId="0" fontId="11" fillId="0" borderId="0" xfId="0" applyFont="1" applyAlignment="1">
      <alignment horizontal="left"/>
    </xf>
    <xf numFmtId="0" fontId="11" fillId="0" borderId="0" xfId="0" applyFont="1" applyBorder="1" applyAlignment="1">
      <alignment horizontal="left"/>
    </xf>
    <xf numFmtId="2" fontId="4" fillId="0" borderId="0" xfId="0" applyNumberFormat="1" applyFont="1" applyBorder="1"/>
    <xf numFmtId="0" fontId="11" fillId="0" borderId="0" xfId="0" applyFont="1"/>
    <xf numFmtId="9" fontId="5" fillId="0" borderId="0" xfId="0" applyNumberFormat="1" applyFont="1"/>
    <xf numFmtId="9" fontId="4" fillId="0" borderId="0" xfId="0" applyNumberFormat="1" applyFont="1" applyBorder="1"/>
    <xf numFmtId="165" fontId="2" fillId="0" borderId="0" xfId="0" applyNumberFormat="1" applyFont="1"/>
    <xf numFmtId="2" fontId="1" fillId="0" borderId="0" xfId="0" applyNumberFormat="1" applyFont="1" applyBorder="1"/>
    <xf numFmtId="2" fontId="8" fillId="0" borderId="0" xfId="0" applyNumberFormat="1" applyFont="1" applyBorder="1"/>
    <xf numFmtId="2" fontId="2" fillId="0" borderId="0" xfId="0" applyNumberFormat="1" applyFont="1" applyBorder="1"/>
    <xf numFmtId="2" fontId="6" fillId="2" borderId="0" xfId="0" applyNumberFormat="1" applyFont="1" applyFill="1" applyBorder="1"/>
    <xf numFmtId="165" fontId="1" fillId="0" borderId="0" xfId="0" applyNumberFormat="1" applyFont="1"/>
    <xf numFmtId="0" fontId="11" fillId="0" borderId="0" xfId="0" applyFont="1" applyFill="1"/>
    <xf numFmtId="2" fontId="3" fillId="0" borderId="0" xfId="0" applyNumberFormat="1" applyFont="1" applyFill="1"/>
    <xf numFmtId="2" fontId="3" fillId="0" borderId="0" xfId="0" applyNumberFormat="1" applyFont="1"/>
    <xf numFmtId="0" fontId="3" fillId="0" borderId="0" xfId="0" applyFont="1" applyFill="1"/>
    <xf numFmtId="0" fontId="14" fillId="6" borderId="4" xfId="2" applyNumberFormat="1" applyFont="1" applyFill="1" applyBorder="1" applyAlignment="1" applyProtection="1"/>
    <xf numFmtId="10" fontId="4" fillId="2" borderId="0" xfId="0" applyNumberFormat="1" applyFont="1" applyFill="1"/>
    <xf numFmtId="10" fontId="7" fillId="0" borderId="0" xfId="0" applyNumberFormat="1" applyFont="1" applyFill="1" applyBorder="1"/>
    <xf numFmtId="2" fontId="3" fillId="0" borderId="0" xfId="0" applyNumberFormat="1" applyFont="1" applyBorder="1"/>
    <xf numFmtId="165" fontId="3" fillId="0" borderId="0" xfId="0" applyNumberFormat="1" applyFont="1"/>
  </cellXfs>
  <cellStyles count="3">
    <cellStyle name="fa_column_header_bottom" xfId="1"/>
    <cellStyle name="fa_row_header_standard"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showGridLines="0" workbookViewId="0">
      <selection activeCell="B26" sqref="B26"/>
    </sheetView>
  </sheetViews>
  <sheetFormatPr defaultRowHeight="15" x14ac:dyDescent="0.25"/>
  <cols>
    <col min="1" max="1" width="24.28515625" style="1" bestFit="1" customWidth="1"/>
    <col min="2" max="2" width="18.85546875" style="1" bestFit="1" customWidth="1"/>
    <col min="3" max="3" width="8.42578125" style="1" bestFit="1" customWidth="1"/>
    <col min="4" max="16384" width="9.140625" style="1"/>
  </cols>
  <sheetData>
    <row r="1" spans="1:14" x14ac:dyDescent="0.25">
      <c r="A1" s="14" t="s">
        <v>72</v>
      </c>
      <c r="B1" s="11"/>
      <c r="C1" s="11"/>
      <c r="D1" s="11"/>
      <c r="E1" s="11"/>
      <c r="F1" s="11"/>
    </row>
    <row r="2" spans="1:14" x14ac:dyDescent="0.25">
      <c r="A2" s="10" t="s">
        <v>75</v>
      </c>
    </row>
    <row r="3" spans="1:14" x14ac:dyDescent="0.25">
      <c r="A3" s="10"/>
    </row>
    <row r="4" spans="1:14" x14ac:dyDescent="0.25">
      <c r="A4" s="63" t="s">
        <v>76</v>
      </c>
    </row>
    <row r="5" spans="1:14" x14ac:dyDescent="0.25">
      <c r="A5" s="63" t="s">
        <v>77</v>
      </c>
    </row>
    <row r="6" spans="1:14" x14ac:dyDescent="0.25">
      <c r="A6" s="63" t="s">
        <v>78</v>
      </c>
    </row>
    <row r="7" spans="1:14" x14ac:dyDescent="0.25">
      <c r="A7" s="63"/>
    </row>
    <row r="8" spans="1:14" x14ac:dyDescent="0.25">
      <c r="A8" s="63" t="s">
        <v>79</v>
      </c>
    </row>
    <row r="9" spans="1:14" x14ac:dyDescent="0.25">
      <c r="A9" s="63"/>
    </row>
    <row r="10" spans="1:14" x14ac:dyDescent="0.25">
      <c r="A10" s="63" t="s">
        <v>73</v>
      </c>
    </row>
    <row r="11" spans="1:14" x14ac:dyDescent="0.25">
      <c r="A11" s="10" t="s">
        <v>74</v>
      </c>
    </row>
    <row r="13" spans="1:14" ht="23.25" x14ac:dyDescent="0.35">
      <c r="A13" s="37" t="s">
        <v>58</v>
      </c>
      <c r="B13" s="34"/>
      <c r="C13" s="35"/>
      <c r="D13" s="35"/>
      <c r="E13" s="35"/>
      <c r="F13" s="35"/>
      <c r="G13" s="35"/>
      <c r="H13" s="35"/>
      <c r="I13" s="35"/>
      <c r="J13" s="35"/>
      <c r="K13" s="35"/>
      <c r="L13" s="35"/>
      <c r="M13" s="35"/>
      <c r="N13" s="35"/>
    </row>
    <row r="14" spans="1:14" x14ac:dyDescent="0.25">
      <c r="A14" s="9" t="s">
        <v>89</v>
      </c>
      <c r="E14" s="39"/>
      <c r="F14" s="39"/>
    </row>
    <row r="15" spans="1:14" x14ac:dyDescent="0.25">
      <c r="A15" s="9" t="s">
        <v>65</v>
      </c>
      <c r="B15" s="1" t="s">
        <v>93</v>
      </c>
      <c r="E15" s="39"/>
      <c r="F15" s="39"/>
    </row>
    <row r="16" spans="1:14" x14ac:dyDescent="0.25">
      <c r="A16" s="9"/>
      <c r="E16" s="39"/>
      <c r="F16" s="39"/>
    </row>
    <row r="17" spans="1:14" x14ac:dyDescent="0.25">
      <c r="A17" s="9" t="s">
        <v>95</v>
      </c>
      <c r="E17" s="39"/>
      <c r="F17" s="39"/>
    </row>
    <row r="18" spans="1:14" x14ac:dyDescent="0.25">
      <c r="A18" s="9"/>
      <c r="E18" s="39"/>
      <c r="F18" s="39"/>
    </row>
    <row r="19" spans="1:14" x14ac:dyDescent="0.25">
      <c r="A19" s="26" t="s">
        <v>17</v>
      </c>
      <c r="B19" s="27" t="s">
        <v>18</v>
      </c>
      <c r="E19" s="39"/>
      <c r="F19" s="39"/>
    </row>
    <row r="20" spans="1:14" x14ac:dyDescent="0.25">
      <c r="A20" s="26" t="s">
        <v>16</v>
      </c>
      <c r="B20" s="27" t="s">
        <v>19</v>
      </c>
      <c r="F20" s="39"/>
    </row>
    <row r="21" spans="1:14" x14ac:dyDescent="0.25">
      <c r="A21" s="26" t="s">
        <v>38</v>
      </c>
      <c r="B21" s="38">
        <v>48.35</v>
      </c>
      <c r="E21" s="39"/>
      <c r="F21" s="39"/>
    </row>
    <row r="22" spans="1:14" x14ac:dyDescent="0.25">
      <c r="A22" s="28" t="s">
        <v>15</v>
      </c>
      <c r="B22" s="29">
        <v>0.02</v>
      </c>
      <c r="E22" s="39"/>
      <c r="F22" s="39"/>
    </row>
    <row r="23" spans="1:14" x14ac:dyDescent="0.25">
      <c r="A23" s="28" t="s">
        <v>28</v>
      </c>
      <c r="B23" s="29">
        <v>0.06</v>
      </c>
      <c r="D23" s="1" t="s">
        <v>96</v>
      </c>
      <c r="E23" s="39"/>
      <c r="F23" s="39"/>
    </row>
    <row r="24" spans="1:14" x14ac:dyDescent="0.25">
      <c r="A24" s="28" t="s">
        <v>27</v>
      </c>
      <c r="B24" s="29">
        <v>2.3E-2</v>
      </c>
      <c r="D24" s="1" t="s">
        <v>97</v>
      </c>
      <c r="E24" s="39"/>
      <c r="F24" s="39"/>
    </row>
    <row r="25" spans="1:14" x14ac:dyDescent="0.25">
      <c r="A25" s="36" t="s">
        <v>20</v>
      </c>
      <c r="B25" s="16">
        <f>'FV Calculation'!B15</f>
        <v>5.7457938402834564E-2</v>
      </c>
      <c r="E25" s="39"/>
      <c r="F25" s="39"/>
    </row>
    <row r="26" spans="1:14" x14ac:dyDescent="0.25">
      <c r="E26" s="39"/>
      <c r="F26" s="39"/>
    </row>
    <row r="27" spans="1:14" x14ac:dyDescent="0.25">
      <c r="A27" s="31" t="s">
        <v>37</v>
      </c>
      <c r="B27" s="32">
        <f>'FV Calculation'!$B$11/'FV Calculation'!$B$32</f>
        <v>44.049329093430934</v>
      </c>
      <c r="E27" s="39"/>
      <c r="F27" s="39"/>
    </row>
    <row r="28" spans="1:14" x14ac:dyDescent="0.25">
      <c r="A28" s="31" t="s">
        <v>39</v>
      </c>
      <c r="B28" s="33">
        <f>(B27-B21)/B21</f>
        <v>-8.8948726092431582E-2</v>
      </c>
      <c r="E28" s="39"/>
      <c r="F28" s="39"/>
    </row>
    <row r="29" spans="1:14" x14ac:dyDescent="0.25">
      <c r="E29" s="39"/>
      <c r="F29" s="39"/>
    </row>
    <row r="30" spans="1:14" x14ac:dyDescent="0.25">
      <c r="E30" s="39"/>
      <c r="F30" s="39"/>
    </row>
    <row r="31" spans="1:14" ht="23.25" x14ac:dyDescent="0.35">
      <c r="A31" s="37" t="s">
        <v>69</v>
      </c>
      <c r="B31" s="34"/>
      <c r="C31" s="35"/>
      <c r="D31" s="35"/>
      <c r="E31" s="35"/>
      <c r="F31" s="35"/>
      <c r="G31" s="35"/>
      <c r="H31" s="35"/>
      <c r="I31" s="35"/>
      <c r="J31" s="35"/>
      <c r="K31" s="35"/>
      <c r="L31" s="35"/>
      <c r="M31" s="35"/>
      <c r="N31" s="35"/>
    </row>
    <row r="33" spans="1:2" x14ac:dyDescent="0.25">
      <c r="A33" s="1" t="s">
        <v>71</v>
      </c>
      <c r="B33" s="1" t="s">
        <v>70</v>
      </c>
    </row>
    <row r="35" spans="1:2" x14ac:dyDescent="0.25">
      <c r="A35" s="1" t="s">
        <v>56</v>
      </c>
      <c r="B35" s="1"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topLeftCell="A25" zoomScale="115" zoomScaleNormal="115" workbookViewId="0">
      <pane xSplit="1" topLeftCell="B1" activePane="topRight" state="frozen"/>
      <selection pane="topRight" activeCell="F52" sqref="F52"/>
    </sheetView>
  </sheetViews>
  <sheetFormatPr defaultRowHeight="15" x14ac:dyDescent="0.25"/>
  <cols>
    <col min="1" max="1" width="40.7109375" style="1" customWidth="1"/>
    <col min="2" max="2" width="10.5703125" style="1" bestFit="1" customWidth="1"/>
    <col min="3" max="6" width="9.140625" style="1"/>
    <col min="7" max="7" width="10" style="1" bestFit="1" customWidth="1"/>
    <col min="8" max="11" width="9.140625" style="1"/>
    <col min="12" max="12" width="48.140625" style="1" customWidth="1"/>
    <col min="13" max="16384" width="9.140625" style="1"/>
  </cols>
  <sheetData>
    <row r="1" spans="1:12" s="35" customFormat="1" ht="23.25" x14ac:dyDescent="0.35">
      <c r="A1" s="50" t="s">
        <v>46</v>
      </c>
    </row>
    <row r="2" spans="1:12" x14ac:dyDescent="0.25">
      <c r="A2" s="9" t="s">
        <v>1</v>
      </c>
      <c r="B2" s="4" t="s">
        <v>47</v>
      </c>
      <c r="F2" s="4" t="s">
        <v>48</v>
      </c>
    </row>
    <row r="3" spans="1:12" x14ac:dyDescent="0.25">
      <c r="A3" s="11"/>
      <c r="B3" s="52">
        <v>2010</v>
      </c>
      <c r="C3" s="52">
        <v>2011</v>
      </c>
      <c r="D3" s="52">
        <v>2012</v>
      </c>
      <c r="E3" s="52">
        <v>2013</v>
      </c>
      <c r="F3" s="52">
        <v>2014</v>
      </c>
      <c r="G3" s="52">
        <v>2015</v>
      </c>
      <c r="H3" s="52">
        <v>2016</v>
      </c>
      <c r="I3" s="52">
        <v>2017</v>
      </c>
      <c r="J3" s="52">
        <v>2018</v>
      </c>
      <c r="K3" s="11"/>
      <c r="L3" s="14" t="s">
        <v>56</v>
      </c>
    </row>
    <row r="4" spans="1:12" x14ac:dyDescent="0.25">
      <c r="L4" s="1" t="s">
        <v>66</v>
      </c>
    </row>
    <row r="6" spans="1:12" x14ac:dyDescent="0.25">
      <c r="A6" s="87" t="s">
        <v>101</v>
      </c>
      <c r="B6" s="1">
        <v>447</v>
      </c>
      <c r="C6" s="1">
        <v>477.3</v>
      </c>
      <c r="D6" s="1">
        <v>391.3</v>
      </c>
      <c r="E6" s="1">
        <v>433.2</v>
      </c>
      <c r="F6" s="7">
        <f>E6*(1+F7)</f>
        <v>476.52000000000004</v>
      </c>
      <c r="G6" s="7">
        <f t="shared" ref="G6:J6" si="0">F6*(1+G7)</f>
        <v>524.17200000000014</v>
      </c>
      <c r="H6" s="7">
        <f t="shared" si="0"/>
        <v>576.58920000000023</v>
      </c>
      <c r="I6" s="7">
        <f t="shared" si="0"/>
        <v>634.24812000000031</v>
      </c>
      <c r="J6" s="7">
        <f t="shared" si="0"/>
        <v>697.6729320000004</v>
      </c>
      <c r="L6" s="10" t="s">
        <v>100</v>
      </c>
    </row>
    <row r="7" spans="1:12" x14ac:dyDescent="0.25">
      <c r="A7" s="69" t="s">
        <v>2</v>
      </c>
      <c r="C7" s="13">
        <f>(C6-B6)/B6</f>
        <v>6.7785234899328889E-2</v>
      </c>
      <c r="D7" s="13">
        <f t="shared" ref="D7:E7" si="1">(D6-C6)/C6</f>
        <v>-0.18018018018018017</v>
      </c>
      <c r="E7" s="13">
        <f t="shared" si="1"/>
        <v>0.10707896754408376</v>
      </c>
      <c r="F7" s="88">
        <v>0.1</v>
      </c>
      <c r="G7" s="88">
        <v>0.1</v>
      </c>
      <c r="H7" s="88">
        <v>0.1</v>
      </c>
      <c r="I7" s="88">
        <v>0.1</v>
      </c>
      <c r="J7" s="88">
        <v>0.1</v>
      </c>
    </row>
    <row r="8" spans="1:12" x14ac:dyDescent="0.25">
      <c r="A8" s="87" t="s">
        <v>102</v>
      </c>
      <c r="B8" s="1">
        <v>87.6</v>
      </c>
      <c r="C8" s="1">
        <v>81.5</v>
      </c>
      <c r="D8" s="1">
        <v>78.5</v>
      </c>
      <c r="E8" s="1">
        <v>82.1</v>
      </c>
      <c r="F8" s="7">
        <f>E8*(1+F9)</f>
        <v>86.204999999999998</v>
      </c>
      <c r="G8" s="7">
        <f t="shared" ref="G8:J8" si="2">F8*(1+G9)</f>
        <v>90.515250000000009</v>
      </c>
      <c r="H8" s="7">
        <f t="shared" si="2"/>
        <v>95.041012500000008</v>
      </c>
      <c r="I8" s="7">
        <f t="shared" si="2"/>
        <v>99.793063125000018</v>
      </c>
      <c r="J8" s="7">
        <f t="shared" si="2"/>
        <v>104.78271628125002</v>
      </c>
      <c r="L8" s="1" t="s">
        <v>104</v>
      </c>
    </row>
    <row r="9" spans="1:12" x14ac:dyDescent="0.25">
      <c r="A9" s="69" t="s">
        <v>2</v>
      </c>
      <c r="C9" s="13">
        <f>(C8-B8)/B8</f>
        <v>-6.9634703196346973E-2</v>
      </c>
      <c r="D9" s="13">
        <f t="shared" ref="D9:E9" si="3">(D8-C8)/C8</f>
        <v>-3.6809815950920248E-2</v>
      </c>
      <c r="E9" s="13">
        <f t="shared" si="3"/>
        <v>4.5859872611464896E-2</v>
      </c>
      <c r="F9" s="88">
        <v>0.05</v>
      </c>
      <c r="G9" s="88">
        <v>0.05</v>
      </c>
      <c r="H9" s="88">
        <v>0.05</v>
      </c>
      <c r="I9" s="88">
        <v>0.05</v>
      </c>
      <c r="J9" s="88">
        <v>0.05</v>
      </c>
      <c r="L9" s="1" t="s">
        <v>106</v>
      </c>
    </row>
    <row r="10" spans="1:12" x14ac:dyDescent="0.25">
      <c r="A10" s="71" t="s">
        <v>0</v>
      </c>
      <c r="B10" s="5">
        <f>B6+B8</f>
        <v>534.6</v>
      </c>
      <c r="C10" s="5">
        <v>558.77</v>
      </c>
      <c r="D10" s="5">
        <v>469.87</v>
      </c>
      <c r="E10" s="5">
        <v>515.29</v>
      </c>
      <c r="F10" s="18">
        <f>F6+F8</f>
        <v>562.72500000000002</v>
      </c>
      <c r="G10" s="18">
        <f t="shared" ref="G10:J10" si="4">G6+G8</f>
        <v>614.68725000000018</v>
      </c>
      <c r="H10" s="18">
        <f t="shared" si="4"/>
        <v>671.6302125000002</v>
      </c>
      <c r="I10" s="18">
        <f t="shared" si="4"/>
        <v>734.04118312500032</v>
      </c>
      <c r="J10" s="18">
        <f t="shared" si="4"/>
        <v>802.45564828125043</v>
      </c>
      <c r="L10" s="1" t="s">
        <v>105</v>
      </c>
    </row>
    <row r="11" spans="1:12" x14ac:dyDescent="0.25">
      <c r="A11" s="69" t="s">
        <v>2</v>
      </c>
      <c r="B11" s="17"/>
      <c r="C11" s="53">
        <f>(C10-B10)/B10</f>
        <v>4.5211372989150692E-2</v>
      </c>
      <c r="D11" s="53">
        <f>(D10-C10)/C10</f>
        <v>-0.15909945057895017</v>
      </c>
      <c r="E11" s="53">
        <f>(E10-D10)/D10</f>
        <v>9.6665035009683445E-2</v>
      </c>
      <c r="F11" s="89">
        <f>(F10-E10)/E10</f>
        <v>9.2054959343282547E-2</v>
      </c>
      <c r="G11" s="89">
        <f t="shared" ref="G11:J11" si="5">(G10-F10)/F10</f>
        <v>9.2340397174463823E-2</v>
      </c>
      <c r="H11" s="89">
        <f t="shared" si="5"/>
        <v>9.2637292379173314E-2</v>
      </c>
      <c r="I11" s="89">
        <f t="shared" si="5"/>
        <v>9.2924602651046018E-2</v>
      </c>
      <c r="J11" s="89">
        <f t="shared" si="5"/>
        <v>9.3202488809949746E-2</v>
      </c>
      <c r="K11" s="10"/>
    </row>
    <row r="12" spans="1:12" x14ac:dyDescent="0.25">
      <c r="A12" s="65"/>
      <c r="B12" s="2"/>
      <c r="C12" s="2"/>
      <c r="D12" s="2"/>
      <c r="E12" s="2"/>
      <c r="F12" s="19"/>
      <c r="G12" s="19"/>
      <c r="H12" s="19"/>
      <c r="I12" s="19"/>
      <c r="J12" s="19"/>
    </row>
    <row r="13" spans="1:12" x14ac:dyDescent="0.25">
      <c r="A13" s="66" t="s">
        <v>3</v>
      </c>
      <c r="B13" s="5">
        <v>187.83</v>
      </c>
      <c r="C13" s="5">
        <v>201.68</v>
      </c>
      <c r="D13" s="5">
        <v>216.36</v>
      </c>
      <c r="E13" s="5">
        <v>209.74</v>
      </c>
      <c r="F13" s="18">
        <f>F10*F14</f>
        <v>230.71725000000001</v>
      </c>
      <c r="G13" s="18">
        <f>G10*G14</f>
        <v>252.02177250000005</v>
      </c>
      <c r="H13" s="18">
        <f>H10*H14</f>
        <v>275.36838712500008</v>
      </c>
      <c r="I13" s="18">
        <f>I10*I14</f>
        <v>300.95688508125011</v>
      </c>
      <c r="J13" s="18">
        <f>J10*J14</f>
        <v>329.00681579531266</v>
      </c>
    </row>
    <row r="14" spans="1:12" s="10" customFormat="1" x14ac:dyDescent="0.25">
      <c r="A14" s="69" t="s">
        <v>4</v>
      </c>
      <c r="B14" s="55">
        <f>B13/B10</f>
        <v>0.35134680134680135</v>
      </c>
      <c r="C14" s="76">
        <f>C13/C10</f>
        <v>0.36093562646527194</v>
      </c>
      <c r="D14" s="76">
        <f>D13/D10</f>
        <v>0.46046778896290463</v>
      </c>
      <c r="E14" s="76">
        <f>E13/E10</f>
        <v>0.40703293291156439</v>
      </c>
      <c r="F14" s="54">
        <v>0.41</v>
      </c>
      <c r="G14" s="54">
        <f>F14</f>
        <v>0.41</v>
      </c>
      <c r="H14" s="54">
        <f t="shared" ref="H14:J14" si="6">G14</f>
        <v>0.41</v>
      </c>
      <c r="I14" s="54">
        <f t="shared" si="6"/>
        <v>0.41</v>
      </c>
      <c r="J14" s="54">
        <f t="shared" si="6"/>
        <v>0.41</v>
      </c>
      <c r="L14" s="10" t="s">
        <v>103</v>
      </c>
    </row>
    <row r="15" spans="1:12" x14ac:dyDescent="0.25">
      <c r="A15" s="67"/>
      <c r="B15" s="13"/>
      <c r="C15" s="13"/>
      <c r="D15" s="13"/>
      <c r="E15" s="13"/>
      <c r="F15" s="20"/>
      <c r="G15" s="20"/>
      <c r="H15" s="20"/>
      <c r="I15" s="20"/>
      <c r="J15" s="20"/>
    </row>
    <row r="16" spans="1:12" x14ac:dyDescent="0.25">
      <c r="A16" s="71" t="s">
        <v>5</v>
      </c>
      <c r="B16" s="42">
        <f t="shared" ref="B16:J16" si="7">B10-B13</f>
        <v>346.77</v>
      </c>
      <c r="C16" s="42">
        <f t="shared" si="7"/>
        <v>357.09</v>
      </c>
      <c r="D16" s="42">
        <f t="shared" si="7"/>
        <v>253.51</v>
      </c>
      <c r="E16" s="42">
        <f t="shared" si="7"/>
        <v>305.54999999999995</v>
      </c>
      <c r="F16" s="64">
        <f t="shared" si="7"/>
        <v>332.00774999999999</v>
      </c>
      <c r="G16" s="64">
        <f t="shared" si="7"/>
        <v>362.66547750000012</v>
      </c>
      <c r="H16" s="64">
        <f t="shared" si="7"/>
        <v>396.26182537500011</v>
      </c>
      <c r="I16" s="64">
        <f t="shared" si="7"/>
        <v>433.08429804375021</v>
      </c>
      <c r="J16" s="64">
        <f t="shared" si="7"/>
        <v>473.44883248593777</v>
      </c>
    </row>
    <row r="17" spans="1:12" x14ac:dyDescent="0.25">
      <c r="A17" s="69" t="s">
        <v>83</v>
      </c>
      <c r="B17" s="49">
        <f t="shared" ref="B17:J17" si="8">B16/B10</f>
        <v>0.64865319865319859</v>
      </c>
      <c r="C17" s="75">
        <f t="shared" si="8"/>
        <v>0.639064373534728</v>
      </c>
      <c r="D17" s="75">
        <f t="shared" si="8"/>
        <v>0.53953221103709537</v>
      </c>
      <c r="E17" s="75">
        <f t="shared" si="8"/>
        <v>0.59296706708843561</v>
      </c>
      <c r="F17" s="75">
        <f t="shared" si="8"/>
        <v>0.59</v>
      </c>
      <c r="G17" s="75">
        <f t="shared" si="8"/>
        <v>0.59000000000000008</v>
      </c>
      <c r="H17" s="75">
        <f t="shared" si="8"/>
        <v>0.59</v>
      </c>
      <c r="I17" s="75">
        <f t="shared" si="8"/>
        <v>0.59000000000000008</v>
      </c>
      <c r="J17" s="75">
        <f t="shared" si="8"/>
        <v>0.59</v>
      </c>
    </row>
    <row r="18" spans="1:12" x14ac:dyDescent="0.25">
      <c r="A18" s="67"/>
      <c r="B18" s="13"/>
      <c r="C18" s="13"/>
      <c r="D18" s="13"/>
      <c r="E18" s="13"/>
      <c r="F18" s="20"/>
      <c r="G18" s="20"/>
      <c r="H18" s="20"/>
      <c r="I18" s="20"/>
      <c r="J18" s="20"/>
    </row>
    <row r="19" spans="1:12" x14ac:dyDescent="0.25">
      <c r="A19" s="70" t="s">
        <v>40</v>
      </c>
      <c r="B19" s="7">
        <v>120.874</v>
      </c>
      <c r="C19" s="7">
        <v>124.32599999999999</v>
      </c>
      <c r="D19" s="7">
        <v>127.65900000000001</v>
      </c>
      <c r="E19" s="7">
        <v>127.997</v>
      </c>
      <c r="F19" s="21">
        <f>F20*F10</f>
        <v>140.68125000000001</v>
      </c>
      <c r="G19" s="21">
        <f>G20*G10</f>
        <v>153.67181250000004</v>
      </c>
      <c r="H19" s="21">
        <f>H20*H10</f>
        <v>167.90755312500005</v>
      </c>
      <c r="I19" s="21">
        <f>I20*I10</f>
        <v>183.51029578125008</v>
      </c>
      <c r="J19" s="21">
        <f>J20*J10</f>
        <v>200.61391207031261</v>
      </c>
    </row>
    <row r="20" spans="1:12" x14ac:dyDescent="0.25">
      <c r="A20" s="69" t="s">
        <v>4</v>
      </c>
      <c r="B20" s="13">
        <f>B19/B10</f>
        <v>0.22610175832398052</v>
      </c>
      <c r="C20" s="13">
        <f>C19/C10</f>
        <v>0.22249941836533815</v>
      </c>
      <c r="D20" s="13">
        <f>D19/D10</f>
        <v>0.27169004192649032</v>
      </c>
      <c r="E20" s="13">
        <f>E19/E10</f>
        <v>0.24839798948165112</v>
      </c>
      <c r="F20" s="22">
        <v>0.25</v>
      </c>
      <c r="G20" s="22">
        <f>F20</f>
        <v>0.25</v>
      </c>
      <c r="H20" s="22">
        <f t="shared" ref="H20:J20" si="9">G20</f>
        <v>0.25</v>
      </c>
      <c r="I20" s="22">
        <f t="shared" si="9"/>
        <v>0.25</v>
      </c>
      <c r="J20" s="22">
        <f t="shared" si="9"/>
        <v>0.25</v>
      </c>
      <c r="L20" s="1" t="s">
        <v>80</v>
      </c>
    </row>
    <row r="21" spans="1:12" x14ac:dyDescent="0.25">
      <c r="A21" s="70" t="s">
        <v>49</v>
      </c>
      <c r="B21" s="7">
        <v>85.495999999999995</v>
      </c>
      <c r="C21" s="7">
        <v>91.271000000000001</v>
      </c>
      <c r="D21" s="7">
        <v>97.617999999999995</v>
      </c>
      <c r="E21" s="7">
        <v>93.22</v>
      </c>
      <c r="F21" s="21">
        <f>F10*F22</f>
        <v>90.036000000000001</v>
      </c>
      <c r="G21" s="21">
        <f>G10*G22</f>
        <v>98.349960000000024</v>
      </c>
      <c r="H21" s="21">
        <f>H10*H22</f>
        <v>107.46083400000003</v>
      </c>
      <c r="I21" s="21">
        <f>I10*I22</f>
        <v>124.78700113125007</v>
      </c>
      <c r="J21" s="21">
        <f>J10*J22</f>
        <v>136.41746020781258</v>
      </c>
    </row>
    <row r="22" spans="1:12" x14ac:dyDescent="0.25">
      <c r="A22" s="69" t="s">
        <v>4</v>
      </c>
      <c r="B22" s="13">
        <f>B21/B10</f>
        <v>0.15992517770295547</v>
      </c>
      <c r="C22" s="13">
        <f>C21/C10</f>
        <v>0.16334269914276001</v>
      </c>
      <c r="D22" s="13">
        <f>D21/D10</f>
        <v>0.20775533658245895</v>
      </c>
      <c r="E22" s="13">
        <f>E21/E10</f>
        <v>0.18090783830464399</v>
      </c>
      <c r="F22" s="22">
        <v>0.16</v>
      </c>
      <c r="G22" s="22">
        <v>0.16</v>
      </c>
      <c r="H22" s="22">
        <v>0.16</v>
      </c>
      <c r="I22" s="22">
        <v>0.17</v>
      </c>
      <c r="J22" s="22">
        <v>0.17</v>
      </c>
    </row>
    <row r="23" spans="1:12" x14ac:dyDescent="0.25">
      <c r="A23" s="66" t="s">
        <v>6</v>
      </c>
      <c r="B23" s="42">
        <f>SUM(B19,B21)</f>
        <v>206.37</v>
      </c>
      <c r="C23" s="42">
        <f t="shared" ref="C23:E23" si="10">SUM(C19,C21)</f>
        <v>215.59699999999998</v>
      </c>
      <c r="D23" s="42">
        <f t="shared" si="10"/>
        <v>225.27699999999999</v>
      </c>
      <c r="E23" s="42">
        <f t="shared" si="10"/>
        <v>221.21699999999998</v>
      </c>
      <c r="F23" s="18">
        <f>SUM(F19,F21)</f>
        <v>230.71725000000001</v>
      </c>
      <c r="G23" s="18">
        <f t="shared" ref="G23:J23" si="11">SUM(G19,G21)</f>
        <v>252.02177250000005</v>
      </c>
      <c r="H23" s="18">
        <f t="shared" si="11"/>
        <v>275.36838712500008</v>
      </c>
      <c r="I23" s="18">
        <f t="shared" si="11"/>
        <v>308.29729691250014</v>
      </c>
      <c r="J23" s="18">
        <f t="shared" si="11"/>
        <v>337.03137227812522</v>
      </c>
    </row>
    <row r="24" spans="1:12" s="10" customFormat="1" x14ac:dyDescent="0.25">
      <c r="A24" s="69" t="s">
        <v>4</v>
      </c>
      <c r="B24" s="55">
        <f t="shared" ref="B24:J24" si="12">B23/B10</f>
        <v>0.386026936026936</v>
      </c>
      <c r="C24" s="55">
        <f t="shared" si="12"/>
        <v>0.3858421175080981</v>
      </c>
      <c r="D24" s="55">
        <f t="shared" si="12"/>
        <v>0.47944537850894925</v>
      </c>
      <c r="E24" s="55">
        <f t="shared" si="12"/>
        <v>0.42930582778629511</v>
      </c>
      <c r="F24" s="56">
        <f t="shared" si="12"/>
        <v>0.41</v>
      </c>
      <c r="G24" s="56">
        <f t="shared" si="12"/>
        <v>0.41</v>
      </c>
      <c r="H24" s="56">
        <f t="shared" si="12"/>
        <v>0.41000000000000003</v>
      </c>
      <c r="I24" s="56">
        <f t="shared" si="12"/>
        <v>0.42000000000000004</v>
      </c>
      <c r="J24" s="56">
        <f t="shared" si="12"/>
        <v>0.42000000000000004</v>
      </c>
    </row>
    <row r="25" spans="1:12" s="10" customFormat="1" x14ac:dyDescent="0.25">
      <c r="A25" s="69"/>
      <c r="B25" s="55"/>
      <c r="C25" s="55"/>
      <c r="D25" s="55"/>
      <c r="E25" s="55"/>
      <c r="F25" s="56"/>
      <c r="G25" s="56"/>
      <c r="H25" s="56"/>
      <c r="I25" s="56"/>
      <c r="J25" s="56"/>
    </row>
    <row r="26" spans="1:12" s="10" customFormat="1" x14ac:dyDescent="0.25">
      <c r="A26" s="68" t="s">
        <v>7</v>
      </c>
      <c r="B26" s="73">
        <v>0</v>
      </c>
      <c r="C26" s="73">
        <v>0</v>
      </c>
      <c r="D26" s="73">
        <v>0</v>
      </c>
      <c r="E26" s="73">
        <v>0</v>
      </c>
      <c r="F26" s="73">
        <v>0</v>
      </c>
      <c r="G26" s="73">
        <v>0</v>
      </c>
      <c r="H26" s="73">
        <v>0</v>
      </c>
      <c r="I26" s="73">
        <v>0</v>
      </c>
      <c r="J26" s="73">
        <v>0</v>
      </c>
    </row>
    <row r="27" spans="1:12" s="10" customFormat="1" x14ac:dyDescent="0.25">
      <c r="A27" s="68"/>
      <c r="B27" s="73"/>
      <c r="C27" s="73"/>
      <c r="D27" s="73"/>
      <c r="E27" s="73"/>
      <c r="F27" s="73"/>
      <c r="G27" s="73"/>
      <c r="H27" s="73"/>
      <c r="I27" s="73"/>
      <c r="J27" s="73"/>
    </row>
    <row r="28" spans="1:12" x14ac:dyDescent="0.25">
      <c r="A28" s="66" t="s">
        <v>8</v>
      </c>
      <c r="B28" s="42">
        <v>27.577999999999999</v>
      </c>
      <c r="C28" s="42">
        <v>26.800999999999998</v>
      </c>
      <c r="D28" s="42">
        <v>28.399000000000001</v>
      </c>
      <c r="E28" s="42">
        <v>26.606000000000002</v>
      </c>
      <c r="F28" s="23">
        <v>28</v>
      </c>
      <c r="G28" s="23">
        <v>28</v>
      </c>
      <c r="H28" s="23">
        <v>28</v>
      </c>
      <c r="I28" s="23">
        <v>28</v>
      </c>
      <c r="J28" s="23">
        <v>28</v>
      </c>
      <c r="L28" s="1" t="s">
        <v>68</v>
      </c>
    </row>
    <row r="29" spans="1:12" s="10" customFormat="1" x14ac:dyDescent="0.25">
      <c r="A29" s="69" t="s">
        <v>4</v>
      </c>
      <c r="B29" s="55">
        <f t="shared" ref="B29:J29" si="13">B28/B10</f>
        <v>5.1586232697343803E-2</v>
      </c>
      <c r="C29" s="55">
        <f t="shared" si="13"/>
        <v>4.7964278683537052E-2</v>
      </c>
      <c r="D29" s="55">
        <f t="shared" si="13"/>
        <v>6.0440121735799268E-2</v>
      </c>
      <c r="E29" s="55">
        <f t="shared" si="13"/>
        <v>5.1633060994779642E-2</v>
      </c>
      <c r="F29" s="57">
        <f t="shared" si="13"/>
        <v>4.9757874627926607E-2</v>
      </c>
      <c r="G29" s="57">
        <f t="shared" si="13"/>
        <v>4.5551619949819995E-2</v>
      </c>
      <c r="H29" s="57">
        <f t="shared" si="13"/>
        <v>4.168960758298227E-2</v>
      </c>
      <c r="I29" s="57">
        <f t="shared" si="13"/>
        <v>3.8144998732628145E-2</v>
      </c>
      <c r="J29" s="57">
        <f t="shared" si="13"/>
        <v>3.4892894155548838E-2</v>
      </c>
    </row>
    <row r="30" spans="1:12" x14ac:dyDescent="0.25">
      <c r="A30" s="43"/>
      <c r="F30" s="19"/>
      <c r="G30" s="19"/>
      <c r="H30" s="19"/>
      <c r="I30" s="19"/>
      <c r="J30" s="19"/>
    </row>
    <row r="31" spans="1:12" x14ac:dyDescent="0.25">
      <c r="A31" s="71" t="s">
        <v>86</v>
      </c>
      <c r="B31" s="42">
        <f t="shared" ref="B31:J31" si="14">B16-B23</f>
        <v>140.39999999999998</v>
      </c>
      <c r="C31" s="42">
        <f t="shared" si="14"/>
        <v>141.49299999999999</v>
      </c>
      <c r="D31" s="42">
        <f t="shared" si="14"/>
        <v>28.233000000000004</v>
      </c>
      <c r="E31" s="42">
        <f t="shared" si="14"/>
        <v>84.33299999999997</v>
      </c>
      <c r="F31" s="18">
        <f t="shared" si="14"/>
        <v>101.29049999999998</v>
      </c>
      <c r="G31" s="18">
        <f t="shared" si="14"/>
        <v>110.64370500000007</v>
      </c>
      <c r="H31" s="18">
        <f t="shared" si="14"/>
        <v>120.89343825000003</v>
      </c>
      <c r="I31" s="18">
        <f t="shared" si="14"/>
        <v>124.78700113125007</v>
      </c>
      <c r="J31" s="18">
        <f t="shared" si="14"/>
        <v>136.41746020781255</v>
      </c>
    </row>
    <row r="32" spans="1:12" x14ac:dyDescent="0.25">
      <c r="A32" s="43"/>
      <c r="F32" s="19"/>
      <c r="G32" s="19"/>
      <c r="H32" s="19"/>
      <c r="I32" s="19"/>
      <c r="J32" s="19"/>
    </row>
    <row r="33" spans="1:12" x14ac:dyDescent="0.25">
      <c r="A33" s="71" t="s">
        <v>85</v>
      </c>
      <c r="B33" s="42">
        <f>B31-B28</f>
        <v>112.82199999999997</v>
      </c>
      <c r="C33" s="42">
        <f t="shared" ref="C33:J33" si="15">C31-C28</f>
        <v>114.69199999999999</v>
      </c>
      <c r="D33" s="42">
        <f t="shared" si="15"/>
        <v>-0.16599999999999682</v>
      </c>
      <c r="E33" s="42">
        <f t="shared" si="15"/>
        <v>57.726999999999968</v>
      </c>
      <c r="F33" s="18">
        <f t="shared" si="15"/>
        <v>73.29049999999998</v>
      </c>
      <c r="G33" s="18">
        <f t="shared" si="15"/>
        <v>82.643705000000068</v>
      </c>
      <c r="H33" s="18">
        <f t="shared" si="15"/>
        <v>92.893438250000031</v>
      </c>
      <c r="I33" s="18">
        <f t="shared" si="15"/>
        <v>96.787001131250065</v>
      </c>
      <c r="J33" s="18">
        <f t="shared" si="15"/>
        <v>108.41746020781255</v>
      </c>
    </row>
    <row r="34" spans="1:12" x14ac:dyDescent="0.25">
      <c r="A34" s="43"/>
      <c r="F34" s="19"/>
      <c r="G34" s="19"/>
      <c r="H34" s="19"/>
      <c r="I34" s="19"/>
      <c r="J34" s="19"/>
    </row>
    <row r="35" spans="1:12" x14ac:dyDescent="0.25">
      <c r="A35" s="70" t="s">
        <v>41</v>
      </c>
      <c r="B35" s="7">
        <v>3.9489999999999998</v>
      </c>
      <c r="C35" s="7">
        <v>0.112</v>
      </c>
      <c r="D35" s="7">
        <v>8.5999999999999993E-2</v>
      </c>
      <c r="E35" s="7">
        <v>7.5999999999999998E-2</v>
      </c>
      <c r="F35" s="23">
        <f>E35</f>
        <v>7.5999999999999998E-2</v>
      </c>
      <c r="G35" s="23">
        <f t="shared" ref="G35:J35" si="16">F35</f>
        <v>7.5999999999999998E-2</v>
      </c>
      <c r="H35" s="23">
        <f t="shared" si="16"/>
        <v>7.5999999999999998E-2</v>
      </c>
      <c r="I35" s="23">
        <f t="shared" si="16"/>
        <v>7.5999999999999998E-2</v>
      </c>
      <c r="J35" s="23">
        <f t="shared" si="16"/>
        <v>7.5999999999999998E-2</v>
      </c>
      <c r="L35" s="1" t="s">
        <v>67</v>
      </c>
    </row>
    <row r="36" spans="1:12" x14ac:dyDescent="0.25">
      <c r="A36" s="70" t="s">
        <v>42</v>
      </c>
      <c r="B36" s="7">
        <v>11.452999999999999</v>
      </c>
      <c r="C36" s="7">
        <v>20.645</v>
      </c>
      <c r="D36" s="7">
        <v>23.334</v>
      </c>
      <c r="E36" s="7">
        <v>22.826000000000001</v>
      </c>
      <c r="F36" s="23">
        <f>E36</f>
        <v>22.826000000000001</v>
      </c>
      <c r="G36" s="23">
        <f t="shared" ref="G36:J36" si="17">F36</f>
        <v>22.826000000000001</v>
      </c>
      <c r="H36" s="23">
        <f t="shared" si="17"/>
        <v>22.826000000000001</v>
      </c>
      <c r="I36" s="23">
        <f t="shared" si="17"/>
        <v>22.826000000000001</v>
      </c>
      <c r="J36" s="23">
        <f t="shared" si="17"/>
        <v>22.826000000000001</v>
      </c>
    </row>
    <row r="37" spans="1:12" s="10" customFormat="1" x14ac:dyDescent="0.25">
      <c r="A37" s="68" t="s">
        <v>51</v>
      </c>
      <c r="B37" s="80">
        <f>-1*(B35-B36)</f>
        <v>7.5039999999999996</v>
      </c>
      <c r="C37" s="80">
        <f t="shared" ref="C37:E37" si="18">-1*(C35-C36)</f>
        <v>20.533000000000001</v>
      </c>
      <c r="D37" s="80">
        <f t="shared" si="18"/>
        <v>23.248000000000001</v>
      </c>
      <c r="E37" s="80">
        <f t="shared" si="18"/>
        <v>22.75</v>
      </c>
      <c r="F37" s="81">
        <f t="shared" ref="F37" si="19">-1*(F35-F36)</f>
        <v>22.75</v>
      </c>
      <c r="G37" s="81">
        <f t="shared" ref="G37" si="20">-1*(G35-G36)</f>
        <v>22.75</v>
      </c>
      <c r="H37" s="81">
        <f t="shared" ref="H37" si="21">-1*(H35-H36)</f>
        <v>22.75</v>
      </c>
      <c r="I37" s="81">
        <f t="shared" ref="I37" si="22">-1*(I35-I36)</f>
        <v>22.75</v>
      </c>
      <c r="J37" s="81">
        <f t="shared" ref="J37" si="23">-1*(J35-J36)</f>
        <v>22.75</v>
      </c>
    </row>
    <row r="38" spans="1:12" x14ac:dyDescent="0.25">
      <c r="A38" s="43"/>
      <c r="C38" s="4"/>
      <c r="D38" s="4"/>
      <c r="E38" s="4"/>
      <c r="F38" s="19"/>
      <c r="G38" s="19"/>
      <c r="H38" s="19"/>
      <c r="I38" s="19"/>
      <c r="J38" s="19"/>
    </row>
    <row r="39" spans="1:12" x14ac:dyDescent="0.25">
      <c r="A39" s="70" t="s">
        <v>43</v>
      </c>
      <c r="B39" s="7">
        <v>23.332000000000001</v>
      </c>
      <c r="C39" s="7">
        <v>0</v>
      </c>
      <c r="D39" s="7">
        <v>0</v>
      </c>
      <c r="E39" s="7">
        <v>4.8710000000000004</v>
      </c>
      <c r="F39" s="24"/>
      <c r="G39" s="24"/>
      <c r="H39" s="24"/>
      <c r="I39" s="24"/>
      <c r="J39" s="24"/>
      <c r="L39" s="1" t="s">
        <v>62</v>
      </c>
    </row>
    <row r="40" spans="1:12" x14ac:dyDescent="0.25">
      <c r="A40" s="70" t="s">
        <v>50</v>
      </c>
      <c r="B40" s="7">
        <v>9.5169999999999995</v>
      </c>
      <c r="C40" s="7">
        <v>-18.515999999999998</v>
      </c>
      <c r="D40" s="7">
        <v>-8.0739999999999998</v>
      </c>
      <c r="E40" s="7">
        <v>0</v>
      </c>
      <c r="F40" s="24"/>
      <c r="G40" s="24"/>
      <c r="H40" s="24"/>
      <c r="I40" s="24"/>
      <c r="J40" s="24"/>
    </row>
    <row r="41" spans="1:12" x14ac:dyDescent="0.25">
      <c r="A41" s="70" t="s">
        <v>44</v>
      </c>
      <c r="B41" s="7">
        <v>0</v>
      </c>
      <c r="C41" s="7">
        <v>0</v>
      </c>
      <c r="D41" s="7">
        <v>7.5789999999999997</v>
      </c>
      <c r="E41" s="7">
        <v>0</v>
      </c>
      <c r="F41" s="25"/>
      <c r="G41" s="25"/>
      <c r="H41" s="25"/>
      <c r="I41" s="25"/>
      <c r="J41" s="25"/>
      <c r="L41" s="1" t="s">
        <v>107</v>
      </c>
    </row>
    <row r="42" spans="1:12" x14ac:dyDescent="0.25">
      <c r="A42" s="70" t="s">
        <v>45</v>
      </c>
      <c r="B42" s="7">
        <v>7.1999999999999995E-2</v>
      </c>
      <c r="C42" s="7">
        <v>2.3279999999999998</v>
      </c>
      <c r="D42" s="7">
        <v>2.2970000000000002</v>
      </c>
      <c r="E42" s="7">
        <v>1.353</v>
      </c>
      <c r="F42" s="25"/>
      <c r="G42" s="25"/>
      <c r="H42" s="25"/>
      <c r="I42" s="25"/>
      <c r="J42" s="25"/>
    </row>
    <row r="43" spans="1:12" x14ac:dyDescent="0.25">
      <c r="A43" s="68" t="s">
        <v>52</v>
      </c>
      <c r="B43" s="80">
        <f>SUM(B39:B42)</f>
        <v>32.921000000000006</v>
      </c>
      <c r="C43" s="80">
        <f t="shared" ref="C43:D43" si="24">SUM(C39:C42)</f>
        <v>-16.187999999999999</v>
      </c>
      <c r="D43" s="80">
        <f t="shared" si="24"/>
        <v>1.802</v>
      </c>
      <c r="E43" s="80">
        <f>SUM(E39:E42)</f>
        <v>6.2240000000000002</v>
      </c>
      <c r="F43" s="59">
        <v>2</v>
      </c>
      <c r="G43" s="59">
        <f t="shared" ref="G43:J43" si="25">F43</f>
        <v>2</v>
      </c>
      <c r="H43" s="59">
        <f t="shared" si="25"/>
        <v>2</v>
      </c>
      <c r="I43" s="59">
        <f t="shared" si="25"/>
        <v>2</v>
      </c>
      <c r="J43" s="59">
        <f t="shared" si="25"/>
        <v>2</v>
      </c>
      <c r="K43" s="10"/>
      <c r="L43" s="10" t="s">
        <v>57</v>
      </c>
    </row>
    <row r="44" spans="1:12" x14ac:dyDescent="0.25">
      <c r="A44" s="43"/>
      <c r="F44" s="21"/>
      <c r="G44" s="21"/>
      <c r="H44" s="21"/>
      <c r="I44" s="21"/>
      <c r="J44" s="21"/>
    </row>
    <row r="45" spans="1:12" s="10" customFormat="1" x14ac:dyDescent="0.25">
      <c r="A45" s="72" t="s">
        <v>84</v>
      </c>
      <c r="B45" s="78">
        <f t="shared" ref="B45:J45" si="26">B10-SUM(B13, B23, B28, B37, B43)</f>
        <v>72.396999999999991</v>
      </c>
      <c r="C45" s="78">
        <f t="shared" si="26"/>
        <v>110.34699999999998</v>
      </c>
      <c r="D45" s="78">
        <f t="shared" si="26"/>
        <v>-25.216000000000008</v>
      </c>
      <c r="E45" s="78">
        <f t="shared" si="26"/>
        <v>28.752999999999986</v>
      </c>
      <c r="F45" s="79">
        <f t="shared" si="26"/>
        <v>48.540499999999952</v>
      </c>
      <c r="G45" s="79">
        <f t="shared" si="26"/>
        <v>57.893705000000068</v>
      </c>
      <c r="H45" s="79">
        <f t="shared" si="26"/>
        <v>68.143438250000031</v>
      </c>
      <c r="I45" s="79">
        <f t="shared" si="26"/>
        <v>72.037001131250008</v>
      </c>
      <c r="J45" s="79">
        <f t="shared" si="26"/>
        <v>83.66746020781261</v>
      </c>
    </row>
    <row r="46" spans="1:12" x14ac:dyDescent="0.25">
      <c r="A46" s="65"/>
      <c r="F46" s="19"/>
      <c r="G46" s="19"/>
      <c r="H46" s="19"/>
      <c r="I46" s="19"/>
      <c r="J46" s="19"/>
    </row>
    <row r="47" spans="1:12" s="10" customFormat="1" x14ac:dyDescent="0.25">
      <c r="A47" s="68" t="s">
        <v>53</v>
      </c>
      <c r="B47" s="78">
        <v>20.042999999999999</v>
      </c>
      <c r="C47" s="78">
        <v>46.167000000000002</v>
      </c>
      <c r="D47" s="78">
        <v>-2.1339999999999999</v>
      </c>
      <c r="E47" s="78">
        <v>13.64</v>
      </c>
      <c r="F47" s="79">
        <f>IF(F45&lt;0, 0, F48*F31)</f>
        <v>17.219384999999999</v>
      </c>
      <c r="G47" s="79">
        <f t="shared" ref="G47:J47" si="27">IF(G45&lt;0, 0, G48*G31)</f>
        <v>18.809429850000011</v>
      </c>
      <c r="H47" s="79">
        <f t="shared" si="27"/>
        <v>20.551884502500005</v>
      </c>
      <c r="I47" s="79">
        <f t="shared" si="27"/>
        <v>21.213790192312512</v>
      </c>
      <c r="J47" s="79">
        <f t="shared" si="27"/>
        <v>23.190968235328135</v>
      </c>
    </row>
    <row r="48" spans="1:12" s="10" customFormat="1" x14ac:dyDescent="0.25">
      <c r="A48" s="69" t="s">
        <v>55</v>
      </c>
      <c r="B48" s="60">
        <f>IF(B45 &gt; 0, B47/B31, 0)</f>
        <v>0.14275641025641028</v>
      </c>
      <c r="C48" s="60">
        <f t="shared" ref="C48:E48" si="28">IF(C45 &gt; 0, C47/C31, 0)</f>
        <v>0.32628469252895903</v>
      </c>
      <c r="D48" s="60">
        <f t="shared" si="28"/>
        <v>0</v>
      </c>
      <c r="E48" s="60">
        <f t="shared" si="28"/>
        <v>0.16173976972241003</v>
      </c>
      <c r="F48" s="61">
        <v>0.17</v>
      </c>
      <c r="G48" s="61">
        <v>0.17</v>
      </c>
      <c r="H48" s="61">
        <v>0.17</v>
      </c>
      <c r="I48" s="61">
        <v>0.17</v>
      </c>
      <c r="J48" s="61">
        <v>0.17</v>
      </c>
      <c r="L48" s="10" t="s">
        <v>108</v>
      </c>
    </row>
    <row r="49" spans="1:12" x14ac:dyDescent="0.25">
      <c r="A49" s="65"/>
      <c r="F49" s="19"/>
      <c r="G49" s="19"/>
      <c r="H49" s="19"/>
      <c r="I49" s="19"/>
      <c r="J49" s="19"/>
    </row>
    <row r="50" spans="1:12" x14ac:dyDescent="0.25">
      <c r="A50" s="66" t="s">
        <v>92</v>
      </c>
      <c r="B50" s="1">
        <v>-1.8</v>
      </c>
      <c r="C50" s="1">
        <v>-10.4</v>
      </c>
      <c r="D50" s="1">
        <v>-2.7</v>
      </c>
      <c r="E50" s="1">
        <v>0</v>
      </c>
      <c r="F50" s="1">
        <v>0</v>
      </c>
      <c r="G50" s="1">
        <v>0</v>
      </c>
      <c r="H50" s="1">
        <v>0</v>
      </c>
      <c r="I50" s="1">
        <v>0</v>
      </c>
      <c r="J50" s="1">
        <v>0</v>
      </c>
      <c r="L50" s="1" t="s">
        <v>94</v>
      </c>
    </row>
    <row r="51" spans="1:12" x14ac:dyDescent="0.25">
      <c r="A51" s="65"/>
      <c r="F51" s="19"/>
      <c r="G51" s="19"/>
      <c r="H51" s="19"/>
      <c r="I51" s="19"/>
      <c r="J51" s="19"/>
    </row>
    <row r="52" spans="1:12" x14ac:dyDescent="0.25">
      <c r="A52" s="71" t="s">
        <v>54</v>
      </c>
      <c r="B52" s="77">
        <f>B45-B47-B50</f>
        <v>54.153999999999989</v>
      </c>
      <c r="C52" s="77">
        <f t="shared" ref="C52:H52" si="29">C45-C47-C50</f>
        <v>74.579999999999984</v>
      </c>
      <c r="D52" s="77">
        <f t="shared" si="29"/>
        <v>-20.382000000000009</v>
      </c>
      <c r="E52" s="77">
        <f t="shared" si="29"/>
        <v>15.112999999999985</v>
      </c>
      <c r="F52" s="77">
        <f t="shared" si="29"/>
        <v>31.321114999999953</v>
      </c>
      <c r="G52" s="77">
        <f t="shared" si="29"/>
        <v>39.084275150000053</v>
      </c>
      <c r="H52" s="77">
        <f t="shared" si="29"/>
        <v>47.591553747500029</v>
      </c>
      <c r="I52" s="77">
        <f t="shared" ref="I52:J52" si="30">I45-I47</f>
        <v>50.823210938937493</v>
      </c>
      <c r="J52" s="77">
        <f t="shared" si="30"/>
        <v>60.476491972484475</v>
      </c>
    </row>
    <row r="53" spans="1:12" x14ac:dyDescent="0.25">
      <c r="A53" s="2"/>
      <c r="C53" s="3"/>
      <c r="D53" s="3"/>
      <c r="E53" s="3"/>
      <c r="F53" s="6"/>
      <c r="G53" s="6"/>
      <c r="H53" s="6"/>
      <c r="I53" s="6"/>
      <c r="J53" s="6"/>
    </row>
    <row r="54" spans="1:12" x14ac:dyDescent="0.25">
      <c r="A54" s="4"/>
      <c r="F54" s="6"/>
      <c r="G54" s="6"/>
      <c r="H54" s="6"/>
      <c r="I54" s="6"/>
      <c r="J54" s="6"/>
    </row>
    <row r="55" spans="1:12" x14ac:dyDescent="0.25">
      <c r="F55" s="6"/>
      <c r="G55" s="6"/>
      <c r="H55" s="6"/>
      <c r="I55" s="6"/>
      <c r="J55" s="6"/>
    </row>
    <row r="56" spans="1:12" x14ac:dyDescent="0.25">
      <c r="A56" s="4"/>
      <c r="F56" s="6"/>
      <c r="G56" s="6"/>
      <c r="H56" s="6"/>
      <c r="I56" s="6"/>
      <c r="J56" s="6"/>
    </row>
    <row r="57" spans="1:12" x14ac:dyDescent="0.25">
      <c r="F57" s="6"/>
      <c r="G57" s="6"/>
      <c r="H57" s="6"/>
      <c r="I57" s="6"/>
      <c r="J57" s="6"/>
    </row>
    <row r="58" spans="1:12" x14ac:dyDescent="0.25">
      <c r="F58" s="6"/>
      <c r="G58" s="6"/>
      <c r="H58" s="6"/>
      <c r="I58" s="6"/>
      <c r="J5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zoomScale="130" zoomScaleNormal="130" workbookViewId="0">
      <pane xSplit="1" topLeftCell="B1" activePane="topRight" state="frozen"/>
      <selection pane="topRight" activeCell="D5" sqref="D5"/>
    </sheetView>
  </sheetViews>
  <sheetFormatPr defaultRowHeight="15" x14ac:dyDescent="0.25"/>
  <cols>
    <col min="1" max="1" width="30.7109375" style="1" customWidth="1"/>
    <col min="2" max="2" width="10" style="1" bestFit="1" customWidth="1"/>
    <col min="3" max="3" width="9.5703125" style="1" bestFit="1" customWidth="1"/>
    <col min="4" max="5" width="9.140625" style="1"/>
    <col min="6" max="6" width="9.5703125" style="1" bestFit="1" customWidth="1"/>
    <col min="7" max="11" width="9.140625" style="1"/>
    <col min="12" max="12" width="40.140625" style="1" customWidth="1"/>
    <col min="13" max="16384" width="9.140625" style="1"/>
  </cols>
  <sheetData>
    <row r="1" spans="1:14" s="35" customFormat="1" ht="23.25" x14ac:dyDescent="0.35">
      <c r="A1" s="45" t="s">
        <v>63</v>
      </c>
    </row>
    <row r="2" spans="1:14" s="39" customFormat="1" x14ac:dyDescent="0.25">
      <c r="A2" s="51" t="s">
        <v>88</v>
      </c>
      <c r="B2" s="41" t="s">
        <v>47</v>
      </c>
      <c r="F2" s="41" t="s">
        <v>48</v>
      </c>
    </row>
    <row r="3" spans="1:14" x14ac:dyDescent="0.25">
      <c r="A3" s="11"/>
      <c r="B3" s="52">
        <f>'Income Statement'!B3</f>
        <v>2010</v>
      </c>
      <c r="C3" s="52">
        <f>'Income Statement'!C3</f>
        <v>2011</v>
      </c>
      <c r="D3" s="52">
        <f>'Income Statement'!D3</f>
        <v>2012</v>
      </c>
      <c r="E3" s="52">
        <f>'Income Statement'!E3</f>
        <v>2013</v>
      </c>
      <c r="F3" s="52">
        <f>'Income Statement'!F3</f>
        <v>2014</v>
      </c>
      <c r="G3" s="52">
        <f>'Income Statement'!G3</f>
        <v>2015</v>
      </c>
      <c r="H3" s="52">
        <f>'Income Statement'!H3</f>
        <v>2016</v>
      </c>
      <c r="I3" s="52">
        <f>'Income Statement'!I3</f>
        <v>2017</v>
      </c>
      <c r="J3" s="52">
        <f>'Income Statement'!J3</f>
        <v>2018</v>
      </c>
      <c r="K3" s="11"/>
      <c r="L3" s="11" t="s">
        <v>56</v>
      </c>
      <c r="M3" s="11"/>
      <c r="N3" s="11"/>
    </row>
    <row r="5" spans="1:14" x14ac:dyDescent="0.25">
      <c r="A5" s="70" t="s">
        <v>109</v>
      </c>
      <c r="B5" s="1">
        <v>134.44999999999999</v>
      </c>
      <c r="C5" s="7">
        <v>121.33</v>
      </c>
      <c r="D5" s="7">
        <v>106.62</v>
      </c>
      <c r="E5" s="7">
        <v>124.23</v>
      </c>
      <c r="F5" s="85">
        <f>AVERAGE(B5:E5)</f>
        <v>121.6575</v>
      </c>
      <c r="G5" s="85">
        <f t="shared" ref="G5:J5" si="0">AVERAGE(C5:F5)</f>
        <v>118.45937499999999</v>
      </c>
      <c r="H5" s="85">
        <f t="shared" si="0"/>
        <v>117.74171875000002</v>
      </c>
      <c r="I5" s="85">
        <f t="shared" si="0"/>
        <v>120.52214843749999</v>
      </c>
      <c r="J5" s="85">
        <f t="shared" si="0"/>
        <v>119.595185546875</v>
      </c>
      <c r="L5" s="1" t="s">
        <v>115</v>
      </c>
    </row>
    <row r="6" spans="1:14" x14ac:dyDescent="0.25">
      <c r="A6" s="70" t="s">
        <v>110</v>
      </c>
      <c r="B6" s="7">
        <v>0</v>
      </c>
      <c r="C6" s="7">
        <v>0</v>
      </c>
      <c r="D6" s="7">
        <v>0</v>
      </c>
      <c r="E6" s="7">
        <v>0</v>
      </c>
      <c r="F6" s="85">
        <v>0</v>
      </c>
      <c r="G6" s="85">
        <v>0</v>
      </c>
      <c r="H6" s="85">
        <v>0</v>
      </c>
      <c r="I6" s="85">
        <v>0</v>
      </c>
      <c r="J6" s="85">
        <v>0</v>
      </c>
      <c r="L6" s="1" t="s">
        <v>113</v>
      </c>
    </row>
    <row r="7" spans="1:14" x14ac:dyDescent="0.25">
      <c r="A7" s="70" t="s">
        <v>87</v>
      </c>
      <c r="B7" s="7">
        <v>0</v>
      </c>
      <c r="C7" s="7">
        <v>0</v>
      </c>
      <c r="D7" s="7">
        <v>0</v>
      </c>
      <c r="E7" s="7">
        <v>0</v>
      </c>
      <c r="F7" s="85">
        <v>0</v>
      </c>
      <c r="G7" s="85">
        <v>0</v>
      </c>
      <c r="H7" s="85">
        <v>0</v>
      </c>
      <c r="I7" s="85">
        <v>0</v>
      </c>
      <c r="J7" s="85">
        <v>0</v>
      </c>
      <c r="L7" s="1" t="s">
        <v>114</v>
      </c>
    </row>
    <row r="8" spans="1:14" x14ac:dyDescent="0.25">
      <c r="A8" s="43" t="s">
        <v>111</v>
      </c>
      <c r="B8" s="7">
        <f>SUM(B5:B6) - B7</f>
        <v>134.44999999999999</v>
      </c>
      <c r="C8" s="7">
        <f t="shared" ref="C8:J8" si="1">SUM(C5:C6) - C7</f>
        <v>121.33</v>
      </c>
      <c r="D8" s="7">
        <f t="shared" si="1"/>
        <v>106.62</v>
      </c>
      <c r="E8" s="7">
        <f t="shared" si="1"/>
        <v>124.23</v>
      </c>
      <c r="F8" s="85">
        <f t="shared" si="1"/>
        <v>121.6575</v>
      </c>
      <c r="G8" s="85">
        <f t="shared" si="1"/>
        <v>118.45937499999999</v>
      </c>
      <c r="H8" s="85">
        <f t="shared" si="1"/>
        <v>117.74171875000002</v>
      </c>
      <c r="I8" s="85">
        <f t="shared" si="1"/>
        <v>120.52214843749999</v>
      </c>
      <c r="J8" s="85">
        <f t="shared" si="1"/>
        <v>119.595185546875</v>
      </c>
    </row>
    <row r="9" spans="1:14" x14ac:dyDescent="0.25">
      <c r="A9" s="4"/>
      <c r="B9" s="7"/>
      <c r="C9" s="7"/>
      <c r="D9" s="7"/>
      <c r="E9" s="7"/>
      <c r="F9" s="85"/>
      <c r="G9" s="85"/>
      <c r="H9" s="85"/>
      <c r="I9" s="85"/>
      <c r="J9" s="85"/>
    </row>
    <row r="10" spans="1:14" x14ac:dyDescent="0.25">
      <c r="A10" s="43" t="s">
        <v>10</v>
      </c>
      <c r="B10" s="7"/>
      <c r="C10" s="78">
        <f>B$8-C$8</f>
        <v>13.11999999999999</v>
      </c>
      <c r="D10" s="78">
        <f t="shared" ref="D10:J10" si="2">C$8-D$8</f>
        <v>14.709999999999994</v>
      </c>
      <c r="E10" s="78">
        <f t="shared" si="2"/>
        <v>-17.61</v>
      </c>
      <c r="F10" s="78">
        <f t="shared" si="2"/>
        <v>2.5725000000000051</v>
      </c>
      <c r="G10" s="90">
        <f t="shared" si="2"/>
        <v>3.1981250000000045</v>
      </c>
      <c r="H10" s="90">
        <f t="shared" si="2"/>
        <v>0.71765624999997613</v>
      </c>
      <c r="I10" s="90">
        <f t="shared" si="2"/>
        <v>-2.780429687499975</v>
      </c>
      <c r="J10" s="90">
        <f t="shared" si="2"/>
        <v>0.92696289062499204</v>
      </c>
      <c r="L10" s="1" t="s">
        <v>112</v>
      </c>
    </row>
    <row r="11" spans="1:14" x14ac:dyDescent="0.25">
      <c r="A11" s="83"/>
      <c r="B11" s="39"/>
      <c r="C11" s="39"/>
      <c r="D11" s="39"/>
      <c r="E11" s="39"/>
      <c r="F11" s="84"/>
      <c r="G11" s="84"/>
      <c r="H11" s="84"/>
      <c r="I11" s="84"/>
      <c r="J11" s="84"/>
      <c r="L11" s="1" t="s">
        <v>116</v>
      </c>
    </row>
    <row r="12" spans="1:14" x14ac:dyDescent="0.25">
      <c r="A12" s="71"/>
      <c r="F12" s="85"/>
      <c r="G12" s="85"/>
      <c r="H12" s="85"/>
      <c r="I12" s="85"/>
      <c r="J12" s="85"/>
    </row>
    <row r="13" spans="1:14" x14ac:dyDescent="0.25">
      <c r="A13" s="4"/>
      <c r="F13" s="6"/>
      <c r="G13" s="6"/>
      <c r="H13" s="6"/>
      <c r="I13" s="6"/>
      <c r="J13" s="6"/>
      <c r="L13" s="1" t="s">
        <v>117</v>
      </c>
    </row>
    <row r="14" spans="1:14" x14ac:dyDescent="0.25">
      <c r="A14" s="70"/>
      <c r="F14" s="85"/>
      <c r="G14" s="85"/>
      <c r="H14" s="85"/>
      <c r="I14" s="85"/>
      <c r="J14" s="85"/>
      <c r="L14" s="1" t="s">
        <v>118</v>
      </c>
    </row>
    <row r="15" spans="1:14" x14ac:dyDescent="0.25">
      <c r="A15" s="70"/>
      <c r="F15" s="85"/>
      <c r="G15" s="85"/>
      <c r="H15" s="85"/>
      <c r="I15" s="85"/>
      <c r="J15" s="85"/>
    </row>
    <row r="16" spans="1:14" x14ac:dyDescent="0.25">
      <c r="A16" s="70"/>
      <c r="F16" s="85"/>
      <c r="G16" s="85"/>
      <c r="H16" s="85"/>
      <c r="I16" s="85"/>
      <c r="J16" s="85"/>
      <c r="L16" s="1" t="s">
        <v>119</v>
      </c>
    </row>
    <row r="17" spans="1:10" x14ac:dyDescent="0.25">
      <c r="A17" s="70"/>
      <c r="F17" s="85"/>
      <c r="G17" s="85"/>
      <c r="H17" s="85"/>
      <c r="I17" s="85"/>
      <c r="J17" s="85"/>
    </row>
    <row r="18" spans="1:10" x14ac:dyDescent="0.25">
      <c r="A18" s="70"/>
      <c r="F18" s="6"/>
      <c r="G18" s="6"/>
      <c r="H18" s="6"/>
      <c r="I18" s="6"/>
      <c r="J18" s="6"/>
    </row>
    <row r="19" spans="1:10" x14ac:dyDescent="0.25">
      <c r="A19" s="70"/>
      <c r="F19" s="85"/>
      <c r="G19" s="85"/>
      <c r="H19" s="85"/>
      <c r="I19" s="85"/>
      <c r="J19" s="85"/>
    </row>
    <row r="20" spans="1:10" x14ac:dyDescent="0.25">
      <c r="A20" s="74"/>
      <c r="B20" s="7"/>
      <c r="C20" s="7"/>
      <c r="D20" s="7"/>
      <c r="E20" s="7"/>
      <c r="F20" s="85"/>
      <c r="G20" s="85"/>
      <c r="H20" s="85"/>
      <c r="I20" s="85"/>
      <c r="J20" s="85"/>
    </row>
    <row r="21" spans="1:10" x14ac:dyDescent="0.25">
      <c r="F21" s="6"/>
      <c r="G21" s="6"/>
      <c r="H21" s="6"/>
      <c r="I21" s="6"/>
      <c r="J21" s="6"/>
    </row>
    <row r="22" spans="1:10" x14ac:dyDescent="0.25">
      <c r="A22" s="70"/>
      <c r="F22" s="85"/>
      <c r="G22" s="85"/>
      <c r="H22" s="85"/>
      <c r="I22" s="85"/>
      <c r="J22" s="85"/>
    </row>
    <row r="23" spans="1:10" x14ac:dyDescent="0.25">
      <c r="A23" s="70"/>
      <c r="F23" s="85"/>
      <c r="G23" s="85"/>
      <c r="H23" s="85"/>
      <c r="I23" s="85"/>
      <c r="J23" s="85"/>
    </row>
    <row r="24" spans="1:10" x14ac:dyDescent="0.25">
      <c r="A24" s="70"/>
      <c r="F24" s="85"/>
      <c r="G24" s="85"/>
      <c r="H24" s="85"/>
      <c r="I24" s="85"/>
      <c r="J24" s="85"/>
    </row>
    <row r="25" spans="1:10" x14ac:dyDescent="0.25">
      <c r="A25" s="83"/>
      <c r="B25" s="39"/>
      <c r="C25" s="39"/>
      <c r="D25" s="39"/>
      <c r="E25" s="39"/>
      <c r="F25" s="86"/>
      <c r="G25" s="86"/>
      <c r="H25" s="86"/>
      <c r="I25" s="86"/>
      <c r="J25" s="86"/>
    </row>
    <row r="26" spans="1:10" x14ac:dyDescent="0.25">
      <c r="A26" s="71"/>
      <c r="F26" s="6"/>
      <c r="G26" s="6"/>
      <c r="H26" s="6"/>
      <c r="I26" s="6"/>
      <c r="J26" s="6"/>
    </row>
    <row r="27" spans="1:10" x14ac:dyDescent="0.25">
      <c r="A27" s="74"/>
      <c r="F27" s="85"/>
      <c r="G27" s="85"/>
      <c r="H27" s="85"/>
      <c r="I27" s="85"/>
      <c r="J27" s="85"/>
    </row>
    <row r="28" spans="1:10" x14ac:dyDescent="0.25">
      <c r="A28" s="70"/>
      <c r="F28" s="84"/>
      <c r="G28" s="84"/>
      <c r="H28" s="84"/>
      <c r="I28" s="84"/>
      <c r="J28" s="84"/>
    </row>
    <row r="29" spans="1:10" x14ac:dyDescent="0.25">
      <c r="A29" s="74"/>
      <c r="F29" s="85"/>
      <c r="G29" s="85"/>
      <c r="H29" s="85"/>
      <c r="I29" s="85"/>
      <c r="J29" s="85"/>
    </row>
    <row r="30" spans="1:10" x14ac:dyDescent="0.25">
      <c r="A30" s="74"/>
      <c r="F30" s="84"/>
      <c r="G30" s="84"/>
      <c r="H30" s="84"/>
      <c r="I30" s="84"/>
      <c r="J30" s="84"/>
    </row>
    <row r="31" spans="1:10" x14ac:dyDescent="0.25">
      <c r="A31" s="70"/>
      <c r="F31" s="84"/>
      <c r="G31" s="84"/>
      <c r="H31" s="84"/>
      <c r="I31" s="84"/>
      <c r="J31" s="84"/>
    </row>
    <row r="32" spans="1:10" x14ac:dyDescent="0.25">
      <c r="F32" s="86"/>
      <c r="G32" s="86"/>
      <c r="H32" s="86"/>
      <c r="I32" s="86"/>
      <c r="J32" s="86"/>
    </row>
    <row r="33" spans="1:10" x14ac:dyDescent="0.25">
      <c r="A33" s="74"/>
      <c r="F33" s="85"/>
      <c r="G33" s="85"/>
      <c r="H33" s="85"/>
      <c r="I33" s="85"/>
      <c r="J33" s="85"/>
    </row>
    <row r="34" spans="1:10" x14ac:dyDescent="0.25">
      <c r="F34" s="6"/>
      <c r="G34" s="6"/>
      <c r="H34" s="6"/>
      <c r="I34" s="6"/>
      <c r="J34" s="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topLeftCell="A2" workbookViewId="0">
      <pane xSplit="1" topLeftCell="B1" activePane="topRight" state="frozen"/>
      <selection activeCell="D31" sqref="D31"/>
      <selection pane="topRight" activeCell="D10" sqref="D10"/>
    </sheetView>
  </sheetViews>
  <sheetFormatPr defaultRowHeight="15" x14ac:dyDescent="0.25"/>
  <cols>
    <col min="1" max="1" width="32.5703125" style="1" customWidth="1"/>
    <col min="2" max="10" width="9.140625" style="1"/>
    <col min="11" max="11" width="35.42578125" style="1" customWidth="1"/>
    <col min="12" max="16384" width="9.140625" style="1"/>
  </cols>
  <sheetData>
    <row r="1" spans="1:13" s="35" customFormat="1" ht="23.25" x14ac:dyDescent="0.35">
      <c r="A1" s="45" t="s">
        <v>64</v>
      </c>
    </row>
    <row r="2" spans="1:13" x14ac:dyDescent="0.25">
      <c r="A2" s="9" t="s">
        <v>1</v>
      </c>
      <c r="B2" s="41" t="s">
        <v>47</v>
      </c>
      <c r="C2" s="39"/>
      <c r="D2" s="39"/>
      <c r="E2" s="41" t="s">
        <v>48</v>
      </c>
    </row>
    <row r="3" spans="1:13" s="10" customFormat="1" x14ac:dyDescent="0.25">
      <c r="A3" s="11"/>
      <c r="B3" s="52">
        <f>'Income Statement'!C3</f>
        <v>2011</v>
      </c>
      <c r="C3" s="52">
        <f>'Income Statement'!D3</f>
        <v>2012</v>
      </c>
      <c r="D3" s="52">
        <f>'Income Statement'!E3</f>
        <v>2013</v>
      </c>
      <c r="E3" s="52">
        <f>'Income Statement'!F3</f>
        <v>2014</v>
      </c>
      <c r="F3" s="52">
        <f>'Income Statement'!G3</f>
        <v>2015</v>
      </c>
      <c r="G3" s="52">
        <f>'Income Statement'!H3</f>
        <v>2016</v>
      </c>
      <c r="H3" s="52">
        <f>'Income Statement'!I3</f>
        <v>2017</v>
      </c>
      <c r="I3" s="52">
        <f>'Income Statement'!J3</f>
        <v>2018</v>
      </c>
      <c r="J3" s="11"/>
      <c r="K3" s="11" t="s">
        <v>56</v>
      </c>
      <c r="L3" s="11"/>
      <c r="M3" s="11"/>
    </row>
    <row r="5" spans="1:13" x14ac:dyDescent="0.25">
      <c r="A5" s="1" t="s">
        <v>9</v>
      </c>
      <c r="B5" s="82">
        <f>'Income Statement'!C52</f>
        <v>74.579999999999984</v>
      </c>
      <c r="C5" s="82">
        <f>'Income Statement'!D52</f>
        <v>-20.382000000000009</v>
      </c>
      <c r="D5" s="82">
        <f>'Income Statement'!E52</f>
        <v>15.112999999999985</v>
      </c>
      <c r="E5" s="91">
        <f>'Income Statement'!F52</f>
        <v>31.321114999999953</v>
      </c>
      <c r="F5" s="91">
        <f>'Income Statement'!G52</f>
        <v>39.084275150000053</v>
      </c>
      <c r="G5" s="91">
        <f>'Income Statement'!H52</f>
        <v>47.591553747500029</v>
      </c>
      <c r="H5" s="91">
        <f>'Income Statement'!I52</f>
        <v>50.823210938937493</v>
      </c>
      <c r="I5" s="91">
        <f>'Income Statement'!J52</f>
        <v>60.476491972484475</v>
      </c>
    </row>
    <row r="6" spans="1:13" x14ac:dyDescent="0.25">
      <c r="A6" s="1" t="s">
        <v>8</v>
      </c>
      <c r="B6" s="1">
        <v>26.8</v>
      </c>
      <c r="C6" s="1">
        <v>280.39999999999998</v>
      </c>
      <c r="D6" s="1">
        <v>26.61</v>
      </c>
      <c r="E6" s="85">
        <f>'Income Statement'!F28</f>
        <v>28</v>
      </c>
      <c r="F6" s="85">
        <f>'Income Statement'!G28</f>
        <v>28</v>
      </c>
      <c r="G6" s="85">
        <f>'Income Statement'!H28</f>
        <v>28</v>
      </c>
      <c r="H6" s="85">
        <f>'Income Statement'!I28</f>
        <v>28</v>
      </c>
      <c r="I6" s="85">
        <f>'Income Statement'!J28</f>
        <v>28</v>
      </c>
      <c r="K6" s="1" t="s">
        <v>120</v>
      </c>
    </row>
    <row r="7" spans="1:13" x14ac:dyDescent="0.25">
      <c r="A7" s="1" t="s">
        <v>98</v>
      </c>
      <c r="B7" s="1">
        <f>'Working Capital Calculation'!C10</f>
        <v>13.11999999999999</v>
      </c>
      <c r="C7" s="1">
        <f>'Working Capital Calculation'!D10</f>
        <v>14.709999999999994</v>
      </c>
      <c r="D7" s="1">
        <f>'Working Capital Calculation'!E10</f>
        <v>-17.61</v>
      </c>
      <c r="E7" s="85">
        <f>'Working Capital Calculation'!F10</f>
        <v>2.5725000000000051</v>
      </c>
      <c r="F7" s="85">
        <f>'Working Capital Calculation'!G10</f>
        <v>3.1981250000000045</v>
      </c>
      <c r="G7" s="85">
        <f>'Working Capital Calculation'!H10</f>
        <v>0.71765624999997613</v>
      </c>
      <c r="H7" s="85">
        <f>'Working Capital Calculation'!I10</f>
        <v>-2.780429687499975</v>
      </c>
      <c r="I7" s="85">
        <f>'Working Capital Calculation'!J10</f>
        <v>0.92696289062499204</v>
      </c>
    </row>
    <row r="8" spans="1:13" x14ac:dyDescent="0.25">
      <c r="A8" s="1" t="s">
        <v>11</v>
      </c>
      <c r="B8" s="1">
        <v>20.91</v>
      </c>
      <c r="C8" s="1">
        <v>35.17</v>
      </c>
      <c r="D8" s="1">
        <v>22.34</v>
      </c>
      <c r="E8" s="85">
        <f>AVERAGE(B8:D8)</f>
        <v>26.14</v>
      </c>
      <c r="F8" s="85">
        <f t="shared" ref="F8:I8" si="0">AVERAGE(B8:E8)</f>
        <v>26.14</v>
      </c>
      <c r="G8" s="85">
        <f t="shared" si="0"/>
        <v>27.447500000000002</v>
      </c>
      <c r="H8" s="85">
        <f t="shared" si="0"/>
        <v>25.516875000000002</v>
      </c>
      <c r="I8" s="85">
        <f t="shared" si="0"/>
        <v>26.311093750000001</v>
      </c>
      <c r="K8" s="1" t="s">
        <v>90</v>
      </c>
    </row>
    <row r="9" spans="1:13" x14ac:dyDescent="0.25">
      <c r="E9" s="6"/>
      <c r="F9" s="6"/>
      <c r="G9" s="6"/>
      <c r="H9" s="6"/>
      <c r="I9" s="6"/>
    </row>
    <row r="10" spans="1:13" x14ac:dyDescent="0.25">
      <c r="A10" s="4" t="s">
        <v>12</v>
      </c>
      <c r="B10" s="7">
        <f>B5+B6-B7-B8</f>
        <v>67.349999999999994</v>
      </c>
      <c r="C10" s="7">
        <f>C5+C6-C7-C8</f>
        <v>210.13799999999998</v>
      </c>
      <c r="D10" s="7">
        <f>D5+D6-D7-D8</f>
        <v>36.992999999999981</v>
      </c>
      <c r="E10" s="85">
        <f>E5+E6-E7-E8</f>
        <v>30.608614999999944</v>
      </c>
      <c r="F10" s="85">
        <f>F5+F6-F7-F8</f>
        <v>37.746150150000048</v>
      </c>
      <c r="G10" s="85">
        <f>G5+G6-G7-G8</f>
        <v>47.426397497500048</v>
      </c>
      <c r="H10" s="85">
        <f>H5+H6-H7-H8</f>
        <v>56.086765626437469</v>
      </c>
      <c r="I10" s="85">
        <f>I5+I6-I7-I8</f>
        <v>61.238435331859478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tabSelected="1" workbookViewId="0">
      <selection activeCell="E22" sqref="E22"/>
    </sheetView>
  </sheetViews>
  <sheetFormatPr defaultRowHeight="15" x14ac:dyDescent="0.25"/>
  <cols>
    <col min="1" max="1" width="22.42578125" style="1" bestFit="1" customWidth="1"/>
    <col min="2" max="2" width="9.140625" style="1"/>
    <col min="3" max="3" width="9.5703125" style="1" bestFit="1" customWidth="1"/>
    <col min="4" max="10" width="9.140625" style="1"/>
    <col min="11" max="11" width="11" style="1" bestFit="1" customWidth="1"/>
    <col min="12" max="16384" width="9.140625" style="1"/>
  </cols>
  <sheetData>
    <row r="1" spans="1:10" s="35" customFormat="1" ht="23.25" x14ac:dyDescent="0.35">
      <c r="A1" s="45" t="s">
        <v>82</v>
      </c>
    </row>
    <row r="2" spans="1:10" x14ac:dyDescent="0.25">
      <c r="A2" s="9" t="s">
        <v>60</v>
      </c>
    </row>
    <row r="3" spans="1:10" x14ac:dyDescent="0.25">
      <c r="A3" s="8"/>
      <c r="B3" s="46">
        <f>'FCF Calculation'!B3</f>
        <v>2011</v>
      </c>
      <c r="C3" s="46">
        <f>'FCF Calculation'!C3</f>
        <v>2012</v>
      </c>
      <c r="D3" s="46">
        <f>'FCF Calculation'!D3</f>
        <v>2013</v>
      </c>
      <c r="E3" s="46">
        <f>'FCF Calculation'!E3</f>
        <v>2014</v>
      </c>
      <c r="F3" s="46">
        <f>'FCF Calculation'!F3</f>
        <v>2015</v>
      </c>
      <c r="G3" s="46">
        <f>'FCF Calculation'!G3</f>
        <v>2016</v>
      </c>
      <c r="H3" s="46">
        <f>'FCF Calculation'!H3</f>
        <v>2017</v>
      </c>
      <c r="I3" s="46">
        <f>'FCF Calculation'!I3</f>
        <v>2018</v>
      </c>
      <c r="J3" s="46" t="s">
        <v>32</v>
      </c>
    </row>
    <row r="4" spans="1:10" x14ac:dyDescent="0.25">
      <c r="A4" s="43" t="s">
        <v>13</v>
      </c>
      <c r="E4" s="1">
        <v>1</v>
      </c>
      <c r="F4" s="1">
        <f>E4+1</f>
        <v>2</v>
      </c>
      <c r="G4" s="1">
        <f t="shared" ref="G4:I4" si="0">F4+1</f>
        <v>3</v>
      </c>
      <c r="H4" s="1">
        <f t="shared" si="0"/>
        <v>4</v>
      </c>
      <c r="I4" s="1">
        <f t="shared" si="0"/>
        <v>5</v>
      </c>
      <c r="J4" s="1">
        <v>5</v>
      </c>
    </row>
    <row r="5" spans="1:10" x14ac:dyDescent="0.25">
      <c r="A5" s="1" t="s">
        <v>12</v>
      </c>
      <c r="B5" s="7">
        <f>'FCF Calculation'!B10</f>
        <v>67.349999999999994</v>
      </c>
      <c r="C5" s="7">
        <f>'FCF Calculation'!C10</f>
        <v>210.13799999999998</v>
      </c>
      <c r="D5" s="7">
        <f>'FCF Calculation'!D10</f>
        <v>36.992999999999981</v>
      </c>
      <c r="E5" s="7">
        <f>'FCF Calculation'!E10</f>
        <v>30.608614999999944</v>
      </c>
      <c r="F5" s="7">
        <f>'FCF Calculation'!F10</f>
        <v>37.746150150000048</v>
      </c>
      <c r="G5" s="7">
        <f>'FCF Calculation'!G10</f>
        <v>47.426397497500048</v>
      </c>
      <c r="H5" s="7">
        <f>'FCF Calculation'!H10</f>
        <v>56.086765626437469</v>
      </c>
      <c r="I5" s="7">
        <f>'FCF Calculation'!I10</f>
        <v>61.238435331859478</v>
      </c>
      <c r="J5" s="7">
        <f>'FCF Calculation'!I10</f>
        <v>61.238435331859478</v>
      </c>
    </row>
    <row r="6" spans="1:10" x14ac:dyDescent="0.25">
      <c r="A6" s="1" t="s">
        <v>91</v>
      </c>
      <c r="B6" s="7"/>
      <c r="C6" s="7"/>
      <c r="D6" s="7"/>
      <c r="E6" s="7">
        <f>((1+Dashboard!$B$25)^E4)</f>
        <v>1.0574579384028346</v>
      </c>
      <c r="F6" s="7">
        <f>((1+Dashboard!$B$25)^F4)</f>
        <v>1.1182172914911732</v>
      </c>
      <c r="G6" s="7">
        <f>((1+Dashboard!$B$25)^G4)</f>
        <v>1.1824677517466575</v>
      </c>
      <c r="H6" s="7">
        <f>((1+Dashboard!$B$25)^H4)</f>
        <v>1.2504099109898554</v>
      </c>
      <c r="I6" s="7">
        <f>((1+Dashboard!$B$25)^I4)</f>
        <v>1.3222558866338046</v>
      </c>
      <c r="J6" s="7">
        <f>(Dashboard!$B$25-Dashboard!$B$22)</f>
        <v>3.7457938402834567E-2</v>
      </c>
    </row>
    <row r="7" spans="1:10" x14ac:dyDescent="0.25">
      <c r="A7" s="11" t="s">
        <v>14</v>
      </c>
      <c r="B7" s="11"/>
      <c r="C7" s="11"/>
      <c r="D7" s="11"/>
      <c r="E7" s="44">
        <f>E5/E6</f>
        <v>28.945468078125778</v>
      </c>
      <c r="F7" s="44">
        <f t="shared" ref="F7:I7" si="1">F5/F6</f>
        <v>33.755648778838442</v>
      </c>
      <c r="G7" s="44">
        <f t="shared" si="1"/>
        <v>40.107983856172936</v>
      </c>
      <c r="H7" s="44">
        <f t="shared" si="1"/>
        <v>44.854703352469272</v>
      </c>
      <c r="I7" s="44">
        <f t="shared" si="1"/>
        <v>46.313603857540855</v>
      </c>
      <c r="J7" s="44">
        <f>(J5*(1+Dashboard!$B$22))/J6</f>
        <v>1667.5558426827322</v>
      </c>
    </row>
    <row r="9" spans="1:10" x14ac:dyDescent="0.25">
      <c r="A9" s="1" t="s">
        <v>34</v>
      </c>
      <c r="B9" s="7">
        <f>SUM(E7:J7)</f>
        <v>1861.5332506058794</v>
      </c>
    </row>
    <row r="10" spans="1:10" x14ac:dyDescent="0.25">
      <c r="A10" s="11" t="s">
        <v>35</v>
      </c>
      <c r="B10" s="11">
        <f>952.23 - 781.31</f>
        <v>170.92000000000007</v>
      </c>
    </row>
    <row r="11" spans="1:10" x14ac:dyDescent="0.25">
      <c r="A11" s="4" t="s">
        <v>36</v>
      </c>
      <c r="B11" s="42">
        <f>B9-B10</f>
        <v>1690.6132506058793</v>
      </c>
    </row>
    <row r="13" spans="1:10" s="35" customFormat="1" ht="23.25" x14ac:dyDescent="0.35">
      <c r="A13" s="45" t="s">
        <v>59</v>
      </c>
    </row>
    <row r="15" spans="1:10" x14ac:dyDescent="0.25">
      <c r="A15" s="58" t="s">
        <v>20</v>
      </c>
      <c r="B15" s="62">
        <f>C18*B24+ C19*B29</f>
        <v>5.7457938402834564E-2</v>
      </c>
      <c r="C15" s="10"/>
      <c r="D15" s="10"/>
      <c r="E15" s="10"/>
      <c r="F15" s="10"/>
      <c r="G15" s="10"/>
    </row>
    <row r="16" spans="1:10" x14ac:dyDescent="0.25">
      <c r="D16" s="39"/>
    </row>
    <row r="17" spans="1:5" x14ac:dyDescent="0.25">
      <c r="A17" s="40"/>
      <c r="B17" s="47" t="s">
        <v>23</v>
      </c>
      <c r="C17" s="47" t="s">
        <v>24</v>
      </c>
      <c r="D17" s="40"/>
      <c r="E17" s="4" t="s">
        <v>56</v>
      </c>
    </row>
    <row r="18" spans="1:5" x14ac:dyDescent="0.25">
      <c r="A18" s="26" t="s">
        <v>21</v>
      </c>
      <c r="B18" s="40">
        <v>148.47</v>
      </c>
      <c r="C18" s="30">
        <f>B18/(SUM($B$18:$B$19))</f>
        <v>0.13488689016080677</v>
      </c>
      <c r="D18" s="39"/>
    </row>
    <row r="19" spans="1:5" x14ac:dyDescent="0.25">
      <c r="A19" s="36" t="s">
        <v>22</v>
      </c>
      <c r="B19" s="15">
        <v>952.23</v>
      </c>
      <c r="C19" s="48">
        <f>B19/(SUM($B$18:$B$19))</f>
        <v>0.86511310983919321</v>
      </c>
      <c r="D19" s="39"/>
    </row>
    <row r="21" spans="1:5" x14ac:dyDescent="0.25">
      <c r="D21" s="39"/>
    </row>
    <row r="22" spans="1:5" x14ac:dyDescent="0.25">
      <c r="A22" s="40" t="s">
        <v>26</v>
      </c>
      <c r="B22" s="40">
        <v>0.82</v>
      </c>
      <c r="C22" s="40"/>
      <c r="E22" s="39" t="s">
        <v>99</v>
      </c>
    </row>
    <row r="23" spans="1:5" x14ac:dyDescent="0.25">
      <c r="A23" s="40" t="s">
        <v>29</v>
      </c>
      <c r="B23" s="12">
        <f>Dashboard!B23-Dashboard!B24</f>
        <v>3.6999999999999998E-2</v>
      </c>
      <c r="C23" s="40"/>
      <c r="D23" s="39"/>
    </row>
    <row r="24" spans="1:5" x14ac:dyDescent="0.25">
      <c r="A24" s="36" t="s">
        <v>25</v>
      </c>
      <c r="B24" s="16">
        <f>Dashboard!B24+B22*B23</f>
        <v>5.3339999999999999E-2</v>
      </c>
      <c r="C24" s="15"/>
      <c r="D24" s="39"/>
    </row>
    <row r="25" spans="1:5" x14ac:dyDescent="0.25">
      <c r="C25" s="40"/>
      <c r="D25" s="39"/>
    </row>
    <row r="26" spans="1:5" x14ac:dyDescent="0.25">
      <c r="A26" s="40"/>
      <c r="B26" s="40"/>
      <c r="C26" s="40"/>
      <c r="D26" s="39"/>
    </row>
    <row r="27" spans="1:5" x14ac:dyDescent="0.25">
      <c r="A27" s="40" t="s">
        <v>30</v>
      </c>
      <c r="B27" s="12">
        <v>7.0000000000000007E-2</v>
      </c>
      <c r="C27" s="40"/>
      <c r="D27" s="39"/>
    </row>
    <row r="28" spans="1:5" x14ac:dyDescent="0.25">
      <c r="A28" s="40" t="s">
        <v>61</v>
      </c>
      <c r="B28" s="12">
        <f>'Income Statement'!F48</f>
        <v>0.17</v>
      </c>
      <c r="C28" s="40"/>
      <c r="D28" s="39"/>
    </row>
    <row r="29" spans="1:5" x14ac:dyDescent="0.25">
      <c r="A29" s="36" t="s">
        <v>31</v>
      </c>
      <c r="B29" s="16">
        <f>B27*(1-B28)</f>
        <v>5.8100000000000006E-2</v>
      </c>
      <c r="C29" s="15"/>
      <c r="D29" s="39"/>
    </row>
    <row r="30" spans="1:5" x14ac:dyDescent="0.25">
      <c r="A30" s="40"/>
      <c r="B30" s="40"/>
      <c r="C30" s="40"/>
    </row>
    <row r="31" spans="1:5" x14ac:dyDescent="0.25">
      <c r="C31" s="40"/>
    </row>
    <row r="32" spans="1:5" x14ac:dyDescent="0.25">
      <c r="A32" s="26" t="s">
        <v>33</v>
      </c>
      <c r="B32" s="26">
        <v>38.380000000000003</v>
      </c>
      <c r="C3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Income Statement</vt:lpstr>
      <vt:lpstr>Working Capital Calculation</vt:lpstr>
      <vt:lpstr>FCF Calculation</vt:lpstr>
      <vt:lpstr>FV Calculation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Han</dc:creator>
  <cp:lastModifiedBy>tech</cp:lastModifiedBy>
  <dcterms:created xsi:type="dcterms:W3CDTF">2014-08-18T21:33:52Z</dcterms:created>
  <dcterms:modified xsi:type="dcterms:W3CDTF">2014-12-10T08:45:10Z</dcterms:modified>
</cp:coreProperties>
</file>