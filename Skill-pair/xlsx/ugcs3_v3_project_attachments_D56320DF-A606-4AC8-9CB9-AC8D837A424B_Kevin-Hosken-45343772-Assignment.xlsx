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codeName="ThisWorkbook"/>
  <mc:AlternateContent xmlns:mc="http://schemas.openxmlformats.org/markup-compatibility/2006">
    <mc:Choice Requires="x15">
      <x15ac:absPath xmlns:x15ac="http://schemas.microsoft.com/office/spreadsheetml/2010/11/ac" url="C:\Users\kev\Google Drive\Uni\Y3 Sem2\ACF\"/>
    </mc:Choice>
  </mc:AlternateContent>
  <xr:revisionPtr revIDLastSave="0" documentId="13_ncr:1_{C02C70C5-7681-4970-BD62-F818C09058D0}" xr6:coauthVersionLast="47" xr6:coauthVersionMax="47" xr10:uidLastSave="{00000000-0000-0000-0000-000000000000}"/>
  <bookViews>
    <workbookView xWindow="-120" yWindow="-120" windowWidth="29040" windowHeight="15840" activeTab="1" xr2:uid="{00000000-000D-0000-FFFF-FFFF00000000}"/>
  </bookViews>
  <sheets>
    <sheet name="instructions" sheetId="2" r:id="rId1"/>
    <sheet name="template" sheetId="6" r:id="rId2"/>
  </sheets>
  <externalReferences>
    <externalReference r:id="rId3"/>
  </externalReferences>
  <definedNames>
    <definedName name="Penetration">OFFSET([1]S_Curve!$B$11,0,0,COUNTA([1]S_Curve!$B$11:$B$110),1)</definedName>
    <definedName name="Saturation">OFFSET([1]S_Curve!$C$11,0,0,COUNTA([1]S_Curve!$C$11:$C$110),1)</definedName>
    <definedName name="solver_adj" localSheetId="1" hidden="1">template!$S$57,template!$U$57</definedName>
    <definedName name="solver_cvg" localSheetId="1" hidden="1">0.0001</definedName>
    <definedName name="solver_drv" localSheetId="1" hidden="1">1</definedName>
    <definedName name="solver_eng" localSheetId="1" hidden="1">1</definedName>
    <definedName name="solver_est" localSheetId="1" hidden="1">1</definedName>
    <definedName name="solver_itr" localSheetId="1" hidden="1">2147483647</definedName>
    <definedName name="solver_lhs1" localSheetId="1" hidden="1">template!$S$58</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1</definedName>
    <definedName name="solver_nwt" localSheetId="1" hidden="1">1</definedName>
    <definedName name="solver_opt" localSheetId="1" hidden="1">template!$P$58</definedName>
    <definedName name="solver_pre" localSheetId="1" hidden="1">0.000001</definedName>
    <definedName name="solver_rbv" localSheetId="1" hidden="1">1</definedName>
    <definedName name="solver_rel1" localSheetId="1" hidden="1">2</definedName>
    <definedName name="solver_rhs1" localSheetId="1" hidden="1">1</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3.86</definedName>
    <definedName name="solver_ver" localSheetId="1" hidden="1">3</definedName>
    <definedName name="Year">OFFSET([1]S_Curve!$A$11,0,0,COUNTA([1]S_Curve!$A$11:$A$110),1)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7" i="6" l="1"/>
  <c r="D244" i="6"/>
  <c r="R258" i="6"/>
  <c r="S258" i="6"/>
  <c r="T258" i="6"/>
  <c r="U258" i="6"/>
  <c r="S253" i="6"/>
  <c r="T253" i="6"/>
  <c r="R253" i="6"/>
  <c r="Q253" i="6" s="1"/>
  <c r="P253" i="6" s="1"/>
  <c r="O253" i="6" s="1"/>
  <c r="N253" i="6" s="1"/>
  <c r="M253" i="6" s="1"/>
  <c r="L253" i="6" s="1"/>
  <c r="K253" i="6" s="1"/>
  <c r="T254" i="6"/>
  <c r="Q258" i="6"/>
  <c r="P258" i="6" s="1"/>
  <c r="O258" i="6" s="1"/>
  <c r="N258" i="6" s="1"/>
  <c r="M258" i="6" s="1"/>
  <c r="L258" i="6" s="1"/>
  <c r="K258" i="6" s="1"/>
  <c r="U253" i="6"/>
  <c r="V247" i="6"/>
  <c r="L252" i="6"/>
  <c r="M252" i="6" s="1"/>
  <c r="N252" i="6" s="1"/>
  <c r="L254" i="6"/>
  <c r="K254" i="6"/>
  <c r="L257" i="6"/>
  <c r="K255" i="6"/>
  <c r="M254" i="6"/>
  <c r="N254" i="6"/>
  <c r="O254" i="6"/>
  <c r="P254" i="6"/>
  <c r="Q254" i="6"/>
  <c r="R254" i="6"/>
  <c r="S254" i="6"/>
  <c r="U254" i="6"/>
  <c r="O24" i="6"/>
  <c r="M257" i="6"/>
  <c r="N257" i="6"/>
  <c r="O257" i="6"/>
  <c r="P257" i="6"/>
  <c r="Q257" i="6"/>
  <c r="R257" i="6"/>
  <c r="S257" i="6"/>
  <c r="T257" i="6"/>
  <c r="U257" i="6"/>
  <c r="V257" i="6"/>
  <c r="M256" i="6"/>
  <c r="N256" i="6"/>
  <c r="O256" i="6"/>
  <c r="P256" i="6"/>
  <c r="Q256" i="6"/>
  <c r="R256" i="6"/>
  <c r="S256" i="6"/>
  <c r="T256" i="6"/>
  <c r="U256" i="6"/>
  <c r="V256" i="6"/>
  <c r="L256" i="6"/>
  <c r="L294" i="6"/>
  <c r="S25" i="6"/>
  <c r="L245" i="6"/>
  <c r="L244" i="6"/>
  <c r="L247" i="6"/>
  <c r="C244" i="6"/>
  <c r="L246" i="6"/>
  <c r="L363" i="6" l="1"/>
  <c r="M453" i="6"/>
  <c r="N453" i="6"/>
  <c r="O453" i="6"/>
  <c r="P453" i="6"/>
  <c r="Q453" i="6"/>
  <c r="R453" i="6"/>
  <c r="S453" i="6"/>
  <c r="T453" i="6"/>
  <c r="U453" i="6"/>
  <c r="V453" i="6"/>
  <c r="L453" i="6"/>
  <c r="L444" i="6"/>
  <c r="L231" i="6"/>
  <c r="L17" i="6"/>
  <c r="L382" i="6"/>
  <c r="M382" i="6" s="1"/>
  <c r="N382" i="6" s="1"/>
  <c r="O382" i="6" s="1"/>
  <c r="P382" i="6" s="1"/>
  <c r="Q382" i="6" s="1"/>
  <c r="R382" i="6" s="1"/>
  <c r="S382" i="6" s="1"/>
  <c r="T382" i="6" s="1"/>
  <c r="U382" i="6" s="1"/>
  <c r="M390" i="6"/>
  <c r="N390" i="6"/>
  <c r="O390" i="6"/>
  <c r="P390" i="6"/>
  <c r="Q390" i="6" s="1"/>
  <c r="R390" i="6" s="1"/>
  <c r="S390" i="6" s="1"/>
  <c r="T390" i="6" s="1"/>
  <c r="U390" i="6" s="1"/>
  <c r="L390" i="6"/>
  <c r="L314" i="6"/>
  <c r="L219" i="6" s="1"/>
  <c r="L21" i="6" s="1"/>
  <c r="L370" i="6"/>
  <c r="L223" i="6"/>
  <c r="L19" i="6"/>
  <c r="L358" i="6"/>
  <c r="D245" i="6"/>
  <c r="E245" i="6"/>
  <c r="F245" i="6"/>
  <c r="G245" i="6"/>
  <c r="H245" i="6"/>
  <c r="I245" i="6"/>
  <c r="J245" i="6"/>
  <c r="K245" i="6"/>
  <c r="C245" i="6"/>
  <c r="E244" i="6"/>
  <c r="F244" i="6"/>
  <c r="G244" i="6"/>
  <c r="H244" i="6"/>
  <c r="I244" i="6"/>
  <c r="J244" i="6"/>
  <c r="K244" i="6"/>
  <c r="K271" i="6"/>
  <c r="J271" i="6"/>
  <c r="I271" i="6"/>
  <c r="H271" i="6"/>
  <c r="G271" i="6"/>
  <c r="F271" i="6"/>
  <c r="E271" i="6"/>
  <c r="D271" i="6"/>
  <c r="C271" i="6"/>
  <c r="B271" i="6"/>
  <c r="C269" i="6"/>
  <c r="D269" i="6"/>
  <c r="E269" i="6"/>
  <c r="F269" i="6"/>
  <c r="G269" i="6"/>
  <c r="H269" i="6"/>
  <c r="I269" i="6"/>
  <c r="J269" i="6"/>
  <c r="K269" i="6"/>
  <c r="B269" i="6"/>
  <c r="P58" i="6"/>
  <c r="Q56" i="6"/>
  <c r="S46" i="6"/>
  <c r="S47" i="6"/>
  <c r="S48" i="6"/>
  <c r="S49" i="6"/>
  <c r="S50" i="6"/>
  <c r="S45" i="6"/>
  <c r="R46" i="6"/>
  <c r="R47" i="6"/>
  <c r="R48" i="6"/>
  <c r="R49" i="6"/>
  <c r="R50" i="6"/>
  <c r="R45" i="6"/>
  <c r="Q46" i="6"/>
  <c r="Q47" i="6"/>
  <c r="Q48" i="6"/>
  <c r="Q49" i="6"/>
  <c r="Q50" i="6"/>
  <c r="Q45" i="6"/>
  <c r="M244" i="6" l="1"/>
  <c r="D246" i="6" l="1"/>
  <c r="E246" i="6"/>
  <c r="F246" i="6"/>
  <c r="G246" i="6"/>
  <c r="H246" i="6"/>
  <c r="I246" i="6"/>
  <c r="J246" i="6"/>
  <c r="K246" i="6"/>
  <c r="M246" i="6"/>
  <c r="C246" i="6"/>
  <c r="L306" i="6"/>
  <c r="L307" i="6" s="1"/>
  <c r="L308" i="6" s="1"/>
  <c r="L315" i="6"/>
  <c r="L316" i="6"/>
  <c r="L359" i="6"/>
  <c r="L304" i="6"/>
  <c r="M363" i="6"/>
  <c r="N363" i="6" s="1"/>
  <c r="O363" i="6" s="1"/>
  <c r="P363" i="6" s="1"/>
  <c r="Q363" i="6" s="1"/>
  <c r="R363" i="6" s="1"/>
  <c r="S363" i="6" s="1"/>
  <c r="T363" i="6" s="1"/>
  <c r="U363" i="6" s="1"/>
  <c r="V363" i="6" s="1"/>
  <c r="L221" i="6"/>
  <c r="C170" i="6"/>
  <c r="D170" i="6"/>
  <c r="E170" i="6"/>
  <c r="F170" i="6"/>
  <c r="G170" i="6"/>
  <c r="H170" i="6"/>
  <c r="I170" i="6"/>
  <c r="J170" i="6"/>
  <c r="K170" i="6"/>
  <c r="C171" i="6"/>
  <c r="C172" i="6" s="1"/>
  <c r="D171" i="6"/>
  <c r="D172" i="6" s="1"/>
  <c r="E171" i="6"/>
  <c r="E172" i="6" s="1"/>
  <c r="F171" i="6"/>
  <c r="F172" i="6" s="1"/>
  <c r="G171" i="6"/>
  <c r="H171" i="6"/>
  <c r="I171" i="6"/>
  <c r="J171" i="6"/>
  <c r="K171" i="6"/>
  <c r="G172" i="6"/>
  <c r="H172" i="6"/>
  <c r="I172" i="6"/>
  <c r="J172" i="6"/>
  <c r="K172" i="6"/>
  <c r="B172" i="6"/>
  <c r="B171" i="6"/>
  <c r="B170" i="6"/>
  <c r="C169" i="6"/>
  <c r="D169" i="6"/>
  <c r="E169" i="6"/>
  <c r="F169" i="6"/>
  <c r="G169" i="6"/>
  <c r="H169" i="6"/>
  <c r="I169" i="6"/>
  <c r="J169" i="6"/>
  <c r="K169" i="6"/>
  <c r="B169" i="6"/>
  <c r="M139" i="6"/>
  <c r="N139" i="6"/>
  <c r="O139" i="6"/>
  <c r="P139" i="6"/>
  <c r="Q139" i="6"/>
  <c r="R139" i="6"/>
  <c r="S139" i="6"/>
  <c r="T139" i="6"/>
  <c r="U139" i="6"/>
  <c r="V139" i="6"/>
  <c r="L139" i="6"/>
  <c r="K141" i="6"/>
  <c r="K142" i="6"/>
  <c r="K143" i="6"/>
  <c r="K144" i="6"/>
  <c r="K145" i="6"/>
  <c r="K140" i="6"/>
  <c r="C115" i="6"/>
  <c r="D115" i="6"/>
  <c r="E115" i="6"/>
  <c r="F115" i="6"/>
  <c r="G115" i="6"/>
  <c r="H115" i="6"/>
  <c r="I115" i="6"/>
  <c r="J115" i="6"/>
  <c r="K115" i="6"/>
  <c r="B115" i="6"/>
  <c r="A115" i="6"/>
  <c r="L113" i="6"/>
  <c r="M113" i="6"/>
  <c r="N113" i="6"/>
  <c r="O113" i="6"/>
  <c r="P113" i="6"/>
  <c r="Q113" i="6"/>
  <c r="R113" i="6"/>
  <c r="S113" i="6"/>
  <c r="T113" i="6"/>
  <c r="U113" i="6"/>
  <c r="C113" i="6"/>
  <c r="D113" i="6"/>
  <c r="E113" i="6"/>
  <c r="F113" i="6"/>
  <c r="G113" i="6"/>
  <c r="H113" i="6"/>
  <c r="I113" i="6"/>
  <c r="J113" i="6"/>
  <c r="K113" i="6"/>
  <c r="C114" i="6"/>
  <c r="D114" i="6"/>
  <c r="E114" i="6"/>
  <c r="F114" i="6"/>
  <c r="G114" i="6"/>
  <c r="H114" i="6"/>
  <c r="I114" i="6"/>
  <c r="J114" i="6"/>
  <c r="K114" i="6"/>
  <c r="B114" i="6"/>
  <c r="B113" i="6"/>
  <c r="M99" i="6"/>
  <c r="N99" i="6" s="1"/>
  <c r="L97" i="6"/>
  <c r="M97" i="6"/>
  <c r="L99" i="6"/>
  <c r="L101" i="6"/>
  <c r="M101" i="6"/>
  <c r="L102" i="6"/>
  <c r="M102" i="6"/>
  <c r="L103" i="6"/>
  <c r="M103" i="6"/>
  <c r="L104" i="6"/>
  <c r="M104" i="6"/>
  <c r="L105" i="6"/>
  <c r="M105" i="6"/>
  <c r="L106" i="6"/>
  <c r="M106" i="6"/>
  <c r="L405" i="6"/>
  <c r="M405" i="6" s="1"/>
  <c r="M460" i="6"/>
  <c r="N460" i="6"/>
  <c r="O460" i="6"/>
  <c r="P460" i="6"/>
  <c r="Q460" i="6"/>
  <c r="R460" i="6"/>
  <c r="S460" i="6"/>
  <c r="T460" i="6"/>
  <c r="U460" i="6"/>
  <c r="V460" i="6"/>
  <c r="M461" i="6"/>
  <c r="N461" i="6"/>
  <c r="O461" i="6"/>
  <c r="P461" i="6"/>
  <c r="Q461" i="6"/>
  <c r="R461" i="6"/>
  <c r="S461" i="6"/>
  <c r="T461" i="6"/>
  <c r="U461" i="6"/>
  <c r="V461" i="6"/>
  <c r="L461" i="6"/>
  <c r="L460" i="6"/>
  <c r="D344" i="6"/>
  <c r="E344" i="6"/>
  <c r="F344" i="6"/>
  <c r="G344" i="6"/>
  <c r="H344" i="6"/>
  <c r="I344" i="6"/>
  <c r="J344" i="6"/>
  <c r="K344" i="6"/>
  <c r="C344" i="6"/>
  <c r="M458" i="6"/>
  <c r="N458" i="6"/>
  <c r="O458" i="6"/>
  <c r="P458" i="6"/>
  <c r="Q458" i="6"/>
  <c r="R458" i="6"/>
  <c r="S458" i="6"/>
  <c r="T458" i="6"/>
  <c r="U458" i="6"/>
  <c r="V458" i="6"/>
  <c r="M459" i="6"/>
  <c r="N459" i="6"/>
  <c r="O459" i="6"/>
  <c r="P459" i="6"/>
  <c r="Q459" i="6"/>
  <c r="R459" i="6"/>
  <c r="S459" i="6"/>
  <c r="T459" i="6"/>
  <c r="U459" i="6"/>
  <c r="V459" i="6"/>
  <c r="L459" i="6"/>
  <c r="L458" i="6"/>
  <c r="L213" i="6"/>
  <c r="L448" i="6"/>
  <c r="M448" i="6"/>
  <c r="N448" i="6"/>
  <c r="O448" i="6"/>
  <c r="P448" i="6"/>
  <c r="Q448" i="6"/>
  <c r="R448" i="6"/>
  <c r="S448" i="6"/>
  <c r="T448" i="6"/>
  <c r="U448" i="6"/>
  <c r="V448" i="6"/>
  <c r="M436" i="6"/>
  <c r="N436" i="6"/>
  <c r="O436" i="6"/>
  <c r="P436" i="6"/>
  <c r="Q436" i="6"/>
  <c r="R436" i="6"/>
  <c r="S436" i="6"/>
  <c r="T436" i="6"/>
  <c r="U436" i="6"/>
  <c r="V436" i="6"/>
  <c r="M437" i="6"/>
  <c r="N437" i="6"/>
  <c r="O437" i="6"/>
  <c r="P437" i="6"/>
  <c r="Q437" i="6"/>
  <c r="R437" i="6"/>
  <c r="S437" i="6"/>
  <c r="T437" i="6"/>
  <c r="U437" i="6"/>
  <c r="V437" i="6"/>
  <c r="M438" i="6"/>
  <c r="N438" i="6"/>
  <c r="O438" i="6"/>
  <c r="P438" i="6"/>
  <c r="Q438" i="6"/>
  <c r="R438" i="6"/>
  <c r="S438" i="6"/>
  <c r="T438" i="6"/>
  <c r="U438" i="6"/>
  <c r="V438" i="6"/>
  <c r="M439" i="6"/>
  <c r="N439" i="6"/>
  <c r="O439" i="6"/>
  <c r="P439" i="6"/>
  <c r="Q439" i="6"/>
  <c r="R439" i="6"/>
  <c r="S439" i="6"/>
  <c r="T439" i="6"/>
  <c r="U439" i="6"/>
  <c r="V439" i="6"/>
  <c r="M440" i="6"/>
  <c r="N440" i="6"/>
  <c r="O440" i="6"/>
  <c r="P440" i="6"/>
  <c r="Q440" i="6"/>
  <c r="R440" i="6"/>
  <c r="S440" i="6"/>
  <c r="T440" i="6"/>
  <c r="U440" i="6"/>
  <c r="V440" i="6"/>
  <c r="M441" i="6"/>
  <c r="N441" i="6"/>
  <c r="O441" i="6"/>
  <c r="P441" i="6"/>
  <c r="Q441" i="6"/>
  <c r="R441" i="6"/>
  <c r="S441" i="6"/>
  <c r="T441" i="6"/>
  <c r="U441" i="6"/>
  <c r="V441" i="6"/>
  <c r="M442" i="6"/>
  <c r="N442" i="6"/>
  <c r="O442" i="6"/>
  <c r="P442" i="6"/>
  <c r="Q442" i="6"/>
  <c r="R442" i="6"/>
  <c r="S442" i="6"/>
  <c r="T442" i="6"/>
  <c r="U442" i="6"/>
  <c r="V442" i="6"/>
  <c r="M443" i="6"/>
  <c r="N443" i="6"/>
  <c r="O443" i="6"/>
  <c r="P443" i="6"/>
  <c r="Q443" i="6"/>
  <c r="R443" i="6"/>
  <c r="S443" i="6"/>
  <c r="T443" i="6"/>
  <c r="U443" i="6"/>
  <c r="V443" i="6"/>
  <c r="L437" i="6"/>
  <c r="L438" i="6"/>
  <c r="L439" i="6"/>
  <c r="L440" i="6"/>
  <c r="L441" i="6"/>
  <c r="L442" i="6"/>
  <c r="L443" i="6"/>
  <c r="L436" i="6"/>
  <c r="M428" i="6"/>
  <c r="N428" i="6"/>
  <c r="O428" i="6"/>
  <c r="P428" i="6"/>
  <c r="Q428" i="6"/>
  <c r="R428" i="6"/>
  <c r="S428" i="6"/>
  <c r="T428" i="6"/>
  <c r="U428" i="6"/>
  <c r="V428" i="6"/>
  <c r="M429" i="6"/>
  <c r="N429" i="6"/>
  <c r="O429" i="6"/>
  <c r="P429" i="6"/>
  <c r="Q429" i="6"/>
  <c r="R429" i="6"/>
  <c r="S429" i="6"/>
  <c r="T429" i="6"/>
  <c r="U429" i="6"/>
  <c r="V429" i="6"/>
  <c r="M430" i="6"/>
  <c r="N430" i="6"/>
  <c r="O430" i="6"/>
  <c r="P430" i="6"/>
  <c r="Q430" i="6"/>
  <c r="R430" i="6"/>
  <c r="S430" i="6"/>
  <c r="T430" i="6"/>
  <c r="U430" i="6"/>
  <c r="V430" i="6"/>
  <c r="M431" i="6"/>
  <c r="N431" i="6"/>
  <c r="O431" i="6"/>
  <c r="P431" i="6"/>
  <c r="Q431" i="6"/>
  <c r="R431" i="6"/>
  <c r="S431" i="6"/>
  <c r="T431" i="6"/>
  <c r="U431" i="6"/>
  <c r="V431" i="6"/>
  <c r="M432" i="6"/>
  <c r="N432" i="6"/>
  <c r="O432" i="6"/>
  <c r="P432" i="6"/>
  <c r="Q432" i="6"/>
  <c r="R432" i="6"/>
  <c r="S432" i="6"/>
  <c r="T432" i="6"/>
  <c r="U432" i="6"/>
  <c r="V432" i="6"/>
  <c r="L429" i="6"/>
  <c r="L430" i="6"/>
  <c r="L431" i="6"/>
  <c r="L432" i="6"/>
  <c r="L428" i="6"/>
  <c r="M425" i="6"/>
  <c r="N425" i="6"/>
  <c r="O425" i="6"/>
  <c r="P425" i="6"/>
  <c r="Q425" i="6"/>
  <c r="R425" i="6"/>
  <c r="S425" i="6"/>
  <c r="T425" i="6"/>
  <c r="U425" i="6"/>
  <c r="V425" i="6"/>
  <c r="M426" i="6"/>
  <c r="N426" i="6"/>
  <c r="O426" i="6"/>
  <c r="P426" i="6"/>
  <c r="Q426" i="6"/>
  <c r="R426" i="6"/>
  <c r="S426" i="6"/>
  <c r="T426" i="6"/>
  <c r="U426" i="6"/>
  <c r="V426" i="6"/>
  <c r="L426" i="6"/>
  <c r="L425" i="6"/>
  <c r="M424" i="6"/>
  <c r="N424" i="6"/>
  <c r="O424" i="6"/>
  <c r="P424" i="6"/>
  <c r="Q424" i="6"/>
  <c r="R424" i="6"/>
  <c r="S424" i="6"/>
  <c r="T424" i="6"/>
  <c r="U424" i="6"/>
  <c r="V424" i="6"/>
  <c r="L424" i="6"/>
  <c r="L48" i="6"/>
  <c r="U45" i="6"/>
  <c r="L90" i="6"/>
  <c r="L91" i="6"/>
  <c r="L92" i="6"/>
  <c r="L93" i="6"/>
  <c r="L94" i="6"/>
  <c r="L95" i="6"/>
  <c r="L96" i="6"/>
  <c r="L107" i="6"/>
  <c r="L89" i="6"/>
  <c r="M90" i="6"/>
  <c r="M91" i="6"/>
  <c r="M92" i="6"/>
  <c r="M93" i="6"/>
  <c r="M94" i="6"/>
  <c r="M95" i="6"/>
  <c r="M96" i="6"/>
  <c r="M107" i="6"/>
  <c r="M89" i="6"/>
  <c r="H53" i="6"/>
  <c r="U50" i="6"/>
  <c r="U46" i="6"/>
  <c r="U47" i="6"/>
  <c r="U48" i="6"/>
  <c r="U49" i="6"/>
  <c r="P51" i="6"/>
  <c r="P52" i="6" s="1"/>
  <c r="M51" i="6"/>
  <c r="M52" i="6" s="1"/>
  <c r="N51" i="6"/>
  <c r="N52" i="6" s="1"/>
  <c r="O51" i="6"/>
  <c r="O52" i="6" s="1"/>
  <c r="M53" i="6"/>
  <c r="L45" i="6"/>
  <c r="L46" i="6"/>
  <c r="L47" i="6"/>
  <c r="L49" i="6"/>
  <c r="L50" i="6"/>
  <c r="I53" i="6"/>
  <c r="I51" i="6"/>
  <c r="I52" i="6" s="1"/>
  <c r="J51" i="6"/>
  <c r="J52" i="6" s="1"/>
  <c r="K51" i="6"/>
  <c r="K52" i="6" s="1"/>
  <c r="H51" i="6"/>
  <c r="H52" i="6" s="1"/>
  <c r="H295" i="6"/>
  <c r="I295" i="6"/>
  <c r="J295" i="6"/>
  <c r="K295" i="6"/>
  <c r="G295" i="6"/>
  <c r="M364" i="6"/>
  <c r="N364" i="6"/>
  <c r="O364" i="6"/>
  <c r="P364" i="6"/>
  <c r="Q364" i="6"/>
  <c r="R364" i="6"/>
  <c r="S364" i="6"/>
  <c r="T364" i="6"/>
  <c r="U364" i="6"/>
  <c r="V364" i="6"/>
  <c r="M365" i="6"/>
  <c r="N365" i="6"/>
  <c r="O365" i="6"/>
  <c r="P365" i="6"/>
  <c r="Q365" i="6"/>
  <c r="R365" i="6"/>
  <c r="S365" i="6"/>
  <c r="T365" i="6"/>
  <c r="U365" i="6"/>
  <c r="V365" i="6"/>
  <c r="M366" i="6"/>
  <c r="N366" i="6"/>
  <c r="O366" i="6"/>
  <c r="P366" i="6"/>
  <c r="Q366" i="6"/>
  <c r="R366" i="6"/>
  <c r="S366" i="6"/>
  <c r="T366" i="6"/>
  <c r="U366" i="6"/>
  <c r="V366" i="6"/>
  <c r="M367" i="6"/>
  <c r="N367" i="6"/>
  <c r="O367" i="6"/>
  <c r="P367" i="6"/>
  <c r="Q367" i="6"/>
  <c r="R367" i="6"/>
  <c r="S367" i="6"/>
  <c r="T367" i="6"/>
  <c r="U367" i="6"/>
  <c r="V367" i="6"/>
  <c r="M368" i="6"/>
  <c r="N368" i="6"/>
  <c r="O368" i="6"/>
  <c r="P368" i="6"/>
  <c r="Q368" i="6"/>
  <c r="R368" i="6"/>
  <c r="S368" i="6"/>
  <c r="T368" i="6"/>
  <c r="U368" i="6"/>
  <c r="V368" i="6"/>
  <c r="M369" i="6"/>
  <c r="N369" i="6"/>
  <c r="O369" i="6"/>
  <c r="P369" i="6"/>
  <c r="Q369" i="6"/>
  <c r="R369" i="6"/>
  <c r="S369" i="6"/>
  <c r="T369" i="6"/>
  <c r="U369" i="6"/>
  <c r="V369" i="6"/>
  <c r="L365" i="6"/>
  <c r="L366" i="6"/>
  <c r="L367" i="6"/>
  <c r="L368" i="6"/>
  <c r="L369" i="6"/>
  <c r="L364" i="6"/>
  <c r="K378" i="6"/>
  <c r="P53" i="6"/>
  <c r="O53" i="6"/>
  <c r="N53" i="6"/>
  <c r="K35" i="6"/>
  <c r="O98" i="6" s="1"/>
  <c r="M98" i="6" s="1"/>
  <c r="K32" i="6"/>
  <c r="L310" i="6" l="1"/>
  <c r="L321" i="6"/>
  <c r="L322" i="6" s="1"/>
  <c r="L327" i="6" s="1"/>
  <c r="T50" i="6"/>
  <c r="U53" i="6"/>
  <c r="L423" i="6"/>
  <c r="L344" i="6"/>
  <c r="L375" i="6" s="1"/>
  <c r="M375" i="6" s="1"/>
  <c r="N375" i="6" s="1"/>
  <c r="O375" i="6" s="1"/>
  <c r="P375" i="6" s="1"/>
  <c r="Q375" i="6" s="1"/>
  <c r="R375" i="6" s="1"/>
  <c r="S375" i="6" s="1"/>
  <c r="T375" i="6" s="1"/>
  <c r="U375" i="6" s="1"/>
  <c r="V375" i="6" s="1"/>
  <c r="U51" i="6"/>
  <c r="L295" i="6"/>
  <c r="L51" i="6"/>
  <c r="T48" i="6"/>
  <c r="L52" i="6"/>
  <c r="T49" i="6"/>
  <c r="Q53" i="6"/>
  <c r="U52" i="6"/>
  <c r="U55" i="6" s="1"/>
  <c r="U56" i="6" s="1"/>
  <c r="T45" i="6"/>
  <c r="T46" i="6"/>
  <c r="T47" i="6"/>
  <c r="Q51" i="6"/>
  <c r="Q52" i="6" s="1"/>
  <c r="O25" i="6"/>
  <c r="K16" i="6"/>
  <c r="N212" i="6"/>
  <c r="O212" i="6"/>
  <c r="P212" i="6"/>
  <c r="Q212" i="6"/>
  <c r="R212" i="6"/>
  <c r="S212" i="6"/>
  <c r="T212" i="6"/>
  <c r="U212" i="6"/>
  <c r="V212" i="6"/>
  <c r="N213" i="6"/>
  <c r="O213" i="6"/>
  <c r="P213" i="6"/>
  <c r="Q213" i="6"/>
  <c r="R213" i="6"/>
  <c r="S213" i="6"/>
  <c r="T213" i="6"/>
  <c r="U213" i="6"/>
  <c r="V213" i="6"/>
  <c r="M212" i="6"/>
  <c r="M213" i="6"/>
  <c r="N405" i="6"/>
  <c r="O405" i="6" s="1"/>
  <c r="P405" i="6" s="1"/>
  <c r="Q405" i="6" s="1"/>
  <c r="R405" i="6" s="1"/>
  <c r="S405" i="6" s="1"/>
  <c r="T405" i="6" s="1"/>
  <c r="U405" i="6" s="1"/>
  <c r="V405" i="6" s="1"/>
  <c r="V452" i="6"/>
  <c r="U452" i="6"/>
  <c r="T452" i="6"/>
  <c r="S452" i="6"/>
  <c r="R452" i="6"/>
  <c r="Q452" i="6"/>
  <c r="P452" i="6"/>
  <c r="O452" i="6"/>
  <c r="N452" i="6"/>
  <c r="M452" i="6"/>
  <c r="V451" i="6"/>
  <c r="U451" i="6"/>
  <c r="T451" i="6"/>
  <c r="S451" i="6"/>
  <c r="R451" i="6"/>
  <c r="Q451" i="6"/>
  <c r="P451" i="6"/>
  <c r="O451" i="6"/>
  <c r="N451" i="6"/>
  <c r="M451" i="6"/>
  <c r="L451" i="6"/>
  <c r="L452" i="6"/>
  <c r="L212" i="6"/>
  <c r="K193" i="6"/>
  <c r="K192" i="6"/>
  <c r="K191" i="6"/>
  <c r="B193" i="6"/>
  <c r="C193" i="6"/>
  <c r="D193" i="6"/>
  <c r="E193" i="6"/>
  <c r="F193" i="6"/>
  <c r="G193" i="6"/>
  <c r="H193" i="6"/>
  <c r="I193" i="6"/>
  <c r="J193" i="6"/>
  <c r="B378" i="6"/>
  <c r="C378" i="6"/>
  <c r="D378" i="6"/>
  <c r="E378" i="6"/>
  <c r="F378" i="6"/>
  <c r="G378" i="6"/>
  <c r="H378" i="6"/>
  <c r="I378" i="6"/>
  <c r="J378" i="6"/>
  <c r="L326" i="6" l="1"/>
  <c r="Q54" i="6"/>
  <c r="Q55" i="6"/>
  <c r="L328" i="6"/>
  <c r="Q32" i="6"/>
  <c r="R51" i="6"/>
  <c r="R52" i="6" s="1"/>
  <c r="R55" i="6" s="1"/>
  <c r="S51" i="6"/>
  <c r="S52" i="6" s="1"/>
  <c r="S55" i="6" s="1"/>
  <c r="T51" i="6"/>
  <c r="T52" i="6"/>
  <c r="U54" i="6"/>
  <c r="T55" i="6" l="1"/>
  <c r="T33" i="6"/>
  <c r="M454" i="6" l="1"/>
  <c r="N454" i="6"/>
  <c r="O454" i="6"/>
  <c r="P454" i="6"/>
  <c r="Q454" i="6"/>
  <c r="R454" i="6"/>
  <c r="S454" i="6"/>
  <c r="T454" i="6"/>
  <c r="U454" i="6"/>
  <c r="V454" i="6"/>
  <c r="M455" i="6"/>
  <c r="N455" i="6"/>
  <c r="O455" i="6"/>
  <c r="P455" i="6"/>
  <c r="Q455" i="6"/>
  <c r="R455" i="6"/>
  <c r="S455" i="6"/>
  <c r="T455" i="6"/>
  <c r="U455" i="6"/>
  <c r="V455" i="6"/>
  <c r="M456" i="6"/>
  <c r="N456" i="6"/>
  <c r="O456" i="6"/>
  <c r="P456" i="6"/>
  <c r="Q456" i="6"/>
  <c r="R456" i="6"/>
  <c r="S456" i="6"/>
  <c r="T456" i="6"/>
  <c r="U456" i="6"/>
  <c r="V456" i="6"/>
  <c r="M457" i="6"/>
  <c r="N457" i="6"/>
  <c r="O457" i="6"/>
  <c r="P457" i="6"/>
  <c r="Q457" i="6"/>
  <c r="R457" i="6"/>
  <c r="S457" i="6"/>
  <c r="T457" i="6"/>
  <c r="U457" i="6"/>
  <c r="V457" i="6"/>
  <c r="L454" i="6"/>
  <c r="L391" i="6"/>
  <c r="M391" i="6" s="1"/>
  <c r="N391" i="6" s="1"/>
  <c r="O391" i="6" s="1"/>
  <c r="P391" i="6" s="1"/>
  <c r="Q391" i="6" s="1"/>
  <c r="R391" i="6" s="1"/>
  <c r="S391" i="6" s="1"/>
  <c r="T391" i="6" s="1"/>
  <c r="U391" i="6" s="1"/>
  <c r="V391" i="6" s="1"/>
  <c r="L392" i="6"/>
  <c r="M392" i="6" s="1"/>
  <c r="N392" i="6" s="1"/>
  <c r="O392" i="6" s="1"/>
  <c r="P392" i="6" s="1"/>
  <c r="Q392" i="6" s="1"/>
  <c r="R392" i="6" s="1"/>
  <c r="S392" i="6" s="1"/>
  <c r="T392" i="6" s="1"/>
  <c r="U392" i="6" s="1"/>
  <c r="V392" i="6" s="1"/>
  <c r="M323" i="6"/>
  <c r="N323" i="6"/>
  <c r="O323" i="6"/>
  <c r="P323" i="6"/>
  <c r="Q323" i="6"/>
  <c r="R323" i="6"/>
  <c r="S323" i="6"/>
  <c r="T323" i="6"/>
  <c r="U323" i="6"/>
  <c r="V323" i="6"/>
  <c r="M324" i="6"/>
  <c r="N324" i="6"/>
  <c r="O324" i="6"/>
  <c r="P324" i="6"/>
  <c r="Q324" i="6"/>
  <c r="R324" i="6"/>
  <c r="S324" i="6"/>
  <c r="T324" i="6"/>
  <c r="U324" i="6"/>
  <c r="V324" i="6"/>
  <c r="M325" i="6"/>
  <c r="N325" i="6"/>
  <c r="O325" i="6"/>
  <c r="P325" i="6"/>
  <c r="Q325" i="6"/>
  <c r="R325" i="6"/>
  <c r="S325" i="6"/>
  <c r="T325" i="6"/>
  <c r="U325" i="6"/>
  <c r="V325" i="6"/>
  <c r="L324" i="6"/>
  <c r="L325" i="6"/>
  <c r="L323" i="6"/>
  <c r="M318" i="6"/>
  <c r="N318" i="6"/>
  <c r="O318" i="6"/>
  <c r="P318" i="6"/>
  <c r="Q318" i="6"/>
  <c r="R318" i="6"/>
  <c r="S318" i="6"/>
  <c r="T318" i="6"/>
  <c r="U318" i="6"/>
  <c r="V318" i="6"/>
  <c r="M319" i="6"/>
  <c r="N319" i="6"/>
  <c r="O319" i="6"/>
  <c r="P319" i="6"/>
  <c r="Q319" i="6"/>
  <c r="R319" i="6"/>
  <c r="S319" i="6"/>
  <c r="T319" i="6"/>
  <c r="U319" i="6"/>
  <c r="V319" i="6"/>
  <c r="M320" i="6"/>
  <c r="N320" i="6"/>
  <c r="O320" i="6"/>
  <c r="P320" i="6"/>
  <c r="Q320" i="6"/>
  <c r="R320" i="6"/>
  <c r="S320" i="6"/>
  <c r="T320" i="6"/>
  <c r="U320" i="6"/>
  <c r="V320" i="6"/>
  <c r="L319" i="6"/>
  <c r="L320" i="6"/>
  <c r="L318" i="6"/>
  <c r="M317" i="6"/>
  <c r="N317" i="6"/>
  <c r="O317" i="6"/>
  <c r="P317" i="6"/>
  <c r="Q317" i="6"/>
  <c r="R317" i="6"/>
  <c r="S317" i="6"/>
  <c r="T317" i="6"/>
  <c r="U317" i="6"/>
  <c r="V317" i="6"/>
  <c r="L317" i="6"/>
  <c r="M316" i="6"/>
  <c r="N316" i="6" s="1"/>
  <c r="O316" i="6" s="1"/>
  <c r="M311" i="6"/>
  <c r="N311" i="6"/>
  <c r="O311" i="6"/>
  <c r="P311" i="6"/>
  <c r="Q311" i="6"/>
  <c r="R311" i="6"/>
  <c r="S311" i="6"/>
  <c r="T311" i="6"/>
  <c r="U311" i="6"/>
  <c r="V311" i="6"/>
  <c r="L311" i="6"/>
  <c r="D320" i="6"/>
  <c r="M312" i="6"/>
  <c r="N312" i="6"/>
  <c r="O312" i="6"/>
  <c r="P312" i="6"/>
  <c r="Q312" i="6"/>
  <c r="R312" i="6"/>
  <c r="S312" i="6"/>
  <c r="T312" i="6"/>
  <c r="U312" i="6"/>
  <c r="V312" i="6"/>
  <c r="M313" i="6"/>
  <c r="N313" i="6"/>
  <c r="O313" i="6"/>
  <c r="P313" i="6"/>
  <c r="Q313" i="6"/>
  <c r="R313" i="6"/>
  <c r="S313" i="6"/>
  <c r="T313" i="6"/>
  <c r="U313" i="6"/>
  <c r="V313" i="6"/>
  <c r="L312" i="6"/>
  <c r="L313" i="6"/>
  <c r="L309" i="6"/>
  <c r="M309" i="6" s="1"/>
  <c r="N309" i="6" s="1"/>
  <c r="O309" i="6" s="1"/>
  <c r="P309" i="6" s="1"/>
  <c r="Q309" i="6" s="1"/>
  <c r="R309" i="6" s="1"/>
  <c r="S309" i="6" s="1"/>
  <c r="T309" i="6" s="1"/>
  <c r="U309" i="6" s="1"/>
  <c r="V309" i="6" s="1"/>
  <c r="L301" i="6"/>
  <c r="L16" i="6" l="1"/>
  <c r="P316" i="6"/>
  <c r="Q316" i="6" l="1"/>
  <c r="R316" i="6"/>
  <c r="S316" i="6" s="1"/>
  <c r="T316" i="6" l="1"/>
  <c r="U316" i="6" s="1"/>
  <c r="V316" i="6" l="1"/>
  <c r="L457" i="6" l="1"/>
  <c r="L456" i="6"/>
  <c r="L455" i="6"/>
  <c r="B196" i="6"/>
  <c r="C196" i="6"/>
  <c r="D196" i="6"/>
  <c r="E196" i="6"/>
  <c r="F196" i="6"/>
  <c r="G196" i="6"/>
  <c r="H196" i="6"/>
  <c r="I196" i="6"/>
  <c r="J196" i="6"/>
  <c r="K196" i="6"/>
  <c r="B195" i="6"/>
  <c r="C195" i="6"/>
  <c r="D195" i="6"/>
  <c r="E195" i="6"/>
  <c r="F195" i="6"/>
  <c r="G195" i="6"/>
  <c r="H195" i="6"/>
  <c r="I195" i="6"/>
  <c r="J195" i="6"/>
  <c r="K195" i="6"/>
  <c r="K28" i="6" s="1"/>
  <c r="B398" i="6"/>
  <c r="B194" i="6" s="1"/>
  <c r="C398" i="6"/>
  <c r="C194" i="6" s="1"/>
  <c r="D398" i="6"/>
  <c r="D194" i="6" s="1"/>
  <c r="E398" i="6"/>
  <c r="E194" i="6" s="1"/>
  <c r="F398" i="6"/>
  <c r="F194" i="6" s="1"/>
  <c r="G398" i="6"/>
  <c r="G194" i="6" s="1"/>
  <c r="H398" i="6"/>
  <c r="H194" i="6" s="1"/>
  <c r="I398" i="6"/>
  <c r="I194" i="6" s="1"/>
  <c r="J398" i="6"/>
  <c r="J194" i="6" s="1"/>
  <c r="B192" i="6"/>
  <c r="C192" i="6"/>
  <c r="D192" i="6"/>
  <c r="E192" i="6"/>
  <c r="F192" i="6"/>
  <c r="G192" i="6"/>
  <c r="H192" i="6"/>
  <c r="I192" i="6"/>
  <c r="J192" i="6"/>
  <c r="B197" i="6"/>
  <c r="C197" i="6"/>
  <c r="D197" i="6"/>
  <c r="E197" i="6"/>
  <c r="F197" i="6"/>
  <c r="G197" i="6"/>
  <c r="H197" i="6"/>
  <c r="I197" i="6"/>
  <c r="J197" i="6"/>
  <c r="K197" i="6"/>
  <c r="B191" i="6"/>
  <c r="C191" i="6"/>
  <c r="D191" i="6"/>
  <c r="E191" i="6"/>
  <c r="F191" i="6"/>
  <c r="G191" i="6"/>
  <c r="H191" i="6"/>
  <c r="I191" i="6"/>
  <c r="J191" i="6"/>
  <c r="L406" i="6"/>
  <c r="M406" i="6" s="1"/>
  <c r="N406" i="6" s="1"/>
  <c r="O406" i="6" s="1"/>
  <c r="P406" i="6" s="1"/>
  <c r="Q406" i="6" s="1"/>
  <c r="R406" i="6" s="1"/>
  <c r="S406" i="6" s="1"/>
  <c r="T406" i="6" s="1"/>
  <c r="U406" i="6" s="1"/>
  <c r="V406" i="6" s="1"/>
  <c r="L402" i="6"/>
  <c r="M402" i="6" s="1"/>
  <c r="N402" i="6" s="1"/>
  <c r="O402" i="6" s="1"/>
  <c r="P402" i="6" s="1"/>
  <c r="Q402" i="6" s="1"/>
  <c r="R402" i="6" s="1"/>
  <c r="S402" i="6" s="1"/>
  <c r="T402" i="6" s="1"/>
  <c r="U402" i="6" s="1"/>
  <c r="V402" i="6" s="1"/>
  <c r="K398" i="6"/>
  <c r="K194" i="6" s="1"/>
  <c r="C294" i="6"/>
  <c r="D294" i="6"/>
  <c r="B294" i="6"/>
  <c r="C293" i="6"/>
  <c r="D293" i="6"/>
  <c r="E293" i="6"/>
  <c r="F293" i="6"/>
  <c r="G293" i="6"/>
  <c r="H293" i="6"/>
  <c r="I293" i="6"/>
  <c r="J293" i="6"/>
  <c r="K293" i="6"/>
  <c r="B293" i="6"/>
  <c r="C292" i="6"/>
  <c r="D292" i="6"/>
  <c r="E292" i="6"/>
  <c r="F292" i="6"/>
  <c r="G292" i="6"/>
  <c r="H292" i="6"/>
  <c r="I292" i="6"/>
  <c r="J292" i="6"/>
  <c r="K292" i="6"/>
  <c r="B292" i="6"/>
  <c r="K291" i="6"/>
  <c r="C291" i="6"/>
  <c r="D291" i="6"/>
  <c r="E291" i="6"/>
  <c r="F291" i="6"/>
  <c r="G291" i="6"/>
  <c r="H291" i="6"/>
  <c r="I291" i="6"/>
  <c r="J291" i="6"/>
  <c r="B291" i="6"/>
  <c r="C290" i="6"/>
  <c r="D290" i="6"/>
  <c r="E290" i="6"/>
  <c r="F290" i="6"/>
  <c r="G290" i="6"/>
  <c r="H290" i="6"/>
  <c r="I290" i="6"/>
  <c r="J290" i="6"/>
  <c r="K290" i="6"/>
  <c r="B290" i="6"/>
  <c r="C289" i="6"/>
  <c r="D289" i="6"/>
  <c r="E289" i="6"/>
  <c r="F289" i="6"/>
  <c r="G289" i="6"/>
  <c r="H289" i="6"/>
  <c r="I289" i="6"/>
  <c r="J289" i="6"/>
  <c r="K289" i="6"/>
  <c r="B289" i="6"/>
  <c r="D288" i="6"/>
  <c r="E288" i="6"/>
  <c r="F288" i="6"/>
  <c r="G288" i="6"/>
  <c r="H288" i="6"/>
  <c r="I288" i="6"/>
  <c r="J288" i="6"/>
  <c r="K288" i="6"/>
  <c r="C288" i="6"/>
  <c r="E198" i="6" l="1"/>
  <c r="K198" i="6"/>
  <c r="K29" i="6"/>
  <c r="K53" i="6" s="1"/>
  <c r="S27" i="6"/>
  <c r="J53" i="6"/>
  <c r="L53" i="6" s="1"/>
  <c r="K30" i="6"/>
  <c r="F198" i="6"/>
  <c r="H198" i="6"/>
  <c r="D198" i="6"/>
  <c r="G198" i="6"/>
  <c r="J198" i="6"/>
  <c r="L289" i="6"/>
  <c r="I198" i="6"/>
  <c r="C198" i="6"/>
  <c r="B198" i="6"/>
  <c r="L290" i="6"/>
  <c r="L293" i="6"/>
  <c r="L292" i="6"/>
  <c r="L291" i="6"/>
  <c r="L288" i="6"/>
  <c r="O252" i="6"/>
  <c r="P252" i="6" s="1"/>
  <c r="Q252" i="6" s="1"/>
  <c r="R252" i="6" s="1"/>
  <c r="S252" i="6" s="1"/>
  <c r="T252" i="6" s="1"/>
  <c r="U252" i="6" s="1"/>
  <c r="V252" i="6" s="1"/>
  <c r="S56" i="6" l="1"/>
  <c r="P35" i="6" s="1"/>
  <c r="R56" i="6"/>
  <c r="T56" i="6"/>
  <c r="T53" i="6"/>
  <c r="R53" i="6"/>
  <c r="R54" i="6" s="1"/>
  <c r="S53" i="6"/>
  <c r="S54" i="6" s="1"/>
  <c r="S26" i="6"/>
  <c r="S28" i="6"/>
  <c r="M301" i="6"/>
  <c r="M370" i="6" s="1"/>
  <c r="L302" i="6"/>
  <c r="U33" i="6"/>
  <c r="S33" i="6"/>
  <c r="R33" i="6"/>
  <c r="Q33" i="6"/>
  <c r="U32" i="6"/>
  <c r="T31" i="6"/>
  <c r="S31" i="6"/>
  <c r="R31" i="6"/>
  <c r="R32" i="6" l="1"/>
  <c r="T54" i="6"/>
  <c r="T32" i="6"/>
  <c r="S32" i="6"/>
  <c r="M16" i="6"/>
  <c r="L18" i="6"/>
  <c r="L141" i="6" s="1"/>
  <c r="L397" i="6"/>
  <c r="M397" i="6" s="1"/>
  <c r="L384" i="6"/>
  <c r="M384" i="6" s="1"/>
  <c r="L376" i="6"/>
  <c r="M376" i="6" s="1"/>
  <c r="M359" i="6"/>
  <c r="L371" i="6"/>
  <c r="M371" i="6" s="1"/>
  <c r="L353" i="6"/>
  <c r="M353" i="6" s="1"/>
  <c r="L386" i="6"/>
  <c r="M386" i="6" s="1"/>
  <c r="L377" i="6"/>
  <c r="M377" i="6" s="1"/>
  <c r="L360" i="6"/>
  <c r="M360" i="6" s="1"/>
  <c r="L374" i="6"/>
  <c r="L395" i="6"/>
  <c r="M395" i="6" s="1"/>
  <c r="L387" i="6"/>
  <c r="M387" i="6" s="1"/>
  <c r="L361" i="6"/>
  <c r="M361" i="6" s="1"/>
  <c r="L385" i="6"/>
  <c r="M385" i="6" s="1"/>
  <c r="L396" i="6"/>
  <c r="M396" i="6" s="1"/>
  <c r="L383" i="6"/>
  <c r="M383" i="6" s="1"/>
  <c r="M358" i="6"/>
  <c r="L394" i="6"/>
  <c r="M394" i="6" s="1"/>
  <c r="L355" i="6"/>
  <c r="M355" i="6" s="1"/>
  <c r="L393" i="6"/>
  <c r="L357" i="6"/>
  <c r="M357" i="6" s="1"/>
  <c r="L373" i="6"/>
  <c r="M373" i="6" s="1"/>
  <c r="L354" i="6"/>
  <c r="M354" i="6" s="1"/>
  <c r="L372" i="6"/>
  <c r="M372" i="6" s="1"/>
  <c r="L356" i="6"/>
  <c r="M356" i="6" s="1"/>
  <c r="L352" i="6"/>
  <c r="N301" i="6"/>
  <c r="N16" i="6" s="1"/>
  <c r="M302" i="6"/>
  <c r="G53" i="6"/>
  <c r="M374" i="6" l="1"/>
  <c r="L378" i="6"/>
  <c r="N386" i="6"/>
  <c r="N371" i="6"/>
  <c r="N358" i="6"/>
  <c r="N383" i="6"/>
  <c r="N396" i="6"/>
  <c r="N353" i="6"/>
  <c r="N385" i="6"/>
  <c r="N357" i="6"/>
  <c r="N373" i="6"/>
  <c r="N370" i="6"/>
  <c r="L193" i="6"/>
  <c r="L202" i="6" s="1"/>
  <c r="L142" i="6" s="1"/>
  <c r="N372" i="6"/>
  <c r="N360" i="6"/>
  <c r="N354" i="6"/>
  <c r="N377" i="6"/>
  <c r="N361" i="6"/>
  <c r="N355" i="6"/>
  <c r="M314" i="6"/>
  <c r="N359" i="6"/>
  <c r="N376" i="6"/>
  <c r="N384" i="6"/>
  <c r="N397" i="6"/>
  <c r="N395" i="6"/>
  <c r="L398" i="6"/>
  <c r="L194" i="6" s="1"/>
  <c r="L203" i="6" s="1"/>
  <c r="M393" i="6"/>
  <c r="N387" i="6"/>
  <c r="M352" i="6"/>
  <c r="L191" i="6"/>
  <c r="N356" i="6"/>
  <c r="N394" i="6"/>
  <c r="N374" i="6"/>
  <c r="L303" i="6"/>
  <c r="L114" i="6" s="1"/>
  <c r="L342" i="6"/>
  <c r="L195" i="6"/>
  <c r="M306" i="6"/>
  <c r="M307" i="6" s="1"/>
  <c r="M304" i="6"/>
  <c r="L388" i="6"/>
  <c r="L192" i="6" s="1"/>
  <c r="O301" i="6"/>
  <c r="O16" i="6" s="1"/>
  <c r="N302" i="6"/>
  <c r="A116" i="6"/>
  <c r="A114" i="6"/>
  <c r="A113" i="6"/>
  <c r="V168" i="6"/>
  <c r="U168" i="6"/>
  <c r="T168" i="6"/>
  <c r="S168" i="6"/>
  <c r="R168" i="6"/>
  <c r="Q168" i="6"/>
  <c r="P168" i="6"/>
  <c r="O168" i="6"/>
  <c r="N168" i="6"/>
  <c r="M168" i="6"/>
  <c r="L168" i="6"/>
  <c r="K168" i="6"/>
  <c r="J168" i="6"/>
  <c r="I168" i="6"/>
  <c r="H168" i="6"/>
  <c r="G168" i="6"/>
  <c r="F168" i="6"/>
  <c r="E168" i="6"/>
  <c r="D168" i="6"/>
  <c r="C168" i="6"/>
  <c r="B168" i="6"/>
  <c r="V112" i="6"/>
  <c r="U112" i="6"/>
  <c r="T112" i="6"/>
  <c r="S112" i="6"/>
  <c r="R112" i="6"/>
  <c r="Q112" i="6"/>
  <c r="P112" i="6"/>
  <c r="O112" i="6"/>
  <c r="N112" i="6"/>
  <c r="M112" i="6"/>
  <c r="L112" i="6"/>
  <c r="K112" i="6"/>
  <c r="J112" i="6"/>
  <c r="I112" i="6"/>
  <c r="H112" i="6"/>
  <c r="G112" i="6"/>
  <c r="F112" i="6"/>
  <c r="E112" i="6"/>
  <c r="D112" i="6"/>
  <c r="C112" i="6"/>
  <c r="B112" i="6"/>
  <c r="K13" i="6"/>
  <c r="V14" i="6"/>
  <c r="U14" i="6"/>
  <c r="G24" i="6" s="1"/>
  <c r="T14" i="6"/>
  <c r="S14" i="6"/>
  <c r="R14" i="6"/>
  <c r="Q14" i="6"/>
  <c r="P14" i="6"/>
  <c r="O14" i="6"/>
  <c r="N14" i="6"/>
  <c r="M14" i="6"/>
  <c r="L14" i="6"/>
  <c r="K14" i="6"/>
  <c r="N244" i="6" l="1"/>
  <c r="N246" i="6"/>
  <c r="L200" i="6"/>
  <c r="M18" i="6"/>
  <c r="M141" i="6" s="1"/>
  <c r="M423" i="6"/>
  <c r="L435" i="6"/>
  <c r="L228" i="6" s="1"/>
  <c r="L201" i="6"/>
  <c r="L222" i="6"/>
  <c r="L427" i="6" s="1"/>
  <c r="L204" i="6"/>
  <c r="L218" i="6" s="1"/>
  <c r="O354" i="6"/>
  <c r="O371" i="6"/>
  <c r="O361" i="6"/>
  <c r="O357" i="6"/>
  <c r="O374" i="6"/>
  <c r="O359" i="6"/>
  <c r="O385" i="6"/>
  <c r="O387" i="6"/>
  <c r="O353" i="6"/>
  <c r="O386" i="6"/>
  <c r="O397" i="6"/>
  <c r="O396" i="6"/>
  <c r="O355" i="6"/>
  <c r="N393" i="6"/>
  <c r="M398" i="6"/>
  <c r="M194" i="6" s="1"/>
  <c r="M203" i="6" s="1"/>
  <c r="O372" i="6"/>
  <c r="O358" i="6"/>
  <c r="O384" i="6"/>
  <c r="O360" i="6"/>
  <c r="M378" i="6"/>
  <c r="M193" i="6"/>
  <c r="M202" i="6" s="1"/>
  <c r="O370" i="6"/>
  <c r="O373" i="6"/>
  <c r="O383" i="6"/>
  <c r="O394" i="6"/>
  <c r="O356" i="6"/>
  <c r="M342" i="6"/>
  <c r="M221" i="6"/>
  <c r="O395" i="6"/>
  <c r="O377" i="6"/>
  <c r="N314" i="6"/>
  <c r="M195" i="6"/>
  <c r="M204" i="6" s="1"/>
  <c r="M388" i="6"/>
  <c r="N352" i="6"/>
  <c r="M191" i="6"/>
  <c r="O376" i="6"/>
  <c r="L144" i="6"/>
  <c r="M310" i="6"/>
  <c r="M308" i="6"/>
  <c r="L341" i="6"/>
  <c r="L340" i="6" s="1"/>
  <c r="M303" i="6"/>
  <c r="M114" i="6" s="1"/>
  <c r="L399" i="6"/>
  <c r="N306" i="6"/>
  <c r="N307" i="6" s="1"/>
  <c r="N304" i="6"/>
  <c r="P301" i="6"/>
  <c r="P16" i="6" s="1"/>
  <c r="O302" i="6"/>
  <c r="O244" i="6" l="1"/>
  <c r="O246" i="6"/>
  <c r="L422" i="6"/>
  <c r="L169" i="6"/>
  <c r="L115" i="6"/>
  <c r="L433" i="6"/>
  <c r="N18" i="6"/>
  <c r="N141" i="6" s="1"/>
  <c r="N423" i="6"/>
  <c r="L210" i="6"/>
  <c r="L140" i="6"/>
  <c r="P354" i="6"/>
  <c r="P386" i="6"/>
  <c r="P353" i="6"/>
  <c r="P387" i="6"/>
  <c r="P371" i="6"/>
  <c r="P374" i="6"/>
  <c r="P394" i="6"/>
  <c r="P373" i="6"/>
  <c r="M321" i="6"/>
  <c r="M322" i="6" s="1"/>
  <c r="M327" i="6" s="1"/>
  <c r="P396" i="6"/>
  <c r="P355" i="6"/>
  <c r="L447" i="6"/>
  <c r="L446" i="6" s="1"/>
  <c r="L462" i="6" s="1"/>
  <c r="L464" i="6" s="1"/>
  <c r="P356" i="6"/>
  <c r="P397" i="6"/>
  <c r="P357" i="6"/>
  <c r="P358" i="6"/>
  <c r="P370" i="6"/>
  <c r="P372" i="6"/>
  <c r="P377" i="6"/>
  <c r="P376" i="6"/>
  <c r="N342" i="6"/>
  <c r="N221" i="6"/>
  <c r="N195" i="6"/>
  <c r="N204" i="6" s="1"/>
  <c r="N388" i="6"/>
  <c r="M200" i="6"/>
  <c r="M223" i="6"/>
  <c r="O393" i="6"/>
  <c r="N398" i="6"/>
  <c r="N194" i="6" s="1"/>
  <c r="N203" i="6" s="1"/>
  <c r="N191" i="6"/>
  <c r="O352" i="6"/>
  <c r="P385" i="6"/>
  <c r="M315" i="6"/>
  <c r="M219" i="6"/>
  <c r="M21" i="6" s="1"/>
  <c r="M144" i="6" s="1"/>
  <c r="M399" i="6"/>
  <c r="M192" i="6"/>
  <c r="P359" i="6"/>
  <c r="P360" i="6"/>
  <c r="P361" i="6"/>
  <c r="P395" i="6"/>
  <c r="N193" i="6"/>
  <c r="N202" i="6" s="1"/>
  <c r="N378" i="6"/>
  <c r="M218" i="6"/>
  <c r="P383" i="6"/>
  <c r="P384" i="6"/>
  <c r="M341" i="6"/>
  <c r="M340" i="6" s="1"/>
  <c r="N310" i="6"/>
  <c r="N308" i="6"/>
  <c r="O306" i="6"/>
  <c r="O307" i="6" s="1"/>
  <c r="O304" i="6"/>
  <c r="N303" i="6"/>
  <c r="N114" i="6" s="1"/>
  <c r="Q301" i="6"/>
  <c r="Q16" i="6" s="1"/>
  <c r="P302" i="6"/>
  <c r="J2" i="6"/>
  <c r="I2" i="6" s="1"/>
  <c r="H2" i="6" s="1"/>
  <c r="G2" i="6" s="1"/>
  <c r="F2" i="6" s="1"/>
  <c r="E2" i="6" s="1"/>
  <c r="D2" i="6" s="1"/>
  <c r="C2" i="6" s="1"/>
  <c r="B2" i="6" s="1"/>
  <c r="L2" i="6"/>
  <c r="L226" i="6" l="1"/>
  <c r="L232" i="6"/>
  <c r="L230" i="6"/>
  <c r="M169" i="6"/>
  <c r="M115" i="6"/>
  <c r="M201" i="6"/>
  <c r="O18" i="6"/>
  <c r="O141" i="6" s="1"/>
  <c r="O423" i="6"/>
  <c r="M19" i="6"/>
  <c r="M142" i="6" s="1"/>
  <c r="M435" i="6"/>
  <c r="M444" i="6" s="1"/>
  <c r="M228" i="6" s="1"/>
  <c r="M17" i="6"/>
  <c r="M140" i="6" s="1"/>
  <c r="M422" i="6"/>
  <c r="L403" i="6"/>
  <c r="L225" i="6"/>
  <c r="L20" i="6"/>
  <c r="L143" i="6" s="1"/>
  <c r="L211" i="6"/>
  <c r="L214" i="6" s="1"/>
  <c r="Q354" i="6"/>
  <c r="Q359" i="6"/>
  <c r="M227" i="6"/>
  <c r="M210" i="6"/>
  <c r="M328" i="6"/>
  <c r="Q357" i="6"/>
  <c r="M326" i="6"/>
  <c r="M447" i="6"/>
  <c r="M446" i="6" s="1"/>
  <c r="M462" i="6" s="1"/>
  <c r="M230" i="6" s="1"/>
  <c r="Q376" i="6"/>
  <c r="Q358" i="6"/>
  <c r="Q370" i="6"/>
  <c r="Q383" i="6"/>
  <c r="Q355" i="6"/>
  <c r="Q372" i="6"/>
  <c r="N223" i="6"/>
  <c r="Q385" i="6"/>
  <c r="Q356" i="6"/>
  <c r="Q396" i="6"/>
  <c r="Q361" i="6"/>
  <c r="Q384" i="6"/>
  <c r="Q353" i="6"/>
  <c r="Q394" i="6"/>
  <c r="Q360" i="6"/>
  <c r="Q397" i="6"/>
  <c r="Q373" i="6"/>
  <c r="N218" i="6"/>
  <c r="N315" i="6"/>
  <c r="N219" i="6"/>
  <c r="N21" i="6" s="1"/>
  <c r="N144" i="6" s="1"/>
  <c r="N192" i="6"/>
  <c r="N399" i="6"/>
  <c r="O342" i="6"/>
  <c r="O221" i="6"/>
  <c r="O191" i="6"/>
  <c r="P352" i="6"/>
  <c r="N200" i="6"/>
  <c r="O193" i="6"/>
  <c r="O202" i="6" s="1"/>
  <c r="O378" i="6"/>
  <c r="O195" i="6"/>
  <c r="O204" i="6" s="1"/>
  <c r="O388" i="6"/>
  <c r="O192" i="6" s="1"/>
  <c r="O314" i="6"/>
  <c r="Q395" i="6"/>
  <c r="Q371" i="6"/>
  <c r="Q386" i="6"/>
  <c r="M222" i="6"/>
  <c r="P393" i="6"/>
  <c r="O398" i="6"/>
  <c r="O194" i="6" s="1"/>
  <c r="O203" i="6" s="1"/>
  <c r="N321" i="6"/>
  <c r="N322" i="6" s="1"/>
  <c r="N327" i="6" s="1"/>
  <c r="Q377" i="6"/>
  <c r="Q374" i="6"/>
  <c r="Q387" i="6"/>
  <c r="N341" i="6"/>
  <c r="N340" i="6" s="1"/>
  <c r="O310" i="6"/>
  <c r="O308" i="6"/>
  <c r="O303" i="6"/>
  <c r="O114" i="6" s="1"/>
  <c r="P306" i="6"/>
  <c r="P307" i="6" s="1"/>
  <c r="P304" i="6"/>
  <c r="R301" i="6"/>
  <c r="R16" i="6" s="1"/>
  <c r="Q302" i="6"/>
  <c r="M2" i="6"/>
  <c r="L13" i="6"/>
  <c r="L229" i="6" l="1"/>
  <c r="P244" i="6"/>
  <c r="P246" i="6"/>
  <c r="N169" i="6"/>
  <c r="N115" i="6"/>
  <c r="N222" i="6"/>
  <c r="N20" i="6" s="1"/>
  <c r="N143" i="6" s="1"/>
  <c r="L407" i="6"/>
  <c r="L408" i="6" s="1"/>
  <c r="L401" i="6" s="1"/>
  <c r="P18" i="6"/>
  <c r="P141" i="6" s="1"/>
  <c r="P423" i="6"/>
  <c r="N19" i="6"/>
  <c r="N142" i="6" s="1"/>
  <c r="N435" i="6"/>
  <c r="N444" i="6" s="1"/>
  <c r="N228" i="6" s="1"/>
  <c r="N17" i="6"/>
  <c r="N140" i="6" s="1"/>
  <c r="N422" i="6"/>
  <c r="L215" i="6"/>
  <c r="M20" i="6"/>
  <c r="M427" i="6"/>
  <c r="M433" i="6" s="1"/>
  <c r="R384" i="6"/>
  <c r="R353" i="6"/>
  <c r="R373" i="6"/>
  <c r="R386" i="6"/>
  <c r="R387" i="6"/>
  <c r="N227" i="6"/>
  <c r="R370" i="6"/>
  <c r="M211" i="6"/>
  <c r="M214" i="6" s="1"/>
  <c r="M403" i="6"/>
  <c r="M407" i="6" s="1"/>
  <c r="R357" i="6"/>
  <c r="N326" i="6"/>
  <c r="R356" i="6"/>
  <c r="M225" i="6"/>
  <c r="R385" i="6"/>
  <c r="R360" i="6"/>
  <c r="R372" i="6"/>
  <c r="R394" i="6"/>
  <c r="R355" i="6"/>
  <c r="R396" i="6"/>
  <c r="R397" i="6"/>
  <c r="O223" i="6"/>
  <c r="R377" i="6"/>
  <c r="R374" i="6"/>
  <c r="R359" i="6"/>
  <c r="O315" i="6"/>
  <c r="O219" i="6"/>
  <c r="O21" i="6" s="1"/>
  <c r="O144" i="6" s="1"/>
  <c r="P193" i="6"/>
  <c r="P202" i="6" s="1"/>
  <c r="P378" i="6"/>
  <c r="P195" i="6"/>
  <c r="P204" i="6" s="1"/>
  <c r="P388" i="6"/>
  <c r="P192" i="6" s="1"/>
  <c r="P314" i="6"/>
  <c r="R376" i="6"/>
  <c r="O321" i="6"/>
  <c r="O322" i="6" s="1"/>
  <c r="O327" i="6" s="1"/>
  <c r="O218" i="6"/>
  <c r="N328" i="6"/>
  <c r="N210" i="6"/>
  <c r="R383" i="6"/>
  <c r="R358" i="6"/>
  <c r="N447" i="6"/>
  <c r="N446" i="6" s="1"/>
  <c r="N462" i="6" s="1"/>
  <c r="N230" i="6" s="1"/>
  <c r="O222" i="6"/>
  <c r="O200" i="6"/>
  <c r="R354" i="6"/>
  <c r="P342" i="6"/>
  <c r="P221" i="6"/>
  <c r="O201" i="6"/>
  <c r="N201" i="6"/>
  <c r="Q393" i="6"/>
  <c r="P398" i="6"/>
  <c r="P194" i="6" s="1"/>
  <c r="P203" i="6" s="1"/>
  <c r="R371" i="6"/>
  <c r="P191" i="6"/>
  <c r="Q352" i="6"/>
  <c r="R395" i="6"/>
  <c r="R361" i="6"/>
  <c r="O341" i="6"/>
  <c r="O340" i="6" s="1"/>
  <c r="O399" i="6"/>
  <c r="P310" i="6"/>
  <c r="P308" i="6"/>
  <c r="P303" i="6"/>
  <c r="P114" i="6" s="1"/>
  <c r="Q306" i="6"/>
  <c r="Q307" i="6" s="1"/>
  <c r="Q304" i="6"/>
  <c r="S301" i="6"/>
  <c r="S16" i="6" s="1"/>
  <c r="R302" i="6"/>
  <c r="N2" i="6"/>
  <c r="M13" i="6"/>
  <c r="M229" i="6" l="1"/>
  <c r="M231" i="6" s="1"/>
  <c r="M245" i="6"/>
  <c r="Q244" i="6"/>
  <c r="Q246" i="6"/>
  <c r="N225" i="6"/>
  <c r="N427" i="6"/>
  <c r="N433" i="6" s="1"/>
  <c r="O115" i="6"/>
  <c r="O169" i="6"/>
  <c r="M22" i="6"/>
  <c r="M247" i="6" s="1"/>
  <c r="M143" i="6"/>
  <c r="N22" i="6"/>
  <c r="N247" i="6" s="1"/>
  <c r="M216" i="6"/>
  <c r="P201" i="6"/>
  <c r="L216" i="6"/>
  <c r="L409" i="6"/>
  <c r="L239" i="6" s="1"/>
  <c r="L196" i="6"/>
  <c r="M464" i="6"/>
  <c r="M232" i="6" s="1"/>
  <c r="M226" i="6"/>
  <c r="Q18" i="6"/>
  <c r="Q141" i="6" s="1"/>
  <c r="Q423" i="6"/>
  <c r="O19" i="6"/>
  <c r="O142" i="6" s="1"/>
  <c r="O435" i="6"/>
  <c r="O444" i="6" s="1"/>
  <c r="O228" i="6" s="1"/>
  <c r="O17" i="6"/>
  <c r="O140" i="6" s="1"/>
  <c r="O422" i="6"/>
  <c r="M215" i="6"/>
  <c r="O20" i="6"/>
  <c r="O143" i="6" s="1"/>
  <c r="O427" i="6"/>
  <c r="S355" i="6"/>
  <c r="N403" i="6"/>
  <c r="N407" i="6" s="1"/>
  <c r="O227" i="6"/>
  <c r="O326" i="6"/>
  <c r="S397" i="6"/>
  <c r="P399" i="6"/>
  <c r="S354" i="6"/>
  <c r="S387" i="6"/>
  <c r="S353" i="6"/>
  <c r="S361" i="6"/>
  <c r="S356" i="6"/>
  <c r="O447" i="6"/>
  <c r="O446" i="6" s="1"/>
  <c r="O462" i="6" s="1"/>
  <c r="O230" i="6" s="1"/>
  <c r="P321" i="6"/>
  <c r="P322" i="6" s="1"/>
  <c r="P327" i="6" s="1"/>
  <c r="S370" i="6"/>
  <c r="S360" i="6"/>
  <c r="P222" i="6"/>
  <c r="P200" i="6"/>
  <c r="S372" i="6"/>
  <c r="Q191" i="6"/>
  <c r="R352" i="6"/>
  <c r="S386" i="6"/>
  <c r="S374" i="6"/>
  <c r="S377" i="6"/>
  <c r="Q195" i="6"/>
  <c r="Q204" i="6" s="1"/>
  <c r="Q388" i="6"/>
  <c r="Q314" i="6"/>
  <c r="S358" i="6"/>
  <c r="S384" i="6"/>
  <c r="S396" i="6"/>
  <c r="R393" i="6"/>
  <c r="Q398" i="6"/>
  <c r="Q194" i="6" s="1"/>
  <c r="Q203" i="6" s="1"/>
  <c r="S359" i="6"/>
  <c r="S395" i="6"/>
  <c r="M196" i="6"/>
  <c r="M238" i="6" s="1"/>
  <c r="S371" i="6"/>
  <c r="P341" i="6"/>
  <c r="P340" i="6" s="1"/>
  <c r="S376" i="6"/>
  <c r="Q193" i="6"/>
  <c r="Q202" i="6" s="1"/>
  <c r="Q378" i="6"/>
  <c r="S394" i="6"/>
  <c r="P218" i="6"/>
  <c r="O328" i="6"/>
  <c r="O210" i="6"/>
  <c r="O225" i="6" s="1"/>
  <c r="S373" i="6"/>
  <c r="P315" i="6"/>
  <c r="P219" i="6"/>
  <c r="P21" i="6" s="1"/>
  <c r="P144" i="6" s="1"/>
  <c r="P223" i="6"/>
  <c r="N211" i="6"/>
  <c r="N214" i="6" s="1"/>
  <c r="S383" i="6"/>
  <c r="Q342" i="6"/>
  <c r="Q221" i="6"/>
  <c r="S357" i="6"/>
  <c r="S385" i="6"/>
  <c r="M408" i="6"/>
  <c r="M409" i="6"/>
  <c r="M239" i="6" s="1"/>
  <c r="Q310" i="6"/>
  <c r="Q308" i="6"/>
  <c r="R306" i="6"/>
  <c r="R307" i="6" s="1"/>
  <c r="R304" i="6"/>
  <c r="Q303" i="6"/>
  <c r="Q114" i="6" s="1"/>
  <c r="T301" i="6"/>
  <c r="T16" i="6" s="1"/>
  <c r="S302" i="6"/>
  <c r="O2" i="6"/>
  <c r="N13" i="6"/>
  <c r="R244" i="6" l="1"/>
  <c r="R246" i="6"/>
  <c r="N229" i="6"/>
  <c r="N231" i="6" s="1"/>
  <c r="N245" i="6"/>
  <c r="P169" i="6"/>
  <c r="P115" i="6"/>
  <c r="N116" i="6"/>
  <c r="N145" i="6"/>
  <c r="M116" i="6"/>
  <c r="M145" i="6"/>
  <c r="L205" i="6"/>
  <c r="L207" i="6" s="1"/>
  <c r="L238" i="6"/>
  <c r="M205" i="6"/>
  <c r="M207" i="6" s="1"/>
  <c r="O22" i="6"/>
  <c r="O247" i="6" s="1"/>
  <c r="N464" i="6"/>
  <c r="N232" i="6" s="1"/>
  <c r="N226" i="6"/>
  <c r="P19" i="6"/>
  <c r="P142" i="6" s="1"/>
  <c r="P435" i="6"/>
  <c r="P444" i="6" s="1"/>
  <c r="P228" i="6" s="1"/>
  <c r="R18" i="6"/>
  <c r="R141" i="6" s="1"/>
  <c r="R423" i="6"/>
  <c r="P17" i="6"/>
  <c r="P140" i="6" s="1"/>
  <c r="P422" i="6"/>
  <c r="P20" i="6"/>
  <c r="P143" i="6" s="1"/>
  <c r="P427" i="6"/>
  <c r="O433" i="6"/>
  <c r="M401" i="6"/>
  <c r="P210" i="6"/>
  <c r="P225" i="6" s="1"/>
  <c r="P328" i="6"/>
  <c r="P326" i="6"/>
  <c r="P447" i="6"/>
  <c r="P446" i="6" s="1"/>
  <c r="P462" i="6" s="1"/>
  <c r="P230" i="6" s="1"/>
  <c r="O403" i="6"/>
  <c r="O407" i="6" s="1"/>
  <c r="O211" i="6"/>
  <c r="O214" i="6" s="1"/>
  <c r="T354" i="6"/>
  <c r="P227" i="6"/>
  <c r="T355" i="6"/>
  <c r="T394" i="6"/>
  <c r="Q321" i="6"/>
  <c r="Q322" i="6" s="1"/>
  <c r="Q327" i="6" s="1"/>
  <c r="T356" i="6"/>
  <c r="Q223" i="6"/>
  <c r="T372" i="6"/>
  <c r="T377" i="6"/>
  <c r="T387" i="6"/>
  <c r="R193" i="6"/>
  <c r="R202" i="6" s="1"/>
  <c r="R378" i="6"/>
  <c r="T374" i="6"/>
  <c r="T370" i="6"/>
  <c r="Q218" i="6"/>
  <c r="T360" i="6"/>
  <c r="T386" i="6"/>
  <c r="T361" i="6"/>
  <c r="T359" i="6"/>
  <c r="R342" i="6"/>
  <c r="R221" i="6"/>
  <c r="T385" i="6"/>
  <c r="T371" i="6"/>
  <c r="T384" i="6"/>
  <c r="R191" i="6"/>
  <c r="S352" i="6"/>
  <c r="Q315" i="6"/>
  <c r="Q219" i="6"/>
  <c r="Q21" i="6" s="1"/>
  <c r="Q144" i="6" s="1"/>
  <c r="N216" i="6"/>
  <c r="N196" i="6"/>
  <c r="Q192" i="6"/>
  <c r="Q399" i="6"/>
  <c r="S393" i="6"/>
  <c r="R398" i="6"/>
  <c r="R194" i="6" s="1"/>
  <c r="R203" i="6" s="1"/>
  <c r="N215" i="6"/>
  <c r="T357" i="6"/>
  <c r="Q200" i="6"/>
  <c r="T397" i="6"/>
  <c r="R195" i="6"/>
  <c r="R204" i="6" s="1"/>
  <c r="R388" i="6"/>
  <c r="R192" i="6" s="1"/>
  <c r="R314" i="6"/>
  <c r="T395" i="6"/>
  <c r="T376" i="6"/>
  <c r="T373" i="6"/>
  <c r="T353" i="6"/>
  <c r="T396" i="6"/>
  <c r="Q341" i="6"/>
  <c r="Q340" i="6" s="1"/>
  <c r="T358" i="6"/>
  <c r="T383" i="6"/>
  <c r="N408" i="6"/>
  <c r="N401" i="6" s="1"/>
  <c r="N409" i="6"/>
  <c r="N239" i="6" s="1"/>
  <c r="R310" i="6"/>
  <c r="R341" i="6" s="1"/>
  <c r="R308" i="6"/>
  <c r="R303" i="6"/>
  <c r="R114" i="6" s="1"/>
  <c r="S306" i="6"/>
  <c r="S307" i="6" s="1"/>
  <c r="S304" i="6"/>
  <c r="U301" i="6"/>
  <c r="U16" i="6" s="1"/>
  <c r="T302" i="6"/>
  <c r="P2" i="6"/>
  <c r="O13" i="6"/>
  <c r="O229" i="6" l="1"/>
  <c r="O231" i="6" s="1"/>
  <c r="O245" i="6"/>
  <c r="S244" i="6"/>
  <c r="S246" i="6"/>
  <c r="O116" i="6"/>
  <c r="O145" i="6"/>
  <c r="Q169" i="6"/>
  <c r="Q115" i="6"/>
  <c r="Q201" i="6"/>
  <c r="N205" i="6"/>
  <c r="N207" i="6" s="1"/>
  <c r="N238" i="6"/>
  <c r="P22" i="6"/>
  <c r="P247" i="6" s="1"/>
  <c r="O464" i="6"/>
  <c r="O232" i="6" s="1"/>
  <c r="O226" i="6"/>
  <c r="Q19" i="6"/>
  <c r="Q142" i="6" s="1"/>
  <c r="Q435" i="6"/>
  <c r="Q444" i="6" s="1"/>
  <c r="Q228" i="6" s="1"/>
  <c r="S18" i="6"/>
  <c r="S141" i="6" s="1"/>
  <c r="S423" i="6"/>
  <c r="P211" i="6"/>
  <c r="P215" i="6" s="1"/>
  <c r="Q17" i="6"/>
  <c r="Q140" i="6" s="1"/>
  <c r="Q422" i="6"/>
  <c r="P433" i="6"/>
  <c r="R201" i="6"/>
  <c r="P403" i="6"/>
  <c r="P407" i="6" s="1"/>
  <c r="O215" i="6"/>
  <c r="R399" i="6"/>
  <c r="Q227" i="6"/>
  <c r="Q447" i="6"/>
  <c r="Q446" i="6" s="1"/>
  <c r="U354" i="6"/>
  <c r="Q326" i="6"/>
  <c r="Q222" i="6"/>
  <c r="U353" i="6"/>
  <c r="R340" i="6"/>
  <c r="Q210" i="6"/>
  <c r="Q328" i="6"/>
  <c r="R223" i="6"/>
  <c r="U374" i="6"/>
  <c r="S191" i="6"/>
  <c r="T352" i="6"/>
  <c r="U386" i="6"/>
  <c r="U372" i="6"/>
  <c r="O196" i="6"/>
  <c r="O216" i="6"/>
  <c r="S193" i="6"/>
  <c r="S202" i="6" s="1"/>
  <c r="S378" i="6"/>
  <c r="U395" i="6"/>
  <c r="U383" i="6"/>
  <c r="U384" i="6"/>
  <c r="U373" i="6"/>
  <c r="U358" i="6"/>
  <c r="U360" i="6"/>
  <c r="U387" i="6"/>
  <c r="U361" i="6"/>
  <c r="R222" i="6"/>
  <c r="R200" i="6"/>
  <c r="U371" i="6"/>
  <c r="U377" i="6"/>
  <c r="U359" i="6"/>
  <c r="S342" i="6"/>
  <c r="S221" i="6"/>
  <c r="U357" i="6"/>
  <c r="R315" i="6"/>
  <c r="R219" i="6"/>
  <c r="R21" i="6" s="1"/>
  <c r="R144" i="6" s="1"/>
  <c r="R218" i="6"/>
  <c r="T393" i="6"/>
  <c r="S398" i="6"/>
  <c r="S194" i="6" s="1"/>
  <c r="S203" i="6" s="1"/>
  <c r="U385" i="6"/>
  <c r="S195" i="6"/>
  <c r="S204" i="6" s="1"/>
  <c r="S388" i="6"/>
  <c r="S314" i="6"/>
  <c r="U355" i="6"/>
  <c r="U356" i="6"/>
  <c r="U376" i="6"/>
  <c r="U394" i="6"/>
  <c r="R321" i="6"/>
  <c r="R322" i="6" s="1"/>
  <c r="R327" i="6" s="1"/>
  <c r="U396" i="6"/>
  <c r="U397" i="6"/>
  <c r="U370" i="6"/>
  <c r="O408" i="6"/>
  <c r="O401" i="6" s="1"/>
  <c r="O409" i="6"/>
  <c r="O239" i="6" s="1"/>
  <c r="S310" i="6"/>
  <c r="S308" i="6"/>
  <c r="S303" i="6"/>
  <c r="S114" i="6" s="1"/>
  <c r="T306" i="6"/>
  <c r="T307" i="6" s="1"/>
  <c r="T304" i="6"/>
  <c r="V301" i="6"/>
  <c r="V390" i="6" s="1"/>
  <c r="U302" i="6"/>
  <c r="Q2" i="6"/>
  <c r="P13" i="6"/>
  <c r="V382" i="6" l="1"/>
  <c r="T244" i="6"/>
  <c r="T246" i="6"/>
  <c r="V113" i="6"/>
  <c r="P116" i="6"/>
  <c r="P145" i="6"/>
  <c r="R169" i="6"/>
  <c r="R115" i="6"/>
  <c r="Q225" i="6"/>
  <c r="O205" i="6"/>
  <c r="O207" i="6" s="1"/>
  <c r="O238" i="6"/>
  <c r="V16" i="6"/>
  <c r="P464" i="6"/>
  <c r="P232" i="6" s="1"/>
  <c r="P226" i="6"/>
  <c r="P214" i="6"/>
  <c r="R19" i="6"/>
  <c r="R142" i="6" s="1"/>
  <c r="R435" i="6"/>
  <c r="R444" i="6" s="1"/>
  <c r="R228" i="6" s="1"/>
  <c r="T18" i="6"/>
  <c r="T141" i="6" s="1"/>
  <c r="T423" i="6"/>
  <c r="Q211" i="6"/>
  <c r="Q214" i="6" s="1"/>
  <c r="Q462" i="6"/>
  <c r="Q230" i="6" s="1"/>
  <c r="R17" i="6"/>
  <c r="R140" i="6" s="1"/>
  <c r="R422" i="6"/>
  <c r="R20" i="6"/>
  <c r="R143" i="6" s="1"/>
  <c r="R427" i="6"/>
  <c r="Q20" i="6"/>
  <c r="Q427" i="6"/>
  <c r="Q433" i="6" s="1"/>
  <c r="Q403" i="6"/>
  <c r="Q407" i="6" s="1"/>
  <c r="V354" i="6"/>
  <c r="R326" i="6"/>
  <c r="R227" i="6"/>
  <c r="V360" i="6"/>
  <c r="V377" i="6"/>
  <c r="V373" i="6"/>
  <c r="V371" i="6"/>
  <c r="V358" i="6"/>
  <c r="R447" i="6"/>
  <c r="R446" i="6" s="1"/>
  <c r="R462" i="6" s="1"/>
  <c r="R230" i="6" s="1"/>
  <c r="V394" i="6"/>
  <c r="V385" i="6"/>
  <c r="V359" i="6"/>
  <c r="S321" i="6"/>
  <c r="S322" i="6" s="1"/>
  <c r="S327" i="6" s="1"/>
  <c r="V376" i="6"/>
  <c r="V356" i="6"/>
  <c r="T193" i="6"/>
  <c r="T202" i="6" s="1"/>
  <c r="T378" i="6"/>
  <c r="V353" i="6"/>
  <c r="V372" i="6"/>
  <c r="V386" i="6"/>
  <c r="P196" i="6"/>
  <c r="P216" i="6"/>
  <c r="T342" i="6"/>
  <c r="T221" i="6"/>
  <c r="V383" i="6"/>
  <c r="T191" i="6"/>
  <c r="U352" i="6"/>
  <c r="V352" i="6" s="1"/>
  <c r="V370" i="6"/>
  <c r="T195" i="6"/>
  <c r="T204" i="6" s="1"/>
  <c r="T388" i="6"/>
  <c r="T192" i="6" s="1"/>
  <c r="T314" i="6"/>
  <c r="S200" i="6"/>
  <c r="V355" i="6"/>
  <c r="V384" i="6"/>
  <c r="V397" i="6"/>
  <c r="S218" i="6"/>
  <c r="V395" i="6"/>
  <c r="U393" i="6"/>
  <c r="T398" i="6"/>
  <c r="T194" i="6" s="1"/>
  <c r="T203" i="6" s="1"/>
  <c r="S192" i="6"/>
  <c r="S399" i="6"/>
  <c r="S341" i="6"/>
  <c r="S340" i="6" s="1"/>
  <c r="V396" i="6"/>
  <c r="V357" i="6"/>
  <c r="V361" i="6"/>
  <c r="V374" i="6"/>
  <c r="S315" i="6"/>
  <c r="S219" i="6"/>
  <c r="S21" i="6" s="1"/>
  <c r="S144" i="6" s="1"/>
  <c r="R328" i="6"/>
  <c r="R210" i="6"/>
  <c r="S223" i="6"/>
  <c r="V387" i="6"/>
  <c r="P408" i="6"/>
  <c r="P401" i="6" s="1"/>
  <c r="P409" i="6"/>
  <c r="P239" i="6" s="1"/>
  <c r="T310" i="6"/>
  <c r="T308" i="6"/>
  <c r="T303" i="6"/>
  <c r="T114" i="6" s="1"/>
  <c r="U306" i="6"/>
  <c r="U307" i="6" s="1"/>
  <c r="U308" i="6" s="1"/>
  <c r="U304" i="6"/>
  <c r="V302" i="6"/>
  <c r="R2" i="6"/>
  <c r="Q13" i="6"/>
  <c r="Q229" i="6" l="1"/>
  <c r="Q245" i="6"/>
  <c r="P229" i="6"/>
  <c r="P231" i="6" s="1"/>
  <c r="P245" i="6"/>
  <c r="U244" i="6"/>
  <c r="U246" i="6"/>
  <c r="Q231" i="6"/>
  <c r="Q22" i="6"/>
  <c r="Q247" i="6" s="1"/>
  <c r="Q143" i="6"/>
  <c r="S169" i="6"/>
  <c r="S115" i="6"/>
  <c r="P205" i="6"/>
  <c r="P207" i="6" s="1"/>
  <c r="P238" i="6"/>
  <c r="S201" i="6"/>
  <c r="Q215" i="6"/>
  <c r="R22" i="6"/>
  <c r="R247" i="6" s="1"/>
  <c r="Q464" i="6"/>
  <c r="Q232" i="6" s="1"/>
  <c r="Q226" i="6"/>
  <c r="S19" i="6"/>
  <c r="S142" i="6" s="1"/>
  <c r="S435" i="6"/>
  <c r="S444" i="6" s="1"/>
  <c r="S228" i="6" s="1"/>
  <c r="U18" i="6"/>
  <c r="U141" i="6" s="1"/>
  <c r="U423" i="6"/>
  <c r="R433" i="6"/>
  <c r="R403" i="6"/>
  <c r="R407" i="6" s="1"/>
  <c r="S17" i="6"/>
  <c r="S140" i="6" s="1"/>
  <c r="S422" i="6"/>
  <c r="V306" i="6"/>
  <c r="V307" i="6" s="1"/>
  <c r="R211" i="6"/>
  <c r="R214" i="6" s="1"/>
  <c r="S227" i="6"/>
  <c r="S326" i="6"/>
  <c r="S447" i="6"/>
  <c r="S446" i="6" s="1"/>
  <c r="S210" i="6"/>
  <c r="S328" i="6"/>
  <c r="T321" i="6"/>
  <c r="T322" i="6" s="1"/>
  <c r="T327" i="6" s="1"/>
  <c r="T201" i="6"/>
  <c r="T218" i="6"/>
  <c r="T315" i="6"/>
  <c r="T219" i="6"/>
  <c r="T21" i="6" s="1"/>
  <c r="T144" i="6" s="1"/>
  <c r="U193" i="6"/>
  <c r="U202" i="6" s="1"/>
  <c r="U378" i="6"/>
  <c r="U342" i="6"/>
  <c r="U221" i="6"/>
  <c r="U191" i="6"/>
  <c r="V191" i="6"/>
  <c r="S222" i="6"/>
  <c r="V393" i="6"/>
  <c r="V398" i="6" s="1"/>
  <c r="V194" i="6" s="1"/>
  <c r="U398" i="6"/>
  <c r="U194" i="6" s="1"/>
  <c r="U203" i="6" s="1"/>
  <c r="U195" i="6"/>
  <c r="U204" i="6" s="1"/>
  <c r="U388" i="6"/>
  <c r="U192" i="6" s="1"/>
  <c r="U314" i="6"/>
  <c r="T222" i="6"/>
  <c r="T200" i="6"/>
  <c r="R225" i="6"/>
  <c r="R215" i="6"/>
  <c r="Q216" i="6"/>
  <c r="Q196" i="6"/>
  <c r="T341" i="6"/>
  <c r="T340" i="6" s="1"/>
  <c r="T223" i="6"/>
  <c r="T399" i="6"/>
  <c r="Q408" i="6"/>
  <c r="Q401" i="6" s="1"/>
  <c r="Q409" i="6"/>
  <c r="Q239" i="6" s="1"/>
  <c r="U310" i="6"/>
  <c r="U341" i="6" s="1"/>
  <c r="U303" i="6"/>
  <c r="U114" i="6" s="1"/>
  <c r="V304" i="6"/>
  <c r="S2" i="6"/>
  <c r="R13" i="6"/>
  <c r="R229" i="6" l="1"/>
  <c r="R245" i="6"/>
  <c r="V244" i="6"/>
  <c r="V246" i="6"/>
  <c r="R116" i="6"/>
  <c r="R145" i="6"/>
  <c r="T169" i="6"/>
  <c r="T115" i="6"/>
  <c r="Q116" i="6"/>
  <c r="Q145" i="6"/>
  <c r="U201" i="6"/>
  <c r="Q205" i="6"/>
  <c r="Q207" i="6" s="1"/>
  <c r="Q238" i="6"/>
  <c r="R231" i="6"/>
  <c r="R464" i="6"/>
  <c r="R232" i="6" s="1"/>
  <c r="R226" i="6"/>
  <c r="V18" i="6"/>
  <c r="V141" i="6" s="1"/>
  <c r="V423" i="6"/>
  <c r="T19" i="6"/>
  <c r="T142" i="6" s="1"/>
  <c r="T435" i="6"/>
  <c r="T444" i="6" s="1"/>
  <c r="T228" i="6" s="1"/>
  <c r="S403" i="6"/>
  <c r="S407" i="6" s="1"/>
  <c r="S462" i="6"/>
  <c r="S230" i="6" s="1"/>
  <c r="S20" i="6"/>
  <c r="S427" i="6"/>
  <c r="S433" i="6" s="1"/>
  <c r="T20" i="6"/>
  <c r="T143" i="6" s="1"/>
  <c r="T427" i="6"/>
  <c r="T17" i="6"/>
  <c r="T140" i="6" s="1"/>
  <c r="T422" i="6"/>
  <c r="S211" i="6"/>
  <c r="S214" i="6" s="1"/>
  <c r="T326" i="6"/>
  <c r="S225" i="6"/>
  <c r="T447" i="6"/>
  <c r="T446" i="6" s="1"/>
  <c r="T462" i="6" s="1"/>
  <c r="T230" i="6" s="1"/>
  <c r="T328" i="6"/>
  <c r="T227" i="6"/>
  <c r="T210" i="6"/>
  <c r="T225" i="6" s="1"/>
  <c r="V203" i="6"/>
  <c r="U399" i="6"/>
  <c r="U340" i="6"/>
  <c r="U218" i="6"/>
  <c r="V342" i="6"/>
  <c r="V221" i="6"/>
  <c r="U315" i="6"/>
  <c r="U219" i="6"/>
  <c r="U21" i="6" s="1"/>
  <c r="U144" i="6" s="1"/>
  <c r="U321" i="6"/>
  <c r="U322" i="6" s="1"/>
  <c r="U327" i="6" s="1"/>
  <c r="V200" i="6"/>
  <c r="U222" i="6"/>
  <c r="U200" i="6"/>
  <c r="V378" i="6"/>
  <c r="V193" i="6"/>
  <c r="V202" i="6" s="1"/>
  <c r="V388" i="6"/>
  <c r="V192" i="6" s="1"/>
  <c r="V195" i="6"/>
  <c r="V204" i="6" s="1"/>
  <c r="V314" i="6"/>
  <c r="R216" i="6"/>
  <c r="R196" i="6"/>
  <c r="U223" i="6"/>
  <c r="R408" i="6"/>
  <c r="R401" i="6" s="1"/>
  <c r="R409" i="6"/>
  <c r="R239" i="6" s="1"/>
  <c r="V310" i="6"/>
  <c r="V308" i="6"/>
  <c r="V303" i="6"/>
  <c r="V114" i="6" s="1"/>
  <c r="T2" i="6"/>
  <c r="S13" i="6"/>
  <c r="S229" i="6" l="1"/>
  <c r="S245" i="6"/>
  <c r="S22" i="6"/>
  <c r="S247" i="6" s="1"/>
  <c r="S143" i="6"/>
  <c r="U115" i="6"/>
  <c r="U169" i="6"/>
  <c r="R205" i="6"/>
  <c r="R207" i="6" s="1"/>
  <c r="R238" i="6"/>
  <c r="S231" i="6"/>
  <c r="V201" i="6"/>
  <c r="S464" i="6"/>
  <c r="S232" i="6" s="1"/>
  <c r="S226" i="6"/>
  <c r="T22" i="6"/>
  <c r="T247" i="6" s="1"/>
  <c r="U19" i="6"/>
  <c r="U142" i="6" s="1"/>
  <c r="U435" i="6"/>
  <c r="U444" i="6" s="1"/>
  <c r="U228" i="6" s="1"/>
  <c r="T433" i="6"/>
  <c r="S215" i="6"/>
  <c r="T211" i="6"/>
  <c r="T214" i="6" s="1"/>
  <c r="T403" i="6"/>
  <c r="T407" i="6" s="1"/>
  <c r="U20" i="6"/>
  <c r="U143" i="6" s="1"/>
  <c r="U427" i="6"/>
  <c r="U17" i="6"/>
  <c r="U140" i="6" s="1"/>
  <c r="U422" i="6"/>
  <c r="U326" i="6"/>
  <c r="U227" i="6"/>
  <c r="V321" i="6"/>
  <c r="V322" i="6" s="1"/>
  <c r="V327" i="6" s="1"/>
  <c r="V218" i="6"/>
  <c r="U328" i="6"/>
  <c r="U210" i="6"/>
  <c r="V222" i="6"/>
  <c r="V341" i="6"/>
  <c r="V340" i="6" s="1"/>
  <c r="S216" i="6"/>
  <c r="S196" i="6"/>
  <c r="V223" i="6"/>
  <c r="V399" i="6"/>
  <c r="U447" i="6"/>
  <c r="U446" i="6" s="1"/>
  <c r="V315" i="6"/>
  <c r="V219" i="6"/>
  <c r="V21" i="6" s="1"/>
  <c r="V144" i="6" s="1"/>
  <c r="S408" i="6"/>
  <c r="S401" i="6" s="1"/>
  <c r="S409" i="6"/>
  <c r="S239" i="6" s="1"/>
  <c r="U2" i="6"/>
  <c r="T13" i="6"/>
  <c r="T229" i="6" l="1"/>
  <c r="T231" i="6" s="1"/>
  <c r="T245" i="6"/>
  <c r="T145" i="6"/>
  <c r="T116" i="6"/>
  <c r="S145" i="6"/>
  <c r="S116" i="6"/>
  <c r="V169" i="6"/>
  <c r="V115" i="6"/>
  <c r="S205" i="6"/>
  <c r="S207" i="6" s="1"/>
  <c r="S238" i="6"/>
  <c r="U22" i="6"/>
  <c r="U247" i="6" s="1"/>
  <c r="T464" i="6"/>
  <c r="T232" i="6" s="1"/>
  <c r="T226" i="6"/>
  <c r="U433" i="6"/>
  <c r="U226" i="6" s="1"/>
  <c r="U403" i="6"/>
  <c r="U407" i="6" s="1"/>
  <c r="U462" i="6"/>
  <c r="U230" i="6" s="1"/>
  <c r="T215" i="6"/>
  <c r="V20" i="6"/>
  <c r="V143" i="6" s="1"/>
  <c r="V427" i="6"/>
  <c r="V17" i="6"/>
  <c r="V140" i="6" s="1"/>
  <c r="V422" i="6"/>
  <c r="V19" i="6"/>
  <c r="V142" i="6" s="1"/>
  <c r="V435" i="6"/>
  <c r="V444" i="6" s="1"/>
  <c r="V228" i="6" s="1"/>
  <c r="V210" i="6"/>
  <c r="V225" i="6" s="1"/>
  <c r="V328" i="6"/>
  <c r="V227" i="6"/>
  <c r="V326" i="6"/>
  <c r="V447" i="6"/>
  <c r="V446" i="6" s="1"/>
  <c r="U211" i="6"/>
  <c r="U214" i="6" s="1"/>
  <c r="T216" i="6"/>
  <c r="T196" i="6"/>
  <c r="U225" i="6"/>
  <c r="T408" i="6"/>
  <c r="T401" i="6" s="1"/>
  <c r="T409" i="6"/>
  <c r="T239" i="6" s="1"/>
  <c r="V2" i="6"/>
  <c r="U13" i="6"/>
  <c r="U229" i="6" l="1"/>
  <c r="U245" i="6"/>
  <c r="U116" i="6"/>
  <c r="U145" i="6"/>
  <c r="T205" i="6"/>
  <c r="T207" i="6" s="1"/>
  <c r="T238" i="6"/>
  <c r="V433" i="6"/>
  <c r="V226" i="6" s="1"/>
  <c r="V22" i="6"/>
  <c r="V211" i="6"/>
  <c r="V214" i="6" s="1"/>
  <c r="V462" i="6"/>
  <c r="V230" i="6" s="1"/>
  <c r="U464" i="6"/>
  <c r="U232" i="6" s="1"/>
  <c r="V403" i="6"/>
  <c r="V407" i="6" s="1"/>
  <c r="V408" i="6" s="1"/>
  <c r="V401" i="6" s="1"/>
  <c r="U215" i="6"/>
  <c r="U231" i="6"/>
  <c r="U216" i="6"/>
  <c r="U196" i="6"/>
  <c r="U409" i="6"/>
  <c r="U239" i="6" s="1"/>
  <c r="U408" i="6"/>
  <c r="U401" i="6" s="1"/>
  <c r="V13" i="6"/>
  <c r="V229" i="6" l="1"/>
  <c r="V231" i="6" s="1"/>
  <c r="V245" i="6"/>
  <c r="V215" i="6"/>
  <c r="V145" i="6"/>
  <c r="V116" i="6"/>
  <c r="U205" i="6"/>
  <c r="U207" i="6" s="1"/>
  <c r="U238" i="6"/>
  <c r="V196" i="6"/>
  <c r="V409" i="6"/>
  <c r="V239" i="6" s="1"/>
  <c r="V464" i="6"/>
  <c r="V232" i="6" s="1"/>
  <c r="V216" i="6"/>
  <c r="L227" i="6"/>
  <c r="L22" i="6"/>
  <c r="L116" i="6" l="1"/>
  <c r="L145" i="6"/>
  <c r="L351" i="6"/>
  <c r="V205" i="6"/>
  <c r="V207" i="6" s="1"/>
  <c r="V238" i="6"/>
  <c r="L206" i="6" l="1"/>
  <c r="L197" i="6"/>
  <c r="L350" i="6"/>
  <c r="L362" i="6" s="1"/>
  <c r="M351" i="6"/>
  <c r="M197" i="6" s="1"/>
  <c r="M206" i="6" l="1"/>
  <c r="M350" i="6"/>
  <c r="M362" i="6" s="1"/>
  <c r="M379" i="6" s="1"/>
  <c r="M198" i="6"/>
  <c r="M234" i="6"/>
  <c r="M236" i="6"/>
  <c r="L198" i="6"/>
  <c r="L234" i="6"/>
  <c r="L236" i="6"/>
  <c r="N351" i="6"/>
  <c r="L379" i="6"/>
  <c r="L235" i="6"/>
  <c r="M235" i="6" l="1"/>
  <c r="M170" i="6"/>
  <c r="M171" i="6"/>
  <c r="L170" i="6"/>
  <c r="L171" i="6"/>
  <c r="L237" i="6"/>
  <c r="L208" i="6"/>
  <c r="L189" i="6"/>
  <c r="O351" i="6"/>
  <c r="N350" i="6"/>
  <c r="N362" i="6" s="1"/>
  <c r="N197" i="6"/>
  <c r="N206" i="6"/>
  <c r="M189" i="6"/>
  <c r="M237" i="6"/>
  <c r="M208" i="6"/>
  <c r="L172" i="6" l="1"/>
  <c r="M172" i="6"/>
  <c r="N379" i="6"/>
  <c r="N235" i="6"/>
  <c r="N198" i="6"/>
  <c r="N234" i="6"/>
  <c r="N236" i="6"/>
  <c r="O197" i="6"/>
  <c r="O206" i="6"/>
  <c r="O350" i="6"/>
  <c r="O362" i="6" s="1"/>
  <c r="P351" i="6"/>
  <c r="N170" i="6" l="1"/>
  <c r="N171" i="6"/>
  <c r="O379" i="6"/>
  <c r="O235" i="6"/>
  <c r="O198" i="6"/>
  <c r="O234" i="6"/>
  <c r="O236" i="6"/>
  <c r="P197" i="6"/>
  <c r="Q351" i="6"/>
  <c r="P350" i="6"/>
  <c r="P362" i="6" s="1"/>
  <c r="P206" i="6"/>
  <c r="N237" i="6"/>
  <c r="N189" i="6"/>
  <c r="N208" i="6"/>
  <c r="O171" i="6" l="1"/>
  <c r="O170" i="6"/>
  <c r="O172" i="6" s="1"/>
  <c r="N172" i="6"/>
  <c r="P379" i="6"/>
  <c r="P235" i="6"/>
  <c r="R351" i="6"/>
  <c r="Q350" i="6"/>
  <c r="Q362" i="6" s="1"/>
  <c r="Q206" i="6"/>
  <c r="Q197" i="6"/>
  <c r="P198" i="6"/>
  <c r="P234" i="6"/>
  <c r="P236" i="6"/>
  <c r="O237" i="6"/>
  <c r="O189" i="6"/>
  <c r="O208" i="6"/>
  <c r="P171" i="6" l="1"/>
  <c r="P170" i="6"/>
  <c r="P172" i="6" s="1"/>
  <c r="Q198" i="6"/>
  <c r="Q234" i="6"/>
  <c r="Q236" i="6"/>
  <c r="Q379" i="6"/>
  <c r="Q235" i="6"/>
  <c r="R350" i="6"/>
  <c r="R362" i="6" s="1"/>
  <c r="R197" i="6"/>
  <c r="S351" i="6"/>
  <c r="R206" i="6"/>
  <c r="P237" i="6"/>
  <c r="P208" i="6"/>
  <c r="P189" i="6"/>
  <c r="Q171" i="6" l="1"/>
  <c r="Q170" i="6"/>
  <c r="Q172" i="6" s="1"/>
  <c r="S206" i="6"/>
  <c r="T351" i="6"/>
  <c r="S350" i="6"/>
  <c r="S362" i="6" s="1"/>
  <c r="S197" i="6"/>
  <c r="R379" i="6"/>
  <c r="R235" i="6"/>
  <c r="Q237" i="6"/>
  <c r="Q208" i="6"/>
  <c r="Q189" i="6"/>
  <c r="R198" i="6"/>
  <c r="R234" i="6"/>
  <c r="R236" i="6"/>
  <c r="R171" i="6" l="1"/>
  <c r="R170" i="6"/>
  <c r="R172" i="6" s="1"/>
  <c r="R237" i="6"/>
  <c r="R208" i="6"/>
  <c r="R189" i="6"/>
  <c r="S198" i="6"/>
  <c r="S236" i="6"/>
  <c r="S234" i="6"/>
  <c r="T350" i="6"/>
  <c r="T362" i="6" s="1"/>
  <c r="T206" i="6"/>
  <c r="U351" i="6"/>
  <c r="T197" i="6"/>
  <c r="S379" i="6"/>
  <c r="S235" i="6"/>
  <c r="S171" i="6" l="1"/>
  <c r="S170" i="6"/>
  <c r="S237" i="6"/>
  <c r="S208" i="6"/>
  <c r="S189" i="6"/>
  <c r="V351" i="6"/>
  <c r="U350" i="6"/>
  <c r="U362" i="6" s="1"/>
  <c r="U197" i="6"/>
  <c r="U206" i="6"/>
  <c r="T379" i="6"/>
  <c r="T235" i="6"/>
  <c r="T198" i="6"/>
  <c r="T236" i="6"/>
  <c r="T234" i="6"/>
  <c r="T171" i="6" l="1"/>
  <c r="T170" i="6"/>
  <c r="S172" i="6"/>
  <c r="U379" i="6"/>
  <c r="U235" i="6"/>
  <c r="T237" i="6"/>
  <c r="T208" i="6"/>
  <c r="T189" i="6"/>
  <c r="U198" i="6"/>
  <c r="U236" i="6"/>
  <c r="U234" i="6"/>
  <c r="V206" i="6"/>
  <c r="V197" i="6"/>
  <c r="V350" i="6"/>
  <c r="V362" i="6" s="1"/>
  <c r="U41" i="6"/>
  <c r="N41" i="6"/>
  <c r="R41" i="6"/>
  <c r="K24" i="6"/>
  <c r="K25" i="6" s="1"/>
  <c r="P41" i="6"/>
  <c r="L41" i="6"/>
  <c r="T41" i="6"/>
  <c r="O41" i="6"/>
  <c r="S41" i="6"/>
  <c r="Q41" i="6"/>
  <c r="G11" i="6"/>
  <c r="M41" i="6"/>
  <c r="T172" i="6" l="1"/>
  <c r="U171" i="6"/>
  <c r="U170" i="6"/>
  <c r="V198" i="6"/>
  <c r="V234" i="6"/>
  <c r="V236" i="6"/>
  <c r="V379" i="6"/>
  <c r="V235" i="6"/>
  <c r="U237" i="6"/>
  <c r="U208" i="6"/>
  <c r="U189" i="6"/>
  <c r="K26" i="6"/>
  <c r="K27" i="6" s="1"/>
  <c r="K31" i="6" s="1"/>
  <c r="K33" i="6" s="1"/>
  <c r="U172" i="6" l="1"/>
  <c r="V171" i="6"/>
  <c r="V170" i="6"/>
  <c r="V237" i="6"/>
  <c r="V189" i="6"/>
  <c r="V208" i="6"/>
  <c r="H62" i="6"/>
  <c r="K36" i="6"/>
  <c r="G10" i="6"/>
  <c r="V172" i="6" l="1"/>
</calcChain>
</file>

<file path=xl/sharedStrings.xml><?xml version="1.0" encoding="utf-8"?>
<sst xmlns="http://schemas.openxmlformats.org/spreadsheetml/2006/main" count="576" uniqueCount="389">
  <si>
    <t>Forecast</t>
  </si>
  <si>
    <t>Other Income (Expense)</t>
  </si>
  <si>
    <t>-</t>
  </si>
  <si>
    <t>Net Income</t>
  </si>
  <si>
    <t>Interest Expense</t>
  </si>
  <si>
    <t>EBITDA</t>
  </si>
  <si>
    <t>EBIT</t>
  </si>
  <si>
    <t>Cash</t>
  </si>
  <si>
    <t>Total Current Assets</t>
  </si>
  <si>
    <t>Accumulated Depreciation</t>
  </si>
  <si>
    <t>Total Assets</t>
  </si>
  <si>
    <t>Accounts Payable</t>
  </si>
  <si>
    <t>Total Current Liabilities</t>
  </si>
  <si>
    <t>Long-Term Debt</t>
  </si>
  <si>
    <t>Total Liabilities</t>
  </si>
  <si>
    <t>Total Equity</t>
  </si>
  <si>
    <t>Purchase of Investments</t>
  </si>
  <si>
    <t>Net Change in Cash</t>
  </si>
  <si>
    <t>Capital Expenditures</t>
  </si>
  <si>
    <t>Free Cash Flow</t>
  </si>
  <si>
    <t>Debt</t>
  </si>
  <si>
    <t>Net income</t>
  </si>
  <si>
    <t>Total FCF</t>
  </si>
  <si>
    <t>PV FCF (10 years)</t>
  </si>
  <si>
    <t>PV terminal value</t>
  </si>
  <si>
    <t>Net debt</t>
  </si>
  <si>
    <t>Number of shares</t>
  </si>
  <si>
    <t>Current share price</t>
  </si>
  <si>
    <t>Upside to valuation</t>
  </si>
  <si>
    <t>Cost of equity</t>
  </si>
  <si>
    <t>Risk free rate</t>
  </si>
  <si>
    <t>Beta (of equity)</t>
  </si>
  <si>
    <t>Market risk premium</t>
  </si>
  <si>
    <t>Cost of debt</t>
  </si>
  <si>
    <t>Terminal growth rate</t>
  </si>
  <si>
    <t>Add: Interest exp after tax</t>
  </si>
  <si>
    <t>WACC</t>
  </si>
  <si>
    <t>Net company value (equity mkt cap)</t>
  </si>
  <si>
    <t>Estimated share price (DCF)</t>
  </si>
  <si>
    <t>Debt-to-assets ratio</t>
  </si>
  <si>
    <t>Add: Depr &amp; amort</t>
  </si>
  <si>
    <t>Less: Capex</t>
  </si>
  <si>
    <t>Less: Δ in WC</t>
  </si>
  <si>
    <t>https://www.asx.com.au/documents/research/tnk-20160321-full.pdf</t>
  </si>
  <si>
    <t>Enterprise value</t>
  </si>
  <si>
    <t>https://canaccordgenuity.bluematrix.com/sellside/EmailDocViewer?encrypt=a555719b-412b-4cc7-8528-505c27fb1e82&amp;mime=PDF&amp;co=Canaccordgenuity&amp;id=mbottomley@cgf.com&amp;source=libraryview&amp;htmlToPdf=ture</t>
  </si>
  <si>
    <t>Another interesting one:</t>
  </si>
  <si>
    <t>Source: FactSet Fundamentals</t>
  </si>
  <si>
    <t>DEC '20</t>
  </si>
  <si>
    <t>DEC '19</t>
  </si>
  <si>
    <t>DEC '18</t>
  </si>
  <si>
    <t>DEC '17</t>
  </si>
  <si>
    <t>DEC '16</t>
  </si>
  <si>
    <t>DEC '15</t>
  </si>
  <si>
    <t>DEC '14</t>
  </si>
  <si>
    <t>DEC '13</t>
  </si>
  <si>
    <t>DEC '12</t>
  </si>
  <si>
    <t>DEC '11</t>
  </si>
  <si>
    <t>Sales</t>
  </si>
  <si>
    <t>Cost of Goods Sold (COGS) incl. D&amp;A</t>
  </si>
  <si>
    <t>COGS excluding D&amp;A</t>
  </si>
  <si>
    <t>Depreciation &amp; Amortization Expense</t>
  </si>
  <si>
    <t>Gross Income</t>
  </si>
  <si>
    <t>SG&amp;A Expense</t>
  </si>
  <si>
    <t>Other SG&amp;A</t>
  </si>
  <si>
    <t>EBIT (Operating Income)</t>
  </si>
  <si>
    <t>Nonoperating Income - Net</t>
  </si>
  <si>
    <t>Nonoperating Interest Income</t>
  </si>
  <si>
    <t>Gross Interest Expense</t>
  </si>
  <si>
    <t>Unusual Expense - Net</t>
  </si>
  <si>
    <t>Restructuring Expense</t>
  </si>
  <si>
    <t>Excpl Chrgs - Others</t>
  </si>
  <si>
    <t>Pretax Income</t>
  </si>
  <si>
    <t>Income Taxes</t>
  </si>
  <si>
    <t>Income Taxes - Current Domestic</t>
  </si>
  <si>
    <t>Income Taxes - Deferred Domestic</t>
  </si>
  <si>
    <t>Consolidated Net Income</t>
  </si>
  <si>
    <t>Net Income available to Common</t>
  </si>
  <si>
    <t>Per Share</t>
  </si>
  <si>
    <t>EPS (recurring)</t>
  </si>
  <si>
    <t>Basic Shares Outstanding</t>
  </si>
  <si>
    <t>Total Shares Outstanding</t>
  </si>
  <si>
    <t>EPS (diluted)</t>
  </si>
  <si>
    <t>Diluted Shares Outstanding</t>
  </si>
  <si>
    <t>Earnings Persistence</t>
  </si>
  <si>
    <t>Assets</t>
  </si>
  <si>
    <t>Cash &amp; Short-Term Investments</t>
  </si>
  <si>
    <t>Cash Only</t>
  </si>
  <si>
    <t>Short-Term Receivables</t>
  </si>
  <si>
    <t>Accounts Receivables, Net</t>
  </si>
  <si>
    <t>Accounts Receivables, Gross</t>
  </si>
  <si>
    <t>Inventories</t>
  </si>
  <si>
    <t>Finished Goods</t>
  </si>
  <si>
    <t>Work in Progress</t>
  </si>
  <si>
    <t>Raw Materials</t>
  </si>
  <si>
    <t>Other Current Assets</t>
  </si>
  <si>
    <t>Net Property, Plant &amp; Equipment</t>
  </si>
  <si>
    <t>Property, Plant &amp; Equipment - Gross</t>
  </si>
  <si>
    <t>Machinery &amp; Equipment</t>
  </si>
  <si>
    <t>Other Property, Plant &amp; Equipment</t>
  </si>
  <si>
    <t xml:space="preserve">Total Long-Term Investments </t>
  </si>
  <si>
    <t>Other Long-Term Investments</t>
  </si>
  <si>
    <t>Long-Term Note Receivable</t>
  </si>
  <si>
    <t>Other Assets</t>
  </si>
  <si>
    <t>Deferred Charges</t>
  </si>
  <si>
    <t>Tangible Other Assets</t>
  </si>
  <si>
    <t>Liabilities &amp; Shareholders' Equity</t>
  </si>
  <si>
    <t>Current</t>
  </si>
  <si>
    <t>ST Debt &amp; Curr. Portion LT Debt</t>
  </si>
  <si>
    <t>Income Tax Payable</t>
  </si>
  <si>
    <t>Other Current Liabilities</t>
  </si>
  <si>
    <t>Accrued Payroll</t>
  </si>
  <si>
    <t>Miscellaneous Current Liabilities</t>
  </si>
  <si>
    <t>Long-Term</t>
  </si>
  <si>
    <t>Long-Term Debt excl Lease Obligations</t>
  </si>
  <si>
    <t>Capital and Operating Lease Obligations</t>
  </si>
  <si>
    <t>Provision for Risks &amp; Charges</t>
  </si>
  <si>
    <t>Deferred Tax Liabilities</t>
  </si>
  <si>
    <t>Other Liabilities</t>
  </si>
  <si>
    <t>Other Liabilities (excl. Deferred Income)</t>
  </si>
  <si>
    <t>Deferred Income</t>
  </si>
  <si>
    <t>Equity</t>
  </si>
  <si>
    <t>Common Equity</t>
  </si>
  <si>
    <t>Common Stock Par/Carry Value</t>
  </si>
  <si>
    <t>Retained Earnings</t>
  </si>
  <si>
    <t>Other Appropriated Reserves</t>
  </si>
  <si>
    <t>Total Shareholders' Equity</t>
  </si>
  <si>
    <t>Total Liabilities &amp; Shareholders' Equity</t>
  </si>
  <si>
    <t>Book Value per Share</t>
  </si>
  <si>
    <t>Tangible Book Value per Share</t>
  </si>
  <si>
    <t>Operating Activities</t>
  </si>
  <si>
    <t>Net Income / Starting Line</t>
  </si>
  <si>
    <t>Depreciation, Depletion &amp; Amortization</t>
  </si>
  <si>
    <t>Depreciation and Depletion</t>
  </si>
  <si>
    <t>Other Funds</t>
  </si>
  <si>
    <t>Funds from Operations</t>
  </si>
  <si>
    <t>Changes in Working Capital</t>
  </si>
  <si>
    <t>Receivables</t>
  </si>
  <si>
    <t>Other Assets/Liabilities</t>
  </si>
  <si>
    <t>Net Operating Cash Flow</t>
  </si>
  <si>
    <t>Investing Activities</t>
  </si>
  <si>
    <t>Capital Expenditures (Fixed Assets)</t>
  </si>
  <si>
    <t>Capital Expenditures (Other Assets)</t>
  </si>
  <si>
    <t>Net Assets from Acquisitions</t>
  </si>
  <si>
    <t>Purchase/Sale of Investments</t>
  </si>
  <si>
    <t>Sale/Maturity of Investments</t>
  </si>
  <si>
    <t>Other Uses</t>
  </si>
  <si>
    <t>Other Sources</t>
  </si>
  <si>
    <t>Net Investing Cash Flow</t>
  </si>
  <si>
    <t>Financing Activities</t>
  </si>
  <si>
    <t>Change in Capital Stock</t>
  </si>
  <si>
    <t>Sale of Common &amp; Preferred Stock</t>
  </si>
  <si>
    <t>Proceeds from Sale of Stock</t>
  </si>
  <si>
    <t>Proceeds from Stock Options</t>
  </si>
  <si>
    <t>Issuance/Reduction of Debt, Net</t>
  </si>
  <si>
    <t>Change in Long-Term Debt</t>
  </si>
  <si>
    <t>Issuance of Long-Term Debt</t>
  </si>
  <si>
    <t>Reduction in Long-Term Debt</t>
  </si>
  <si>
    <t>Net Financing Cash Flow</t>
  </si>
  <si>
    <t>All Activities</t>
  </si>
  <si>
    <t>Free Cash Flow per Share</t>
  </si>
  <si>
    <t>Free Cash Flow Yield (%)</t>
  </si>
  <si>
    <t>Date</t>
  </si>
  <si>
    <t>Time</t>
  </si>
  <si>
    <t>Dividends</t>
  </si>
  <si>
    <t>CurrentAssetsExcludingCash</t>
  </si>
  <si>
    <t>CurrentLiabilitiesExcludingInterestBearingDebt</t>
  </si>
  <si>
    <t>NonCurrentAssets</t>
  </si>
  <si>
    <t>NonCurrentLiabilitiesExcludingInterestBearingDebt</t>
  </si>
  <si>
    <t>DeprAndAmort</t>
  </si>
  <si>
    <t>ΔCAExclCash</t>
  </si>
  <si>
    <t>ΔNCA</t>
  </si>
  <si>
    <t>ΔOE</t>
  </si>
  <si>
    <t>Buybacks</t>
  </si>
  <si>
    <t>EquityRaisings</t>
  </si>
  <si>
    <t>NetIncome</t>
  </si>
  <si>
    <t>EFCF</t>
  </si>
  <si>
    <t>IntExp</t>
  </si>
  <si>
    <t>ΔCash = CashNow - CashBefore</t>
  </si>
  <si>
    <t>BalanceSheetFundingDeficiency = A-L-OE</t>
  </si>
  <si>
    <t>OperatingCashflows = NetIncome + DeprAndAmort - ΔNOWC</t>
  </si>
  <si>
    <t>ΔOE estimated</t>
  </si>
  <si>
    <t>ΔCash estimated</t>
  </si>
  <si>
    <t>Corporate tax rate</t>
  </si>
  <si>
    <t>PV(FCF)</t>
  </si>
  <si>
    <t>https://www.bloomberg.com/markets/rates-bonds/government-bonds/us</t>
  </si>
  <si>
    <t>https://www.reuters.com/companies/TSLA.OQ/key-metrics</t>
  </si>
  <si>
    <t>https://papers.ssrn.com/sol3/papers.cfm?abstract_id=3861152</t>
  </si>
  <si>
    <t>https://www.rba.gov.au/chart-pack/interest-rates.html</t>
  </si>
  <si>
    <t>Historical</t>
  </si>
  <si>
    <t>TotalCurrentAssets estimated</t>
  </si>
  <si>
    <t>TotalAssets estimated</t>
  </si>
  <si>
    <t>TotalLiabilitiesAndEquity estimated</t>
  </si>
  <si>
    <t>https://fred.stlouisfed.org/graph/?g=FDGh</t>
  </si>
  <si>
    <t>DCF share price valuation sentitivity analysis</t>
  </si>
  <si>
    <t>Equity multiplier (RHS)</t>
  </si>
  <si>
    <t>Profit margin (LHS)</t>
  </si>
  <si>
    <t>RoE (LHS)</t>
  </si>
  <si>
    <t>Data</t>
  </si>
  <si>
    <t>The class will be recorded and posted online for everyone to see.</t>
  </si>
  <si>
    <t>In class we'll go through the steps to link these yellow cells to the data and make nicer graphs which will be a fun exercise.</t>
  </si>
  <si>
    <t>Sales growth</t>
  </si>
  <si>
    <t>Below is a working line to find present values. It's not interesting enough to be shown in the above tables but can be used to calculate the discounted FCF's over the forecast horizon, 'PV FCF (10 years)' above:</t>
  </si>
  <si>
    <t>Average</t>
  </si>
  <si>
    <t>Median</t>
  </si>
  <si>
    <t>Valuation:</t>
  </si>
  <si>
    <t>Discount to median</t>
  </si>
  <si>
    <t>Enterprise value (=E+D-Cash)</t>
  </si>
  <si>
    <t>Net income (profit or earnings)</t>
  </si>
  <si>
    <t>EV/EBIT</t>
  </si>
  <si>
    <t>EV/EBITDA</t>
  </si>
  <si>
    <t>EV/Sales</t>
  </si>
  <si>
    <t>Price-to-earnings</t>
  </si>
  <si>
    <t>Equity market capitalisation</t>
  </si>
  <si>
    <t>Implied values of ratios' numerators. (Price for PE ratio, EV for EV/EBITDA, and so on)</t>
  </si>
  <si>
    <t>Price-to-book ratio</t>
  </si>
  <si>
    <t>Book equity</t>
  </si>
  <si>
    <t>ΔNOWC = CANowExclCash - CABeforeExclCash - (CLNowExclDebt - CLBeforeExclDebt) -(NCLNowExclDebt - NCLBeforeExclDebt)</t>
  </si>
  <si>
    <t>CapEx =  NCANow - NCABefore + DeprAndAmort</t>
  </si>
  <si>
    <t>DEC '21</t>
  </si>
  <si>
    <t>DEC '22</t>
  </si>
  <si>
    <t>DEC '23</t>
  </si>
  <si>
    <t>DEC '24</t>
  </si>
  <si>
    <t>DEC '25</t>
  </si>
  <si>
    <t>DEC '26</t>
  </si>
  <si>
    <t>DEC '27</t>
  </si>
  <si>
    <t>DEC '28</t>
  </si>
  <si>
    <t>DEC '29</t>
  </si>
  <si>
    <t>DEC '30</t>
  </si>
  <si>
    <t>DEC '31</t>
  </si>
  <si>
    <t>InvestingCashflows = -CapEx</t>
  </si>
  <si>
    <t>https://www.accountingcoach.com/blog/interest-paid-cash-flows-statement#:~:text=In%20the%20statement%20of%20cash,in%20the%20corporation's%20net%20income.</t>
  </si>
  <si>
    <t>Note that neither interest expense (nor interest paid) on debt is included in the financing cash flows which is a little odd since dividends on equity are included.</t>
  </si>
  <si>
    <t>Interest incurred and paid are not included in the financing cash flows, despite dividends being included. See AASB107: "A single transaction may include cash flows that are classified differently. For example, when the cash repayment of a loan includes both interest and capital, the interest element may be classified as an operating activity and the capital element is classified as a financing activity." Page 11, https://www.aasb.gov.au/admin/file/content105/c9/AASB107_07-04_COMPjul07_07-07.pdf</t>
  </si>
  <si>
    <t>BookEquity = OE</t>
  </si>
  <si>
    <t>ΔCLExclIBD</t>
  </si>
  <si>
    <t>ΔNCLExclIBD</t>
  </si>
  <si>
    <t>ΔIBD (=ΔDebt)</t>
  </si>
  <si>
    <t>ΔCash = -(ΔCAExclCash - ΔCLExclIBD) - (ΔNCA - ΔNCLExclIBD) + ΔIBD + ΔOE</t>
  </si>
  <si>
    <t>ΔIBD</t>
  </si>
  <si>
    <t>InterestBearingDebt (or IBD or just Debt)</t>
  </si>
  <si>
    <t>https://rsmus.com/pdf/us_gaap_ifrs_cash_flows.pdf</t>
  </si>
  <si>
    <t>Implied share prices</t>
  </si>
  <si>
    <t xml:space="preserve">The cash flow statement forecast formulas assume that only the retained profits and contributed equity (or share capital) in the balance sheet change from year to year during the forecast period. </t>
  </si>
  <si>
    <t>DebtCashFlowPaidToDebtHoldersExclCashLentToBank, assumes interest expense is equal to interest paid which might not be true for example if there are zero-coupon bond liabilities.</t>
  </si>
  <si>
    <t>FinancingCashflows = ΔIBD - EFCF = - (DebtCashFlowToDebtHolders - IntExp) - EFCF</t>
  </si>
  <si>
    <t>Interest tax shield per year (ITS)</t>
  </si>
  <si>
    <t>Comparable listed firm name (and ticker)</t>
  </si>
  <si>
    <t>FFCFwITS = OFCF+ITS</t>
  </si>
  <si>
    <t>EnterpriseValue based on PV of FFCFwITS using WACC before tax as at each time, a moment after the cash flow at that time was paid. So for example, the EV at time 2 should include the PV of the cashflows from time 3 onwards, but it should exclude the cash flow at time 2. Note that the EV at time 10 should be a terminal value based on a perpetuity cash flows starting at time 11 and growing by the growth rate of revenue in year 11.</t>
  </si>
  <si>
    <t>rD (=IntExp0/D1) as at each year</t>
  </si>
  <si>
    <t>Marking columns in grey - keep clear</t>
  </si>
  <si>
    <t xml:space="preserve">The template is designed to help you model and present your valuation. </t>
  </si>
  <si>
    <t>Note that:</t>
  </si>
  <si>
    <t>You will lose marks if you assume that there's zero debt since that dodges the questions related to interest tax shields and makes part of the assignment too easy.</t>
  </si>
  <si>
    <t xml:space="preserve">Therefore accumulated minority interests, reserves and other book equity accounts besides retained profits and contributed equity should remain unchanged in your balance sheet forecasts (but may well change in the historical period). </t>
  </si>
  <si>
    <t>Instructions:</t>
  </si>
  <si>
    <t xml:space="preserve">Question 1: </t>
  </si>
  <si>
    <t>Fill in the cells that you can. Some such as FCF will require you to finish the financial statement modelling first.</t>
  </si>
  <si>
    <t>Question 2:</t>
  </si>
  <si>
    <t>Weights used in multiples-estimated share price triangulation above</t>
  </si>
  <si>
    <t xml:space="preserve">Conduct a multiples valuation. </t>
  </si>
  <si>
    <t>The weights should be used to calculate the 'estimated share price (multiples triangulation) from the prior question.</t>
  </si>
  <si>
    <t xml:space="preserve">Conduct a sensitivity analysis of WACC and temrinal growth rate. . </t>
  </si>
  <si>
    <t xml:space="preserve">Ensure that the base case is shown in the table in the same row as the WACC label </t>
  </si>
  <si>
    <t xml:space="preserve">and the same column as the terminal growth rate label. </t>
  </si>
  <si>
    <t>Use conditional formatting to shade the table.</t>
  </si>
  <si>
    <t>Find the WACC that makes the DCF share price valuation equal to the triangulated multiples share price valuation.</t>
  </si>
  <si>
    <t>Find the WACC that makes the DCF share price valuation equal to the market share price (IRR).</t>
  </si>
  <si>
    <t xml:space="preserve">Make a graph (scatterplot with smooth lines) that shows the WACC on the x-axis and </t>
  </si>
  <si>
    <t>the DCF share price estimate on the y-axis.</t>
  </si>
  <si>
    <t xml:space="preserve">  Base case DCF estimated share price;</t>
  </si>
  <si>
    <t>Clearly mark the:</t>
  </si>
  <si>
    <t xml:space="preserve">Graph the FCF and its components over all forecast years. </t>
  </si>
  <si>
    <t xml:space="preserve">Fill in the template below which can be used to forecast the cash flow statement's 'net change in cash' </t>
  </si>
  <si>
    <t>which adds to the balance sheet's cash each year and makes the balance sheet balance, so A=L+OE.</t>
  </si>
  <si>
    <t>FFCFwITS = DebtCashFlow + EFCF = Firm free cash flow with interest tax shields</t>
  </si>
  <si>
    <t>Complete a DuPont analysis for all years in the past and future and present it in a graph with a primary (LHS) and secondary (RHS) axis</t>
  </si>
  <si>
    <t>As an academic exercise, demonstrate the two different methods of calculating FFCFwITS:</t>
  </si>
  <si>
    <t>Graph the following variables over the entire history and forecast horizon.</t>
  </si>
  <si>
    <t>Graph here</t>
  </si>
  <si>
    <t xml:space="preserve">Tesla and BYD will be valued in class. Do not value these companies, </t>
  </si>
  <si>
    <t>Choose a non-bank listed firm (except Tesla or BYD which will be demonstrated in class) from any country with suitable data and value it using the template provided.</t>
  </si>
  <si>
    <t>Question 9a:</t>
  </si>
  <si>
    <t>Question 8:</t>
  </si>
  <si>
    <t>Question 7:</t>
  </si>
  <si>
    <t>Question 6:</t>
  </si>
  <si>
    <t>Question 5:</t>
  </si>
  <si>
    <t>Question 4c:</t>
  </si>
  <si>
    <t>Question 4b:</t>
  </si>
  <si>
    <t>Question 4a:</t>
  </si>
  <si>
    <t>Question 3:</t>
  </si>
  <si>
    <t>The below financial statements for Tesla are given just to help you do your own modelling for your company. They're just a guide and you should start again using your firm's financial data to make your own changes according to you firm's circumstances.</t>
  </si>
  <si>
    <t xml:space="preserve">Make financial statement forecasts of the firm's P&amp;L, balance sheet and cash flow statements over the forecast horizon. </t>
  </si>
  <si>
    <t xml:space="preserve">Your firm must have some debt funding in your forecast. If it doesn’t have any debt, add some by issuing debt. </t>
  </si>
  <si>
    <t>Hard-coded data is provided for the past so you can see what it should look like for the Tesla valuation done in class. But make sure you replace this data with your own firm's values. All cells in this question should be formulas.</t>
  </si>
  <si>
    <t>Question 10:</t>
  </si>
  <si>
    <t xml:space="preserve">Make your own graph that supports your valuation and would be nice to show in a presentation. </t>
  </si>
  <si>
    <t>Include just one graph, though the graph can show multiples series with different LHS and RHS axes.</t>
  </si>
  <si>
    <t xml:space="preserve">  Weighted average multiples estimate and corresponding WACC from previous question.</t>
  </si>
  <si>
    <t xml:space="preserve">  The market share price and corresponding WACC from previous question; and the </t>
  </si>
  <si>
    <t>Note: This cell should be A280. If it's not, you've inserted rows or columns and the auto-marking formulas will not work which will result in a mark of zero. Start again by re-downloading this spreadsheet and refill your answers carefully.</t>
  </si>
  <si>
    <t>Note: This cell should be W280. If it's not, you've inserted rows or columns and the auto-marking formulas will not work which will result in a mark of zero. Start again by re-downloading this spreadsheet and refill your answers carefully.</t>
  </si>
  <si>
    <t>Note: This cell should be W1. If it's not, you've inserted rows or columns and the auto-marking formulas will not work which will result in a mark of zero. Start again by re-downloading this spreadsheet and refill your answers carefully.</t>
  </si>
  <si>
    <t>PE</t>
  </si>
  <si>
    <t>Price-to-book</t>
  </si>
  <si>
    <t>Implied multiples:</t>
  </si>
  <si>
    <t>Change this cell to say something sensible about multiples, similar to Canaccord.</t>
  </si>
  <si>
    <r>
      <t xml:space="preserve">Comparables analysis </t>
    </r>
    <r>
      <rPr>
        <sz val="11"/>
        <color theme="1"/>
        <rFont val="Calibri"/>
        <family val="2"/>
        <scheme val="minor"/>
      </rPr>
      <t>(backward looking)</t>
    </r>
  </si>
  <si>
    <t>Median of comparable firms:</t>
  </si>
  <si>
    <t>Multiples (backward-looking)</t>
  </si>
  <si>
    <t>Estimated share price (triangulation):</t>
  </si>
  <si>
    <t>Weights:</t>
  </si>
  <si>
    <t xml:space="preserve">If any multiples are negative, leave them blank using an empty string "". You can do this using an if function. </t>
  </si>
  <si>
    <t>Report figures in the same currency and units as your firm's. SO for example with Tesla, all units are in millions of USD, so details of comparable firms such as Toyota should be reported in USD millions rather than JPY trillions.</t>
  </si>
  <si>
    <t>Estimated share price (triangulation), weighted average share price:</t>
  </si>
  <si>
    <t>The presentation of these tables is based on page 16 of Canaccord's 2016 valuation of Think Childcare here. Note that this link only opens in Firefox browser, Chrome doesn’t work for some reason.</t>
  </si>
  <si>
    <t>Answer the questions and fill in the yellow cells requiring numerical answers which will be machine-marked. Some questions require you to make graphs in the yellow space which will be teacher-marked.</t>
  </si>
  <si>
    <t>Download your firm's financial statement data including its P&amp;L, balance sheet and cash flow statement. Factset, WSJ, Yahoo Finance and DB Hoovers are good sources.</t>
  </si>
  <si>
    <t>WACC before tax based on Question 1 WACC after tax. Assume that the WACC before tax is constant so all future years' values are the same as the first.</t>
  </si>
  <si>
    <t xml:space="preserve">Demonstrate the two different methods of calculating enterprise value with interest tax shields in the WACC or in the cash flow. This is an academic exercise just to show how interest tax shields can be valued differently and exactly. </t>
  </si>
  <si>
    <t xml:space="preserve">WACCAfterTax as at each time. Note that these should change every year as the debt-to-assets ratio changes. </t>
  </si>
  <si>
    <t xml:space="preserve">EnterpriseValue based on PV of OFCF using WACC after tax as at each time, a moment after the cash flow at that time was paid. So for example, the EV at time 2 should include the PV of the cashflows from time 3 onwards, but it should exclude the cash flow at time 2. Note that the EV at time 10 should be a terminal value based on a perpetuity cash flows starting at time 11 and growing by the growth rate of revenue in year 11. </t>
  </si>
  <si>
    <t>D/VwITS, debt-to-assets ratio, where the assets (actually enterprise value) includes the benefit of interest tax shields</t>
  </si>
  <si>
    <t xml:space="preserve">This question provides freedom to show creativity and expert analysis. </t>
  </si>
  <si>
    <t xml:space="preserve">There are less rigid requiremnents unlike other questions. </t>
  </si>
  <si>
    <t>The graph should stand on its own so it requires no textual explanation besides any description in sub-headings or footnotes which should be short and part of the graph.</t>
  </si>
  <si>
    <t>Markers will not read essays or long descriptions in this section, this is supposed to be a graph that visually conveys an idea or information to busy executives. Creativity is rewarded.</t>
  </si>
  <si>
    <t xml:space="preserve">Your graph might help display bottom-up or top-down analysis and could be based on the financial statement data </t>
  </si>
  <si>
    <t xml:space="preserve">  about your firm or data from some other source such as the IMF, World Bank, central bank (say RBA) or other statistical source (say Australian Bureau of Statistics). These are just suggestions. </t>
  </si>
  <si>
    <t>BalanceSheetFundingDeficiency = A-L-OE (should be zero)</t>
  </si>
  <si>
    <t>BalanceSheetFundingDeficiency (=ΔA-ΔL-ΔOE, should be zero)</t>
  </si>
  <si>
    <t>ΔOE from balance sheet statement, should equal above</t>
  </si>
  <si>
    <t>OperatingCashflows from cash flow statement, should equal above</t>
  </si>
  <si>
    <t>InvestingCashflowsvfrom cash flow statement, should equal above</t>
  </si>
  <si>
    <t>FinancingCashflows from cash flow statement, should equal above</t>
  </si>
  <si>
    <t>ΔCash from cash flow statement, should equal above</t>
  </si>
  <si>
    <t>TotalCurrentAssets from balance sheet, should equal above</t>
  </si>
  <si>
    <t>TotalAssets from balance sheet, should equal above</t>
  </si>
  <si>
    <t>TotalLiabilitiesAndEquity from balance sheet, should equal above</t>
  </si>
  <si>
    <t>Depreciation</t>
  </si>
  <si>
    <t>Other Operating Expense</t>
  </si>
  <si>
    <t>Impairments</t>
  </si>
  <si>
    <t>Property,Plant &amp; Equipment</t>
  </si>
  <si>
    <t>Equity in Earnings of Affiliates</t>
  </si>
  <si>
    <t>Dividends per Share</t>
  </si>
  <si>
    <t>Payout Ratio</t>
  </si>
  <si>
    <t>All figures in millions of Australian Dollar except per share items.</t>
  </si>
  <si>
    <t>Other Receivables</t>
  </si>
  <si>
    <t>Prepaid Expenses</t>
  </si>
  <si>
    <t>LT Investment - Affiliate Companies</t>
  </si>
  <si>
    <t>Deferred Tax Assets</t>
  </si>
  <si>
    <t>Cumulative Translation Adjustment/Unrealized For. Exch. Gain</t>
  </si>
  <si>
    <t>Treasury Stock</t>
  </si>
  <si>
    <t>Income Taxes Payable</t>
  </si>
  <si>
    <t>Cash Dividends Paid</t>
  </si>
  <si>
    <t>Common Dividends</t>
  </si>
  <si>
    <t>Repurchase of Common &amp; Preferred Stk.</t>
  </si>
  <si>
    <t>Change in Other Debt</t>
  </si>
  <si>
    <t>Repayments of Operating Lease Liabilities</t>
  </si>
  <si>
    <t>Oil Search Limited (OSH)</t>
  </si>
  <si>
    <t>A$4.39</t>
  </si>
  <si>
    <t xml:space="preserve">Sales Growth </t>
  </si>
  <si>
    <t>COGS/sales</t>
  </si>
  <si>
    <t>SG&amp;A/Gross Income</t>
  </si>
  <si>
    <t>Pretax income/Ebit (2020 amount halved)</t>
  </si>
  <si>
    <t>income taxes/pretax income</t>
  </si>
  <si>
    <t>Depr/COGS</t>
  </si>
  <si>
    <t>Total Non-Current Liabilities</t>
  </si>
  <si>
    <t>Total Non-Current Assets</t>
  </si>
  <si>
    <t>Oil Search Ltd (ASX: OSH)</t>
  </si>
  <si>
    <t>interest expense(this year)/total debt(last year)</t>
  </si>
  <si>
    <t>Oil Search LTD (OSH)</t>
  </si>
  <si>
    <t>Depr/PP&amp;E</t>
  </si>
  <si>
    <t>Woodside Petroleum (ASX: WPL)</t>
  </si>
  <si>
    <t>Beach Energy (ASX: BPT)</t>
  </si>
  <si>
    <t>Ampol Limited (ASX: ALD)</t>
  </si>
  <si>
    <t>Worley Limited (ASX: WOR)</t>
  </si>
  <si>
    <t>Viva Energy (ASX:VEA)</t>
  </si>
  <si>
    <t>Santos Limited (ASX: STO)</t>
  </si>
  <si>
    <t>Share Price ($)</t>
  </si>
  <si>
    <t>Base Case</t>
  </si>
  <si>
    <t>Market Share Price</t>
  </si>
  <si>
    <t>All figures in AUD millions except for per share amounts and rates.</t>
  </si>
  <si>
    <t>Multiples Share Price</t>
  </si>
  <si>
    <t>Asset turnover (LHS)</t>
  </si>
  <si>
    <t>OSH Net Profit (LHS)</t>
  </si>
  <si>
    <t>Oil Price Average Close (RHS)</t>
  </si>
  <si>
    <t>Question 9b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</si>
</sst>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43" formatCode="_-* #,##0.00_-;\-* #,##0.00_-;_-* &quot;-&quot;??_-;_-@_-"/>
    <numFmt numFmtId="164" formatCode="_(* #,##0.00_);_(* \(#,##0.00\);_(* &quot;-&quot;??_);_(@_)"/>
    <numFmt numFmtId="165" formatCode="#,##0.0"/>
    <numFmt numFmtId="166" formatCode="0.000%"/>
    <numFmt numFmtId="168" formatCode="#,##0.000"/>
    <numFmt numFmtId="169" formatCode="#,##0.0000"/>
    <numFmt numFmtId="170" formatCode="#,##0.00000"/>
  </numFmts>
  <fonts count="17">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sz val="12"/>
      <color theme="1"/>
      <name val="Calibri"/>
      <family val="2"/>
      <scheme val="minor"/>
    </font>
    <font>
      <u/>
      <sz val="12"/>
      <color theme="10"/>
      <name val="Calibri"/>
      <family val="2"/>
      <scheme val="minor"/>
    </font>
    <font>
      <sz val="12"/>
      <color indexed="8"/>
      <name val="Verdana"/>
      <family val="2"/>
    </font>
    <font>
      <sz val="12"/>
      <color theme="1"/>
      <name val="Calibri"/>
      <family val="2"/>
      <charset val="134"/>
      <scheme val="minor"/>
    </font>
    <font>
      <b/>
      <sz val="10"/>
      <color theme="1"/>
      <name val="Arial"/>
      <family val="2"/>
    </font>
    <font>
      <b/>
      <sz val="10"/>
      <color rgb="FF003366"/>
      <name val="Arial"/>
      <family val="2"/>
    </font>
    <font>
      <sz val="10"/>
      <color rgb="FFFF0000"/>
      <name val="Arial"/>
      <family val="2"/>
    </font>
    <font>
      <sz val="10"/>
      <color rgb="FF646464"/>
      <name val="Arial"/>
      <family val="2"/>
    </font>
    <font>
      <sz val="11"/>
      <color theme="1" tint="0.499984740745262"/>
      <name val="Calibri"/>
      <family val="2"/>
      <scheme val="minor"/>
    </font>
    <font>
      <b/>
      <sz val="11"/>
      <color theme="1" tint="0.499984740745262"/>
      <name val="Calibri"/>
      <family val="2"/>
      <scheme val="minor"/>
    </font>
    <font>
      <sz val="11"/>
      <name val="Calibri"/>
      <family val="2"/>
      <scheme val="minor"/>
    </font>
    <font>
      <sz val="11"/>
      <color rgb="FF006100"/>
      <name val="Calibri"/>
      <family val="2"/>
      <scheme val="minor"/>
    </font>
    <font>
      <sz val="10"/>
      <name val="Arial"/>
      <family val="2"/>
    </font>
  </fonts>
  <fills count="1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C8C8C8"/>
        <bgColor indexed="64"/>
      </patternFill>
    </fill>
    <fill>
      <patternFill patternType="solid">
        <fgColor rgb="FFF0F0F0"/>
        <bgColor indexed="64"/>
      </patternFill>
    </fill>
    <fill>
      <patternFill patternType="solid">
        <fgColor theme="2" tint="-0.249977111117893"/>
        <bgColor indexed="64"/>
      </patternFill>
    </fill>
    <fill>
      <patternFill patternType="solid">
        <fgColor rgb="FFC6EFCE"/>
      </patternFill>
    </fill>
    <fill>
      <patternFill patternType="solid">
        <fgColor theme="5" tint="0.79998168889431442"/>
        <bgColor indexed="65"/>
      </patternFill>
    </fill>
    <fill>
      <patternFill patternType="solid">
        <fgColor theme="9" tint="0.79998168889431442"/>
        <bgColor indexed="65"/>
      </patternFill>
    </fill>
    <fill>
      <patternFill patternType="solid">
        <fgColor rgb="FF92D050"/>
        <bgColor indexed="64"/>
      </patternFill>
    </fill>
  </fills>
  <borders count="5">
    <border>
      <left/>
      <right/>
      <top/>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5">
    <xf numFmtId="0" fontId="0" fillId="0" borderId="0"/>
    <xf numFmtId="0" fontId="3" fillId="0" borderId="0" applyNumberFormat="0" applyFill="0" applyBorder="0" applyAlignment="0" applyProtection="0"/>
    <xf numFmtId="0" fontId="4" fillId="0" borderId="0"/>
    <xf numFmtId="0" fontId="5" fillId="0" borderId="0" applyNumberFormat="0" applyFill="0" applyBorder="0" applyAlignment="0" applyProtection="0"/>
    <xf numFmtId="0" fontId="6" fillId="0" borderId="0" applyNumberFormat="0" applyFill="0" applyBorder="0" applyProtection="0">
      <alignment vertical="top" wrapText="1"/>
    </xf>
    <xf numFmtId="0" fontId="7" fillId="0" borderId="0"/>
    <xf numFmtId="164" fontId="7" fillId="0" borderId="0" applyFont="0" applyFill="0" applyBorder="0" applyAlignment="0" applyProtection="0"/>
    <xf numFmtId="9" fontId="7"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2" fillId="0" borderId="0" applyFont="0" applyFill="0" applyBorder="0" applyAlignment="0" applyProtection="0"/>
    <xf numFmtId="0" fontId="15"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cellStyleXfs>
  <cellXfs count="112">
    <xf numFmtId="0" fontId="0" fillId="0" borderId="0" xfId="0"/>
    <xf numFmtId="15" fontId="0" fillId="0" borderId="0" xfId="0" applyNumberFormat="1"/>
    <xf numFmtId="0" fontId="0" fillId="2" borderId="0" xfId="0" applyFill="1"/>
    <xf numFmtId="0" fontId="1" fillId="0" borderId="0" xfId="0" applyFont="1"/>
    <xf numFmtId="3" fontId="0" fillId="0" borderId="0" xfId="0" applyNumberFormat="1"/>
    <xf numFmtId="0" fontId="0" fillId="0" borderId="0" xfId="0" quotePrefix="1"/>
    <xf numFmtId="0" fontId="3" fillId="0" borderId="0" xfId="1"/>
    <xf numFmtId="0" fontId="0" fillId="0" borderId="0" xfId="0"/>
    <xf numFmtId="0" fontId="0" fillId="0" borderId="0" xfId="0" applyAlignment="1"/>
    <xf numFmtId="0" fontId="0" fillId="0" borderId="0" xfId="0" applyAlignment="1">
      <alignment vertical="center" wrapText="1"/>
    </xf>
    <xf numFmtId="15" fontId="0" fillId="0" borderId="0" xfId="0" applyNumberFormat="1" applyAlignment="1">
      <alignment wrapText="1"/>
    </xf>
    <xf numFmtId="2" fontId="0" fillId="0" borderId="0" xfId="0" applyNumberFormat="1"/>
    <xf numFmtId="2" fontId="1" fillId="0" borderId="0" xfId="0" applyNumberFormat="1" applyFont="1"/>
    <xf numFmtId="0" fontId="0" fillId="0" borderId="0" xfId="0" applyFill="1" applyBorder="1"/>
    <xf numFmtId="0" fontId="8" fillId="0" borderId="0" xfId="0" applyFont="1"/>
    <xf numFmtId="0" fontId="8" fillId="4" borderId="0" xfId="0" applyFont="1" applyFill="1" applyAlignment="1">
      <alignment horizontal="left"/>
    </xf>
    <xf numFmtId="0" fontId="9" fillId="5" borderId="0" xfId="0" applyFont="1" applyFill="1" applyAlignment="1">
      <alignment horizontal="left"/>
    </xf>
    <xf numFmtId="3" fontId="9" fillId="5" borderId="0" xfId="0" applyNumberFormat="1" applyFont="1" applyFill="1" applyAlignment="1">
      <alignment horizontal="right"/>
    </xf>
    <xf numFmtId="0" fontId="9" fillId="0" borderId="0" xfId="0" applyFont="1" applyAlignment="1">
      <alignment horizontal="left" indent="3"/>
    </xf>
    <xf numFmtId="3" fontId="9" fillId="0" borderId="0" xfId="0" applyNumberFormat="1" applyFont="1" applyAlignment="1">
      <alignment horizontal="right"/>
    </xf>
    <xf numFmtId="0" fontId="9" fillId="5" borderId="0" xfId="0" applyFont="1" applyFill="1" applyAlignment="1">
      <alignment horizontal="left" indent="3"/>
    </xf>
    <xf numFmtId="0" fontId="9" fillId="0" borderId="0" xfId="0" applyFont="1" applyAlignment="1">
      <alignment horizontal="left"/>
    </xf>
    <xf numFmtId="0" fontId="9" fillId="0" borderId="0" xfId="0" applyFont="1" applyAlignment="1">
      <alignment horizontal="left" indent="6"/>
    </xf>
    <xf numFmtId="4" fontId="9" fillId="5" borderId="0" xfId="0" applyNumberFormat="1" applyFont="1" applyFill="1" applyAlignment="1">
      <alignment horizontal="right"/>
    </xf>
    <xf numFmtId="4" fontId="9" fillId="0" borderId="0" xfId="0" applyNumberFormat="1" applyFont="1" applyAlignment="1">
      <alignment horizontal="right"/>
    </xf>
    <xf numFmtId="0" fontId="11" fillId="0" borderId="0" xfId="0" applyFont="1" applyAlignment="1">
      <alignment horizontal="left"/>
    </xf>
    <xf numFmtId="0" fontId="9" fillId="5" borderId="0" xfId="0" applyFont="1" applyFill="1" applyAlignment="1">
      <alignment horizontal="left" indent="6"/>
    </xf>
    <xf numFmtId="165" fontId="10" fillId="0" borderId="0" xfId="0" applyNumberFormat="1" applyFont="1" applyAlignment="1">
      <alignment horizontal="right"/>
    </xf>
    <xf numFmtId="165" fontId="9" fillId="5" borderId="0" xfId="0" applyNumberFormat="1" applyFont="1" applyFill="1" applyAlignment="1">
      <alignment horizontal="right"/>
    </xf>
    <xf numFmtId="165" fontId="10" fillId="5" borderId="0" xfId="0" applyNumberFormat="1" applyFont="1" applyFill="1" applyAlignment="1">
      <alignment horizontal="right"/>
    </xf>
    <xf numFmtId="165" fontId="9" fillId="0" borderId="0" xfId="0" applyNumberFormat="1" applyFont="1" applyAlignment="1">
      <alignment horizontal="right"/>
    </xf>
    <xf numFmtId="3" fontId="0" fillId="2" borderId="0" xfId="0" applyNumberFormat="1" applyFill="1"/>
    <xf numFmtId="165" fontId="0" fillId="0" borderId="0" xfId="0" applyNumberFormat="1"/>
    <xf numFmtId="0" fontId="0" fillId="0" borderId="0" xfId="0" quotePrefix="1" applyFont="1"/>
    <xf numFmtId="3" fontId="12" fillId="0" borderId="0" xfId="0" applyNumberFormat="1" applyFont="1"/>
    <xf numFmtId="0" fontId="12" fillId="0" borderId="0" xfId="0" applyFont="1"/>
    <xf numFmtId="3" fontId="13" fillId="0" borderId="0" xfId="0" applyNumberFormat="1" applyFont="1"/>
    <xf numFmtId="10" fontId="0" fillId="0" borderId="0" xfId="0" applyNumberFormat="1"/>
    <xf numFmtId="10" fontId="0" fillId="2" borderId="0" xfId="0" applyNumberFormat="1" applyFill="1"/>
    <xf numFmtId="2" fontId="0" fillId="2" borderId="0" xfId="0" applyNumberFormat="1" applyFill="1"/>
    <xf numFmtId="2" fontId="1" fillId="2" borderId="0" xfId="0" applyNumberFormat="1" applyFont="1" applyFill="1"/>
    <xf numFmtId="10" fontId="0" fillId="2" borderId="0" xfId="21" applyNumberFormat="1" applyFont="1" applyFill="1"/>
    <xf numFmtId="2" fontId="12" fillId="2" borderId="0" xfId="0" applyNumberFormat="1" applyFont="1" applyFill="1"/>
    <xf numFmtId="0" fontId="1" fillId="2" borderId="0" xfId="0" applyFont="1" applyFill="1"/>
    <xf numFmtId="0" fontId="0" fillId="0" borderId="0" xfId="0" applyFont="1"/>
    <xf numFmtId="3" fontId="12" fillId="2" borderId="0" xfId="0" applyNumberFormat="1" applyFont="1" applyFill="1"/>
    <xf numFmtId="0" fontId="0" fillId="6" borderId="0" xfId="0" applyFill="1"/>
    <xf numFmtId="0" fontId="14" fillId="0" borderId="0" xfId="0" applyFont="1"/>
    <xf numFmtId="3" fontId="14" fillId="2" borderId="0" xfId="0" applyNumberFormat="1" applyFont="1" applyFill="1"/>
    <xf numFmtId="3" fontId="14" fillId="0" borderId="0" xfId="0" applyNumberFormat="1" applyFont="1"/>
    <xf numFmtId="15" fontId="12" fillId="2" borderId="0" xfId="0" applyNumberFormat="1" applyFont="1" applyFill="1"/>
    <xf numFmtId="15" fontId="0" fillId="2" borderId="0" xfId="0" applyNumberFormat="1" applyFont="1" applyFill="1"/>
    <xf numFmtId="0" fontId="0" fillId="2" borderId="0" xfId="0" applyFill="1" applyAlignment="1"/>
    <xf numFmtId="0" fontId="1" fillId="3" borderId="0" xfId="0" applyFont="1" applyFill="1"/>
    <xf numFmtId="2" fontId="0" fillId="2" borderId="0" xfId="0" applyNumberFormat="1" applyFont="1" applyFill="1"/>
    <xf numFmtId="10" fontId="0" fillId="2" borderId="1" xfId="21" applyNumberFormat="1" applyFont="1" applyFill="1" applyBorder="1"/>
    <xf numFmtId="10" fontId="1" fillId="2" borderId="1" xfId="21" applyNumberFormat="1" applyFont="1" applyFill="1" applyBorder="1"/>
    <xf numFmtId="10" fontId="0" fillId="2" borderId="2" xfId="21" applyNumberFormat="1" applyFont="1" applyFill="1" applyBorder="1"/>
    <xf numFmtId="10" fontId="1" fillId="2" borderId="2" xfId="21" applyNumberFormat="1" applyFont="1" applyFill="1" applyBorder="1"/>
    <xf numFmtId="166" fontId="0" fillId="2" borderId="2" xfId="0" applyNumberFormat="1" applyFill="1" applyBorder="1"/>
    <xf numFmtId="15" fontId="0" fillId="0" borderId="0" xfId="0" applyNumberFormat="1" applyFont="1" applyAlignment="1">
      <alignment wrapText="1"/>
    </xf>
    <xf numFmtId="0" fontId="14" fillId="2" borderId="0" xfId="0" applyNumberFormat="1" applyFont="1" applyFill="1"/>
    <xf numFmtId="0" fontId="0" fillId="5" borderId="0" xfId="0" applyFill="1" applyAlignment="1">
      <alignment horizontal="left"/>
    </xf>
    <xf numFmtId="0" fontId="0" fillId="5" borderId="0" xfId="0" applyFill="1" applyAlignment="1">
      <alignment horizontal="left" indent="1"/>
    </xf>
    <xf numFmtId="0" fontId="0" fillId="5" borderId="0" xfId="0" applyFill="1" applyAlignment="1">
      <alignment horizontal="left" indent="4"/>
    </xf>
    <xf numFmtId="0" fontId="0" fillId="0" borderId="0" xfId="0" applyAlignment="1">
      <alignment horizontal="left" indent="4"/>
    </xf>
    <xf numFmtId="0" fontId="0" fillId="0" borderId="0" xfId="0" applyAlignment="1">
      <alignment horizontal="left"/>
    </xf>
    <xf numFmtId="0" fontId="0" fillId="0" borderId="0" xfId="0" applyAlignment="1">
      <alignment horizontal="left" indent="1"/>
    </xf>
    <xf numFmtId="4" fontId="0" fillId="0" borderId="0" xfId="0" applyNumberFormat="1" applyAlignment="1">
      <alignment horizontal="right"/>
    </xf>
    <xf numFmtId="4" fontId="0" fillId="5" borderId="0" xfId="0" applyNumberFormat="1" applyFill="1" applyAlignment="1">
      <alignment horizontal="right"/>
    </xf>
    <xf numFmtId="165" fontId="0" fillId="5" borderId="0" xfId="0" applyNumberFormat="1" applyFill="1" applyAlignment="1">
      <alignment horizontal="right"/>
    </xf>
    <xf numFmtId="165" fontId="0" fillId="0" borderId="0" xfId="0" applyNumberFormat="1" applyAlignment="1">
      <alignment horizontal="right"/>
    </xf>
    <xf numFmtId="0" fontId="0" fillId="0" borderId="0" xfId="0" applyAlignment="1">
      <alignment horizontal="left" indent="7"/>
    </xf>
    <xf numFmtId="0" fontId="0" fillId="5" borderId="0" xfId="0" applyFill="1" applyAlignment="1">
      <alignment horizontal="left" indent="7"/>
    </xf>
    <xf numFmtId="3" fontId="0" fillId="5" borderId="0" xfId="0" applyNumberFormat="1" applyFill="1" applyAlignment="1">
      <alignment horizontal="right"/>
    </xf>
    <xf numFmtId="3" fontId="0" fillId="0" borderId="0" xfId="0" applyNumberFormat="1" applyAlignment="1">
      <alignment horizontal="right"/>
    </xf>
    <xf numFmtId="0" fontId="0" fillId="0" borderId="0" xfId="0" applyFont="1" applyBorder="1"/>
    <xf numFmtId="0" fontId="2" fillId="8" borderId="3" xfId="23" applyBorder="1"/>
    <xf numFmtId="0" fontId="2" fillId="9" borderId="3" xfId="24" applyBorder="1"/>
    <xf numFmtId="10" fontId="2" fillId="9" borderId="3" xfId="24" applyNumberFormat="1" applyBorder="1"/>
    <xf numFmtId="10" fontId="2" fillId="8" borderId="0" xfId="23" applyNumberFormat="1" applyBorder="1"/>
    <xf numFmtId="3" fontId="15" fillId="7" borderId="0" xfId="22" applyNumberFormat="1"/>
    <xf numFmtId="1" fontId="0" fillId="0" borderId="0" xfId="0" applyNumberFormat="1"/>
    <xf numFmtId="3" fontId="0" fillId="0" borderId="0" xfId="0" applyNumberFormat="1" applyFill="1" applyAlignment="1">
      <alignment horizontal="right"/>
    </xf>
    <xf numFmtId="165" fontId="14" fillId="2" borderId="0" xfId="0" applyNumberFormat="1" applyFont="1" applyFill="1"/>
    <xf numFmtId="169" fontId="9" fillId="5" borderId="0" xfId="0" applyNumberFormat="1" applyFont="1" applyFill="1" applyAlignment="1">
      <alignment horizontal="right"/>
    </xf>
    <xf numFmtId="165" fontId="0" fillId="5" borderId="0" xfId="0" applyNumberFormat="1" applyFill="1" applyAlignment="1">
      <alignment horizontal="left"/>
    </xf>
    <xf numFmtId="170" fontId="0" fillId="0" borderId="0" xfId="0" applyNumberFormat="1"/>
    <xf numFmtId="10" fontId="0" fillId="10" borderId="0" xfId="21" applyNumberFormat="1" applyFont="1" applyFill="1"/>
    <xf numFmtId="0" fontId="15" fillId="7" borderId="0" xfId="22"/>
    <xf numFmtId="10" fontId="15" fillId="7" borderId="0" xfId="22" applyNumberFormat="1"/>
    <xf numFmtId="165" fontId="0" fillId="2" borderId="0" xfId="0" applyNumberFormat="1" applyFill="1"/>
    <xf numFmtId="10" fontId="2" fillId="8" borderId="4" xfId="23" applyNumberFormat="1" applyBorder="1"/>
    <xf numFmtId="0" fontId="0" fillId="3" borderId="0" xfId="0" applyFill="1"/>
    <xf numFmtId="3" fontId="0" fillId="3" borderId="0" xfId="0" applyNumberFormat="1" applyFill="1"/>
    <xf numFmtId="10" fontId="1" fillId="2" borderId="0" xfId="0" applyNumberFormat="1" applyFont="1" applyFill="1"/>
    <xf numFmtId="168" fontId="15" fillId="7" borderId="0" xfId="22" applyNumberFormat="1"/>
    <xf numFmtId="168" fontId="0" fillId="0" borderId="0" xfId="0" applyNumberFormat="1"/>
    <xf numFmtId="169" fontId="0" fillId="0" borderId="0" xfId="0" applyNumberFormat="1"/>
    <xf numFmtId="169" fontId="14" fillId="2" borderId="0" xfId="0" applyNumberFormat="1" applyFont="1" applyFill="1"/>
    <xf numFmtId="165" fontId="16" fillId="5" borderId="0" xfId="0" applyNumberFormat="1" applyFont="1" applyFill="1" applyAlignment="1">
      <alignment horizontal="right"/>
    </xf>
    <xf numFmtId="170" fontId="14" fillId="0" borderId="0" xfId="22" applyNumberFormat="1" applyFont="1" applyFill="1"/>
    <xf numFmtId="3" fontId="16" fillId="0" borderId="0" xfId="0" applyNumberFormat="1" applyFont="1" applyFill="1" applyAlignment="1">
      <alignment horizontal="right"/>
    </xf>
    <xf numFmtId="15" fontId="0" fillId="2" borderId="0" xfId="0" applyNumberFormat="1" applyFill="1"/>
    <xf numFmtId="170" fontId="12" fillId="2" borderId="0" xfId="0" applyNumberFormat="1" applyFont="1" applyFill="1"/>
    <xf numFmtId="10" fontId="14" fillId="2" borderId="0" xfId="0" applyNumberFormat="1" applyFont="1" applyFill="1"/>
    <xf numFmtId="0" fontId="0" fillId="0" borderId="0" xfId="0" applyFill="1" applyAlignment="1"/>
    <xf numFmtId="170" fontId="14" fillId="2" borderId="0" xfId="0" applyNumberFormat="1" applyFont="1" applyFill="1"/>
    <xf numFmtId="3" fontId="15" fillId="2" borderId="0" xfId="22" applyNumberFormat="1" applyFill="1"/>
    <xf numFmtId="0" fontId="0" fillId="0" borderId="0" xfId="0" applyFill="1"/>
    <xf numFmtId="0" fontId="0" fillId="0" borderId="0" xfId="0" applyFill="1" applyAlignment="1">
      <alignment horizontal="left" indent="4"/>
    </xf>
    <xf numFmtId="165" fontId="0" fillId="0" borderId="0" xfId="0" applyNumberFormat="1" applyFill="1" applyAlignment="1">
      <alignment horizontal="right"/>
    </xf>
  </cellXfs>
  <cellStyles count="25">
    <cellStyle name="20% - Accent2" xfId="23" builtinId="34"/>
    <cellStyle name="20% - Accent6" xfId="24" builtinId="50"/>
    <cellStyle name="Comma 2" xfId="6" xr:uid="{00000000-0005-0000-0000-000000000000}"/>
    <cellStyle name="Comma 2 2" xfId="12" xr:uid="{00000000-0005-0000-0000-000001000000}"/>
    <cellStyle name="Comma 2 2 2" xfId="19" xr:uid="{00000000-0005-0000-0000-000002000000}"/>
    <cellStyle name="Comma 2 3" xfId="16" xr:uid="{00000000-0005-0000-0000-000003000000}"/>
    <cellStyle name="Comma 2 3 2" xfId="20" xr:uid="{00000000-0005-0000-0000-000004000000}"/>
    <cellStyle name="Comma 3" xfId="8" xr:uid="{00000000-0005-0000-0000-000005000000}"/>
    <cellStyle name="Comma 3 2" xfId="13" xr:uid="{00000000-0005-0000-0000-000006000000}"/>
    <cellStyle name="Comma 3 3" xfId="17" xr:uid="{00000000-0005-0000-0000-000007000000}"/>
    <cellStyle name="Comma 4" xfId="11" xr:uid="{00000000-0005-0000-0000-000008000000}"/>
    <cellStyle name="Comma 5" xfId="15" xr:uid="{00000000-0005-0000-0000-000009000000}"/>
    <cellStyle name="Currency 3" xfId="10" xr:uid="{00000000-0005-0000-0000-00000A000000}"/>
    <cellStyle name="Currency 3 2" xfId="14" xr:uid="{00000000-0005-0000-0000-00000B000000}"/>
    <cellStyle name="Currency 3 3" xfId="18" xr:uid="{00000000-0005-0000-0000-00000C000000}"/>
    <cellStyle name="Good" xfId="22" builtinId="26"/>
    <cellStyle name="Hyperlink" xfId="1" builtinId="8"/>
    <cellStyle name="Hyperlink 2" xfId="3" xr:uid="{00000000-0005-0000-0000-00000E000000}"/>
    <cellStyle name="Normal" xfId="0" builtinId="0"/>
    <cellStyle name="Normal 2" xfId="2" xr:uid="{00000000-0005-0000-0000-000010000000}"/>
    <cellStyle name="Normal 3" xfId="4" xr:uid="{00000000-0005-0000-0000-000011000000}"/>
    <cellStyle name="Normal 4" xfId="5" xr:uid="{00000000-0005-0000-0000-000012000000}"/>
    <cellStyle name="Percent" xfId="21" builtinId="5"/>
    <cellStyle name="Percent 2" xfId="7" xr:uid="{00000000-0005-0000-0000-000014000000}"/>
    <cellStyle name="Percent 3" xfId="9" xr:uid="{00000000-0005-0000-0000-000015000000}"/>
  </cellStyles>
  <dxfs count="0"/>
  <tableStyles count="0" defaultTableStyle="TableStyleMedium2" defaultPivotStyle="PivotStyleLight16"/>
  <colors>
    <mruColors>
      <color rgb="FFFB5BE0"/>
      <color rgb="FFFF505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t>Share Price vs WACC</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smoothMarker"/>
        <c:varyColors val="0"/>
        <c:ser>
          <c:idx val="0"/>
          <c:order val="0"/>
          <c:tx>
            <c:strRef>
              <c:f>template!$M$88</c:f>
              <c:strCache>
                <c:ptCount val="1"/>
                <c:pt idx="0">
                  <c:v>Share Price ($)</c:v>
                </c:pt>
              </c:strCache>
            </c:strRef>
          </c:tx>
          <c:spPr>
            <a:ln w="19050" cap="rnd">
              <a:solidFill>
                <a:schemeClr val="accent1"/>
              </a:solidFill>
              <a:round/>
            </a:ln>
            <a:effectLst/>
          </c:spPr>
          <c:marker>
            <c:symbol val="none"/>
          </c:marker>
          <c:xVal>
            <c:numRef>
              <c:f>template!$L$89:$L$107</c:f>
              <c:numCache>
                <c:formatCode>0.00%</c:formatCode>
                <c:ptCount val="19"/>
                <c:pt idx="0">
                  <c:v>0.03</c:v>
                </c:pt>
                <c:pt idx="1">
                  <c:v>3.5000000000000003E-2</c:v>
                </c:pt>
                <c:pt idx="2">
                  <c:v>0.04</c:v>
                </c:pt>
                <c:pt idx="3">
                  <c:v>4.4999999999999998E-2</c:v>
                </c:pt>
                <c:pt idx="4">
                  <c:v>0.05</c:v>
                </c:pt>
                <c:pt idx="5">
                  <c:v>5.5E-2</c:v>
                </c:pt>
                <c:pt idx="6">
                  <c:v>0.06</c:v>
                </c:pt>
                <c:pt idx="7">
                  <c:v>6.5000000000000002E-2</c:v>
                </c:pt>
                <c:pt idx="8">
                  <c:v>7.0000000000000007E-2</c:v>
                </c:pt>
                <c:pt idx="9">
                  <c:v>7.1099999999999997E-2</c:v>
                </c:pt>
                <c:pt idx="10">
                  <c:v>7.1961096661788793E-2</c:v>
                </c:pt>
                <c:pt idx="11">
                  <c:v>7.4300000000000005E-2</c:v>
                </c:pt>
                <c:pt idx="12">
                  <c:v>7.4999999999999997E-2</c:v>
                </c:pt>
                <c:pt idx="13">
                  <c:v>0.08</c:v>
                </c:pt>
                <c:pt idx="14">
                  <c:v>8.5000000000000006E-2</c:v>
                </c:pt>
                <c:pt idx="15">
                  <c:v>0.09</c:v>
                </c:pt>
                <c:pt idx="16">
                  <c:v>9.5000000000000001E-2</c:v>
                </c:pt>
                <c:pt idx="17">
                  <c:v>0.1</c:v>
                </c:pt>
                <c:pt idx="18">
                  <c:v>0.105</c:v>
                </c:pt>
              </c:numCache>
            </c:numRef>
          </c:xVal>
          <c:yVal>
            <c:numRef>
              <c:f>template!$M$89:$M$107</c:f>
              <c:numCache>
                <c:formatCode>0.00</c:formatCode>
                <c:ptCount val="19"/>
                <c:pt idx="0">
                  <c:v>44.057826356713505</c:v>
                </c:pt>
                <c:pt idx="1">
                  <c:v>23.598948229474797</c:v>
                </c:pt>
                <c:pt idx="2">
                  <c:v>15.769487211819383</c:v>
                </c:pt>
                <c:pt idx="3">
                  <c:v>11.633528685959483</c:v>
                </c:pt>
                <c:pt idx="4">
                  <c:v>9.0764666939144369</c:v>
                </c:pt>
                <c:pt idx="5">
                  <c:v>7.3392117731760083</c:v>
                </c:pt>
                <c:pt idx="6">
                  <c:v>6.0820608043418609</c:v>
                </c:pt>
                <c:pt idx="7">
                  <c:v>5.1302150258097212</c:v>
                </c:pt>
                <c:pt idx="8">
                  <c:v>4.3845460891419954</c:v>
                </c:pt>
                <c:pt idx="9">
                  <c:v>4.29</c:v>
                </c:pt>
                <c:pt idx="10">
                  <c:v>4.1343911557733337</c:v>
                </c:pt>
                <c:pt idx="11" formatCode="General">
                  <c:v>3.86</c:v>
                </c:pt>
                <c:pt idx="12">
                  <c:v>3.7846476274400391</c:v>
                </c:pt>
                <c:pt idx="13">
                  <c:v>3.2916101846148176</c:v>
                </c:pt>
                <c:pt idx="14">
                  <c:v>2.8792398057932727</c:v>
                </c:pt>
                <c:pt idx="15">
                  <c:v>2.5292561176477171</c:v>
                </c:pt>
                <c:pt idx="16">
                  <c:v>2.2285136887845756</c:v>
                </c:pt>
                <c:pt idx="17">
                  <c:v>1.9673173421410142</c:v>
                </c:pt>
                <c:pt idx="18">
                  <c:v>1.7383598884029507</c:v>
                </c:pt>
              </c:numCache>
            </c:numRef>
          </c:yVal>
          <c:smooth val="1"/>
          <c:extLst>
            <c:ext xmlns:c16="http://schemas.microsoft.com/office/drawing/2014/chart" uri="{C3380CC4-5D6E-409C-BE32-E72D297353CC}">
              <c16:uniqueId val="{00000000-DDE9-4359-9691-77E9EA0FEA8B}"/>
            </c:ext>
          </c:extLst>
        </c:ser>
        <c:ser>
          <c:idx val="1"/>
          <c:order val="1"/>
          <c:tx>
            <c:strRef>
              <c:f>template!$N$88</c:f>
              <c:strCache>
                <c:ptCount val="1"/>
                <c:pt idx="0">
                  <c:v>Base Case</c:v>
                </c:pt>
              </c:strCache>
            </c:strRef>
          </c:tx>
          <c:spPr>
            <a:ln w="19050" cap="rnd">
              <a:solidFill>
                <a:schemeClr val="accent2"/>
              </a:solidFill>
              <a:round/>
            </a:ln>
            <a:effectLst/>
          </c:spPr>
          <c:marker>
            <c:symbol val="circle"/>
            <c:size val="10"/>
            <c:spPr>
              <a:solidFill>
                <a:schemeClr val="accent2"/>
              </a:solidFill>
              <a:ln w="9525">
                <a:solidFill>
                  <a:schemeClr val="accent2"/>
                </a:solidFill>
              </a:ln>
              <a:effectLst/>
            </c:spPr>
          </c:marker>
          <c:xVal>
            <c:numRef>
              <c:f>template!$L$89:$L$107</c:f>
              <c:numCache>
                <c:formatCode>0.00%</c:formatCode>
                <c:ptCount val="19"/>
                <c:pt idx="0">
                  <c:v>0.03</c:v>
                </c:pt>
                <c:pt idx="1">
                  <c:v>3.5000000000000003E-2</c:v>
                </c:pt>
                <c:pt idx="2">
                  <c:v>0.04</c:v>
                </c:pt>
                <c:pt idx="3">
                  <c:v>4.4999999999999998E-2</c:v>
                </c:pt>
                <c:pt idx="4">
                  <c:v>0.05</c:v>
                </c:pt>
                <c:pt idx="5">
                  <c:v>5.5E-2</c:v>
                </c:pt>
                <c:pt idx="6">
                  <c:v>0.06</c:v>
                </c:pt>
                <c:pt idx="7">
                  <c:v>6.5000000000000002E-2</c:v>
                </c:pt>
                <c:pt idx="8">
                  <c:v>7.0000000000000007E-2</c:v>
                </c:pt>
                <c:pt idx="9">
                  <c:v>7.1099999999999997E-2</c:v>
                </c:pt>
                <c:pt idx="10">
                  <c:v>7.1961096661788793E-2</c:v>
                </c:pt>
                <c:pt idx="11">
                  <c:v>7.4300000000000005E-2</c:v>
                </c:pt>
                <c:pt idx="12">
                  <c:v>7.4999999999999997E-2</c:v>
                </c:pt>
                <c:pt idx="13">
                  <c:v>0.08</c:v>
                </c:pt>
                <c:pt idx="14">
                  <c:v>8.5000000000000006E-2</c:v>
                </c:pt>
                <c:pt idx="15">
                  <c:v>0.09</c:v>
                </c:pt>
                <c:pt idx="16">
                  <c:v>9.5000000000000001E-2</c:v>
                </c:pt>
                <c:pt idx="17">
                  <c:v>0.1</c:v>
                </c:pt>
                <c:pt idx="18">
                  <c:v>0.105</c:v>
                </c:pt>
              </c:numCache>
            </c:numRef>
          </c:xVal>
          <c:yVal>
            <c:numRef>
              <c:f>template!$N$89:$N$107</c:f>
              <c:numCache>
                <c:formatCode>General</c:formatCode>
                <c:ptCount val="19"/>
                <c:pt idx="10" formatCode="0.00">
                  <c:v>4.1343911557733337</c:v>
                </c:pt>
              </c:numCache>
            </c:numRef>
          </c:yVal>
          <c:smooth val="1"/>
          <c:extLst>
            <c:ext xmlns:c16="http://schemas.microsoft.com/office/drawing/2014/chart" uri="{C3380CC4-5D6E-409C-BE32-E72D297353CC}">
              <c16:uniqueId val="{00000001-DDE9-4359-9691-77E9EA0FEA8B}"/>
            </c:ext>
          </c:extLst>
        </c:ser>
        <c:ser>
          <c:idx val="3"/>
          <c:order val="3"/>
          <c:tx>
            <c:strRef>
              <c:f>template!$P$88</c:f>
              <c:strCache>
                <c:ptCount val="1"/>
                <c:pt idx="0">
                  <c:v>Multiples Share Price</c:v>
                </c:pt>
              </c:strCache>
            </c:strRef>
          </c:tx>
          <c:spPr>
            <a:ln w="19050" cap="rnd">
              <a:solidFill>
                <a:schemeClr val="accent4"/>
              </a:solidFill>
              <a:round/>
            </a:ln>
            <a:effectLst/>
          </c:spPr>
          <c:marker>
            <c:symbol val="circle"/>
            <c:size val="10"/>
            <c:spPr>
              <a:solidFill>
                <a:schemeClr val="accent4"/>
              </a:solidFill>
              <a:ln w="9525">
                <a:solidFill>
                  <a:schemeClr val="accent4"/>
                </a:solidFill>
              </a:ln>
              <a:effectLst/>
            </c:spPr>
          </c:marker>
          <c:xVal>
            <c:numRef>
              <c:f>template!$L$89:$L$107</c:f>
              <c:numCache>
                <c:formatCode>0.00%</c:formatCode>
                <c:ptCount val="19"/>
                <c:pt idx="0">
                  <c:v>0.03</c:v>
                </c:pt>
                <c:pt idx="1">
                  <c:v>3.5000000000000003E-2</c:v>
                </c:pt>
                <c:pt idx="2">
                  <c:v>0.04</c:v>
                </c:pt>
                <c:pt idx="3">
                  <c:v>4.4999999999999998E-2</c:v>
                </c:pt>
                <c:pt idx="4">
                  <c:v>0.05</c:v>
                </c:pt>
                <c:pt idx="5">
                  <c:v>5.5E-2</c:v>
                </c:pt>
                <c:pt idx="6">
                  <c:v>0.06</c:v>
                </c:pt>
                <c:pt idx="7">
                  <c:v>6.5000000000000002E-2</c:v>
                </c:pt>
                <c:pt idx="8">
                  <c:v>7.0000000000000007E-2</c:v>
                </c:pt>
                <c:pt idx="9">
                  <c:v>7.1099999999999997E-2</c:v>
                </c:pt>
                <c:pt idx="10">
                  <c:v>7.1961096661788793E-2</c:v>
                </c:pt>
                <c:pt idx="11">
                  <c:v>7.4300000000000005E-2</c:v>
                </c:pt>
                <c:pt idx="12">
                  <c:v>7.4999999999999997E-2</c:v>
                </c:pt>
                <c:pt idx="13">
                  <c:v>0.08</c:v>
                </c:pt>
                <c:pt idx="14">
                  <c:v>8.5000000000000006E-2</c:v>
                </c:pt>
                <c:pt idx="15">
                  <c:v>0.09</c:v>
                </c:pt>
                <c:pt idx="16">
                  <c:v>9.5000000000000001E-2</c:v>
                </c:pt>
                <c:pt idx="17">
                  <c:v>0.1</c:v>
                </c:pt>
                <c:pt idx="18">
                  <c:v>0.105</c:v>
                </c:pt>
              </c:numCache>
            </c:numRef>
          </c:xVal>
          <c:yVal>
            <c:numRef>
              <c:f>template!$P$89:$P$107</c:f>
              <c:numCache>
                <c:formatCode>General</c:formatCode>
                <c:ptCount val="19"/>
                <c:pt idx="11">
                  <c:v>3.86</c:v>
                </c:pt>
              </c:numCache>
            </c:numRef>
          </c:yVal>
          <c:smooth val="1"/>
          <c:extLst>
            <c:ext xmlns:c16="http://schemas.microsoft.com/office/drawing/2014/chart" uri="{C3380CC4-5D6E-409C-BE32-E72D297353CC}">
              <c16:uniqueId val="{00000003-DDE9-4359-9691-77E9EA0FEA8B}"/>
            </c:ext>
          </c:extLst>
        </c:ser>
        <c:dLbls>
          <c:showLegendKey val="0"/>
          <c:showVal val="0"/>
          <c:showCatName val="0"/>
          <c:showSerName val="0"/>
          <c:showPercent val="0"/>
          <c:showBubbleSize val="0"/>
        </c:dLbls>
        <c:axId val="162292239"/>
        <c:axId val="162292655"/>
      </c:scatterChart>
      <c:scatterChart>
        <c:scatterStyle val="smoothMarker"/>
        <c:varyColors val="0"/>
        <c:ser>
          <c:idx val="2"/>
          <c:order val="2"/>
          <c:tx>
            <c:strRef>
              <c:f>template!$O$88</c:f>
              <c:strCache>
                <c:ptCount val="1"/>
                <c:pt idx="0">
                  <c:v>Market Share Price</c:v>
                </c:pt>
              </c:strCache>
            </c:strRef>
          </c:tx>
          <c:spPr>
            <a:ln w="19050" cap="rnd">
              <a:solidFill>
                <a:schemeClr val="accent3"/>
              </a:solidFill>
              <a:round/>
            </a:ln>
            <a:effectLst/>
          </c:spPr>
          <c:marker>
            <c:symbol val="circle"/>
            <c:size val="10"/>
            <c:spPr>
              <a:solidFill>
                <a:schemeClr val="accent3"/>
              </a:solidFill>
              <a:ln w="9525">
                <a:solidFill>
                  <a:schemeClr val="accent3"/>
                </a:solidFill>
              </a:ln>
              <a:effectLst/>
            </c:spPr>
          </c:marker>
          <c:xVal>
            <c:numRef>
              <c:f>template!$L$89:$L$107</c:f>
              <c:numCache>
                <c:formatCode>0.00%</c:formatCode>
                <c:ptCount val="19"/>
                <c:pt idx="0">
                  <c:v>0.03</c:v>
                </c:pt>
                <c:pt idx="1">
                  <c:v>3.5000000000000003E-2</c:v>
                </c:pt>
                <c:pt idx="2">
                  <c:v>0.04</c:v>
                </c:pt>
                <c:pt idx="3">
                  <c:v>4.4999999999999998E-2</c:v>
                </c:pt>
                <c:pt idx="4">
                  <c:v>0.05</c:v>
                </c:pt>
                <c:pt idx="5">
                  <c:v>5.5E-2</c:v>
                </c:pt>
                <c:pt idx="6">
                  <c:v>0.06</c:v>
                </c:pt>
                <c:pt idx="7">
                  <c:v>6.5000000000000002E-2</c:v>
                </c:pt>
                <c:pt idx="8">
                  <c:v>7.0000000000000007E-2</c:v>
                </c:pt>
                <c:pt idx="9">
                  <c:v>7.1099999999999997E-2</c:v>
                </c:pt>
                <c:pt idx="10">
                  <c:v>7.1961096661788793E-2</c:v>
                </c:pt>
                <c:pt idx="11">
                  <c:v>7.4300000000000005E-2</c:v>
                </c:pt>
                <c:pt idx="12">
                  <c:v>7.4999999999999997E-2</c:v>
                </c:pt>
                <c:pt idx="13">
                  <c:v>0.08</c:v>
                </c:pt>
                <c:pt idx="14">
                  <c:v>8.5000000000000006E-2</c:v>
                </c:pt>
                <c:pt idx="15">
                  <c:v>0.09</c:v>
                </c:pt>
                <c:pt idx="16">
                  <c:v>9.5000000000000001E-2</c:v>
                </c:pt>
                <c:pt idx="17">
                  <c:v>0.1</c:v>
                </c:pt>
                <c:pt idx="18">
                  <c:v>0.105</c:v>
                </c:pt>
              </c:numCache>
            </c:numRef>
          </c:xVal>
          <c:yVal>
            <c:numRef>
              <c:f>template!$O$89:$O$107</c:f>
              <c:numCache>
                <c:formatCode>General</c:formatCode>
                <c:ptCount val="19"/>
                <c:pt idx="9" formatCode="0.00">
                  <c:v>4.29</c:v>
                </c:pt>
              </c:numCache>
            </c:numRef>
          </c:yVal>
          <c:smooth val="1"/>
          <c:extLst>
            <c:ext xmlns:c16="http://schemas.microsoft.com/office/drawing/2014/chart" uri="{C3380CC4-5D6E-409C-BE32-E72D297353CC}">
              <c16:uniqueId val="{00000002-DDE9-4359-9691-77E9EA0FEA8B}"/>
            </c:ext>
          </c:extLst>
        </c:ser>
        <c:dLbls>
          <c:showLegendKey val="0"/>
          <c:showVal val="0"/>
          <c:showCatName val="0"/>
          <c:showSerName val="0"/>
          <c:showPercent val="0"/>
          <c:showBubbleSize val="0"/>
        </c:dLbls>
        <c:axId val="558245039"/>
        <c:axId val="558262095"/>
      </c:scatterChart>
      <c:valAx>
        <c:axId val="162292239"/>
        <c:scaling>
          <c:orientation val="minMax"/>
          <c:min val="2.0000000000000004E-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GB"/>
                  <a:t>WACC</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292655"/>
        <c:crosses val="autoZero"/>
        <c:crossBetween val="midCat"/>
      </c:valAx>
      <c:valAx>
        <c:axId val="162292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GB"/>
                  <a:t>Share Price ($)</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2292239"/>
        <c:crosses val="autoZero"/>
        <c:crossBetween val="midCat"/>
      </c:valAx>
      <c:valAx>
        <c:axId val="558262095"/>
        <c:scaling>
          <c:orientation val="minMax"/>
          <c:max val="50"/>
          <c:min val="0"/>
        </c:scaling>
        <c:delete val="0"/>
        <c:axPos val="r"/>
        <c:numFmt formatCode="&quot;$&quot;#,##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58245039"/>
        <c:crosses val="max"/>
        <c:crossBetween val="midCat"/>
      </c:valAx>
      <c:valAx>
        <c:axId val="558245039"/>
        <c:scaling>
          <c:orientation val="minMax"/>
        </c:scaling>
        <c:delete val="1"/>
        <c:axPos val="b"/>
        <c:numFmt formatCode="0.00%" sourceLinked="1"/>
        <c:majorTickMark val="out"/>
        <c:minorTickMark val="none"/>
        <c:tickLblPos val="nextTo"/>
        <c:crossAx val="558262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aseline="0">
          <a:solidFill>
            <a:sysClr val="windowText" lastClr="000000"/>
          </a:solidFill>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baseline="0">
                <a:solidFill>
                  <a:sysClr val="windowText" lastClr="000000"/>
                </a:solidFill>
              </a:rPr>
              <a:t>Change in Key Variables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2"/>
          <c:order val="2"/>
          <c:tx>
            <c:strRef>
              <c:f>template!$A$115</c:f>
              <c:strCache>
                <c:ptCount val="1"/>
                <c:pt idx="0">
                  <c:v>Net Income (LHS)</c:v>
                </c:pt>
              </c:strCache>
            </c:strRef>
          </c:tx>
          <c:spPr>
            <a:ln w="28575" cap="rnd">
              <a:solidFill>
                <a:schemeClr val="accent3"/>
              </a:solidFill>
              <a:round/>
            </a:ln>
            <a:effectLst/>
          </c:spPr>
          <c:marker>
            <c:symbol val="none"/>
          </c:marker>
          <c:cat>
            <c:numRef>
              <c:f>template!$B$112:$V$112</c:f>
              <c:numCache>
                <c:formatCode>d\-mmm\-yy</c:formatCode>
                <c:ptCount val="21"/>
                <c:pt idx="0">
                  <c:v>40908</c:v>
                </c:pt>
                <c:pt idx="1">
                  <c:v>41274</c:v>
                </c:pt>
                <c:pt idx="2">
                  <c:v>41639</c:v>
                </c:pt>
                <c:pt idx="3">
                  <c:v>42004</c:v>
                </c:pt>
                <c:pt idx="4">
                  <c:v>42369</c:v>
                </c:pt>
                <c:pt idx="5">
                  <c:v>42735</c:v>
                </c:pt>
                <c:pt idx="6">
                  <c:v>43100</c:v>
                </c:pt>
                <c:pt idx="7">
                  <c:v>43465</c:v>
                </c:pt>
                <c:pt idx="8">
                  <c:v>43830</c:v>
                </c:pt>
                <c:pt idx="9">
                  <c:v>44196</c:v>
                </c:pt>
                <c:pt idx="10">
                  <c:v>44561</c:v>
                </c:pt>
                <c:pt idx="11">
                  <c:v>44926</c:v>
                </c:pt>
                <c:pt idx="12">
                  <c:v>45291</c:v>
                </c:pt>
                <c:pt idx="13">
                  <c:v>45657</c:v>
                </c:pt>
                <c:pt idx="14">
                  <c:v>46022</c:v>
                </c:pt>
                <c:pt idx="15">
                  <c:v>46387</c:v>
                </c:pt>
                <c:pt idx="16">
                  <c:v>46752</c:v>
                </c:pt>
                <c:pt idx="17">
                  <c:v>47118</c:v>
                </c:pt>
                <c:pt idx="18">
                  <c:v>47483</c:v>
                </c:pt>
                <c:pt idx="19">
                  <c:v>47848</c:v>
                </c:pt>
                <c:pt idx="20">
                  <c:v>48213</c:v>
                </c:pt>
              </c:numCache>
            </c:numRef>
          </c:cat>
          <c:val>
            <c:numRef>
              <c:f>template!$B$115:$V$115</c:f>
              <c:numCache>
                <c:formatCode>#,##0</c:formatCode>
                <c:ptCount val="21"/>
                <c:pt idx="0">
                  <c:v>196.26626999999999</c:v>
                </c:pt>
                <c:pt idx="1">
                  <c:v>169.862493</c:v>
                </c:pt>
                <c:pt idx="2">
                  <c:v>213.31031999999999</c:v>
                </c:pt>
                <c:pt idx="3">
                  <c:v>391.89433600000001</c:v>
                </c:pt>
                <c:pt idx="4">
                  <c:v>-52.482618000000002</c:v>
                </c:pt>
                <c:pt idx="5">
                  <c:v>120.790128</c:v>
                </c:pt>
                <c:pt idx="6">
                  <c:v>394.11017299999997</c:v>
                </c:pt>
                <c:pt idx="7">
                  <c:v>456.96939500000002</c:v>
                </c:pt>
                <c:pt idx="8">
                  <c:v>449.56332200000003</c:v>
                </c:pt>
                <c:pt idx="9">
                  <c:v>-465.777402</c:v>
                </c:pt>
                <c:pt idx="10">
                  <c:v>274.80332335997122</c:v>
                </c:pt>
                <c:pt idx="11">
                  <c:v>437.60092681803025</c:v>
                </c:pt>
                <c:pt idx="12">
                  <c:v>476.99474089154006</c:v>
                </c:pt>
                <c:pt idx="13">
                  <c:v>511.66129727622871</c:v>
                </c:pt>
                <c:pt idx="14">
                  <c:v>535.06122283589343</c:v>
                </c:pt>
                <c:pt idx="15">
                  <c:v>559.63114467354148</c:v>
                </c:pt>
                <c:pt idx="16">
                  <c:v>585.42956260307187</c:v>
                </c:pt>
                <c:pt idx="17">
                  <c:v>607.10023366387748</c:v>
                </c:pt>
                <c:pt idx="18">
                  <c:v>629.63773156711522</c:v>
                </c:pt>
                <c:pt idx="19">
                  <c:v>647.21697993164071</c:v>
                </c:pt>
                <c:pt idx="20">
                  <c:v>661.58156974523979</c:v>
                </c:pt>
              </c:numCache>
            </c:numRef>
          </c:val>
          <c:smooth val="0"/>
          <c:extLst>
            <c:ext xmlns:c16="http://schemas.microsoft.com/office/drawing/2014/chart" uri="{C3380CC4-5D6E-409C-BE32-E72D297353CC}">
              <c16:uniqueId val="{00000002-2FB2-4C87-A292-7AC153EA8C8C}"/>
            </c:ext>
          </c:extLst>
        </c:ser>
        <c:ser>
          <c:idx val="3"/>
          <c:order val="3"/>
          <c:tx>
            <c:strRef>
              <c:f>template!$A$116</c:f>
              <c:strCache>
                <c:ptCount val="1"/>
                <c:pt idx="0">
                  <c:v>Total FCF (LHS)</c:v>
                </c:pt>
              </c:strCache>
            </c:strRef>
          </c:tx>
          <c:spPr>
            <a:ln w="28575" cap="rnd">
              <a:solidFill>
                <a:schemeClr val="accent4"/>
              </a:solidFill>
              <a:round/>
            </a:ln>
            <a:effectLst/>
          </c:spPr>
          <c:marker>
            <c:symbol val="none"/>
          </c:marker>
          <c:cat>
            <c:numRef>
              <c:f>template!$B$112:$V$112</c:f>
              <c:numCache>
                <c:formatCode>d\-mmm\-yy</c:formatCode>
                <c:ptCount val="21"/>
                <c:pt idx="0">
                  <c:v>40908</c:v>
                </c:pt>
                <c:pt idx="1">
                  <c:v>41274</c:v>
                </c:pt>
                <c:pt idx="2">
                  <c:v>41639</c:v>
                </c:pt>
                <c:pt idx="3">
                  <c:v>42004</c:v>
                </c:pt>
                <c:pt idx="4">
                  <c:v>42369</c:v>
                </c:pt>
                <c:pt idx="5">
                  <c:v>42735</c:v>
                </c:pt>
                <c:pt idx="6">
                  <c:v>43100</c:v>
                </c:pt>
                <c:pt idx="7">
                  <c:v>43465</c:v>
                </c:pt>
                <c:pt idx="8">
                  <c:v>43830</c:v>
                </c:pt>
                <c:pt idx="9">
                  <c:v>44196</c:v>
                </c:pt>
                <c:pt idx="10">
                  <c:v>44561</c:v>
                </c:pt>
                <c:pt idx="11">
                  <c:v>44926</c:v>
                </c:pt>
                <c:pt idx="12">
                  <c:v>45291</c:v>
                </c:pt>
                <c:pt idx="13">
                  <c:v>45657</c:v>
                </c:pt>
                <c:pt idx="14">
                  <c:v>46022</c:v>
                </c:pt>
                <c:pt idx="15">
                  <c:v>46387</c:v>
                </c:pt>
                <c:pt idx="16">
                  <c:v>46752</c:v>
                </c:pt>
                <c:pt idx="17">
                  <c:v>47118</c:v>
                </c:pt>
                <c:pt idx="18">
                  <c:v>47483</c:v>
                </c:pt>
                <c:pt idx="19">
                  <c:v>47848</c:v>
                </c:pt>
                <c:pt idx="20">
                  <c:v>48213</c:v>
                </c:pt>
              </c:numCache>
            </c:numRef>
          </c:cat>
          <c:val>
            <c:numRef>
              <c:f>template!$B$116:$V$116</c:f>
              <c:numCache>
                <c:formatCode>General</c:formatCode>
                <c:ptCount val="21"/>
                <c:pt idx="10" formatCode="#,##0">
                  <c:v>623.27118528967333</c:v>
                </c:pt>
                <c:pt idx="11" formatCode="#,##0">
                  <c:v>576.85033027052157</c:v>
                </c:pt>
                <c:pt idx="12" formatCode="#,##0">
                  <c:v>578.38694408817037</c:v>
                </c:pt>
                <c:pt idx="13" formatCode="#,##0">
                  <c:v>609.91024829429784</c:v>
                </c:pt>
                <c:pt idx="14" formatCode="#,##0">
                  <c:v>589.34828413940613</c:v>
                </c:pt>
                <c:pt idx="15" formatCode="#,##0">
                  <c:v>635.11072998666532</c:v>
                </c:pt>
                <c:pt idx="16" formatCode="#,##0">
                  <c:v>683.16129812630493</c:v>
                </c:pt>
                <c:pt idx="17" formatCode="#,##0">
                  <c:v>696.79156485507679</c:v>
                </c:pt>
                <c:pt idx="18" formatCode="#,##0">
                  <c:v>737.69925276152253</c:v>
                </c:pt>
                <c:pt idx="19" formatCode="#,##0">
                  <c:v>740.41567545324688</c:v>
                </c:pt>
                <c:pt idx="20" formatCode="#,##0">
                  <c:v>746.97127675502225</c:v>
                </c:pt>
              </c:numCache>
            </c:numRef>
          </c:val>
          <c:smooth val="0"/>
          <c:extLst>
            <c:ext xmlns:c16="http://schemas.microsoft.com/office/drawing/2014/chart" uri="{C3380CC4-5D6E-409C-BE32-E72D297353CC}">
              <c16:uniqueId val="{00000003-2FB2-4C87-A292-7AC153EA8C8C}"/>
            </c:ext>
          </c:extLst>
        </c:ser>
        <c:dLbls>
          <c:showLegendKey val="0"/>
          <c:showVal val="0"/>
          <c:showCatName val="0"/>
          <c:showSerName val="0"/>
          <c:showPercent val="0"/>
          <c:showBubbleSize val="0"/>
        </c:dLbls>
        <c:marker val="1"/>
        <c:smooth val="0"/>
        <c:axId val="699109279"/>
        <c:axId val="699110943"/>
      </c:lineChart>
      <c:lineChart>
        <c:grouping val="standard"/>
        <c:varyColors val="0"/>
        <c:ser>
          <c:idx val="0"/>
          <c:order val="0"/>
          <c:tx>
            <c:strRef>
              <c:f>template!$A$113</c:f>
              <c:strCache>
                <c:ptCount val="1"/>
                <c:pt idx="0">
                  <c:v>Sales (RHS)</c:v>
                </c:pt>
              </c:strCache>
            </c:strRef>
          </c:tx>
          <c:spPr>
            <a:ln w="28575" cap="rnd">
              <a:solidFill>
                <a:schemeClr val="accent1"/>
              </a:solidFill>
              <a:round/>
            </a:ln>
            <a:effectLst/>
          </c:spPr>
          <c:marker>
            <c:symbol val="none"/>
          </c:marker>
          <c:cat>
            <c:numRef>
              <c:f>template!$B$112:$V$112</c:f>
              <c:numCache>
                <c:formatCode>d\-mmm\-yy</c:formatCode>
                <c:ptCount val="21"/>
                <c:pt idx="0">
                  <c:v>40908</c:v>
                </c:pt>
                <c:pt idx="1">
                  <c:v>41274</c:v>
                </c:pt>
                <c:pt idx="2">
                  <c:v>41639</c:v>
                </c:pt>
                <c:pt idx="3">
                  <c:v>42004</c:v>
                </c:pt>
                <c:pt idx="4">
                  <c:v>42369</c:v>
                </c:pt>
                <c:pt idx="5">
                  <c:v>42735</c:v>
                </c:pt>
                <c:pt idx="6">
                  <c:v>43100</c:v>
                </c:pt>
                <c:pt idx="7">
                  <c:v>43465</c:v>
                </c:pt>
                <c:pt idx="8">
                  <c:v>43830</c:v>
                </c:pt>
                <c:pt idx="9">
                  <c:v>44196</c:v>
                </c:pt>
                <c:pt idx="10">
                  <c:v>44561</c:v>
                </c:pt>
                <c:pt idx="11">
                  <c:v>44926</c:v>
                </c:pt>
                <c:pt idx="12">
                  <c:v>45291</c:v>
                </c:pt>
                <c:pt idx="13">
                  <c:v>45657</c:v>
                </c:pt>
                <c:pt idx="14">
                  <c:v>46022</c:v>
                </c:pt>
                <c:pt idx="15">
                  <c:v>46387</c:v>
                </c:pt>
                <c:pt idx="16">
                  <c:v>46752</c:v>
                </c:pt>
                <c:pt idx="17">
                  <c:v>47118</c:v>
                </c:pt>
                <c:pt idx="18">
                  <c:v>47483</c:v>
                </c:pt>
                <c:pt idx="19">
                  <c:v>47848</c:v>
                </c:pt>
                <c:pt idx="20">
                  <c:v>48213</c:v>
                </c:pt>
              </c:numCache>
            </c:numRef>
          </c:cat>
          <c:val>
            <c:numRef>
              <c:f>template!$B$113:$V$113</c:f>
              <c:numCache>
                <c:formatCode>#,##0</c:formatCode>
                <c:ptCount val="21"/>
                <c:pt idx="0">
                  <c:v>710.36810700000001</c:v>
                </c:pt>
                <c:pt idx="1">
                  <c:v>700.010177</c:v>
                </c:pt>
                <c:pt idx="2">
                  <c:v>794.52966700000002</c:v>
                </c:pt>
                <c:pt idx="3">
                  <c:v>1786.700797</c:v>
                </c:pt>
                <c:pt idx="4">
                  <c:v>2113.2282850000001</c:v>
                </c:pt>
                <c:pt idx="5">
                  <c:v>1662.5144580000001</c:v>
                </c:pt>
                <c:pt idx="6">
                  <c:v>1886.4574520000001</c:v>
                </c:pt>
                <c:pt idx="7">
                  <c:v>2056.833709</c:v>
                </c:pt>
                <c:pt idx="8">
                  <c:v>2237.752446</c:v>
                </c:pt>
                <c:pt idx="9">
                  <c:v>1519.5472609999999</c:v>
                </c:pt>
                <c:pt idx="10">
                  <c:v>2127.3661653999998</c:v>
                </c:pt>
                <c:pt idx="11">
                  <c:v>2446.4710902099996</c:v>
                </c:pt>
                <c:pt idx="12">
                  <c:v>2691.1181992309998</c:v>
                </c:pt>
                <c:pt idx="13">
                  <c:v>2906.4076551694802</c:v>
                </c:pt>
                <c:pt idx="14">
                  <c:v>3051.7280379279546</c:v>
                </c:pt>
                <c:pt idx="15">
                  <c:v>3204.3144398243526</c:v>
                </c:pt>
                <c:pt idx="16">
                  <c:v>3364.5301618155704</c:v>
                </c:pt>
                <c:pt idx="17">
                  <c:v>3499.1113682881933</c:v>
                </c:pt>
                <c:pt idx="18">
                  <c:v>3639.0758230197212</c:v>
                </c:pt>
                <c:pt idx="19">
                  <c:v>3748.2480977103128</c:v>
                </c:pt>
                <c:pt idx="20">
                  <c:v>3837.4564024358183</c:v>
                </c:pt>
              </c:numCache>
            </c:numRef>
          </c:val>
          <c:smooth val="0"/>
          <c:extLst>
            <c:ext xmlns:c16="http://schemas.microsoft.com/office/drawing/2014/chart" uri="{C3380CC4-5D6E-409C-BE32-E72D297353CC}">
              <c16:uniqueId val="{00000000-2FB2-4C87-A292-7AC153EA8C8C}"/>
            </c:ext>
          </c:extLst>
        </c:ser>
        <c:ser>
          <c:idx val="1"/>
          <c:order val="1"/>
          <c:tx>
            <c:strRef>
              <c:f>template!$A$114</c:f>
              <c:strCache>
                <c:ptCount val="1"/>
                <c:pt idx="0">
                  <c:v>COGS excluding D&amp;A (RHS)</c:v>
                </c:pt>
              </c:strCache>
            </c:strRef>
          </c:tx>
          <c:spPr>
            <a:ln w="28575" cap="rnd">
              <a:solidFill>
                <a:schemeClr val="accent2"/>
              </a:solidFill>
              <a:round/>
            </a:ln>
            <a:effectLst/>
          </c:spPr>
          <c:marker>
            <c:symbol val="none"/>
          </c:marker>
          <c:cat>
            <c:numRef>
              <c:f>template!$B$112:$V$112</c:f>
              <c:numCache>
                <c:formatCode>d\-mmm\-yy</c:formatCode>
                <c:ptCount val="21"/>
                <c:pt idx="0">
                  <c:v>40908</c:v>
                </c:pt>
                <c:pt idx="1">
                  <c:v>41274</c:v>
                </c:pt>
                <c:pt idx="2">
                  <c:v>41639</c:v>
                </c:pt>
                <c:pt idx="3">
                  <c:v>42004</c:v>
                </c:pt>
                <c:pt idx="4">
                  <c:v>42369</c:v>
                </c:pt>
                <c:pt idx="5">
                  <c:v>42735</c:v>
                </c:pt>
                <c:pt idx="6">
                  <c:v>43100</c:v>
                </c:pt>
                <c:pt idx="7">
                  <c:v>43465</c:v>
                </c:pt>
                <c:pt idx="8">
                  <c:v>43830</c:v>
                </c:pt>
                <c:pt idx="9">
                  <c:v>44196</c:v>
                </c:pt>
                <c:pt idx="10">
                  <c:v>44561</c:v>
                </c:pt>
                <c:pt idx="11">
                  <c:v>44926</c:v>
                </c:pt>
                <c:pt idx="12">
                  <c:v>45291</c:v>
                </c:pt>
                <c:pt idx="13">
                  <c:v>45657</c:v>
                </c:pt>
                <c:pt idx="14">
                  <c:v>46022</c:v>
                </c:pt>
                <c:pt idx="15">
                  <c:v>46387</c:v>
                </c:pt>
                <c:pt idx="16">
                  <c:v>46752</c:v>
                </c:pt>
                <c:pt idx="17">
                  <c:v>47118</c:v>
                </c:pt>
                <c:pt idx="18">
                  <c:v>47483</c:v>
                </c:pt>
                <c:pt idx="19">
                  <c:v>47848</c:v>
                </c:pt>
                <c:pt idx="20">
                  <c:v>48213</c:v>
                </c:pt>
              </c:numCache>
            </c:numRef>
          </c:cat>
          <c:val>
            <c:numRef>
              <c:f>template!$B$114:$V$114</c:f>
              <c:numCache>
                <c:formatCode>#,##0</c:formatCode>
                <c:ptCount val="21"/>
                <c:pt idx="0">
                  <c:v>219.29774900000001</c:v>
                </c:pt>
                <c:pt idx="1">
                  <c:v>365.69984099999999</c:v>
                </c:pt>
                <c:pt idx="2">
                  <c:v>382.82878399999998</c:v>
                </c:pt>
                <c:pt idx="3">
                  <c:v>465.87892900000003</c:v>
                </c:pt>
                <c:pt idx="4">
                  <c:v>576.49854000000005</c:v>
                </c:pt>
                <c:pt idx="5">
                  <c:v>533.10691799999995</c:v>
                </c:pt>
                <c:pt idx="6">
                  <c:v>493.21565600000002</c:v>
                </c:pt>
                <c:pt idx="7">
                  <c:v>598.31434300000001</c:v>
                </c:pt>
                <c:pt idx="8">
                  <c:v>708.17950800000006</c:v>
                </c:pt>
                <c:pt idx="9">
                  <c:v>632.61111400000004</c:v>
                </c:pt>
                <c:pt idx="10">
                  <c:v>540.35975347631927</c:v>
                </c:pt>
                <c:pt idx="11">
                  <c:v>721.351183197767</c:v>
                </c:pt>
                <c:pt idx="12">
                  <c:v>860.11127931754379</c:v>
                </c:pt>
                <c:pt idx="13">
                  <c:v>982.22016390294755</c:v>
                </c:pt>
                <c:pt idx="14">
                  <c:v>1064.6436609980951</c:v>
                </c:pt>
                <c:pt idx="15">
                  <c:v>1151.1883329480002</c:v>
                </c:pt>
                <c:pt idx="16">
                  <c:v>1242.0602384954</c:v>
                </c:pt>
                <c:pt idx="17">
                  <c:v>1318.3926391552163</c:v>
                </c:pt>
                <c:pt idx="18">
                  <c:v>1397.7783358414249</c:v>
                </c:pt>
                <c:pt idx="19">
                  <c:v>1459.6991792566678</c:v>
                </c:pt>
                <c:pt idx="20">
                  <c:v>1510.2967644393766</c:v>
                </c:pt>
              </c:numCache>
            </c:numRef>
          </c:val>
          <c:smooth val="0"/>
          <c:extLst>
            <c:ext xmlns:c16="http://schemas.microsoft.com/office/drawing/2014/chart" uri="{C3380CC4-5D6E-409C-BE32-E72D297353CC}">
              <c16:uniqueId val="{00000001-2FB2-4C87-A292-7AC153EA8C8C}"/>
            </c:ext>
          </c:extLst>
        </c:ser>
        <c:dLbls>
          <c:showLegendKey val="0"/>
          <c:showVal val="0"/>
          <c:showCatName val="0"/>
          <c:showSerName val="0"/>
          <c:showPercent val="0"/>
          <c:showBubbleSize val="0"/>
        </c:dLbls>
        <c:marker val="1"/>
        <c:smooth val="0"/>
        <c:axId val="558250447"/>
        <c:axId val="558246703"/>
      </c:lineChart>
      <c:catAx>
        <c:axId val="699109279"/>
        <c:scaling>
          <c:orientation val="minMax"/>
        </c:scaling>
        <c:delete val="0"/>
        <c:axPos val="b"/>
        <c:numFmt formatCode="d\-mmm\-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9110943"/>
        <c:crosses val="autoZero"/>
        <c:auto val="0"/>
        <c:lblAlgn val="ctr"/>
        <c:lblOffset val="100"/>
        <c:noMultiLvlLbl val="0"/>
      </c:catAx>
      <c:valAx>
        <c:axId val="699110943"/>
        <c:scaling>
          <c:orientation val="minMax"/>
          <c:min val="-2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9109279"/>
        <c:crosses val="autoZero"/>
        <c:crossBetween val="between"/>
      </c:valAx>
      <c:valAx>
        <c:axId val="55824670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58250447"/>
        <c:crosses val="max"/>
        <c:crossBetween val="between"/>
      </c:valAx>
      <c:dateAx>
        <c:axId val="558250447"/>
        <c:scaling>
          <c:orientation val="minMax"/>
        </c:scaling>
        <c:delete val="1"/>
        <c:axPos val="b"/>
        <c:numFmt formatCode="d\-mmm\-yy" sourceLinked="1"/>
        <c:majorTickMark val="out"/>
        <c:minorTickMark val="none"/>
        <c:tickLblPos val="nextTo"/>
        <c:crossAx val="558246703"/>
        <c:crosses val="autoZero"/>
        <c:auto val="1"/>
        <c:lblOffset val="100"/>
        <c:baseTimeUnit val="years"/>
      </c:date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baseline="0">
                <a:solidFill>
                  <a:sysClr val="windowText" lastClr="000000"/>
                </a:solidFill>
              </a:rPr>
              <a:t>FCF and Components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lineChart>
        <c:grouping val="stacked"/>
        <c:varyColors val="0"/>
        <c:ser>
          <c:idx val="0"/>
          <c:order val="0"/>
          <c:tx>
            <c:strRef>
              <c:f>template!$K$140</c:f>
              <c:strCache>
                <c:ptCount val="1"/>
                <c:pt idx="0">
                  <c:v>Net income</c:v>
                </c:pt>
              </c:strCache>
            </c:strRef>
          </c:tx>
          <c:spPr>
            <a:ln w="28575" cap="rnd">
              <a:solidFill>
                <a:srgbClr val="FB5BE0"/>
              </a:solidFill>
              <a:round/>
            </a:ln>
            <a:effectLst/>
          </c:spPr>
          <c:marker>
            <c:symbol val="none"/>
          </c:marker>
          <c:cat>
            <c:numRef>
              <c:f>template!$L$139:$V$139</c:f>
              <c:numCache>
                <c:formatCode>d\-mmm\-yy</c:formatCode>
                <c:ptCount val="11"/>
                <c:pt idx="0">
                  <c:v>44561</c:v>
                </c:pt>
                <c:pt idx="1">
                  <c:v>44926</c:v>
                </c:pt>
                <c:pt idx="2">
                  <c:v>45291</c:v>
                </c:pt>
                <c:pt idx="3">
                  <c:v>45657</c:v>
                </c:pt>
                <c:pt idx="4">
                  <c:v>46022</c:v>
                </c:pt>
                <c:pt idx="5">
                  <c:v>46387</c:v>
                </c:pt>
                <c:pt idx="6">
                  <c:v>46752</c:v>
                </c:pt>
                <c:pt idx="7">
                  <c:v>47118</c:v>
                </c:pt>
                <c:pt idx="8">
                  <c:v>47483</c:v>
                </c:pt>
                <c:pt idx="9">
                  <c:v>47848</c:v>
                </c:pt>
                <c:pt idx="10">
                  <c:v>48213</c:v>
                </c:pt>
              </c:numCache>
            </c:numRef>
          </c:cat>
          <c:val>
            <c:numRef>
              <c:f>template!$L$140:$V$140</c:f>
              <c:numCache>
                <c:formatCode>#,##0</c:formatCode>
                <c:ptCount val="11"/>
                <c:pt idx="0">
                  <c:v>274.80332335997122</c:v>
                </c:pt>
                <c:pt idx="1">
                  <c:v>437.60092681803025</c:v>
                </c:pt>
                <c:pt idx="2">
                  <c:v>476.99474089154006</c:v>
                </c:pt>
                <c:pt idx="3">
                  <c:v>511.66129727622871</c:v>
                </c:pt>
                <c:pt idx="4">
                  <c:v>535.06122283589343</c:v>
                </c:pt>
                <c:pt idx="5">
                  <c:v>559.63114467354148</c:v>
                </c:pt>
                <c:pt idx="6">
                  <c:v>585.42956260307187</c:v>
                </c:pt>
                <c:pt idx="7">
                  <c:v>607.10023366387748</c:v>
                </c:pt>
                <c:pt idx="8">
                  <c:v>629.63773156711522</c:v>
                </c:pt>
                <c:pt idx="9">
                  <c:v>647.21697993164071</c:v>
                </c:pt>
                <c:pt idx="10">
                  <c:v>661.58156974523979</c:v>
                </c:pt>
              </c:numCache>
            </c:numRef>
          </c:val>
          <c:smooth val="0"/>
          <c:extLst>
            <c:ext xmlns:c16="http://schemas.microsoft.com/office/drawing/2014/chart" uri="{C3380CC4-5D6E-409C-BE32-E72D297353CC}">
              <c16:uniqueId val="{00000000-71AA-4E09-AC40-F78229743AE7}"/>
            </c:ext>
          </c:extLst>
        </c:ser>
        <c:ser>
          <c:idx val="2"/>
          <c:order val="2"/>
          <c:tx>
            <c:strRef>
              <c:f>template!$K$142</c:f>
              <c:strCache>
                <c:ptCount val="1"/>
                <c:pt idx="0">
                  <c:v>Less: Capex</c:v>
                </c:pt>
              </c:strCache>
            </c:strRef>
          </c:tx>
          <c:spPr>
            <a:ln w="28575" cap="rnd">
              <a:solidFill>
                <a:schemeClr val="accent3"/>
              </a:solidFill>
              <a:round/>
            </a:ln>
            <a:effectLst/>
          </c:spPr>
          <c:marker>
            <c:symbol val="none"/>
          </c:marker>
          <c:cat>
            <c:numRef>
              <c:f>template!$L$139:$V$139</c:f>
              <c:numCache>
                <c:formatCode>d\-mmm\-yy</c:formatCode>
                <c:ptCount val="11"/>
                <c:pt idx="0">
                  <c:v>44561</c:v>
                </c:pt>
                <c:pt idx="1">
                  <c:v>44926</c:v>
                </c:pt>
                <c:pt idx="2">
                  <c:v>45291</c:v>
                </c:pt>
                <c:pt idx="3">
                  <c:v>45657</c:v>
                </c:pt>
                <c:pt idx="4">
                  <c:v>46022</c:v>
                </c:pt>
                <c:pt idx="5">
                  <c:v>46387</c:v>
                </c:pt>
                <c:pt idx="6">
                  <c:v>46752</c:v>
                </c:pt>
                <c:pt idx="7">
                  <c:v>47118</c:v>
                </c:pt>
                <c:pt idx="8">
                  <c:v>47483</c:v>
                </c:pt>
                <c:pt idx="9">
                  <c:v>47848</c:v>
                </c:pt>
                <c:pt idx="10">
                  <c:v>48213</c:v>
                </c:pt>
              </c:numCache>
            </c:numRef>
          </c:cat>
          <c:val>
            <c:numRef>
              <c:f>template!$L$142:$V$142</c:f>
              <c:numCache>
                <c:formatCode>#,##0</c:formatCode>
                <c:ptCount val="11"/>
                <c:pt idx="0">
                  <c:v>-1660.8447528888887</c:v>
                </c:pt>
                <c:pt idx="1">
                  <c:v>-1363.9547637888886</c:v>
                </c:pt>
                <c:pt idx="2">
                  <c:v>-1287.3883981788881</c:v>
                </c:pt>
                <c:pt idx="3">
                  <c:v>-1257.1993740240891</c:v>
                </c:pt>
                <c:pt idx="4">
                  <c:v>-1185.2488664551479</c:v>
                </c:pt>
                <c:pt idx="5">
                  <c:v>-1192.7206499334666</c:v>
                </c:pt>
                <c:pt idx="6">
                  <c:v>-1200.5660225856868</c:v>
                </c:pt>
                <c:pt idx="7">
                  <c:v>-1174.2055704742038</c:v>
                </c:pt>
                <c:pt idx="8">
                  <c:v>-1179.7412654176137</c:v>
                </c:pt>
                <c:pt idx="9">
                  <c:v>-1148.0770903412945</c:v>
                </c:pt>
                <c:pt idx="10">
                  <c:v>-1127.5477663586339</c:v>
                </c:pt>
              </c:numCache>
            </c:numRef>
          </c:val>
          <c:smooth val="0"/>
          <c:extLst>
            <c:ext xmlns:c16="http://schemas.microsoft.com/office/drawing/2014/chart" uri="{C3380CC4-5D6E-409C-BE32-E72D297353CC}">
              <c16:uniqueId val="{00000002-71AA-4E09-AC40-F78229743AE7}"/>
            </c:ext>
          </c:extLst>
        </c:ser>
        <c:ser>
          <c:idx val="3"/>
          <c:order val="3"/>
          <c:tx>
            <c:strRef>
              <c:f>template!$K$143</c:f>
              <c:strCache>
                <c:ptCount val="1"/>
                <c:pt idx="0">
                  <c:v>Less: Δ in WC</c:v>
                </c:pt>
              </c:strCache>
            </c:strRef>
          </c:tx>
          <c:spPr>
            <a:ln w="28575" cap="rnd">
              <a:solidFill>
                <a:schemeClr val="accent4"/>
              </a:solidFill>
              <a:round/>
            </a:ln>
            <a:effectLst/>
          </c:spPr>
          <c:marker>
            <c:symbol val="none"/>
          </c:marker>
          <c:cat>
            <c:numRef>
              <c:f>template!$L$139:$V$139</c:f>
              <c:numCache>
                <c:formatCode>d\-mmm\-yy</c:formatCode>
                <c:ptCount val="11"/>
                <c:pt idx="0">
                  <c:v>44561</c:v>
                </c:pt>
                <c:pt idx="1">
                  <c:v>44926</c:v>
                </c:pt>
                <c:pt idx="2">
                  <c:v>45291</c:v>
                </c:pt>
                <c:pt idx="3">
                  <c:v>45657</c:v>
                </c:pt>
                <c:pt idx="4">
                  <c:v>46022</c:v>
                </c:pt>
                <c:pt idx="5">
                  <c:v>46387</c:v>
                </c:pt>
                <c:pt idx="6">
                  <c:v>46752</c:v>
                </c:pt>
                <c:pt idx="7">
                  <c:v>47118</c:v>
                </c:pt>
                <c:pt idx="8">
                  <c:v>47483</c:v>
                </c:pt>
                <c:pt idx="9">
                  <c:v>47848</c:v>
                </c:pt>
                <c:pt idx="10">
                  <c:v>48213</c:v>
                </c:pt>
              </c:numCache>
            </c:numRef>
          </c:cat>
          <c:val>
            <c:numRef>
              <c:f>template!$L$143:$V$143</c:f>
              <c:numCache>
                <c:formatCode>#,##0</c:formatCode>
                <c:ptCount val="11"/>
                <c:pt idx="0">
                  <c:v>1132.1085977999996</c:v>
                </c:pt>
                <c:pt idx="1">
                  <c:v>594.35701437</c:v>
                </c:pt>
                <c:pt idx="2">
                  <c:v>455.67371101700041</c:v>
                </c:pt>
                <c:pt idx="3">
                  <c:v>400.99286569495882</c:v>
                </c:pt>
                <c:pt idx="4">
                  <c:v>270.67018434410113</c:v>
                </c:pt>
                <c:pt idx="5">
                  <c:v>284.20369356130288</c:v>
                </c:pt>
                <c:pt idx="6">
                  <c:v>298.41387823936793</c:v>
                </c:pt>
                <c:pt idx="7">
                  <c:v>250.66765772106919</c:v>
                </c:pt>
                <c:pt idx="8">
                  <c:v>260.69436402991391</c:v>
                </c:pt>
                <c:pt idx="9">
                  <c:v>203.34160394333026</c:v>
                </c:pt>
                <c:pt idx="10">
                  <c:v>166.15720263556</c:v>
                </c:pt>
              </c:numCache>
            </c:numRef>
          </c:val>
          <c:smooth val="0"/>
          <c:extLst>
            <c:ext xmlns:c16="http://schemas.microsoft.com/office/drawing/2014/chart" uri="{C3380CC4-5D6E-409C-BE32-E72D297353CC}">
              <c16:uniqueId val="{00000003-71AA-4E09-AC40-F78229743AE7}"/>
            </c:ext>
          </c:extLst>
        </c:ser>
        <c:ser>
          <c:idx val="4"/>
          <c:order val="4"/>
          <c:tx>
            <c:strRef>
              <c:f>template!$K$144</c:f>
              <c:strCache>
                <c:ptCount val="1"/>
                <c:pt idx="0">
                  <c:v>Add: Interest exp after tax</c:v>
                </c:pt>
              </c:strCache>
            </c:strRef>
          </c:tx>
          <c:spPr>
            <a:ln w="28575" cap="rnd">
              <a:solidFill>
                <a:schemeClr val="accent5"/>
              </a:solidFill>
              <a:round/>
            </a:ln>
            <a:effectLst/>
          </c:spPr>
          <c:marker>
            <c:symbol val="none"/>
          </c:marker>
          <c:cat>
            <c:numRef>
              <c:f>template!$L$139:$V$139</c:f>
              <c:numCache>
                <c:formatCode>d\-mmm\-yy</c:formatCode>
                <c:ptCount val="11"/>
                <c:pt idx="0">
                  <c:v>44561</c:v>
                </c:pt>
                <c:pt idx="1">
                  <c:v>44926</c:v>
                </c:pt>
                <c:pt idx="2">
                  <c:v>45291</c:v>
                </c:pt>
                <c:pt idx="3">
                  <c:v>45657</c:v>
                </c:pt>
                <c:pt idx="4">
                  <c:v>46022</c:v>
                </c:pt>
                <c:pt idx="5">
                  <c:v>46387</c:v>
                </c:pt>
                <c:pt idx="6">
                  <c:v>46752</c:v>
                </c:pt>
                <c:pt idx="7">
                  <c:v>47118</c:v>
                </c:pt>
                <c:pt idx="8">
                  <c:v>47483</c:v>
                </c:pt>
                <c:pt idx="9">
                  <c:v>47848</c:v>
                </c:pt>
                <c:pt idx="10">
                  <c:v>48213</c:v>
                </c:pt>
              </c:numCache>
            </c:numRef>
          </c:cat>
          <c:val>
            <c:numRef>
              <c:f>template!$L$144:$V$144</c:f>
              <c:numCache>
                <c:formatCode>#,##0</c:formatCode>
                <c:ptCount val="11"/>
                <c:pt idx="0">
                  <c:v>210.95423901859124</c:v>
                </c:pt>
                <c:pt idx="1">
                  <c:v>242.59737487137997</c:v>
                </c:pt>
                <c:pt idx="2">
                  <c:v>266.85711235851795</c:v>
                </c:pt>
                <c:pt idx="3">
                  <c:v>288.20568134719946</c:v>
                </c:pt>
                <c:pt idx="4">
                  <c:v>302.61596541455941</c:v>
                </c:pt>
                <c:pt idx="5">
                  <c:v>317.74676368528748</c:v>
                </c:pt>
                <c:pt idx="6">
                  <c:v>333.6341018695519</c:v>
                </c:pt>
                <c:pt idx="7">
                  <c:v>346.97946594433392</c:v>
                </c:pt>
                <c:pt idx="8">
                  <c:v>360.85864458210727</c:v>
                </c:pt>
                <c:pt idx="9">
                  <c:v>371.68440391957057</c:v>
                </c:pt>
                <c:pt idx="10">
                  <c:v>380.53049273285632</c:v>
                </c:pt>
              </c:numCache>
            </c:numRef>
          </c:val>
          <c:smooth val="0"/>
          <c:extLst>
            <c:ext xmlns:c16="http://schemas.microsoft.com/office/drawing/2014/chart" uri="{C3380CC4-5D6E-409C-BE32-E72D297353CC}">
              <c16:uniqueId val="{00000004-71AA-4E09-AC40-F78229743AE7}"/>
            </c:ext>
          </c:extLst>
        </c:ser>
        <c:ser>
          <c:idx val="5"/>
          <c:order val="5"/>
          <c:tx>
            <c:strRef>
              <c:f>template!$K$145</c:f>
              <c:strCache>
                <c:ptCount val="1"/>
                <c:pt idx="0">
                  <c:v>Total FCF</c:v>
                </c:pt>
              </c:strCache>
            </c:strRef>
          </c:tx>
          <c:spPr>
            <a:ln w="88900" cap="rnd">
              <a:solidFill>
                <a:schemeClr val="accent6"/>
              </a:solidFill>
              <a:round/>
            </a:ln>
            <a:effectLst/>
          </c:spPr>
          <c:marker>
            <c:symbol val="none"/>
          </c:marker>
          <c:cat>
            <c:numRef>
              <c:f>template!$L$139:$V$139</c:f>
              <c:numCache>
                <c:formatCode>d\-mmm\-yy</c:formatCode>
                <c:ptCount val="11"/>
                <c:pt idx="0">
                  <c:v>44561</c:v>
                </c:pt>
                <c:pt idx="1">
                  <c:v>44926</c:v>
                </c:pt>
                <c:pt idx="2">
                  <c:v>45291</c:v>
                </c:pt>
                <c:pt idx="3">
                  <c:v>45657</c:v>
                </c:pt>
                <c:pt idx="4">
                  <c:v>46022</c:v>
                </c:pt>
                <c:pt idx="5">
                  <c:v>46387</c:v>
                </c:pt>
                <c:pt idx="6">
                  <c:v>46752</c:v>
                </c:pt>
                <c:pt idx="7">
                  <c:v>47118</c:v>
                </c:pt>
                <c:pt idx="8">
                  <c:v>47483</c:v>
                </c:pt>
                <c:pt idx="9">
                  <c:v>47848</c:v>
                </c:pt>
                <c:pt idx="10">
                  <c:v>48213</c:v>
                </c:pt>
              </c:numCache>
            </c:numRef>
          </c:cat>
          <c:val>
            <c:numRef>
              <c:f>template!$L$145:$V$145</c:f>
              <c:numCache>
                <c:formatCode>#,##0</c:formatCode>
                <c:ptCount val="11"/>
                <c:pt idx="0">
                  <c:v>623.27118528967333</c:v>
                </c:pt>
                <c:pt idx="1">
                  <c:v>576.85033027052157</c:v>
                </c:pt>
                <c:pt idx="2">
                  <c:v>578.38694408817037</c:v>
                </c:pt>
                <c:pt idx="3">
                  <c:v>609.91024829429784</c:v>
                </c:pt>
                <c:pt idx="4">
                  <c:v>589.34828413940613</c:v>
                </c:pt>
                <c:pt idx="5">
                  <c:v>635.11072998666532</c:v>
                </c:pt>
                <c:pt idx="6">
                  <c:v>683.16129812630493</c:v>
                </c:pt>
                <c:pt idx="7">
                  <c:v>696.79156485507679</c:v>
                </c:pt>
                <c:pt idx="8">
                  <c:v>737.69925276152253</c:v>
                </c:pt>
                <c:pt idx="9">
                  <c:v>740.41567545324688</c:v>
                </c:pt>
                <c:pt idx="10">
                  <c:v>746.97127675502225</c:v>
                </c:pt>
              </c:numCache>
            </c:numRef>
          </c:val>
          <c:smooth val="0"/>
          <c:extLst>
            <c:ext xmlns:c16="http://schemas.microsoft.com/office/drawing/2014/chart" uri="{C3380CC4-5D6E-409C-BE32-E72D297353CC}">
              <c16:uniqueId val="{00000005-71AA-4E09-AC40-F78229743AE7}"/>
            </c:ext>
          </c:extLst>
        </c:ser>
        <c:dLbls>
          <c:showLegendKey val="0"/>
          <c:showVal val="0"/>
          <c:showCatName val="0"/>
          <c:showSerName val="0"/>
          <c:showPercent val="0"/>
          <c:showBubbleSize val="0"/>
        </c:dLbls>
        <c:marker val="1"/>
        <c:smooth val="0"/>
        <c:axId val="690874255"/>
        <c:axId val="690874671"/>
      </c:lineChart>
      <c:lineChart>
        <c:grouping val="stacked"/>
        <c:varyColors val="0"/>
        <c:ser>
          <c:idx val="1"/>
          <c:order val="1"/>
          <c:tx>
            <c:strRef>
              <c:f>template!$K$141</c:f>
              <c:strCache>
                <c:ptCount val="1"/>
                <c:pt idx="0">
                  <c:v>Add: Depr &amp; amort</c:v>
                </c:pt>
              </c:strCache>
            </c:strRef>
          </c:tx>
          <c:spPr>
            <a:ln w="28575" cap="rnd">
              <a:solidFill>
                <a:srgbClr val="00B0F0"/>
              </a:solidFill>
              <a:round/>
            </a:ln>
            <a:effectLst/>
          </c:spPr>
          <c:marker>
            <c:symbol val="none"/>
          </c:marker>
          <c:cat>
            <c:numRef>
              <c:f>template!$L$139:$V$139</c:f>
              <c:numCache>
                <c:formatCode>d\-mmm\-yy</c:formatCode>
                <c:ptCount val="11"/>
                <c:pt idx="0">
                  <c:v>44561</c:v>
                </c:pt>
                <c:pt idx="1">
                  <c:v>44926</c:v>
                </c:pt>
                <c:pt idx="2">
                  <c:v>45291</c:v>
                </c:pt>
                <c:pt idx="3">
                  <c:v>45657</c:v>
                </c:pt>
                <c:pt idx="4">
                  <c:v>46022</c:v>
                </c:pt>
                <c:pt idx="5">
                  <c:v>46387</c:v>
                </c:pt>
                <c:pt idx="6">
                  <c:v>46752</c:v>
                </c:pt>
                <c:pt idx="7">
                  <c:v>47118</c:v>
                </c:pt>
                <c:pt idx="8">
                  <c:v>47483</c:v>
                </c:pt>
                <c:pt idx="9">
                  <c:v>47848</c:v>
                </c:pt>
                <c:pt idx="10">
                  <c:v>48213</c:v>
                </c:pt>
              </c:numCache>
            </c:numRef>
          </c:cat>
          <c:val>
            <c:numRef>
              <c:f>template!$L$141:$V$141</c:f>
              <c:numCache>
                <c:formatCode>#,##0</c:formatCode>
                <c:ptCount val="11"/>
                <c:pt idx="0">
                  <c:v>666.24977799999999</c:v>
                </c:pt>
                <c:pt idx="1">
                  <c:v>666.24977799999999</c:v>
                </c:pt>
                <c:pt idx="2">
                  <c:v>666.24977799999999</c:v>
                </c:pt>
                <c:pt idx="3">
                  <c:v>666.24977799999999</c:v>
                </c:pt>
                <c:pt idx="4">
                  <c:v>666.24977799999999</c:v>
                </c:pt>
                <c:pt idx="5">
                  <c:v>666.24977799999999</c:v>
                </c:pt>
                <c:pt idx="6">
                  <c:v>666.24977799999999</c:v>
                </c:pt>
                <c:pt idx="7">
                  <c:v>666.24977799999999</c:v>
                </c:pt>
                <c:pt idx="8">
                  <c:v>666.24977799999999</c:v>
                </c:pt>
                <c:pt idx="9">
                  <c:v>666.24977799999999</c:v>
                </c:pt>
                <c:pt idx="10">
                  <c:v>666.24977799999999</c:v>
                </c:pt>
              </c:numCache>
            </c:numRef>
          </c:val>
          <c:smooth val="0"/>
          <c:extLst>
            <c:ext xmlns:c16="http://schemas.microsoft.com/office/drawing/2014/chart" uri="{C3380CC4-5D6E-409C-BE32-E72D297353CC}">
              <c16:uniqueId val="{00000001-71AA-4E09-AC40-F78229743AE7}"/>
            </c:ext>
          </c:extLst>
        </c:ser>
        <c:dLbls>
          <c:showLegendKey val="0"/>
          <c:showVal val="0"/>
          <c:showCatName val="0"/>
          <c:showSerName val="0"/>
          <c:showPercent val="0"/>
          <c:showBubbleSize val="0"/>
        </c:dLbls>
        <c:marker val="1"/>
        <c:smooth val="0"/>
        <c:axId val="690875919"/>
        <c:axId val="690875503"/>
      </c:lineChart>
      <c:catAx>
        <c:axId val="690874255"/>
        <c:scaling>
          <c:orientation val="minMax"/>
        </c:scaling>
        <c:delete val="0"/>
        <c:axPos val="b"/>
        <c:numFmt formatCode="d\-mmm\-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0874671"/>
        <c:crosses val="autoZero"/>
        <c:auto val="0"/>
        <c:lblAlgn val="ctr"/>
        <c:lblOffset val="100"/>
        <c:noMultiLvlLbl val="0"/>
      </c:catAx>
      <c:valAx>
        <c:axId val="690874671"/>
        <c:scaling>
          <c:orientation val="minMax"/>
          <c:max val="1500"/>
          <c:min val="-15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0874255"/>
        <c:crosses val="autoZero"/>
        <c:crossBetween val="between"/>
      </c:valAx>
      <c:valAx>
        <c:axId val="690875503"/>
        <c:scaling>
          <c:orientation val="minMax"/>
          <c:max val="1500"/>
          <c:min val="-150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0875919"/>
        <c:crosses val="max"/>
        <c:crossBetween val="between"/>
      </c:valAx>
      <c:dateAx>
        <c:axId val="690875919"/>
        <c:scaling>
          <c:orientation val="minMax"/>
        </c:scaling>
        <c:delete val="1"/>
        <c:axPos val="b"/>
        <c:numFmt formatCode="d\-mmm\-yy" sourceLinked="1"/>
        <c:majorTickMark val="out"/>
        <c:minorTickMark val="none"/>
        <c:tickLblPos val="nextTo"/>
        <c:crossAx val="690875503"/>
        <c:crosses val="autoZero"/>
        <c:auto val="1"/>
        <c:lblOffset val="100"/>
        <c:baseTimeUnit val="years"/>
      </c:date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ysClr val="windowText" lastClr="000000"/>
                </a:solidFill>
              </a:rPr>
              <a:t>DuPont Analysis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template!$A$169</c:f>
              <c:strCache>
                <c:ptCount val="1"/>
                <c:pt idx="0">
                  <c:v>Profit margin (LHS)</c:v>
                </c:pt>
              </c:strCache>
            </c:strRef>
          </c:tx>
          <c:spPr>
            <a:ln w="28575" cap="rnd">
              <a:solidFill>
                <a:schemeClr val="accent1"/>
              </a:solidFill>
              <a:round/>
            </a:ln>
            <a:effectLst/>
          </c:spPr>
          <c:marker>
            <c:symbol val="none"/>
          </c:marker>
          <c:cat>
            <c:numRef>
              <c:f>template!$B$168:$V$168</c:f>
              <c:numCache>
                <c:formatCode>d\-mmm\-yy</c:formatCode>
                <c:ptCount val="21"/>
                <c:pt idx="0">
                  <c:v>40908</c:v>
                </c:pt>
                <c:pt idx="1">
                  <c:v>41274</c:v>
                </c:pt>
                <c:pt idx="2">
                  <c:v>41639</c:v>
                </c:pt>
                <c:pt idx="3">
                  <c:v>42004</c:v>
                </c:pt>
                <c:pt idx="4">
                  <c:v>42369</c:v>
                </c:pt>
                <c:pt idx="5">
                  <c:v>42735</c:v>
                </c:pt>
                <c:pt idx="6">
                  <c:v>43100</c:v>
                </c:pt>
                <c:pt idx="7">
                  <c:v>43465</c:v>
                </c:pt>
                <c:pt idx="8">
                  <c:v>43830</c:v>
                </c:pt>
                <c:pt idx="9">
                  <c:v>44196</c:v>
                </c:pt>
                <c:pt idx="10">
                  <c:v>44561</c:v>
                </c:pt>
                <c:pt idx="11">
                  <c:v>44926</c:v>
                </c:pt>
                <c:pt idx="12">
                  <c:v>45291</c:v>
                </c:pt>
                <c:pt idx="13">
                  <c:v>45657</c:v>
                </c:pt>
                <c:pt idx="14">
                  <c:v>46022</c:v>
                </c:pt>
                <c:pt idx="15">
                  <c:v>46387</c:v>
                </c:pt>
                <c:pt idx="16">
                  <c:v>46752</c:v>
                </c:pt>
                <c:pt idx="17">
                  <c:v>47118</c:v>
                </c:pt>
                <c:pt idx="18">
                  <c:v>47483</c:v>
                </c:pt>
                <c:pt idx="19">
                  <c:v>47848</c:v>
                </c:pt>
                <c:pt idx="20">
                  <c:v>48213</c:v>
                </c:pt>
              </c:numCache>
            </c:numRef>
          </c:cat>
          <c:val>
            <c:numRef>
              <c:f>template!$B$169:$V$169</c:f>
              <c:numCache>
                <c:formatCode>General</c:formatCode>
                <c:ptCount val="21"/>
                <c:pt idx="0">
                  <c:v>0.27628812170195022</c:v>
                </c:pt>
                <c:pt idx="1">
                  <c:v>0.24265717639702258</c:v>
                </c:pt>
                <c:pt idx="2">
                  <c:v>0.26847370068058135</c:v>
                </c:pt>
                <c:pt idx="3">
                  <c:v>0.21933965477488956</c:v>
                </c:pt>
                <c:pt idx="4">
                  <c:v>-2.4835280869809104E-2</c:v>
                </c:pt>
                <c:pt idx="5">
                  <c:v>7.2655084242280912E-2</c:v>
                </c:pt>
                <c:pt idx="6">
                  <c:v>0.20891548472623594</c:v>
                </c:pt>
                <c:pt idx="7">
                  <c:v>0.22217128832557462</c:v>
                </c:pt>
                <c:pt idx="8">
                  <c:v>0.20089948859338663</c:v>
                </c:pt>
                <c:pt idx="9">
                  <c:v>-0.30652380084149289</c:v>
                </c:pt>
                <c:pt idx="10">
                  <c:v>0.12917537555567032</c:v>
                </c:pt>
                <c:pt idx="11">
                  <c:v>0.17887026279164719</c:v>
                </c:pt>
                <c:pt idx="12">
                  <c:v>0.17724778533616384</c:v>
                </c:pt>
                <c:pt idx="13">
                  <c:v>0.17604595018395394</c:v>
                </c:pt>
                <c:pt idx="14">
                  <c:v>0.1753305721171623</c:v>
                </c:pt>
                <c:pt idx="15">
                  <c:v>0.17464925967259887</c:v>
                </c:pt>
                <c:pt idx="16">
                  <c:v>0.17400039067777651</c:v>
                </c:pt>
                <c:pt idx="17">
                  <c:v>0.17350126068175936</c:v>
                </c:pt>
                <c:pt idx="18">
                  <c:v>0.17302132799328129</c:v>
                </c:pt>
                <c:pt idx="19">
                  <c:v>0.17267186244341864</c:v>
                </c:pt>
                <c:pt idx="20">
                  <c:v>0.17240106475875586</c:v>
                </c:pt>
              </c:numCache>
            </c:numRef>
          </c:val>
          <c:smooth val="0"/>
          <c:extLst>
            <c:ext xmlns:c16="http://schemas.microsoft.com/office/drawing/2014/chart" uri="{C3380CC4-5D6E-409C-BE32-E72D297353CC}">
              <c16:uniqueId val="{00000000-D2B9-49F3-8B15-386F455A663E}"/>
            </c:ext>
          </c:extLst>
        </c:ser>
        <c:ser>
          <c:idx val="1"/>
          <c:order val="1"/>
          <c:tx>
            <c:strRef>
              <c:f>template!$A$170</c:f>
              <c:strCache>
                <c:ptCount val="1"/>
                <c:pt idx="0">
                  <c:v>Asset turnover (LHS)</c:v>
                </c:pt>
              </c:strCache>
            </c:strRef>
          </c:tx>
          <c:spPr>
            <a:ln w="28575" cap="rnd">
              <a:solidFill>
                <a:srgbClr val="FB5BE0"/>
              </a:solidFill>
              <a:round/>
            </a:ln>
            <a:effectLst/>
          </c:spPr>
          <c:marker>
            <c:symbol val="none"/>
          </c:marker>
          <c:cat>
            <c:numRef>
              <c:f>template!$B$168:$V$168</c:f>
              <c:numCache>
                <c:formatCode>d\-mmm\-yy</c:formatCode>
                <c:ptCount val="21"/>
                <c:pt idx="0">
                  <c:v>40908</c:v>
                </c:pt>
                <c:pt idx="1">
                  <c:v>41274</c:v>
                </c:pt>
                <c:pt idx="2">
                  <c:v>41639</c:v>
                </c:pt>
                <c:pt idx="3">
                  <c:v>42004</c:v>
                </c:pt>
                <c:pt idx="4">
                  <c:v>42369</c:v>
                </c:pt>
                <c:pt idx="5">
                  <c:v>42735</c:v>
                </c:pt>
                <c:pt idx="6">
                  <c:v>43100</c:v>
                </c:pt>
                <c:pt idx="7">
                  <c:v>43465</c:v>
                </c:pt>
                <c:pt idx="8">
                  <c:v>43830</c:v>
                </c:pt>
                <c:pt idx="9">
                  <c:v>44196</c:v>
                </c:pt>
                <c:pt idx="10">
                  <c:v>44561</c:v>
                </c:pt>
                <c:pt idx="11">
                  <c:v>44926</c:v>
                </c:pt>
                <c:pt idx="12">
                  <c:v>45291</c:v>
                </c:pt>
                <c:pt idx="13">
                  <c:v>45657</c:v>
                </c:pt>
                <c:pt idx="14">
                  <c:v>46022</c:v>
                </c:pt>
                <c:pt idx="15">
                  <c:v>46387</c:v>
                </c:pt>
                <c:pt idx="16">
                  <c:v>46752</c:v>
                </c:pt>
                <c:pt idx="17">
                  <c:v>47118</c:v>
                </c:pt>
                <c:pt idx="18">
                  <c:v>47483</c:v>
                </c:pt>
                <c:pt idx="19">
                  <c:v>47848</c:v>
                </c:pt>
                <c:pt idx="20">
                  <c:v>48213</c:v>
                </c:pt>
              </c:numCache>
            </c:numRef>
          </c:cat>
          <c:val>
            <c:numRef>
              <c:f>template!$B$170:$V$170</c:f>
              <c:numCache>
                <c:formatCode>General</c:formatCode>
                <c:ptCount val="21"/>
                <c:pt idx="0">
                  <c:v>0.12772098225219367</c:v>
                </c:pt>
                <c:pt idx="1">
                  <c:v>0.10232002154014455</c:v>
                </c:pt>
                <c:pt idx="2">
                  <c:v>8.4405728618235545E-2</c:v>
                </c:pt>
                <c:pt idx="3">
                  <c:v>0.13630214103959892</c:v>
                </c:pt>
                <c:pt idx="4">
                  <c:v>0.14865164023037594</c:v>
                </c:pt>
                <c:pt idx="5">
                  <c:v>0.11888320986926545</c:v>
                </c:pt>
                <c:pt idx="6">
                  <c:v>0.14035605011024085</c:v>
                </c:pt>
                <c:pt idx="7">
                  <c:v>0.13565914539517701</c:v>
                </c:pt>
                <c:pt idx="8">
                  <c:v>0.13658959683006761</c:v>
                </c:pt>
                <c:pt idx="9">
                  <c:v>0.10296200904310013</c:v>
                </c:pt>
                <c:pt idx="10">
                  <c:v>0.11867933836066631</c:v>
                </c:pt>
                <c:pt idx="11">
                  <c:v>0.1238761280896722</c:v>
                </c:pt>
                <c:pt idx="12">
                  <c:v>0.12678665075696585</c:v>
                </c:pt>
                <c:pt idx="13">
                  <c:v>0.12874341505823586</c:v>
                </c:pt>
                <c:pt idx="14">
                  <c:v>0.12936244908733355</c:v>
                </c:pt>
                <c:pt idx="15">
                  <c:v>0.12996389425148416</c:v>
                </c:pt>
                <c:pt idx="16">
                  <c:v>0.13054800367470878</c:v>
                </c:pt>
                <c:pt idx="17">
                  <c:v>0.13069051860604491</c:v>
                </c:pt>
                <c:pt idx="18">
                  <c:v>0.13083236406525378</c:v>
                </c:pt>
                <c:pt idx="19">
                  <c:v>0.13054432473429886</c:v>
                </c:pt>
                <c:pt idx="20">
                  <c:v>0.12999973181290012</c:v>
                </c:pt>
              </c:numCache>
            </c:numRef>
          </c:val>
          <c:smooth val="0"/>
          <c:extLst>
            <c:ext xmlns:c16="http://schemas.microsoft.com/office/drawing/2014/chart" uri="{C3380CC4-5D6E-409C-BE32-E72D297353CC}">
              <c16:uniqueId val="{00000001-D2B9-49F3-8B15-386F455A663E}"/>
            </c:ext>
          </c:extLst>
        </c:ser>
        <c:ser>
          <c:idx val="3"/>
          <c:order val="3"/>
          <c:tx>
            <c:strRef>
              <c:f>template!$A$172</c:f>
              <c:strCache>
                <c:ptCount val="1"/>
                <c:pt idx="0">
                  <c:v>RoE (LHS)</c:v>
                </c:pt>
              </c:strCache>
            </c:strRef>
          </c:tx>
          <c:spPr>
            <a:ln w="28575" cap="rnd">
              <a:solidFill>
                <a:schemeClr val="accent4"/>
              </a:solidFill>
              <a:round/>
            </a:ln>
            <a:effectLst/>
          </c:spPr>
          <c:marker>
            <c:symbol val="none"/>
          </c:marker>
          <c:cat>
            <c:numRef>
              <c:f>template!$B$168:$V$168</c:f>
              <c:numCache>
                <c:formatCode>d\-mmm\-yy</c:formatCode>
                <c:ptCount val="21"/>
                <c:pt idx="0">
                  <c:v>40908</c:v>
                </c:pt>
                <c:pt idx="1">
                  <c:v>41274</c:v>
                </c:pt>
                <c:pt idx="2">
                  <c:v>41639</c:v>
                </c:pt>
                <c:pt idx="3">
                  <c:v>42004</c:v>
                </c:pt>
                <c:pt idx="4">
                  <c:v>42369</c:v>
                </c:pt>
                <c:pt idx="5">
                  <c:v>42735</c:v>
                </c:pt>
                <c:pt idx="6">
                  <c:v>43100</c:v>
                </c:pt>
                <c:pt idx="7">
                  <c:v>43465</c:v>
                </c:pt>
                <c:pt idx="8">
                  <c:v>43830</c:v>
                </c:pt>
                <c:pt idx="9">
                  <c:v>44196</c:v>
                </c:pt>
                <c:pt idx="10">
                  <c:v>44561</c:v>
                </c:pt>
                <c:pt idx="11">
                  <c:v>44926</c:v>
                </c:pt>
                <c:pt idx="12">
                  <c:v>45291</c:v>
                </c:pt>
                <c:pt idx="13">
                  <c:v>45657</c:v>
                </c:pt>
                <c:pt idx="14">
                  <c:v>46022</c:v>
                </c:pt>
                <c:pt idx="15">
                  <c:v>46387</c:v>
                </c:pt>
                <c:pt idx="16">
                  <c:v>46752</c:v>
                </c:pt>
                <c:pt idx="17">
                  <c:v>47118</c:v>
                </c:pt>
                <c:pt idx="18">
                  <c:v>47483</c:v>
                </c:pt>
                <c:pt idx="19">
                  <c:v>47848</c:v>
                </c:pt>
                <c:pt idx="20">
                  <c:v>48213</c:v>
                </c:pt>
              </c:numCache>
            </c:numRef>
          </c:cat>
          <c:val>
            <c:numRef>
              <c:f>template!$B$172:$V$172</c:f>
              <c:numCache>
                <c:formatCode>General</c:formatCode>
                <c:ptCount val="21"/>
                <c:pt idx="0">
                  <c:v>6.6687672669102013E-2</c:v>
                </c:pt>
                <c:pt idx="1">
                  <c:v>5.4966403327515873E-2</c:v>
                </c:pt>
                <c:pt idx="2">
                  <c:v>5.5783448422631519E-2</c:v>
                </c:pt>
                <c:pt idx="3">
                  <c:v>6.3816189719383687E-2</c:v>
                </c:pt>
                <c:pt idx="4">
                  <c:v>-8.1080487826287011E-3</c:v>
                </c:pt>
                <c:pt idx="5">
                  <c:v>1.8509689445226955E-2</c:v>
                </c:pt>
                <c:pt idx="6">
                  <c:v>6.2427830910458178E-2</c:v>
                </c:pt>
                <c:pt idx="7">
                  <c:v>6.2278405814748916E-2</c:v>
                </c:pt>
                <c:pt idx="8">
                  <c:v>6.0098105148539069E-2</c:v>
                </c:pt>
                <c:pt idx="9">
                  <c:v>-6.4523849122000571E-2</c:v>
                </c:pt>
                <c:pt idx="10">
                  <c:v>3.7287618147585036E-2</c:v>
                </c:pt>
                <c:pt idx="11">
                  <c:v>5.7499566554396669E-2</c:v>
                </c:pt>
                <c:pt idx="12">
                  <c:v>6.0587260655023983E-2</c:v>
                </c:pt>
                <c:pt idx="13">
                  <c:v>6.2747659113178603E-2</c:v>
                </c:pt>
                <c:pt idx="14">
                  <c:v>6.3331701626619455E-2</c:v>
                </c:pt>
                <c:pt idx="15">
                  <c:v>6.391146441908202E-2</c:v>
                </c:pt>
                <c:pt idx="16">
                  <c:v>6.4486438123334669E-2</c:v>
                </c:pt>
                <c:pt idx="17">
                  <c:v>6.4501133735953495E-2</c:v>
                </c:pt>
                <c:pt idx="18">
                  <c:v>6.4521701025778241E-2</c:v>
                </c:pt>
                <c:pt idx="19">
                  <c:v>6.3988951721373935E-2</c:v>
                </c:pt>
                <c:pt idx="20">
                  <c:v>6.3137764777072128E-2</c:v>
                </c:pt>
              </c:numCache>
            </c:numRef>
          </c:val>
          <c:smooth val="0"/>
          <c:extLst>
            <c:ext xmlns:c16="http://schemas.microsoft.com/office/drawing/2014/chart" uri="{C3380CC4-5D6E-409C-BE32-E72D297353CC}">
              <c16:uniqueId val="{00000003-D2B9-49F3-8B15-386F455A663E}"/>
            </c:ext>
          </c:extLst>
        </c:ser>
        <c:dLbls>
          <c:showLegendKey val="0"/>
          <c:showVal val="0"/>
          <c:showCatName val="0"/>
          <c:showSerName val="0"/>
          <c:showPercent val="0"/>
          <c:showBubbleSize val="0"/>
        </c:dLbls>
        <c:marker val="1"/>
        <c:smooth val="0"/>
        <c:axId val="782331295"/>
        <c:axId val="782332959"/>
      </c:lineChart>
      <c:lineChart>
        <c:grouping val="standard"/>
        <c:varyColors val="0"/>
        <c:ser>
          <c:idx val="2"/>
          <c:order val="2"/>
          <c:tx>
            <c:strRef>
              <c:f>template!$A$171</c:f>
              <c:strCache>
                <c:ptCount val="1"/>
                <c:pt idx="0">
                  <c:v>Equity multiplier (RHS)</c:v>
                </c:pt>
              </c:strCache>
            </c:strRef>
          </c:tx>
          <c:spPr>
            <a:ln w="28575" cap="rnd">
              <a:solidFill>
                <a:schemeClr val="accent3"/>
              </a:solidFill>
              <a:round/>
            </a:ln>
            <a:effectLst/>
          </c:spPr>
          <c:marker>
            <c:symbol val="none"/>
          </c:marker>
          <c:cat>
            <c:numRef>
              <c:f>template!$B$168:$V$168</c:f>
              <c:numCache>
                <c:formatCode>d\-mmm\-yy</c:formatCode>
                <c:ptCount val="21"/>
                <c:pt idx="0">
                  <c:v>40908</c:v>
                </c:pt>
                <c:pt idx="1">
                  <c:v>41274</c:v>
                </c:pt>
                <c:pt idx="2">
                  <c:v>41639</c:v>
                </c:pt>
                <c:pt idx="3">
                  <c:v>42004</c:v>
                </c:pt>
                <c:pt idx="4">
                  <c:v>42369</c:v>
                </c:pt>
                <c:pt idx="5">
                  <c:v>42735</c:v>
                </c:pt>
                <c:pt idx="6">
                  <c:v>43100</c:v>
                </c:pt>
                <c:pt idx="7">
                  <c:v>43465</c:v>
                </c:pt>
                <c:pt idx="8">
                  <c:v>43830</c:v>
                </c:pt>
                <c:pt idx="9">
                  <c:v>44196</c:v>
                </c:pt>
                <c:pt idx="10">
                  <c:v>44561</c:v>
                </c:pt>
                <c:pt idx="11">
                  <c:v>44926</c:v>
                </c:pt>
                <c:pt idx="12">
                  <c:v>45291</c:v>
                </c:pt>
                <c:pt idx="13">
                  <c:v>45657</c:v>
                </c:pt>
                <c:pt idx="14">
                  <c:v>46022</c:v>
                </c:pt>
                <c:pt idx="15">
                  <c:v>46387</c:v>
                </c:pt>
                <c:pt idx="16">
                  <c:v>46752</c:v>
                </c:pt>
                <c:pt idx="17">
                  <c:v>47118</c:v>
                </c:pt>
                <c:pt idx="18">
                  <c:v>47483</c:v>
                </c:pt>
                <c:pt idx="19">
                  <c:v>47848</c:v>
                </c:pt>
                <c:pt idx="20">
                  <c:v>48213</c:v>
                </c:pt>
              </c:numCache>
            </c:numRef>
          </c:cat>
          <c:val>
            <c:numRef>
              <c:f>template!$B$171:$V$171</c:f>
              <c:numCache>
                <c:formatCode>General</c:formatCode>
                <c:ptCount val="21"/>
                <c:pt idx="0">
                  <c:v>1.889822857257488</c:v>
                </c:pt>
                <c:pt idx="1">
                  <c:v>2.2138263769482944</c:v>
                </c:pt>
                <c:pt idx="2">
                  <c:v>2.4616805007227582</c:v>
                </c:pt>
                <c:pt idx="3">
                  <c:v>2.1345731228455693</c:v>
                </c:pt>
                <c:pt idx="4">
                  <c:v>2.1962287451227218</c:v>
                </c:pt>
                <c:pt idx="5">
                  <c:v>2.1429527676866691</c:v>
                </c:pt>
                <c:pt idx="6">
                  <c:v>2.1290039964128389</c:v>
                </c:pt>
                <c:pt idx="7">
                  <c:v>2.0663337863002047</c:v>
                </c:pt>
                <c:pt idx="8">
                  <c:v>2.190101914715425</c:v>
                </c:pt>
                <c:pt idx="9">
                  <c:v>2.0444620656694248</c:v>
                </c:pt>
                <c:pt idx="10">
                  <c:v>2.4322588547965562</c:v>
                </c:pt>
                <c:pt idx="11">
                  <c:v>2.5950086114900635</c:v>
                </c:pt>
                <c:pt idx="12">
                  <c:v>2.696043965157203</c:v>
                </c:pt>
                <c:pt idx="13">
                  <c:v>2.7685123459808123</c:v>
                </c:pt>
                <c:pt idx="14">
                  <c:v>2.7922562907254194</c:v>
                </c:pt>
                <c:pt idx="15">
                  <c:v>2.8157189495738439</c:v>
                </c:pt>
                <c:pt idx="16">
                  <c:v>2.8388858565219652</c:v>
                </c:pt>
                <c:pt idx="17">
                  <c:v>2.8445962434889238</c:v>
                </c:pt>
                <c:pt idx="18">
                  <c:v>2.8503026624806784</c:v>
                </c:pt>
                <c:pt idx="19">
                  <c:v>2.8387387497966565</c:v>
                </c:pt>
                <c:pt idx="20">
                  <c:v>2.8171294434195828</c:v>
                </c:pt>
              </c:numCache>
            </c:numRef>
          </c:val>
          <c:smooth val="0"/>
          <c:extLst>
            <c:ext xmlns:c16="http://schemas.microsoft.com/office/drawing/2014/chart" uri="{C3380CC4-5D6E-409C-BE32-E72D297353CC}">
              <c16:uniqueId val="{00000002-D2B9-49F3-8B15-386F455A663E}"/>
            </c:ext>
          </c:extLst>
        </c:ser>
        <c:dLbls>
          <c:showLegendKey val="0"/>
          <c:showVal val="0"/>
          <c:showCatName val="0"/>
          <c:showSerName val="0"/>
          <c:showPercent val="0"/>
          <c:showBubbleSize val="0"/>
        </c:dLbls>
        <c:marker val="1"/>
        <c:smooth val="0"/>
        <c:axId val="852446175"/>
        <c:axId val="852456575"/>
      </c:lineChart>
      <c:catAx>
        <c:axId val="782331295"/>
        <c:scaling>
          <c:orientation val="minMax"/>
        </c:scaling>
        <c:delete val="0"/>
        <c:axPos val="b"/>
        <c:numFmt formatCode="d\-mmm\-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82332959"/>
        <c:crosses val="autoZero"/>
        <c:auto val="0"/>
        <c:lblAlgn val="ctr"/>
        <c:lblOffset val="100"/>
        <c:noMultiLvlLbl val="0"/>
      </c:catAx>
      <c:valAx>
        <c:axId val="7823329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82331295"/>
        <c:crosses val="autoZero"/>
        <c:crossBetween val="between"/>
      </c:valAx>
      <c:valAx>
        <c:axId val="852456575"/>
        <c:scaling>
          <c:orientation val="minMax"/>
          <c:max val="4"/>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52446175"/>
        <c:crosses val="max"/>
        <c:crossBetween val="between"/>
      </c:valAx>
      <c:dateAx>
        <c:axId val="852446175"/>
        <c:scaling>
          <c:orientation val="minMax"/>
        </c:scaling>
        <c:delete val="1"/>
        <c:axPos val="b"/>
        <c:numFmt formatCode="d\-mmm\-yy" sourceLinked="1"/>
        <c:majorTickMark val="out"/>
        <c:minorTickMark val="none"/>
        <c:tickLblPos val="nextTo"/>
        <c:crossAx val="852456575"/>
        <c:crosses val="autoZero"/>
        <c:auto val="1"/>
        <c:lblOffset val="100"/>
        <c:baseTimeUnit val="years"/>
      </c:date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baseline="0">
                <a:solidFill>
                  <a:schemeClr val="tx1"/>
                </a:solidFill>
              </a:rPr>
              <a:t>Oil Price vs Net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1"/>
          <c:order val="1"/>
          <c:tx>
            <c:strRef>
              <c:f>template!$A$271</c:f>
              <c:strCache>
                <c:ptCount val="1"/>
                <c:pt idx="0">
                  <c:v>OSH Net Profit (LHS)</c:v>
                </c:pt>
              </c:strCache>
            </c:strRef>
          </c:tx>
          <c:spPr>
            <a:ln w="28575" cap="rnd">
              <a:solidFill>
                <a:schemeClr val="accent2"/>
              </a:solidFill>
              <a:round/>
            </a:ln>
            <a:effectLst/>
          </c:spPr>
          <c:marker>
            <c:symbol val="none"/>
          </c:marker>
          <c:cat>
            <c:numRef>
              <c:f>template!$B$269:$K$269</c:f>
              <c:numCache>
                <c:formatCode>d\-mmm\-yy</c:formatCode>
                <c:ptCount val="10"/>
                <c:pt idx="0">
                  <c:v>40908</c:v>
                </c:pt>
                <c:pt idx="1">
                  <c:v>41274</c:v>
                </c:pt>
                <c:pt idx="2">
                  <c:v>41639</c:v>
                </c:pt>
                <c:pt idx="3">
                  <c:v>42004</c:v>
                </c:pt>
                <c:pt idx="4">
                  <c:v>42369</c:v>
                </c:pt>
                <c:pt idx="5">
                  <c:v>42735</c:v>
                </c:pt>
                <c:pt idx="6">
                  <c:v>43100</c:v>
                </c:pt>
                <c:pt idx="7">
                  <c:v>43465</c:v>
                </c:pt>
                <c:pt idx="8">
                  <c:v>43830</c:v>
                </c:pt>
                <c:pt idx="9">
                  <c:v>44196</c:v>
                </c:pt>
              </c:numCache>
            </c:numRef>
          </c:cat>
          <c:val>
            <c:numRef>
              <c:f>template!$B$271:$K$271</c:f>
              <c:numCache>
                <c:formatCode>#,##0.0</c:formatCode>
                <c:ptCount val="10"/>
                <c:pt idx="0">
                  <c:v>196.26626999999999</c:v>
                </c:pt>
                <c:pt idx="1">
                  <c:v>169.862493</c:v>
                </c:pt>
                <c:pt idx="2">
                  <c:v>213.31031999999999</c:v>
                </c:pt>
                <c:pt idx="3">
                  <c:v>391.89433600000001</c:v>
                </c:pt>
                <c:pt idx="4">
                  <c:v>-52.482618000000002</c:v>
                </c:pt>
                <c:pt idx="5">
                  <c:v>120.790128</c:v>
                </c:pt>
                <c:pt idx="6">
                  <c:v>394.11017299999997</c:v>
                </c:pt>
                <c:pt idx="7">
                  <c:v>456.96939500000002</c:v>
                </c:pt>
                <c:pt idx="8">
                  <c:v>449.56332200000003</c:v>
                </c:pt>
                <c:pt idx="9">
                  <c:v>-465.777402</c:v>
                </c:pt>
              </c:numCache>
            </c:numRef>
          </c:val>
          <c:smooth val="0"/>
          <c:extLst>
            <c:ext xmlns:c16="http://schemas.microsoft.com/office/drawing/2014/chart" uri="{C3380CC4-5D6E-409C-BE32-E72D297353CC}">
              <c16:uniqueId val="{00000001-C874-4E75-9420-4C928468133F}"/>
            </c:ext>
          </c:extLst>
        </c:ser>
        <c:dLbls>
          <c:showLegendKey val="0"/>
          <c:showVal val="0"/>
          <c:showCatName val="0"/>
          <c:showSerName val="0"/>
          <c:showPercent val="0"/>
          <c:showBubbleSize val="0"/>
        </c:dLbls>
        <c:marker val="1"/>
        <c:smooth val="0"/>
        <c:axId val="2108916351"/>
        <c:axId val="2108922591"/>
      </c:lineChart>
      <c:lineChart>
        <c:grouping val="standard"/>
        <c:varyColors val="0"/>
        <c:ser>
          <c:idx val="0"/>
          <c:order val="0"/>
          <c:tx>
            <c:strRef>
              <c:f>template!$A$270</c:f>
              <c:strCache>
                <c:ptCount val="1"/>
                <c:pt idx="0">
                  <c:v>Oil Price Average Close (RHS)</c:v>
                </c:pt>
              </c:strCache>
            </c:strRef>
          </c:tx>
          <c:spPr>
            <a:ln w="28575" cap="rnd">
              <a:solidFill>
                <a:schemeClr val="accent1"/>
              </a:solidFill>
              <a:round/>
            </a:ln>
            <a:effectLst/>
          </c:spPr>
          <c:marker>
            <c:symbol val="none"/>
          </c:marker>
          <c:cat>
            <c:numRef>
              <c:f>template!$B$269:$K$269</c:f>
              <c:numCache>
                <c:formatCode>d\-mmm\-yy</c:formatCode>
                <c:ptCount val="10"/>
                <c:pt idx="0">
                  <c:v>40908</c:v>
                </c:pt>
                <c:pt idx="1">
                  <c:v>41274</c:v>
                </c:pt>
                <c:pt idx="2">
                  <c:v>41639</c:v>
                </c:pt>
                <c:pt idx="3">
                  <c:v>42004</c:v>
                </c:pt>
                <c:pt idx="4">
                  <c:v>42369</c:v>
                </c:pt>
                <c:pt idx="5">
                  <c:v>42735</c:v>
                </c:pt>
                <c:pt idx="6">
                  <c:v>43100</c:v>
                </c:pt>
                <c:pt idx="7">
                  <c:v>43465</c:v>
                </c:pt>
                <c:pt idx="8">
                  <c:v>43830</c:v>
                </c:pt>
                <c:pt idx="9">
                  <c:v>44196</c:v>
                </c:pt>
              </c:numCache>
            </c:numRef>
          </c:cat>
          <c:val>
            <c:numRef>
              <c:f>template!$B$270:$K$270</c:f>
              <c:numCache>
                <c:formatCode>General</c:formatCode>
                <c:ptCount val="10"/>
                <c:pt idx="0">
                  <c:v>94.88</c:v>
                </c:pt>
                <c:pt idx="1">
                  <c:v>94.05</c:v>
                </c:pt>
                <c:pt idx="2">
                  <c:v>97.88</c:v>
                </c:pt>
                <c:pt idx="3">
                  <c:v>93.17</c:v>
                </c:pt>
                <c:pt idx="4">
                  <c:v>48.66</c:v>
                </c:pt>
                <c:pt idx="5">
                  <c:v>43.29</c:v>
                </c:pt>
                <c:pt idx="6">
                  <c:v>50.8</c:v>
                </c:pt>
                <c:pt idx="7">
                  <c:v>65.23</c:v>
                </c:pt>
                <c:pt idx="8">
                  <c:v>56.99</c:v>
                </c:pt>
                <c:pt idx="9">
                  <c:v>39.68</c:v>
                </c:pt>
              </c:numCache>
            </c:numRef>
          </c:val>
          <c:smooth val="0"/>
          <c:extLst>
            <c:ext xmlns:c16="http://schemas.microsoft.com/office/drawing/2014/chart" uri="{C3380CC4-5D6E-409C-BE32-E72D297353CC}">
              <c16:uniqueId val="{00000000-C874-4E75-9420-4C928468133F}"/>
            </c:ext>
          </c:extLst>
        </c:ser>
        <c:dLbls>
          <c:showLegendKey val="0"/>
          <c:showVal val="0"/>
          <c:showCatName val="0"/>
          <c:showSerName val="0"/>
          <c:showPercent val="0"/>
          <c:showBubbleSize val="0"/>
        </c:dLbls>
        <c:marker val="1"/>
        <c:smooth val="0"/>
        <c:axId val="445167839"/>
        <c:axId val="445162431"/>
      </c:lineChart>
      <c:catAx>
        <c:axId val="2108916351"/>
        <c:scaling>
          <c:orientation val="minMax"/>
        </c:scaling>
        <c:delete val="0"/>
        <c:axPos val="b"/>
        <c:numFmt formatCode="d\-mmm\-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08922591"/>
        <c:crosses val="autoZero"/>
        <c:auto val="0"/>
        <c:lblAlgn val="ctr"/>
        <c:lblOffset val="100"/>
        <c:noMultiLvlLbl val="0"/>
      </c:catAx>
      <c:valAx>
        <c:axId val="2108922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8916351"/>
        <c:crosses val="autoZero"/>
        <c:crossBetween val="between"/>
      </c:valAx>
      <c:valAx>
        <c:axId val="4451624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45167839"/>
        <c:crosses val="max"/>
        <c:crossBetween val="between"/>
      </c:valAx>
      <c:dateAx>
        <c:axId val="445167839"/>
        <c:scaling>
          <c:orientation val="minMax"/>
        </c:scaling>
        <c:delete val="1"/>
        <c:axPos val="b"/>
        <c:numFmt formatCode="d\-mmm\-yy" sourceLinked="1"/>
        <c:majorTickMark val="out"/>
        <c:minorTickMark val="none"/>
        <c:tickLblPos val="nextTo"/>
        <c:crossAx val="445162431"/>
        <c:auto val="1"/>
        <c:lblOffset val="100"/>
        <c:baseTimeUnit val="years"/>
      </c:date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832434</xdr:colOff>
      <xdr:row>85</xdr:row>
      <xdr:rowOff>160884</xdr:rowOff>
    </xdr:from>
    <xdr:to>
      <xdr:col>16</xdr:col>
      <xdr:colOff>1075765</xdr:colOff>
      <xdr:row>107</xdr:row>
      <xdr:rowOff>54910</xdr:rowOff>
    </xdr:to>
    <xdr:graphicFrame macro="">
      <xdr:nvGraphicFramePr>
        <xdr:cNvPr id="4" name="Chart 3">
          <a:extLst>
            <a:ext uri="{FF2B5EF4-FFF2-40B4-BE49-F238E27FC236}">
              <a16:creationId xmlns:a16="http://schemas.microsoft.com/office/drawing/2014/main" id="{6A2FA0D4-483D-4A86-BEB7-419327DA0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1114983</xdr:colOff>
      <xdr:row>102</xdr:row>
      <xdr:rowOff>132071</xdr:rowOff>
    </xdr:from>
    <xdr:to>
      <xdr:col>12</xdr:col>
      <xdr:colOff>476249</xdr:colOff>
      <xdr:row>104</xdr:row>
      <xdr:rowOff>27214</xdr:rowOff>
    </xdr:to>
    <xdr:sp macro="" textlink="">
      <xdr:nvSpPr>
        <xdr:cNvPr id="5" name="TextBox 4">
          <a:extLst>
            <a:ext uri="{FF2B5EF4-FFF2-40B4-BE49-F238E27FC236}">
              <a16:creationId xmlns:a16="http://schemas.microsoft.com/office/drawing/2014/main" id="{7924FA23-7300-476F-A7A7-79E638810F9A}"/>
            </a:ext>
          </a:extLst>
        </xdr:cNvPr>
        <xdr:cNvSpPr txBox="1"/>
      </xdr:nvSpPr>
      <xdr:spPr>
        <a:xfrm>
          <a:off x="15919554" y="19563071"/>
          <a:ext cx="1470374" cy="276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2">
                  <a:lumMod val="50000"/>
                </a:schemeClr>
              </a:solidFill>
            </a:rPr>
            <a:t>Market</a:t>
          </a:r>
          <a:r>
            <a:rPr lang="en-GB" sz="1200" b="1" baseline="0">
              <a:solidFill>
                <a:schemeClr val="bg2">
                  <a:lumMod val="50000"/>
                </a:schemeClr>
              </a:solidFill>
            </a:rPr>
            <a:t> Share Price</a:t>
          </a:r>
          <a:endParaRPr lang="en-GB" sz="1200" b="1">
            <a:solidFill>
              <a:schemeClr val="bg2">
                <a:lumMod val="50000"/>
              </a:schemeClr>
            </a:solidFill>
          </a:endParaRPr>
        </a:p>
      </xdr:txBody>
    </xdr:sp>
    <xdr:clientData/>
  </xdr:twoCellAnchor>
  <xdr:twoCellAnchor>
    <xdr:from>
      <xdr:col>12</xdr:col>
      <xdr:colOff>638251</xdr:colOff>
      <xdr:row>99</xdr:row>
      <xdr:rowOff>80363</xdr:rowOff>
    </xdr:from>
    <xdr:to>
      <xdr:col>13</xdr:col>
      <xdr:colOff>707571</xdr:colOff>
      <xdr:row>101</xdr:row>
      <xdr:rowOff>40820</xdr:rowOff>
    </xdr:to>
    <xdr:sp macro="" textlink="">
      <xdr:nvSpPr>
        <xdr:cNvPr id="6" name="TextBox 5">
          <a:extLst>
            <a:ext uri="{FF2B5EF4-FFF2-40B4-BE49-F238E27FC236}">
              <a16:creationId xmlns:a16="http://schemas.microsoft.com/office/drawing/2014/main" id="{682F9F93-D485-4148-96E0-EF13E9DA0980}"/>
            </a:ext>
          </a:extLst>
        </xdr:cNvPr>
        <xdr:cNvSpPr txBox="1"/>
      </xdr:nvSpPr>
      <xdr:spPr>
        <a:xfrm>
          <a:off x="17551930" y="18939863"/>
          <a:ext cx="858534" cy="34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2">
                  <a:lumMod val="75000"/>
                </a:schemeClr>
              </a:solidFill>
            </a:rPr>
            <a:t>Base Case</a:t>
          </a:r>
        </a:p>
      </xdr:txBody>
    </xdr:sp>
    <xdr:clientData/>
  </xdr:twoCellAnchor>
  <xdr:twoCellAnchor>
    <xdr:from>
      <xdr:col>14</xdr:col>
      <xdr:colOff>43059</xdr:colOff>
      <xdr:row>100</xdr:row>
      <xdr:rowOff>125506</xdr:rowOff>
    </xdr:from>
    <xdr:to>
      <xdr:col>16</xdr:col>
      <xdr:colOff>285749</xdr:colOff>
      <xdr:row>102</xdr:row>
      <xdr:rowOff>54429</xdr:rowOff>
    </xdr:to>
    <xdr:sp macro="" textlink="">
      <xdr:nvSpPr>
        <xdr:cNvPr id="7" name="TextBox 6">
          <a:extLst>
            <a:ext uri="{FF2B5EF4-FFF2-40B4-BE49-F238E27FC236}">
              <a16:creationId xmlns:a16="http://schemas.microsoft.com/office/drawing/2014/main" id="{85D8C553-040F-46DC-ADFB-35E0C53387D0}"/>
            </a:ext>
          </a:extLst>
        </xdr:cNvPr>
        <xdr:cNvSpPr txBox="1"/>
      </xdr:nvSpPr>
      <xdr:spPr>
        <a:xfrm>
          <a:off x="18494345" y="19175506"/>
          <a:ext cx="1739475" cy="3099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accent4"/>
              </a:solidFill>
            </a:rPr>
            <a:t>Multiples Share Price</a:t>
          </a:r>
        </a:p>
      </xdr:txBody>
    </xdr:sp>
    <xdr:clientData/>
  </xdr:twoCellAnchor>
  <xdr:twoCellAnchor>
    <xdr:from>
      <xdr:col>12</xdr:col>
      <xdr:colOff>476249</xdr:colOff>
      <xdr:row>103</xdr:row>
      <xdr:rowOff>0</xdr:rowOff>
    </xdr:from>
    <xdr:to>
      <xdr:col>12</xdr:col>
      <xdr:colOff>721178</xdr:colOff>
      <xdr:row>103</xdr:row>
      <xdr:rowOff>79643</xdr:rowOff>
    </xdr:to>
    <xdr:cxnSp macro="">
      <xdr:nvCxnSpPr>
        <xdr:cNvPr id="9" name="Straight Arrow Connector 8">
          <a:extLst>
            <a:ext uri="{FF2B5EF4-FFF2-40B4-BE49-F238E27FC236}">
              <a16:creationId xmlns:a16="http://schemas.microsoft.com/office/drawing/2014/main" id="{6A015478-98D5-4BD6-B083-CCA1D3751ADE}"/>
            </a:ext>
          </a:extLst>
        </xdr:cNvPr>
        <xdr:cNvCxnSpPr>
          <a:stCxn id="5" idx="3"/>
        </xdr:cNvCxnSpPr>
      </xdr:nvCxnSpPr>
      <xdr:spPr>
        <a:xfrm flipV="1">
          <a:off x="17389928" y="19621500"/>
          <a:ext cx="244929" cy="79643"/>
        </a:xfrm>
        <a:prstGeom prst="straightConnector1">
          <a:avLst/>
        </a:prstGeom>
        <a:ln w="15875">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149678</xdr:colOff>
      <xdr:row>101</xdr:row>
      <xdr:rowOff>54429</xdr:rowOff>
    </xdr:from>
    <xdr:to>
      <xdr:col>13</xdr:col>
      <xdr:colOff>272143</xdr:colOff>
      <xdr:row>102</xdr:row>
      <xdr:rowOff>108857</xdr:rowOff>
    </xdr:to>
    <xdr:cxnSp macro="">
      <xdr:nvCxnSpPr>
        <xdr:cNvPr id="17" name="Straight Arrow Connector 16">
          <a:extLst>
            <a:ext uri="{FF2B5EF4-FFF2-40B4-BE49-F238E27FC236}">
              <a16:creationId xmlns:a16="http://schemas.microsoft.com/office/drawing/2014/main" id="{28367670-3AE6-4388-B543-ED7DAF86AD05}"/>
            </a:ext>
          </a:extLst>
        </xdr:cNvPr>
        <xdr:cNvCxnSpPr/>
      </xdr:nvCxnSpPr>
      <xdr:spPr>
        <a:xfrm flipH="1">
          <a:off x="17852571" y="19294929"/>
          <a:ext cx="122465" cy="244928"/>
        </a:xfrm>
        <a:prstGeom prst="straightConnector1">
          <a:avLst/>
        </a:prstGeom>
        <a:ln w="190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340178</xdr:colOff>
      <xdr:row>101</xdr:row>
      <xdr:rowOff>89968</xdr:rowOff>
    </xdr:from>
    <xdr:to>
      <xdr:col>14</xdr:col>
      <xdr:colOff>43059</xdr:colOff>
      <xdr:row>102</xdr:row>
      <xdr:rowOff>149678</xdr:rowOff>
    </xdr:to>
    <xdr:cxnSp macro="">
      <xdr:nvCxnSpPr>
        <xdr:cNvPr id="19" name="Straight Arrow Connector 18">
          <a:extLst>
            <a:ext uri="{FF2B5EF4-FFF2-40B4-BE49-F238E27FC236}">
              <a16:creationId xmlns:a16="http://schemas.microsoft.com/office/drawing/2014/main" id="{81A3FD91-D680-4EB9-AC62-C240C5A9E894}"/>
            </a:ext>
          </a:extLst>
        </xdr:cNvPr>
        <xdr:cNvCxnSpPr>
          <a:stCxn id="7" idx="1"/>
        </xdr:cNvCxnSpPr>
      </xdr:nvCxnSpPr>
      <xdr:spPr>
        <a:xfrm flipH="1">
          <a:off x="18043071" y="19330468"/>
          <a:ext cx="451274" cy="250210"/>
        </a:xfrm>
        <a:prstGeom prst="straightConnector1">
          <a:avLst/>
        </a:prstGeom>
        <a:ln w="19050">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235323</xdr:colOff>
      <xdr:row>117</xdr:row>
      <xdr:rowOff>0</xdr:rowOff>
    </xdr:from>
    <xdr:to>
      <xdr:col>16</xdr:col>
      <xdr:colOff>1012532</xdr:colOff>
      <xdr:row>137</xdr:row>
      <xdr:rowOff>22411</xdr:rowOff>
    </xdr:to>
    <xdr:graphicFrame macro="">
      <xdr:nvGraphicFramePr>
        <xdr:cNvPr id="21" name="Chart 20">
          <a:extLst>
            <a:ext uri="{FF2B5EF4-FFF2-40B4-BE49-F238E27FC236}">
              <a16:creationId xmlns:a16="http://schemas.microsoft.com/office/drawing/2014/main" id="{39E92B6A-50F6-4523-A0AE-76A6AD75B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473703</xdr:colOff>
      <xdr:row>121</xdr:row>
      <xdr:rowOff>22412</xdr:rowOff>
    </xdr:from>
    <xdr:to>
      <xdr:col>11</xdr:col>
      <xdr:colOff>1000380</xdr:colOff>
      <xdr:row>122</xdr:row>
      <xdr:rowOff>100853</xdr:rowOff>
    </xdr:to>
    <xdr:sp macro="" textlink="">
      <xdr:nvSpPr>
        <xdr:cNvPr id="22" name="TextBox 21">
          <a:extLst>
            <a:ext uri="{FF2B5EF4-FFF2-40B4-BE49-F238E27FC236}">
              <a16:creationId xmlns:a16="http://schemas.microsoft.com/office/drawing/2014/main" id="{8D425736-7E01-4D01-A675-47F1738B0C0B}"/>
            </a:ext>
          </a:extLst>
        </xdr:cNvPr>
        <xdr:cNvSpPr txBox="1"/>
      </xdr:nvSpPr>
      <xdr:spPr>
        <a:xfrm>
          <a:off x="18952203" y="23072912"/>
          <a:ext cx="1236722"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2">
                  <a:lumMod val="50000"/>
                </a:schemeClr>
              </a:solidFill>
            </a:rPr>
            <a:t>Net</a:t>
          </a:r>
          <a:r>
            <a:rPr lang="en-GB" sz="1100" b="1" baseline="0">
              <a:solidFill>
                <a:schemeClr val="bg2">
                  <a:lumMod val="50000"/>
                </a:schemeClr>
              </a:solidFill>
            </a:rPr>
            <a:t> Income (LHS)</a:t>
          </a:r>
          <a:endParaRPr lang="en-GB" sz="1100" b="1">
            <a:solidFill>
              <a:schemeClr val="bg2">
                <a:lumMod val="50000"/>
              </a:schemeClr>
            </a:solidFill>
          </a:endParaRPr>
        </a:p>
      </xdr:txBody>
    </xdr:sp>
    <xdr:clientData/>
  </xdr:twoCellAnchor>
  <xdr:twoCellAnchor>
    <xdr:from>
      <xdr:col>16</xdr:col>
      <xdr:colOff>336177</xdr:colOff>
      <xdr:row>118</xdr:row>
      <xdr:rowOff>118783</xdr:rowOff>
    </xdr:from>
    <xdr:to>
      <xdr:col>16</xdr:col>
      <xdr:colOff>986118</xdr:colOff>
      <xdr:row>119</xdr:row>
      <xdr:rowOff>156882</xdr:rowOff>
    </xdr:to>
    <xdr:sp macro="" textlink="">
      <xdr:nvSpPr>
        <xdr:cNvPr id="24" name="TextBox 23">
          <a:extLst>
            <a:ext uri="{FF2B5EF4-FFF2-40B4-BE49-F238E27FC236}">
              <a16:creationId xmlns:a16="http://schemas.microsoft.com/office/drawing/2014/main" id="{CC7577AB-DB96-43F9-9156-F06E5B333E48}"/>
            </a:ext>
          </a:extLst>
        </xdr:cNvPr>
        <xdr:cNvSpPr txBox="1"/>
      </xdr:nvSpPr>
      <xdr:spPr>
        <a:xfrm>
          <a:off x="19453412" y="22597783"/>
          <a:ext cx="649941" cy="22859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$AU000</a:t>
          </a:r>
        </a:p>
      </xdr:txBody>
    </xdr:sp>
    <xdr:clientData/>
  </xdr:twoCellAnchor>
  <xdr:twoCellAnchor>
    <xdr:from>
      <xdr:col>9</xdr:col>
      <xdr:colOff>268941</xdr:colOff>
      <xdr:row>118</xdr:row>
      <xdr:rowOff>145676</xdr:rowOff>
    </xdr:from>
    <xdr:to>
      <xdr:col>10</xdr:col>
      <xdr:colOff>280147</xdr:colOff>
      <xdr:row>119</xdr:row>
      <xdr:rowOff>183775</xdr:rowOff>
    </xdr:to>
    <xdr:sp macro="" textlink="">
      <xdr:nvSpPr>
        <xdr:cNvPr id="25" name="TextBox 24">
          <a:extLst>
            <a:ext uri="{FF2B5EF4-FFF2-40B4-BE49-F238E27FC236}">
              <a16:creationId xmlns:a16="http://schemas.microsoft.com/office/drawing/2014/main" id="{F0421E07-42FB-4143-8F8E-DD6D4DDA6901}"/>
            </a:ext>
          </a:extLst>
        </xdr:cNvPr>
        <xdr:cNvSpPr txBox="1"/>
      </xdr:nvSpPr>
      <xdr:spPr>
        <a:xfrm>
          <a:off x="12920382" y="22624676"/>
          <a:ext cx="649941" cy="22859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$AU000</a:t>
          </a:r>
        </a:p>
      </xdr:txBody>
    </xdr:sp>
    <xdr:clientData/>
  </xdr:twoCellAnchor>
  <xdr:twoCellAnchor>
    <xdr:from>
      <xdr:col>8</xdr:col>
      <xdr:colOff>123265</xdr:colOff>
      <xdr:row>137</xdr:row>
      <xdr:rowOff>174809</xdr:rowOff>
    </xdr:from>
    <xdr:to>
      <xdr:col>16</xdr:col>
      <xdr:colOff>918883</xdr:colOff>
      <xdr:row>163</xdr:row>
      <xdr:rowOff>168086</xdr:rowOff>
    </xdr:to>
    <xdr:graphicFrame macro="">
      <xdr:nvGraphicFramePr>
        <xdr:cNvPr id="30" name="Chart 29">
          <a:extLst>
            <a:ext uri="{FF2B5EF4-FFF2-40B4-BE49-F238E27FC236}">
              <a16:creationId xmlns:a16="http://schemas.microsoft.com/office/drawing/2014/main" id="{6ACAA4B3-66DA-4287-9D90-380EAC1AB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141194</xdr:colOff>
      <xdr:row>139</xdr:row>
      <xdr:rowOff>141193</xdr:rowOff>
    </xdr:from>
    <xdr:to>
      <xdr:col>8</xdr:col>
      <xdr:colOff>791135</xdr:colOff>
      <xdr:row>140</xdr:row>
      <xdr:rowOff>179292</xdr:rowOff>
    </xdr:to>
    <xdr:sp macro="" textlink="">
      <xdr:nvSpPr>
        <xdr:cNvPr id="31" name="TextBox 30">
          <a:extLst>
            <a:ext uri="{FF2B5EF4-FFF2-40B4-BE49-F238E27FC236}">
              <a16:creationId xmlns:a16="http://schemas.microsoft.com/office/drawing/2014/main" id="{6D6F6077-A11E-4D73-A2BC-65D1B949DEC2}"/>
            </a:ext>
          </a:extLst>
        </xdr:cNvPr>
        <xdr:cNvSpPr txBox="1"/>
      </xdr:nvSpPr>
      <xdr:spPr>
        <a:xfrm>
          <a:off x="11862547" y="26620693"/>
          <a:ext cx="649941" cy="22859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$AU000</a:t>
          </a:r>
        </a:p>
      </xdr:txBody>
    </xdr:sp>
    <xdr:clientData/>
  </xdr:twoCellAnchor>
  <xdr:twoCellAnchor>
    <xdr:from>
      <xdr:col>16</xdr:col>
      <xdr:colOff>248771</xdr:colOff>
      <xdr:row>139</xdr:row>
      <xdr:rowOff>136711</xdr:rowOff>
    </xdr:from>
    <xdr:to>
      <xdr:col>16</xdr:col>
      <xdr:colOff>898712</xdr:colOff>
      <xdr:row>140</xdr:row>
      <xdr:rowOff>174810</xdr:rowOff>
    </xdr:to>
    <xdr:sp macro="" textlink="">
      <xdr:nvSpPr>
        <xdr:cNvPr id="32" name="TextBox 31">
          <a:extLst>
            <a:ext uri="{FF2B5EF4-FFF2-40B4-BE49-F238E27FC236}">
              <a16:creationId xmlns:a16="http://schemas.microsoft.com/office/drawing/2014/main" id="{5120159D-17D4-4699-A4FA-AB870123D07C}"/>
            </a:ext>
          </a:extLst>
        </xdr:cNvPr>
        <xdr:cNvSpPr txBox="1"/>
      </xdr:nvSpPr>
      <xdr:spPr>
        <a:xfrm>
          <a:off x="19366006" y="26616211"/>
          <a:ext cx="649941" cy="22859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t>$AU000</a:t>
          </a:r>
        </a:p>
      </xdr:txBody>
    </xdr:sp>
    <xdr:clientData/>
  </xdr:twoCellAnchor>
  <xdr:twoCellAnchor>
    <xdr:from>
      <xdr:col>8</xdr:col>
      <xdr:colOff>353784</xdr:colOff>
      <xdr:row>166</xdr:row>
      <xdr:rowOff>68035</xdr:rowOff>
    </xdr:from>
    <xdr:to>
      <xdr:col>15</xdr:col>
      <xdr:colOff>693964</xdr:colOff>
      <xdr:row>185</xdr:row>
      <xdr:rowOff>108857</xdr:rowOff>
    </xdr:to>
    <xdr:graphicFrame macro="">
      <xdr:nvGraphicFramePr>
        <xdr:cNvPr id="33" name="Chart 32">
          <a:extLst>
            <a:ext uri="{FF2B5EF4-FFF2-40B4-BE49-F238E27FC236}">
              <a16:creationId xmlns:a16="http://schemas.microsoft.com/office/drawing/2014/main" id="{9A1204A1-2B75-4BD9-84B1-B7C3A2F80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33625</xdr:colOff>
      <xdr:row>258</xdr:row>
      <xdr:rowOff>186016</xdr:rowOff>
    </xdr:from>
    <xdr:to>
      <xdr:col>18</xdr:col>
      <xdr:colOff>156882</xdr:colOff>
      <xdr:row>277</xdr:row>
      <xdr:rowOff>156881</xdr:rowOff>
    </xdr:to>
    <xdr:graphicFrame macro="">
      <xdr:nvGraphicFramePr>
        <xdr:cNvPr id="8" name="Chart 7">
          <a:extLst>
            <a:ext uri="{FF2B5EF4-FFF2-40B4-BE49-F238E27FC236}">
              <a16:creationId xmlns:a16="http://schemas.microsoft.com/office/drawing/2014/main" id="{5D5D1DEB-FEF9-4435-87DB-CF510A04F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806823</xdr:colOff>
      <xdr:row>266</xdr:row>
      <xdr:rowOff>179294</xdr:rowOff>
    </xdr:from>
    <xdr:to>
      <xdr:col>8</xdr:col>
      <xdr:colOff>369794</xdr:colOff>
      <xdr:row>268</xdr:row>
      <xdr:rowOff>112059</xdr:rowOff>
    </xdr:to>
    <xdr:sp macro="" textlink="">
      <xdr:nvSpPr>
        <xdr:cNvPr id="10" name="TextBox 9">
          <a:extLst>
            <a:ext uri="{FF2B5EF4-FFF2-40B4-BE49-F238E27FC236}">
              <a16:creationId xmlns:a16="http://schemas.microsoft.com/office/drawing/2014/main" id="{7258D9AF-3C00-4D72-99D4-4E4701E09879}"/>
            </a:ext>
          </a:extLst>
        </xdr:cNvPr>
        <xdr:cNvSpPr txBox="1"/>
      </xdr:nvSpPr>
      <xdr:spPr>
        <a:xfrm>
          <a:off x="11295529" y="50852294"/>
          <a:ext cx="1456765"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accent2"/>
              </a:solidFill>
            </a:rPr>
            <a:t>OSH Net Profit (LHS)</a:t>
          </a:r>
        </a:p>
      </xdr:txBody>
    </xdr:sp>
    <xdr:clientData/>
  </xdr:twoCellAnchor>
  <xdr:twoCellAnchor>
    <xdr:from>
      <xdr:col>7</xdr:col>
      <xdr:colOff>824753</xdr:colOff>
      <xdr:row>263</xdr:row>
      <xdr:rowOff>51547</xdr:rowOff>
    </xdr:from>
    <xdr:to>
      <xdr:col>8</xdr:col>
      <xdr:colOff>387724</xdr:colOff>
      <xdr:row>264</xdr:row>
      <xdr:rowOff>174812</xdr:rowOff>
    </xdr:to>
    <xdr:sp macro="" textlink="">
      <xdr:nvSpPr>
        <xdr:cNvPr id="23" name="TextBox 22">
          <a:extLst>
            <a:ext uri="{FF2B5EF4-FFF2-40B4-BE49-F238E27FC236}">
              <a16:creationId xmlns:a16="http://schemas.microsoft.com/office/drawing/2014/main" id="{5135066F-03E5-46B1-BF9E-016825B278BD}"/>
            </a:ext>
          </a:extLst>
        </xdr:cNvPr>
        <xdr:cNvSpPr txBox="1"/>
      </xdr:nvSpPr>
      <xdr:spPr>
        <a:xfrm>
          <a:off x="11313459" y="50153047"/>
          <a:ext cx="1456765"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accent1"/>
              </a:solidFill>
            </a:rPr>
            <a:t>Oil Price (RHS)</a:t>
          </a:r>
        </a:p>
      </xdr:txBody>
    </xdr:sp>
    <xdr:clientData/>
  </xdr:twoCellAnchor>
  <xdr:twoCellAnchor>
    <xdr:from>
      <xdr:col>7</xdr:col>
      <xdr:colOff>129989</xdr:colOff>
      <xdr:row>260</xdr:row>
      <xdr:rowOff>107575</xdr:rowOff>
    </xdr:from>
    <xdr:to>
      <xdr:col>7</xdr:col>
      <xdr:colOff>459440</xdr:colOff>
      <xdr:row>262</xdr:row>
      <xdr:rowOff>40340</xdr:rowOff>
    </xdr:to>
    <xdr:sp macro="" textlink="">
      <xdr:nvSpPr>
        <xdr:cNvPr id="26" name="TextBox 25">
          <a:extLst>
            <a:ext uri="{FF2B5EF4-FFF2-40B4-BE49-F238E27FC236}">
              <a16:creationId xmlns:a16="http://schemas.microsoft.com/office/drawing/2014/main" id="{AD7139E8-82D7-4898-8C3F-C545549BAD27}"/>
            </a:ext>
          </a:extLst>
        </xdr:cNvPr>
        <xdr:cNvSpPr txBox="1"/>
      </xdr:nvSpPr>
      <xdr:spPr>
        <a:xfrm>
          <a:off x="10618695" y="49637575"/>
          <a:ext cx="329451" cy="31376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ysClr val="windowText" lastClr="000000"/>
              </a:solidFill>
            </a:rPr>
            <a:t>$</a:t>
          </a:r>
        </a:p>
      </xdr:txBody>
    </xdr:sp>
    <xdr:clientData/>
  </xdr:twoCellAnchor>
  <xdr:twoCellAnchor>
    <xdr:from>
      <xdr:col>17</xdr:col>
      <xdr:colOff>551330</xdr:colOff>
      <xdr:row>260</xdr:row>
      <xdr:rowOff>114298</xdr:rowOff>
    </xdr:from>
    <xdr:to>
      <xdr:col>18</xdr:col>
      <xdr:colOff>141193</xdr:colOff>
      <xdr:row>262</xdr:row>
      <xdr:rowOff>47063</xdr:rowOff>
    </xdr:to>
    <xdr:sp macro="" textlink="">
      <xdr:nvSpPr>
        <xdr:cNvPr id="27" name="TextBox 26">
          <a:extLst>
            <a:ext uri="{FF2B5EF4-FFF2-40B4-BE49-F238E27FC236}">
              <a16:creationId xmlns:a16="http://schemas.microsoft.com/office/drawing/2014/main" id="{3AD17F60-E3B9-49D0-A53E-73AA3C813A3D}"/>
            </a:ext>
          </a:extLst>
        </xdr:cNvPr>
        <xdr:cNvSpPr txBox="1"/>
      </xdr:nvSpPr>
      <xdr:spPr>
        <a:xfrm>
          <a:off x="21439095" y="49644298"/>
          <a:ext cx="329451" cy="31376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ysClr val="windowText" lastClr="000000"/>
              </a:solidFill>
            </a:rPr>
            <a:t>$</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0.13806</cdr:x>
      <cdr:y>0.13876</cdr:y>
    </cdr:from>
    <cdr:to>
      <cdr:x>0.2675</cdr:x>
      <cdr:y>0.19671</cdr:y>
    </cdr:to>
    <cdr:sp macro="" textlink="">
      <cdr:nvSpPr>
        <cdr:cNvPr id="2" name="TextBox 1">
          <a:extLst xmlns:a="http://schemas.openxmlformats.org/drawingml/2006/main">
            <a:ext uri="{FF2B5EF4-FFF2-40B4-BE49-F238E27FC236}">
              <a16:creationId xmlns:a16="http://schemas.microsoft.com/office/drawing/2014/main" id="{F9A91D5A-02D4-4279-93F0-B284B06A0DA1}"/>
            </a:ext>
          </a:extLst>
        </cdr:cNvPr>
        <cdr:cNvSpPr txBox="1"/>
      </cdr:nvSpPr>
      <cdr:spPr>
        <a:xfrm xmlns:a="http://schemas.openxmlformats.org/drawingml/2006/main">
          <a:off x="1059300" y="566833"/>
          <a:ext cx="993171" cy="2367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1">
              <a:solidFill>
                <a:schemeClr val="accent1">
                  <a:lumMod val="75000"/>
                </a:schemeClr>
              </a:solidFill>
            </a:rPr>
            <a:t>Share Price</a:t>
          </a:r>
        </a:p>
      </cdr:txBody>
    </cdr:sp>
  </cdr:relSizeAnchor>
  <cdr:relSizeAnchor xmlns:cdr="http://schemas.openxmlformats.org/drawingml/2006/chartDrawing">
    <cdr:from>
      <cdr:x>0.02035</cdr:x>
      <cdr:y>0.07269</cdr:y>
    </cdr:from>
    <cdr:to>
      <cdr:x>0.09053</cdr:x>
      <cdr:y>0.15264</cdr:y>
    </cdr:to>
    <cdr:sp macro="" textlink="">
      <cdr:nvSpPr>
        <cdr:cNvPr id="3" name="TextBox 2">
          <a:extLst xmlns:a="http://schemas.openxmlformats.org/drawingml/2006/main">
            <a:ext uri="{FF2B5EF4-FFF2-40B4-BE49-F238E27FC236}">
              <a16:creationId xmlns:a16="http://schemas.microsoft.com/office/drawing/2014/main" id="{CDA1AC42-7486-426D-A424-8024A55BECEC}"/>
            </a:ext>
          </a:extLst>
        </cdr:cNvPr>
        <cdr:cNvSpPr txBox="1"/>
      </cdr:nvSpPr>
      <cdr:spPr>
        <a:xfrm xmlns:a="http://schemas.openxmlformats.org/drawingml/2006/main">
          <a:off x="155420" y="296955"/>
          <a:ext cx="536145" cy="326572"/>
        </a:xfrm>
        <a:prstGeom xmlns:a="http://schemas.openxmlformats.org/drawingml/2006/main" prst="rect">
          <a:avLst/>
        </a:prstGeom>
        <a:solidFill xmlns:a="http://schemas.openxmlformats.org/drawingml/2006/main">
          <a:schemeClr val="lt1"/>
        </a:solidFill>
      </cdr:spPr>
      <cdr:txBody>
        <a:bodyPr xmlns:a="http://schemas.openxmlformats.org/drawingml/2006/main" vertOverflow="clip" wrap="square" rtlCol="0"/>
        <a:lstStyle xmlns:a="http://schemas.openxmlformats.org/drawingml/2006/main"/>
        <a:p xmlns:a="http://schemas.openxmlformats.org/drawingml/2006/main">
          <a:pPr algn="ctr"/>
          <a:r>
            <a:rPr lang="en-GB" sz="1400" b="1"/>
            <a:t>$AU</a:t>
          </a:r>
        </a:p>
      </cdr:txBody>
    </cdr:sp>
  </cdr:relSizeAnchor>
  <cdr:relSizeAnchor xmlns:cdr="http://schemas.openxmlformats.org/drawingml/2006/chartDrawing">
    <cdr:from>
      <cdr:x>0.92982</cdr:x>
      <cdr:y>0.07553</cdr:y>
    </cdr:from>
    <cdr:to>
      <cdr:x>1</cdr:x>
      <cdr:y>0.15547</cdr:y>
    </cdr:to>
    <cdr:sp macro="" textlink="">
      <cdr:nvSpPr>
        <cdr:cNvPr id="6" name="TextBox 1">
          <a:extLst xmlns:a="http://schemas.openxmlformats.org/drawingml/2006/main">
            <a:ext uri="{FF2B5EF4-FFF2-40B4-BE49-F238E27FC236}">
              <a16:creationId xmlns:a16="http://schemas.microsoft.com/office/drawing/2014/main" id="{A1644E0C-6BF4-4D9A-A007-14DB13A0079B}"/>
            </a:ext>
          </a:extLst>
        </cdr:cNvPr>
        <cdr:cNvSpPr txBox="1"/>
      </cdr:nvSpPr>
      <cdr:spPr>
        <a:xfrm xmlns:a="http://schemas.openxmlformats.org/drawingml/2006/main">
          <a:off x="7103068" y="308535"/>
          <a:ext cx="536145" cy="326572"/>
        </a:xfrm>
        <a:prstGeom xmlns:a="http://schemas.openxmlformats.org/drawingml/2006/main" prst="rect">
          <a:avLst/>
        </a:prstGeom>
        <a:solidFill xmlns:a="http://schemas.openxmlformats.org/drawingml/2006/main">
          <a:schemeClr val="lt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400" b="1"/>
            <a:t>$AU</a:t>
          </a:r>
        </a:p>
      </cdr:txBody>
    </cdr:sp>
  </cdr:relSizeAnchor>
</c:userShapes>
</file>

<file path=xl/drawings/drawing3.xml><?xml version="1.0" encoding="utf-8"?>
<c:userShapes xmlns:c="http://schemas.openxmlformats.org/drawingml/2006/chart">
  <cdr:relSizeAnchor xmlns:cdr="http://schemas.openxmlformats.org/drawingml/2006/chartDrawing">
    <cdr:from>
      <cdr:x>0.79213</cdr:x>
      <cdr:y>0.28362</cdr:y>
    </cdr:from>
    <cdr:to>
      <cdr:x>0.94375</cdr:x>
      <cdr:y>0.34795</cdr:y>
    </cdr:to>
    <cdr:sp macro="" textlink="">
      <cdr:nvSpPr>
        <cdr:cNvPr id="2" name="TextBox 1">
          <a:extLst xmlns:a="http://schemas.openxmlformats.org/drawingml/2006/main">
            <a:ext uri="{FF2B5EF4-FFF2-40B4-BE49-F238E27FC236}">
              <a16:creationId xmlns:a16="http://schemas.microsoft.com/office/drawing/2014/main" id="{F7CE4ED2-4F8F-4DEE-B5ED-979190717E21}"/>
            </a:ext>
          </a:extLst>
        </cdr:cNvPr>
        <cdr:cNvSpPr txBox="1"/>
      </cdr:nvSpPr>
      <cdr:spPr>
        <a:xfrm xmlns:a="http://schemas.openxmlformats.org/drawingml/2006/main">
          <a:off x="5737392" y="1086952"/>
          <a:ext cx="1098184" cy="24653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GB" sz="1100" b="1">
              <a:solidFill>
                <a:schemeClr val="accent1">
                  <a:lumMod val="75000"/>
                </a:schemeClr>
              </a:solidFill>
            </a:rPr>
            <a:t>Sales</a:t>
          </a:r>
          <a:r>
            <a:rPr lang="en-GB" sz="1100" b="1" baseline="0">
              <a:solidFill>
                <a:schemeClr val="accent1">
                  <a:lumMod val="75000"/>
                </a:schemeClr>
              </a:solidFill>
            </a:rPr>
            <a:t> (RHS)</a:t>
          </a:r>
          <a:endParaRPr lang="en-GB" sz="1100" b="1">
            <a:solidFill>
              <a:schemeClr val="accent1">
                <a:lumMod val="75000"/>
              </a:schemeClr>
            </a:solidFill>
          </a:endParaRPr>
        </a:p>
      </cdr:txBody>
    </cdr:sp>
  </cdr:relSizeAnchor>
  <cdr:relSizeAnchor xmlns:cdr="http://schemas.openxmlformats.org/drawingml/2006/chartDrawing">
    <cdr:from>
      <cdr:x>0.44712</cdr:x>
      <cdr:y>0.14327</cdr:y>
    </cdr:from>
    <cdr:to>
      <cdr:x>0.59255</cdr:x>
      <cdr:y>0.2076</cdr:y>
    </cdr:to>
    <cdr:sp macro="" textlink="">
      <cdr:nvSpPr>
        <cdr:cNvPr id="3" name="TextBox 2">
          <a:extLst xmlns:a="http://schemas.openxmlformats.org/drawingml/2006/main">
            <a:ext uri="{FF2B5EF4-FFF2-40B4-BE49-F238E27FC236}">
              <a16:creationId xmlns:a16="http://schemas.microsoft.com/office/drawing/2014/main" id="{FD333F48-7C31-450A-8DC6-2F2FABF426C7}"/>
            </a:ext>
          </a:extLst>
        </cdr:cNvPr>
        <cdr:cNvSpPr txBox="1"/>
      </cdr:nvSpPr>
      <cdr:spPr>
        <a:xfrm xmlns:a="http://schemas.openxmlformats.org/drawingml/2006/main">
          <a:off x="3238481" y="549072"/>
          <a:ext cx="1053350" cy="24653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GB" sz="1100" b="1">
              <a:solidFill>
                <a:schemeClr val="accent4"/>
              </a:solidFill>
            </a:rPr>
            <a:t>Total FCF (LHS)</a:t>
          </a:r>
        </a:p>
      </cdr:txBody>
    </cdr:sp>
  </cdr:relSizeAnchor>
  <cdr:relSizeAnchor xmlns:cdr="http://schemas.openxmlformats.org/drawingml/2006/chartDrawing">
    <cdr:from>
      <cdr:x>0.70941</cdr:x>
      <cdr:y>0.6653</cdr:y>
    </cdr:from>
    <cdr:to>
      <cdr:x>0.91126</cdr:x>
      <cdr:y>0.72515</cdr:y>
    </cdr:to>
    <cdr:sp macro="" textlink="">
      <cdr:nvSpPr>
        <cdr:cNvPr id="4" name="TextBox 1">
          <a:extLst xmlns:a="http://schemas.openxmlformats.org/drawingml/2006/main">
            <a:ext uri="{FF2B5EF4-FFF2-40B4-BE49-F238E27FC236}">
              <a16:creationId xmlns:a16="http://schemas.microsoft.com/office/drawing/2014/main" id="{31A27740-BE60-489F-9265-12ACFD346D48}"/>
            </a:ext>
          </a:extLst>
        </cdr:cNvPr>
        <cdr:cNvSpPr txBox="1"/>
      </cdr:nvSpPr>
      <cdr:spPr>
        <a:xfrm xmlns:a="http://schemas.openxmlformats.org/drawingml/2006/main">
          <a:off x="5138271" y="2549712"/>
          <a:ext cx="1461994" cy="229347"/>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b="1">
              <a:solidFill>
                <a:schemeClr val="accent2">
                  <a:lumMod val="75000"/>
                </a:schemeClr>
              </a:solidFill>
            </a:rPr>
            <a:t>COGS excluding D&amp;A</a:t>
          </a:r>
        </a:p>
      </cdr:txBody>
    </cdr:sp>
  </cdr:relSizeAnchor>
</c:userShapes>
</file>

<file path=xl/drawings/drawing4.xml><?xml version="1.0" encoding="utf-8"?>
<c:userShapes xmlns:c="http://schemas.openxmlformats.org/drawingml/2006/chart">
  <cdr:relSizeAnchor xmlns:cdr="http://schemas.openxmlformats.org/drawingml/2006/chartDrawing">
    <cdr:from>
      <cdr:x>0.08691</cdr:x>
      <cdr:y>0.27307</cdr:y>
    </cdr:from>
    <cdr:to>
      <cdr:x>0.26539</cdr:x>
      <cdr:y>0.31944</cdr:y>
    </cdr:to>
    <cdr:sp macro="" textlink="">
      <cdr:nvSpPr>
        <cdr:cNvPr id="2" name="TextBox 1">
          <a:extLst xmlns:a="http://schemas.openxmlformats.org/drawingml/2006/main">
            <a:ext uri="{FF2B5EF4-FFF2-40B4-BE49-F238E27FC236}">
              <a16:creationId xmlns:a16="http://schemas.microsoft.com/office/drawing/2014/main" id="{436011DB-8C5F-415F-AD32-BAC38FCED59B}"/>
            </a:ext>
          </a:extLst>
        </cdr:cNvPr>
        <cdr:cNvSpPr txBox="1"/>
      </cdr:nvSpPr>
      <cdr:spPr>
        <a:xfrm xmlns:a="http://schemas.openxmlformats.org/drawingml/2006/main">
          <a:off x="711946" y="1350683"/>
          <a:ext cx="1461994" cy="229347"/>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b="1" baseline="0">
              <a:solidFill>
                <a:srgbClr val="00B0F0"/>
              </a:solidFill>
            </a:rPr>
            <a:t>Add: Depr &amp; Amort</a:t>
          </a:r>
        </a:p>
        <a:p xmlns:a="http://schemas.openxmlformats.org/drawingml/2006/main">
          <a:endParaRPr lang="en-GB" sz="1100" b="1">
            <a:solidFill>
              <a:schemeClr val="accent2">
                <a:lumMod val="75000"/>
              </a:schemeClr>
            </a:solidFill>
          </a:endParaRPr>
        </a:p>
      </cdr:txBody>
    </cdr:sp>
  </cdr:relSizeAnchor>
  <cdr:relSizeAnchor xmlns:cdr="http://schemas.openxmlformats.org/drawingml/2006/chartDrawing">
    <cdr:from>
      <cdr:x>0.04588</cdr:x>
      <cdr:y>0.5993</cdr:y>
    </cdr:from>
    <cdr:to>
      <cdr:x>0.17447</cdr:x>
      <cdr:y>0.64914</cdr:y>
    </cdr:to>
    <cdr:sp macro="" textlink="">
      <cdr:nvSpPr>
        <cdr:cNvPr id="3" name="TextBox 1">
          <a:extLst xmlns:a="http://schemas.openxmlformats.org/drawingml/2006/main">
            <a:ext uri="{FF2B5EF4-FFF2-40B4-BE49-F238E27FC236}">
              <a16:creationId xmlns:a16="http://schemas.microsoft.com/office/drawing/2014/main" id="{B351B28D-3683-4368-8DEB-2FCB7546499C}"/>
            </a:ext>
          </a:extLst>
        </cdr:cNvPr>
        <cdr:cNvSpPr txBox="1"/>
      </cdr:nvSpPr>
      <cdr:spPr>
        <a:xfrm xmlns:a="http://schemas.openxmlformats.org/drawingml/2006/main">
          <a:off x="375794" y="2964324"/>
          <a:ext cx="1053345" cy="246523"/>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b="1">
              <a:solidFill>
                <a:schemeClr val="accent4"/>
              </a:solidFill>
            </a:rPr>
            <a:t>Less: </a:t>
          </a:r>
          <a:r>
            <a:rPr lang="el-GR" sz="1100" b="1">
              <a:solidFill>
                <a:schemeClr val="accent4"/>
              </a:solidFill>
            </a:rPr>
            <a:t>Δ</a:t>
          </a:r>
          <a:r>
            <a:rPr lang="en-US" sz="1100" b="1">
              <a:solidFill>
                <a:schemeClr val="accent4"/>
              </a:solidFill>
            </a:rPr>
            <a:t> in WC</a:t>
          </a:r>
          <a:endParaRPr lang="en-GB" sz="1100" b="1">
            <a:solidFill>
              <a:schemeClr val="accent4"/>
            </a:solidFill>
          </a:endParaRPr>
        </a:p>
      </cdr:txBody>
    </cdr:sp>
  </cdr:relSizeAnchor>
  <cdr:relSizeAnchor xmlns:cdr="http://schemas.openxmlformats.org/drawingml/2006/chartDrawing">
    <cdr:from>
      <cdr:x>0.06503</cdr:x>
      <cdr:y>0.74203</cdr:y>
    </cdr:from>
    <cdr:to>
      <cdr:x>0.19362</cdr:x>
      <cdr:y>0.79187</cdr:y>
    </cdr:to>
    <cdr:sp macro="" textlink="">
      <cdr:nvSpPr>
        <cdr:cNvPr id="4" name="TextBox 1">
          <a:extLst xmlns:a="http://schemas.openxmlformats.org/drawingml/2006/main">
            <a:ext uri="{FF2B5EF4-FFF2-40B4-BE49-F238E27FC236}">
              <a16:creationId xmlns:a16="http://schemas.microsoft.com/office/drawing/2014/main" id="{D6C56758-14E6-4928-A73C-43E5F736F5B0}"/>
            </a:ext>
          </a:extLst>
        </cdr:cNvPr>
        <cdr:cNvSpPr txBox="1"/>
      </cdr:nvSpPr>
      <cdr:spPr>
        <a:xfrm xmlns:a="http://schemas.openxmlformats.org/drawingml/2006/main">
          <a:off x="532653" y="3670299"/>
          <a:ext cx="1053353" cy="24652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baseline="0">
              <a:solidFill>
                <a:schemeClr val="bg2">
                  <a:lumMod val="50000"/>
                </a:schemeClr>
              </a:solidFill>
            </a:rPr>
            <a:t>Less: CapEx</a:t>
          </a:r>
          <a:endParaRPr lang="en-GB" sz="1100" b="1" baseline="0">
            <a:solidFill>
              <a:schemeClr val="bg2">
                <a:lumMod val="50000"/>
              </a:schemeClr>
            </a:solidFill>
          </a:endParaRPr>
        </a:p>
      </cdr:txBody>
    </cdr:sp>
  </cdr:relSizeAnchor>
  <cdr:relSizeAnchor xmlns:cdr="http://schemas.openxmlformats.org/drawingml/2006/chartDrawing">
    <cdr:from>
      <cdr:x>0.05955</cdr:x>
      <cdr:y>0.47697</cdr:y>
    </cdr:from>
    <cdr:to>
      <cdr:x>0.28728</cdr:x>
      <cdr:y>0.52877</cdr:y>
    </cdr:to>
    <cdr:sp macro="" textlink="">
      <cdr:nvSpPr>
        <cdr:cNvPr id="5" name="TextBox 1">
          <a:extLst xmlns:a="http://schemas.openxmlformats.org/drawingml/2006/main">
            <a:ext uri="{FF2B5EF4-FFF2-40B4-BE49-F238E27FC236}">
              <a16:creationId xmlns:a16="http://schemas.microsoft.com/office/drawing/2014/main" id="{1EC87377-B7DA-4D8D-8218-CC11129E36EB}"/>
            </a:ext>
          </a:extLst>
        </cdr:cNvPr>
        <cdr:cNvSpPr txBox="1"/>
      </cdr:nvSpPr>
      <cdr:spPr>
        <a:xfrm xmlns:a="http://schemas.openxmlformats.org/drawingml/2006/main">
          <a:off x="487829" y="2359212"/>
          <a:ext cx="1865406" cy="256244"/>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b="1" baseline="0">
              <a:solidFill>
                <a:schemeClr val="accent1">
                  <a:lumMod val="50000"/>
                </a:schemeClr>
              </a:solidFill>
            </a:rPr>
            <a:t>Add: Interest exp After Tax</a:t>
          </a:r>
        </a:p>
        <a:p xmlns:a="http://schemas.openxmlformats.org/drawingml/2006/main">
          <a:endParaRPr lang="en-GB" sz="1100" b="1">
            <a:solidFill>
              <a:schemeClr val="accent2">
                <a:lumMod val="75000"/>
              </a:schemeClr>
            </a:solidFill>
          </a:endParaRPr>
        </a:p>
      </cdr:txBody>
    </cdr:sp>
  </cdr:relSizeAnchor>
  <cdr:relSizeAnchor xmlns:cdr="http://schemas.openxmlformats.org/drawingml/2006/chartDrawing">
    <cdr:from>
      <cdr:x>0.02672</cdr:x>
      <cdr:y>0.42486</cdr:y>
    </cdr:from>
    <cdr:to>
      <cdr:x>0.2052</cdr:x>
      <cdr:y>0.47122</cdr:y>
    </cdr:to>
    <cdr:sp macro="" textlink="">
      <cdr:nvSpPr>
        <cdr:cNvPr id="8" name="TextBox 1">
          <a:extLst xmlns:a="http://schemas.openxmlformats.org/drawingml/2006/main">
            <a:ext uri="{FF2B5EF4-FFF2-40B4-BE49-F238E27FC236}">
              <a16:creationId xmlns:a16="http://schemas.microsoft.com/office/drawing/2014/main" id="{AC094B88-CA7E-4F41-B15F-F05ADA6FCB2E}"/>
            </a:ext>
          </a:extLst>
        </cdr:cNvPr>
        <cdr:cNvSpPr txBox="1"/>
      </cdr:nvSpPr>
      <cdr:spPr>
        <a:xfrm xmlns:a="http://schemas.openxmlformats.org/drawingml/2006/main">
          <a:off x="218877" y="2101491"/>
          <a:ext cx="1462019" cy="22931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b="1" baseline="0">
              <a:solidFill>
                <a:srgbClr val="FB5BE0"/>
              </a:solidFill>
            </a:rPr>
            <a:t>Net Income</a:t>
          </a:r>
        </a:p>
        <a:p xmlns:a="http://schemas.openxmlformats.org/drawingml/2006/main">
          <a:endParaRPr lang="en-GB" sz="1100" b="1">
            <a:solidFill>
              <a:schemeClr val="accent2">
                <a:lumMod val="75000"/>
              </a:schemeClr>
            </a:solidFill>
          </a:endParaRPr>
        </a:p>
      </cdr:txBody>
    </cdr:sp>
  </cdr:relSizeAnchor>
  <cdr:relSizeAnchor xmlns:cdr="http://schemas.openxmlformats.org/drawingml/2006/chartDrawing">
    <cdr:from>
      <cdr:x>0.80158</cdr:x>
      <cdr:y>0.23245</cdr:y>
    </cdr:from>
    <cdr:to>
      <cdr:x>0.98006</cdr:x>
      <cdr:y>0.27882</cdr:y>
    </cdr:to>
    <cdr:sp macro="" textlink="">
      <cdr:nvSpPr>
        <cdr:cNvPr id="9" name="TextBox 1">
          <a:extLst xmlns:a="http://schemas.openxmlformats.org/drawingml/2006/main">
            <a:ext uri="{FF2B5EF4-FFF2-40B4-BE49-F238E27FC236}">
              <a16:creationId xmlns:a16="http://schemas.microsoft.com/office/drawing/2014/main" id="{717BBC84-2079-4CA1-BCD8-3F403CF6C32E}"/>
            </a:ext>
          </a:extLst>
        </cdr:cNvPr>
        <cdr:cNvSpPr txBox="1"/>
      </cdr:nvSpPr>
      <cdr:spPr>
        <a:xfrm xmlns:a="http://schemas.openxmlformats.org/drawingml/2006/main">
          <a:off x="6593077" y="1149761"/>
          <a:ext cx="1468019" cy="22935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b="1" baseline="0">
              <a:solidFill>
                <a:schemeClr val="accent6">
                  <a:lumMod val="75000"/>
                </a:schemeClr>
              </a:solidFill>
            </a:rPr>
            <a:t>Total FCF</a:t>
          </a:r>
        </a:p>
        <a:p xmlns:a="http://schemas.openxmlformats.org/drawingml/2006/main">
          <a:endParaRPr lang="en-GB" sz="1100" b="1">
            <a:solidFill>
              <a:schemeClr val="accent2">
                <a:lumMod val="75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0.07412</cdr:x>
      <cdr:y>0.18045</cdr:y>
    </cdr:from>
    <cdr:to>
      <cdr:x>0.35335</cdr:x>
      <cdr:y>0.28541</cdr:y>
    </cdr:to>
    <cdr:sp macro="" textlink="">
      <cdr:nvSpPr>
        <cdr:cNvPr id="2" name="TextBox 1">
          <a:extLst xmlns:a="http://schemas.openxmlformats.org/drawingml/2006/main">
            <a:ext uri="{FF2B5EF4-FFF2-40B4-BE49-F238E27FC236}">
              <a16:creationId xmlns:a16="http://schemas.microsoft.com/office/drawing/2014/main" id="{B1AADAF8-EC5E-4F59-AA07-00A468C1E34B}"/>
            </a:ext>
          </a:extLst>
        </cdr:cNvPr>
        <cdr:cNvSpPr txBox="1"/>
      </cdr:nvSpPr>
      <cdr:spPr>
        <a:xfrm xmlns:a="http://schemas.openxmlformats.org/drawingml/2006/main">
          <a:off x="342596" y="527539"/>
          <a:ext cx="1290727" cy="306834"/>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GB" sz="1100">
              <a:solidFill>
                <a:schemeClr val="accent1">
                  <a:lumMod val="75000"/>
                </a:schemeClr>
              </a:solidFill>
            </a:rPr>
            <a:t>Profit</a:t>
          </a:r>
          <a:r>
            <a:rPr lang="en-GB" sz="1100" baseline="0">
              <a:solidFill>
                <a:schemeClr val="accent1">
                  <a:lumMod val="75000"/>
                </a:schemeClr>
              </a:solidFill>
            </a:rPr>
            <a:t> Margin (LHS)</a:t>
          </a:r>
        </a:p>
        <a:p xmlns:a="http://schemas.openxmlformats.org/drawingml/2006/main">
          <a:endParaRPr lang="en-GB" sz="1100"/>
        </a:p>
      </cdr:txBody>
    </cdr:sp>
  </cdr:relSizeAnchor>
  <cdr:relSizeAnchor xmlns:cdr="http://schemas.openxmlformats.org/drawingml/2006/chartDrawing">
    <cdr:from>
      <cdr:x>0.58376</cdr:x>
      <cdr:y>0.35436</cdr:y>
    </cdr:from>
    <cdr:to>
      <cdr:x>0.88152</cdr:x>
      <cdr:y>0.46745</cdr:y>
    </cdr:to>
    <cdr:sp macro="" textlink="">
      <cdr:nvSpPr>
        <cdr:cNvPr id="3" name="TextBox 1">
          <a:extLst xmlns:a="http://schemas.openxmlformats.org/drawingml/2006/main">
            <a:ext uri="{FF2B5EF4-FFF2-40B4-BE49-F238E27FC236}">
              <a16:creationId xmlns:a16="http://schemas.microsoft.com/office/drawing/2014/main" id="{4310BD7F-CC88-4ECC-B77C-DB2DC2EE5E62}"/>
            </a:ext>
          </a:extLst>
        </cdr:cNvPr>
        <cdr:cNvSpPr txBox="1"/>
      </cdr:nvSpPr>
      <cdr:spPr>
        <a:xfrm xmlns:a="http://schemas.openxmlformats.org/drawingml/2006/main">
          <a:off x="4084244" y="1297063"/>
          <a:ext cx="2083270" cy="41394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rgbClr val="FB5BE0"/>
              </a:solidFill>
            </a:rPr>
            <a:t>Asset Turnover</a:t>
          </a:r>
          <a:r>
            <a:rPr lang="en-GB" sz="1100" baseline="0">
              <a:solidFill>
                <a:srgbClr val="FB5BE0"/>
              </a:solidFill>
            </a:rPr>
            <a:t> (LHS)</a:t>
          </a:r>
        </a:p>
        <a:p xmlns:a="http://schemas.openxmlformats.org/drawingml/2006/main">
          <a:endParaRPr lang="en-GB" sz="1100"/>
        </a:p>
      </cdr:txBody>
    </cdr:sp>
  </cdr:relSizeAnchor>
  <cdr:relSizeAnchor xmlns:cdr="http://schemas.openxmlformats.org/drawingml/2006/chartDrawing">
    <cdr:from>
      <cdr:x>0.70224</cdr:x>
      <cdr:y>0.42341</cdr:y>
    </cdr:from>
    <cdr:to>
      <cdr:x>1</cdr:x>
      <cdr:y>0.5365</cdr:y>
    </cdr:to>
    <cdr:sp macro="" textlink="">
      <cdr:nvSpPr>
        <cdr:cNvPr id="4" name="TextBox 1">
          <a:extLst xmlns:a="http://schemas.openxmlformats.org/drawingml/2006/main">
            <a:ext uri="{FF2B5EF4-FFF2-40B4-BE49-F238E27FC236}">
              <a16:creationId xmlns:a16="http://schemas.microsoft.com/office/drawing/2014/main" id="{EAE7CA3F-15BA-47E1-981D-0A7D0C6F368A}"/>
            </a:ext>
          </a:extLst>
        </cdr:cNvPr>
        <cdr:cNvSpPr txBox="1"/>
      </cdr:nvSpPr>
      <cdr:spPr>
        <a:xfrm xmlns:a="http://schemas.openxmlformats.org/drawingml/2006/main">
          <a:off x="4913205" y="1549819"/>
          <a:ext cx="2083270" cy="41394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accent4"/>
              </a:solidFill>
            </a:rPr>
            <a:t>ROE (LHS)</a:t>
          </a:r>
          <a:endParaRPr lang="en-GB" sz="1100" baseline="0">
            <a:solidFill>
              <a:schemeClr val="accent4"/>
            </a:solidFill>
          </a:endParaRPr>
        </a:p>
        <a:p xmlns:a="http://schemas.openxmlformats.org/drawingml/2006/main">
          <a:endParaRPr lang="en-GB" sz="1100"/>
        </a:p>
      </cdr:txBody>
    </cdr:sp>
  </cdr:relSizeAnchor>
  <cdr:relSizeAnchor xmlns:cdr="http://schemas.openxmlformats.org/drawingml/2006/chartDrawing">
    <cdr:from>
      <cdr:x>0.0294</cdr:x>
      <cdr:y>0.49286</cdr:y>
    </cdr:from>
    <cdr:to>
      <cdr:x>0.35133</cdr:x>
      <cdr:y>0.60596</cdr:y>
    </cdr:to>
    <cdr:sp macro="" textlink="">
      <cdr:nvSpPr>
        <cdr:cNvPr id="5" name="TextBox 1">
          <a:extLst xmlns:a="http://schemas.openxmlformats.org/drawingml/2006/main">
            <a:ext uri="{FF2B5EF4-FFF2-40B4-BE49-F238E27FC236}">
              <a16:creationId xmlns:a16="http://schemas.microsoft.com/office/drawing/2014/main" id="{B7725742-D5FC-4FE6-8E19-574EC924D964}"/>
            </a:ext>
          </a:extLst>
        </cdr:cNvPr>
        <cdr:cNvSpPr txBox="1"/>
      </cdr:nvSpPr>
      <cdr:spPr>
        <a:xfrm xmlns:a="http://schemas.openxmlformats.org/drawingml/2006/main">
          <a:off x="205718" y="1804031"/>
          <a:ext cx="2252375" cy="413983"/>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chemeClr val="bg2">
                  <a:lumMod val="50000"/>
                </a:schemeClr>
              </a:solidFill>
            </a:rPr>
            <a:t>Equity</a:t>
          </a:r>
          <a:r>
            <a:rPr lang="en-GB" sz="1100" baseline="0">
              <a:solidFill>
                <a:schemeClr val="bg2">
                  <a:lumMod val="50000"/>
                </a:schemeClr>
              </a:solidFill>
            </a:rPr>
            <a:t> Multiplier (RHS)</a:t>
          </a:r>
        </a:p>
        <a:p xmlns:a="http://schemas.openxmlformats.org/drawingml/2006/main">
          <a:endParaRPr lang="en-GB"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Volumes/TASHA%20K/personal/ARK/simple-s-curv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_Cur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accountingcoach.com/blog/interest-paid-cash-flows-statement" TargetMode="External"/><Relationship Id="rId3" Type="http://schemas.openxmlformats.org/officeDocument/2006/relationships/hyperlink" Target="https://www.bloomberg.com/markets/rates-bonds/government-bonds/us" TargetMode="External"/><Relationship Id="rId7" Type="http://schemas.openxmlformats.org/officeDocument/2006/relationships/hyperlink" Target="https://fred.stlouisfed.org/graph/?g=FDGh" TargetMode="External"/><Relationship Id="rId2" Type="http://schemas.openxmlformats.org/officeDocument/2006/relationships/hyperlink" Target="https://canaccordgenuity.bluematrix.com/sellside/EmailDocViewer?encrypt=a555719b-412b-4cc7-8528-505c27fb1e82&amp;mime=PDF&amp;co=Canaccordgenuity&amp;id=mbottomley@cgf.com&amp;source=libraryview&amp;htmlToPdf=ture" TargetMode="External"/><Relationship Id="rId1" Type="http://schemas.openxmlformats.org/officeDocument/2006/relationships/hyperlink" Target="https://www.asx.com.au/documents/research/tnk-20160321-full.pdf" TargetMode="External"/><Relationship Id="rId6" Type="http://schemas.openxmlformats.org/officeDocument/2006/relationships/hyperlink" Target="https://www.rba.gov.au/chart-pack/interest-rates.html" TargetMode="External"/><Relationship Id="rId11" Type="http://schemas.openxmlformats.org/officeDocument/2006/relationships/drawing" Target="../drawings/drawing1.xml"/><Relationship Id="rId5" Type="http://schemas.openxmlformats.org/officeDocument/2006/relationships/hyperlink" Target="https://papers.ssrn.com/sol3/papers.cfm?abstract_id=3861152" TargetMode="External"/><Relationship Id="rId10" Type="http://schemas.openxmlformats.org/officeDocument/2006/relationships/printerSettings" Target="../printerSettings/printerSettings2.bin"/><Relationship Id="rId4" Type="http://schemas.openxmlformats.org/officeDocument/2006/relationships/hyperlink" Target="https://www.reuters.com/companies/TSLA.OQ/key-metrics" TargetMode="External"/><Relationship Id="rId9" Type="http://schemas.openxmlformats.org/officeDocument/2006/relationships/hyperlink" Target="https://rsmus.com/pdf/us_gaap_ifrs_cash_flow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4"/>
  <sheetViews>
    <sheetView workbookViewId="0">
      <selection activeCell="M23" sqref="M23"/>
    </sheetView>
  </sheetViews>
  <sheetFormatPr defaultColWidth="8.85546875" defaultRowHeight="15"/>
  <cols>
    <col min="1" max="1" width="3.7109375" style="7" customWidth="1"/>
    <col min="2" max="16384" width="8.85546875" style="7"/>
  </cols>
  <sheetData>
    <row r="1" spans="1:13">
      <c r="A1" s="7" t="s">
        <v>256</v>
      </c>
    </row>
    <row r="2" spans="1:13">
      <c r="A2" s="7" t="s">
        <v>282</v>
      </c>
    </row>
    <row r="3" spans="1:13">
      <c r="A3" s="2" t="s">
        <v>317</v>
      </c>
      <c r="B3" s="2"/>
      <c r="C3" s="2"/>
      <c r="D3" s="2"/>
      <c r="E3" s="2"/>
      <c r="F3" s="2"/>
      <c r="G3" s="2"/>
      <c r="H3" s="2"/>
      <c r="I3" s="2"/>
      <c r="J3" s="2"/>
      <c r="K3" s="2"/>
      <c r="L3" s="2"/>
      <c r="M3" s="2"/>
    </row>
    <row r="4" spans="1:13">
      <c r="A4" s="7" t="s">
        <v>318</v>
      </c>
    </row>
    <row r="5" spans="1:13">
      <c r="A5" s="7" t="s">
        <v>293</v>
      </c>
    </row>
    <row r="6" spans="1:13">
      <c r="A6" s="7" t="s">
        <v>252</v>
      </c>
    </row>
    <row r="7" spans="1:13">
      <c r="A7" s="7" t="s">
        <v>200</v>
      </c>
      <c r="B7" s="6"/>
    </row>
    <row r="8" spans="1:13">
      <c r="A8" s="7" t="s">
        <v>199</v>
      </c>
      <c r="B8" s="6"/>
    </row>
    <row r="9" spans="1:13">
      <c r="B9" s="6"/>
    </row>
    <row r="10" spans="1:13">
      <c r="A10" s="7" t="s">
        <v>253</v>
      </c>
      <c r="B10" s="6"/>
    </row>
    <row r="11" spans="1:13">
      <c r="A11" s="7" t="s">
        <v>243</v>
      </c>
    </row>
    <row r="12" spans="1:13">
      <c r="B12" s="7" t="s">
        <v>255</v>
      </c>
    </row>
    <row r="13" spans="1:13">
      <c r="A13" s="7" t="s">
        <v>294</v>
      </c>
    </row>
    <row r="14" spans="1:13">
      <c r="B14" s="7" t="s">
        <v>254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69"/>
  <sheetViews>
    <sheetView tabSelected="1" zoomScale="55" zoomScaleNormal="55" workbookViewId="0">
      <pane xSplit="1" ySplit="1" topLeftCell="E344" activePane="bottomRight" state="frozen"/>
      <selection activeCell="D45" sqref="D45"/>
      <selection pane="topRight" activeCell="D45" sqref="D45"/>
      <selection pane="bottomLeft" activeCell="D45" sqref="D45"/>
      <selection pane="bottomRight" activeCell="T103" sqref="T103"/>
    </sheetView>
  </sheetViews>
  <sheetFormatPr defaultColWidth="8.85546875" defaultRowHeight="15"/>
  <cols>
    <col min="1" max="1" width="115.140625" style="7" customWidth="1"/>
    <col min="2" max="2" width="14.28515625" style="7" customWidth="1"/>
    <col min="3" max="3" width="14" style="7" customWidth="1"/>
    <col min="4" max="4" width="13.7109375" style="7" customWidth="1"/>
    <col min="5" max="5" width="13.85546875" style="7" customWidth="1"/>
    <col min="6" max="6" width="14.7109375" style="7" customWidth="1"/>
    <col min="7" max="7" width="39.5703125" style="7" customWidth="1"/>
    <col min="8" max="8" width="28.42578125" style="7" customWidth="1"/>
    <col min="9" max="9" width="14" style="7" customWidth="1"/>
    <col min="10" max="10" width="9.5703125" style="7" bestFit="1" customWidth="1"/>
    <col min="11" max="11" width="10.5703125" style="7" customWidth="1"/>
    <col min="12" max="12" width="31.5703125" style="7" customWidth="1"/>
    <col min="13" max="13" width="11.85546875" style="7" customWidth="1"/>
    <col min="14" max="16" width="11.140625" style="7" customWidth="1"/>
    <col min="17" max="17" width="16.7109375" style="7" customWidth="1"/>
    <col min="18" max="20" width="11.140625" style="7" customWidth="1"/>
    <col min="21" max="21" width="11" style="7" customWidth="1"/>
    <col min="22" max="22" width="22.140625" style="7" customWidth="1"/>
    <col min="23" max="23" width="13.7109375" style="7" customWidth="1"/>
    <col min="24" max="26" width="8.85546875" style="46"/>
    <col min="27" max="16384" width="8.85546875" style="7"/>
  </cols>
  <sheetData>
    <row r="1" spans="1:24">
      <c r="A1" s="7" t="s">
        <v>162</v>
      </c>
      <c r="B1" s="50">
        <v>40908</v>
      </c>
      <c r="C1" s="50">
        <v>41274</v>
      </c>
      <c r="D1" s="50">
        <v>41639</v>
      </c>
      <c r="E1" s="50">
        <v>42004</v>
      </c>
      <c r="F1" s="50">
        <v>42369</v>
      </c>
      <c r="G1" s="50">
        <v>42735</v>
      </c>
      <c r="H1" s="50">
        <v>43100</v>
      </c>
      <c r="I1" s="50">
        <v>43465</v>
      </c>
      <c r="J1" s="50">
        <v>43830</v>
      </c>
      <c r="K1" s="50">
        <v>44196</v>
      </c>
      <c r="L1" s="51">
        <v>44561</v>
      </c>
      <c r="M1" s="51">
        <v>44926</v>
      </c>
      <c r="N1" s="51">
        <v>45291</v>
      </c>
      <c r="O1" s="51">
        <v>45657</v>
      </c>
      <c r="P1" s="51">
        <v>46022</v>
      </c>
      <c r="Q1" s="51">
        <v>46387</v>
      </c>
      <c r="R1" s="51">
        <v>46752</v>
      </c>
      <c r="S1" s="51">
        <v>47118</v>
      </c>
      <c r="T1" s="51">
        <v>47483</v>
      </c>
      <c r="U1" s="51">
        <v>47848</v>
      </c>
      <c r="V1" s="51">
        <v>48213</v>
      </c>
      <c r="W1" s="53" t="s">
        <v>303</v>
      </c>
    </row>
    <row r="2" spans="1:24">
      <c r="A2" s="7" t="s">
        <v>163</v>
      </c>
      <c r="B2" s="7">
        <f t="shared" ref="B2:I2" si="0">C2-1</f>
        <v>-9</v>
      </c>
      <c r="C2" s="7">
        <f t="shared" si="0"/>
        <v>-8</v>
      </c>
      <c r="D2" s="7">
        <f t="shared" si="0"/>
        <v>-7</v>
      </c>
      <c r="E2" s="7">
        <f t="shared" si="0"/>
        <v>-6</v>
      </c>
      <c r="F2" s="7">
        <f t="shared" si="0"/>
        <v>-5</v>
      </c>
      <c r="G2" s="7">
        <f t="shared" si="0"/>
        <v>-4</v>
      </c>
      <c r="H2" s="7">
        <f t="shared" si="0"/>
        <v>-3</v>
      </c>
      <c r="I2" s="7">
        <f t="shared" si="0"/>
        <v>-2</v>
      </c>
      <c r="J2" s="7">
        <f>K2-1</f>
        <v>-1</v>
      </c>
      <c r="K2" s="7">
        <v>0</v>
      </c>
      <c r="L2" s="7">
        <f>K2+1</f>
        <v>1</v>
      </c>
      <c r="M2" s="7">
        <f t="shared" ref="M2:V2" si="1">L2+1</f>
        <v>2</v>
      </c>
      <c r="N2" s="7">
        <f t="shared" si="1"/>
        <v>3</v>
      </c>
      <c r="O2" s="7">
        <f t="shared" si="1"/>
        <v>4</v>
      </c>
      <c r="P2" s="7">
        <f t="shared" si="1"/>
        <v>5</v>
      </c>
      <c r="Q2" s="7">
        <f t="shared" si="1"/>
        <v>6</v>
      </c>
      <c r="R2" s="7">
        <f t="shared" si="1"/>
        <v>7</v>
      </c>
      <c r="S2" s="7">
        <f t="shared" si="1"/>
        <v>8</v>
      </c>
      <c r="T2" s="7">
        <f t="shared" si="1"/>
        <v>9</v>
      </c>
      <c r="U2" s="7">
        <f t="shared" si="1"/>
        <v>10</v>
      </c>
      <c r="V2" s="7">
        <f t="shared" si="1"/>
        <v>11</v>
      </c>
      <c r="X2" s="46" t="s">
        <v>251</v>
      </c>
    </row>
    <row r="3" spans="1:24">
      <c r="A3" s="7" t="s">
        <v>198</v>
      </c>
      <c r="B3" s="7" t="s">
        <v>189</v>
      </c>
      <c r="C3" s="7" t="s">
        <v>189</v>
      </c>
      <c r="D3" s="7" t="s">
        <v>189</v>
      </c>
      <c r="E3" s="7" t="s">
        <v>189</v>
      </c>
      <c r="F3" s="7" t="s">
        <v>189</v>
      </c>
      <c r="G3" s="7" t="s">
        <v>189</v>
      </c>
      <c r="H3" s="7" t="s">
        <v>189</v>
      </c>
      <c r="I3" s="7" t="s">
        <v>189</v>
      </c>
      <c r="J3" s="7" t="s">
        <v>189</v>
      </c>
      <c r="K3" s="7" t="s">
        <v>189</v>
      </c>
      <c r="L3" s="7" t="s">
        <v>0</v>
      </c>
      <c r="M3" s="7" t="s">
        <v>0</v>
      </c>
      <c r="N3" s="7" t="s">
        <v>0</v>
      </c>
      <c r="O3" s="7" t="s">
        <v>0</v>
      </c>
      <c r="P3" s="7" t="s">
        <v>0</v>
      </c>
      <c r="Q3" s="7" t="s">
        <v>0</v>
      </c>
      <c r="R3" s="7" t="s">
        <v>0</v>
      </c>
      <c r="S3" s="7" t="s">
        <v>0</v>
      </c>
      <c r="T3" s="7" t="s">
        <v>0</v>
      </c>
      <c r="U3" s="7" t="s">
        <v>0</v>
      </c>
      <c r="V3" s="7" t="s">
        <v>0</v>
      </c>
    </row>
    <row r="5" spans="1:24">
      <c r="G5" s="7" t="s">
        <v>316</v>
      </c>
    </row>
    <row r="6" spans="1:24">
      <c r="G6" s="6" t="s">
        <v>43</v>
      </c>
    </row>
    <row r="7" spans="1:24">
      <c r="G7" s="13" t="s">
        <v>46</v>
      </c>
      <c r="J7" s="6" t="s">
        <v>45</v>
      </c>
    </row>
    <row r="8" spans="1:24">
      <c r="H8" s="13"/>
      <c r="K8" s="6"/>
    </row>
    <row r="9" spans="1:24">
      <c r="A9" s="3" t="s">
        <v>257</v>
      </c>
      <c r="G9" s="3" t="s">
        <v>205</v>
      </c>
      <c r="H9" s="43" t="s">
        <v>370</v>
      </c>
    </row>
    <row r="10" spans="1:24">
      <c r="A10" s="7" t="s">
        <v>258</v>
      </c>
      <c r="G10" s="52" t="str">
        <f>"We derive a DCF valuation of $"&amp;ROUND(K33,2)&amp;" per share, based on a cost of debt of "&amp;ROUND(S25*100,2)&amp;"%, risk free rate of "&amp;ROUND(O26*100,2)&amp;"%, "</f>
        <v xml:space="preserve">We derive a DCF valuation of $4.13 per share, based on a cost of debt of 5.14%, risk free rate of 1.28%, </v>
      </c>
      <c r="L10" s="9"/>
      <c r="M10" s="9"/>
      <c r="N10" s="9"/>
      <c r="O10" s="9"/>
      <c r="P10" s="9"/>
      <c r="Q10" s="9"/>
      <c r="R10" s="9"/>
      <c r="S10" s="9"/>
      <c r="T10" s="9"/>
      <c r="U10" s="9"/>
      <c r="V10" s="9"/>
    </row>
    <row r="11" spans="1:24">
      <c r="G11" s="52" t="str">
        <f>"market risk premium of "&amp;ROUND(O28*100,2)&amp;"%, equity beta of "&amp;ROUND(O27,2)&amp;", WACC of "&amp;ROUND(O24*100,2)&amp;"% and terminal growth rate of "&amp;ROUND(S28*100,2)&amp;"%."</f>
        <v>market risk premium of 6.1%, equity beta of 1.26, WACC of 7.2% and terminal growth rate of 2.38%.</v>
      </c>
      <c r="L11" s="9"/>
      <c r="M11" s="9"/>
      <c r="N11" s="9"/>
      <c r="O11" s="9"/>
      <c r="P11" s="9"/>
      <c r="Q11" s="9"/>
      <c r="R11" s="9"/>
      <c r="S11" s="9"/>
      <c r="T11" s="9"/>
      <c r="U11" s="9"/>
      <c r="V11" s="9"/>
    </row>
    <row r="12" spans="1:24">
      <c r="G12" s="52" t="s">
        <v>383</v>
      </c>
      <c r="L12" s="9"/>
      <c r="M12" s="9"/>
      <c r="N12" s="9"/>
      <c r="O12" s="9"/>
      <c r="P12" s="9"/>
      <c r="Q12" s="9"/>
      <c r="R12" s="9"/>
      <c r="S12" s="9"/>
      <c r="T12" s="9"/>
      <c r="U12" s="9"/>
      <c r="V12" s="9"/>
    </row>
    <row r="13" spans="1:24">
      <c r="G13" s="9"/>
      <c r="K13" s="8">
        <f t="shared" ref="K13:V13" si="2">K2</f>
        <v>0</v>
      </c>
      <c r="L13" s="8">
        <f t="shared" si="2"/>
        <v>1</v>
      </c>
      <c r="M13" s="8">
        <f t="shared" si="2"/>
        <v>2</v>
      </c>
      <c r="N13" s="8">
        <f t="shared" si="2"/>
        <v>3</v>
      </c>
      <c r="O13" s="8">
        <f t="shared" si="2"/>
        <v>4</v>
      </c>
      <c r="P13" s="8">
        <f t="shared" si="2"/>
        <v>5</v>
      </c>
      <c r="Q13" s="8">
        <f t="shared" si="2"/>
        <v>6</v>
      </c>
      <c r="R13" s="8">
        <f t="shared" si="2"/>
        <v>7</v>
      </c>
      <c r="S13" s="8">
        <f t="shared" si="2"/>
        <v>8</v>
      </c>
      <c r="T13" s="8">
        <f t="shared" si="2"/>
        <v>9</v>
      </c>
      <c r="U13" s="8">
        <f t="shared" si="2"/>
        <v>10</v>
      </c>
      <c r="V13" s="8">
        <f t="shared" si="2"/>
        <v>11</v>
      </c>
    </row>
    <row r="14" spans="1:24">
      <c r="G14" s="10"/>
      <c r="K14" s="60">
        <f t="shared" ref="K14:V14" si="3">K1</f>
        <v>44196</v>
      </c>
      <c r="L14" s="60">
        <f t="shared" si="3"/>
        <v>44561</v>
      </c>
      <c r="M14" s="60">
        <f t="shared" si="3"/>
        <v>44926</v>
      </c>
      <c r="N14" s="60">
        <f t="shared" si="3"/>
        <v>45291</v>
      </c>
      <c r="O14" s="60">
        <f t="shared" si="3"/>
        <v>45657</v>
      </c>
      <c r="P14" s="60">
        <f t="shared" si="3"/>
        <v>46022</v>
      </c>
      <c r="Q14" s="60">
        <f t="shared" si="3"/>
        <v>46387</v>
      </c>
      <c r="R14" s="60">
        <f t="shared" si="3"/>
        <v>46752</v>
      </c>
      <c r="S14" s="60">
        <f t="shared" si="3"/>
        <v>47118</v>
      </c>
      <c r="T14" s="60">
        <f t="shared" si="3"/>
        <v>47483</v>
      </c>
      <c r="U14" s="60">
        <f t="shared" si="3"/>
        <v>47848</v>
      </c>
      <c r="V14" s="60">
        <f t="shared" si="3"/>
        <v>48213</v>
      </c>
    </row>
    <row r="15" spans="1:24">
      <c r="G15" s="7" t="s">
        <v>201</v>
      </c>
      <c r="L15" s="41">
        <v>0.4</v>
      </c>
      <c r="M15" s="41">
        <v>0.15</v>
      </c>
      <c r="N15" s="41">
        <v>0.1</v>
      </c>
      <c r="O15" s="41">
        <v>0.08</v>
      </c>
      <c r="P15" s="41">
        <v>0.05</v>
      </c>
      <c r="Q15" s="41">
        <v>0.05</v>
      </c>
      <c r="R15" s="41">
        <v>0.05</v>
      </c>
      <c r="S15" s="41">
        <v>0.04</v>
      </c>
      <c r="T15" s="41">
        <v>0.04</v>
      </c>
      <c r="U15" s="41">
        <v>0.03</v>
      </c>
      <c r="V15" s="41">
        <v>2.3800000000000002E-2</v>
      </c>
    </row>
    <row r="16" spans="1:24">
      <c r="G16" s="7" t="s">
        <v>58</v>
      </c>
      <c r="K16" s="31">
        <f>K301</f>
        <v>1519.5472609999999</v>
      </c>
      <c r="L16" s="31">
        <f>L301</f>
        <v>2127.3661653999998</v>
      </c>
      <c r="M16" s="31">
        <f t="shared" ref="M16:V16" si="4">M301</f>
        <v>2446.4710902099996</v>
      </c>
      <c r="N16" s="31">
        <f t="shared" si="4"/>
        <v>2691.1181992309998</v>
      </c>
      <c r="O16" s="31">
        <f t="shared" si="4"/>
        <v>2906.4076551694802</v>
      </c>
      <c r="P16" s="31">
        <f t="shared" si="4"/>
        <v>3051.7280379279546</v>
      </c>
      <c r="Q16" s="31">
        <f t="shared" si="4"/>
        <v>3204.3144398243526</v>
      </c>
      <c r="R16" s="31">
        <f t="shared" si="4"/>
        <v>3364.5301618155704</v>
      </c>
      <c r="S16" s="31">
        <f t="shared" si="4"/>
        <v>3499.1113682881933</v>
      </c>
      <c r="T16" s="31">
        <f t="shared" si="4"/>
        <v>3639.0758230197212</v>
      </c>
      <c r="U16" s="31">
        <f t="shared" si="4"/>
        <v>3748.2480977103128</v>
      </c>
      <c r="V16" s="31">
        <f t="shared" si="4"/>
        <v>3837.4564024358183</v>
      </c>
    </row>
    <row r="17" spans="7:22">
      <c r="G17" s="7" t="s">
        <v>21</v>
      </c>
      <c r="L17" s="31">
        <f>L327</f>
        <v>274.80332335997122</v>
      </c>
      <c r="M17" s="31">
        <f t="shared" ref="M17:V17" si="5">M327</f>
        <v>437.60092681803025</v>
      </c>
      <c r="N17" s="31">
        <f t="shared" si="5"/>
        <v>476.99474089154006</v>
      </c>
      <c r="O17" s="31">
        <f t="shared" si="5"/>
        <v>511.66129727622871</v>
      </c>
      <c r="P17" s="31">
        <f t="shared" si="5"/>
        <v>535.06122283589343</v>
      </c>
      <c r="Q17" s="31">
        <f t="shared" si="5"/>
        <v>559.63114467354148</v>
      </c>
      <c r="R17" s="31">
        <f t="shared" si="5"/>
        <v>585.42956260307187</v>
      </c>
      <c r="S17" s="31">
        <f t="shared" si="5"/>
        <v>607.10023366387748</v>
      </c>
      <c r="T17" s="31">
        <f t="shared" si="5"/>
        <v>629.63773156711522</v>
      </c>
      <c r="U17" s="31">
        <f t="shared" si="5"/>
        <v>647.21697993164071</v>
      </c>
      <c r="V17" s="31">
        <f t="shared" si="5"/>
        <v>661.58156974523979</v>
      </c>
    </row>
    <row r="18" spans="7:22">
      <c r="G18" s="7" t="s">
        <v>40</v>
      </c>
      <c r="L18" s="31">
        <f>L304</f>
        <v>666.24977799999999</v>
      </c>
      <c r="M18" s="31">
        <f t="shared" ref="M18:V18" si="6">M304</f>
        <v>666.24977799999999</v>
      </c>
      <c r="N18" s="31">
        <f t="shared" si="6"/>
        <v>666.24977799999999</v>
      </c>
      <c r="O18" s="31">
        <f t="shared" si="6"/>
        <v>666.24977799999999</v>
      </c>
      <c r="P18" s="31">
        <f t="shared" si="6"/>
        <v>666.24977799999999</v>
      </c>
      <c r="Q18" s="31">
        <f t="shared" si="6"/>
        <v>666.24977799999999</v>
      </c>
      <c r="R18" s="31">
        <f t="shared" si="6"/>
        <v>666.24977799999999</v>
      </c>
      <c r="S18" s="31">
        <f t="shared" si="6"/>
        <v>666.24977799999999</v>
      </c>
      <c r="T18" s="31">
        <f t="shared" si="6"/>
        <v>666.24977799999999</v>
      </c>
      <c r="U18" s="31">
        <f t="shared" si="6"/>
        <v>666.24977799999999</v>
      </c>
      <c r="V18" s="31">
        <f t="shared" si="6"/>
        <v>666.24977799999999</v>
      </c>
    </row>
    <row r="19" spans="7:22">
      <c r="G19" s="7" t="s">
        <v>41</v>
      </c>
      <c r="L19" s="31">
        <f>-L223</f>
        <v>-1660.8447528888887</v>
      </c>
      <c r="M19" s="31">
        <f t="shared" ref="M19:V19" si="7">-M223</f>
        <v>-1363.9547637888886</v>
      </c>
      <c r="N19" s="31">
        <f t="shared" si="7"/>
        <v>-1287.3883981788881</v>
      </c>
      <c r="O19" s="31">
        <f t="shared" si="7"/>
        <v>-1257.1993740240891</v>
      </c>
      <c r="P19" s="31">
        <f t="shared" si="7"/>
        <v>-1185.2488664551479</v>
      </c>
      <c r="Q19" s="31">
        <f t="shared" si="7"/>
        <v>-1192.7206499334666</v>
      </c>
      <c r="R19" s="31">
        <f t="shared" si="7"/>
        <v>-1200.5660225856868</v>
      </c>
      <c r="S19" s="31">
        <f t="shared" si="7"/>
        <v>-1174.2055704742038</v>
      </c>
      <c r="T19" s="31">
        <f t="shared" si="7"/>
        <v>-1179.7412654176137</v>
      </c>
      <c r="U19" s="31">
        <f t="shared" si="7"/>
        <v>-1148.0770903412945</v>
      </c>
      <c r="V19" s="31">
        <f t="shared" si="7"/>
        <v>-1127.5477663586339</v>
      </c>
    </row>
    <row r="20" spans="7:22">
      <c r="G20" s="7" t="s">
        <v>42</v>
      </c>
      <c r="L20" s="31">
        <f>-L222</f>
        <v>1132.1085977999996</v>
      </c>
      <c r="M20" s="31">
        <f t="shared" ref="M20:V20" si="8">-M222</f>
        <v>594.35701437</v>
      </c>
      <c r="N20" s="31">
        <f t="shared" si="8"/>
        <v>455.67371101700041</v>
      </c>
      <c r="O20" s="31">
        <f t="shared" si="8"/>
        <v>400.99286569495882</v>
      </c>
      <c r="P20" s="31">
        <f t="shared" si="8"/>
        <v>270.67018434410113</v>
      </c>
      <c r="Q20" s="31">
        <f t="shared" si="8"/>
        <v>284.20369356130288</v>
      </c>
      <c r="R20" s="31">
        <f t="shared" si="8"/>
        <v>298.41387823936793</v>
      </c>
      <c r="S20" s="31">
        <f t="shared" si="8"/>
        <v>250.66765772106919</v>
      </c>
      <c r="T20" s="31">
        <f t="shared" si="8"/>
        <v>260.69436402991391</v>
      </c>
      <c r="U20" s="31">
        <f t="shared" si="8"/>
        <v>203.34160394333026</v>
      </c>
      <c r="V20" s="31">
        <f t="shared" si="8"/>
        <v>166.15720263556</v>
      </c>
    </row>
    <row r="21" spans="7:22">
      <c r="G21" s="7" t="s">
        <v>35</v>
      </c>
      <c r="L21" s="31">
        <f>L219*(1-$S$26)</f>
        <v>210.95423901859124</v>
      </c>
      <c r="M21" s="31">
        <f t="shared" ref="L21:V21" si="9">M219*(1-$S$26)</f>
        <v>242.59737487137997</v>
      </c>
      <c r="N21" s="31">
        <f t="shared" si="9"/>
        <v>266.85711235851795</v>
      </c>
      <c r="O21" s="31">
        <f t="shared" si="9"/>
        <v>288.20568134719946</v>
      </c>
      <c r="P21" s="31">
        <f t="shared" si="9"/>
        <v>302.61596541455941</v>
      </c>
      <c r="Q21" s="31">
        <f t="shared" si="9"/>
        <v>317.74676368528748</v>
      </c>
      <c r="R21" s="31">
        <f t="shared" si="9"/>
        <v>333.6341018695519</v>
      </c>
      <c r="S21" s="31">
        <f t="shared" si="9"/>
        <v>346.97946594433392</v>
      </c>
      <c r="T21" s="31">
        <f t="shared" si="9"/>
        <v>360.85864458210727</v>
      </c>
      <c r="U21" s="31">
        <f t="shared" si="9"/>
        <v>371.68440391957057</v>
      </c>
      <c r="V21" s="31">
        <f t="shared" si="9"/>
        <v>380.53049273285632</v>
      </c>
    </row>
    <row r="22" spans="7:22">
      <c r="G22" s="7" t="s">
        <v>22</v>
      </c>
      <c r="L22" s="31">
        <f>SUM(L17:L21)</f>
        <v>623.27118528967333</v>
      </c>
      <c r="M22" s="31">
        <f t="shared" ref="M22:V22" si="10">SUM(M17:M21)</f>
        <v>576.85033027052157</v>
      </c>
      <c r="N22" s="31">
        <f t="shared" si="10"/>
        <v>578.38694408817037</v>
      </c>
      <c r="O22" s="31">
        <f t="shared" si="10"/>
        <v>609.91024829429784</v>
      </c>
      <c r="P22" s="31">
        <f t="shared" si="10"/>
        <v>589.34828413940613</v>
      </c>
      <c r="Q22" s="31">
        <f t="shared" si="10"/>
        <v>635.11072998666532</v>
      </c>
      <c r="R22" s="31">
        <f t="shared" si="10"/>
        <v>683.16129812630493</v>
      </c>
      <c r="S22" s="31">
        <f t="shared" si="10"/>
        <v>696.79156485507679</v>
      </c>
      <c r="T22" s="31">
        <f t="shared" si="10"/>
        <v>737.69925276152253</v>
      </c>
      <c r="U22" s="31">
        <f t="shared" si="10"/>
        <v>740.41567545324688</v>
      </c>
      <c r="V22" s="31">
        <f t="shared" si="10"/>
        <v>746.97127675502225</v>
      </c>
    </row>
    <row r="24" spans="7:22">
      <c r="G24" s="7" t="str">
        <f>"Terminal value as at yr 10 ("&amp;TEXT(U14,"dd-mmm-yyyy")&amp;")"</f>
        <v>Terminal value as at yr 10 (31-Dec-2030)</v>
      </c>
      <c r="K24" s="31">
        <f>V22/(O24-S28)</f>
        <v>15508.120655306315</v>
      </c>
      <c r="M24" s="3" t="s">
        <v>36</v>
      </c>
      <c r="O24" s="41">
        <f>S27*(1-S26)*S25+(1-S27)*O25</f>
        <v>7.1966460228011953E-2</v>
      </c>
    </row>
    <row r="25" spans="7:22">
      <c r="G25" s="7" t="s">
        <v>24</v>
      </c>
      <c r="K25" s="31">
        <f>K24/(1+O24)^10</f>
        <v>7740.1111610549297</v>
      </c>
      <c r="M25" s="7" t="s">
        <v>29</v>
      </c>
      <c r="O25" s="41">
        <f>O26+(O27*O28)</f>
        <v>8.9660000000000004E-2</v>
      </c>
      <c r="Q25" s="7" t="s">
        <v>33</v>
      </c>
      <c r="S25" s="41">
        <f>L294</f>
        <v>5.1369354735153486E-2</v>
      </c>
      <c r="T25" s="6" t="s">
        <v>188</v>
      </c>
    </row>
    <row r="26" spans="7:22">
      <c r="G26" s="7" t="s">
        <v>23</v>
      </c>
      <c r="K26" s="31">
        <f>SUM(L41:U41)</f>
        <v>4433.6372040720908</v>
      </c>
      <c r="M26" s="7" t="s">
        <v>30</v>
      </c>
      <c r="O26" s="41">
        <v>1.2800000000000001E-2</v>
      </c>
      <c r="P26" s="6" t="s">
        <v>185</v>
      </c>
      <c r="Q26" s="7" t="s">
        <v>183</v>
      </c>
      <c r="S26" s="41">
        <f>L292</f>
        <v>0.31550649717550522</v>
      </c>
    </row>
    <row r="27" spans="7:22">
      <c r="G27" s="7" t="s">
        <v>44</v>
      </c>
      <c r="K27" s="31">
        <f>SUM(K25:K26)</f>
        <v>12173.748365127019</v>
      </c>
      <c r="L27" s="7">
        <v>1.26</v>
      </c>
      <c r="M27" s="7" t="s">
        <v>31</v>
      </c>
      <c r="O27" s="39">
        <v>1.26</v>
      </c>
      <c r="P27" s="6" t="s">
        <v>186</v>
      </c>
      <c r="Q27" s="7" t="s">
        <v>39</v>
      </c>
      <c r="S27" s="41">
        <f>K28/(H53+K28)</f>
        <v>0.32466395799219083</v>
      </c>
    </row>
    <row r="28" spans="7:22">
      <c r="G28" s="7" t="s">
        <v>20</v>
      </c>
      <c r="K28" s="31">
        <f>K195</f>
        <v>4285.3547589999998</v>
      </c>
      <c r="M28" s="7" t="s">
        <v>32</v>
      </c>
      <c r="O28" s="41">
        <v>6.0999999999999999E-2</v>
      </c>
      <c r="P28" s="6" t="s">
        <v>187</v>
      </c>
      <c r="Q28" s="7" t="s">
        <v>34</v>
      </c>
      <c r="S28" s="41">
        <f>V15</f>
        <v>2.3800000000000002E-2</v>
      </c>
      <c r="T28" s="6" t="s">
        <v>193</v>
      </c>
    </row>
    <row r="29" spans="7:22">
      <c r="G29" s="7" t="s">
        <v>7</v>
      </c>
      <c r="K29" s="31">
        <f>K197</f>
        <v>700.89030000000002</v>
      </c>
    </row>
    <row r="30" spans="7:22">
      <c r="G30" s="7" t="s">
        <v>25</v>
      </c>
      <c r="K30" s="31">
        <f>K28-K29</f>
        <v>3584.4644589999998</v>
      </c>
    </row>
    <row r="31" spans="7:22">
      <c r="G31" s="7" t="s">
        <v>37</v>
      </c>
      <c r="K31" s="31">
        <f>K27-K30</f>
        <v>8589.2839061270206</v>
      </c>
      <c r="M31" s="3" t="s">
        <v>310</v>
      </c>
      <c r="Q31" s="7" t="s">
        <v>304</v>
      </c>
      <c r="R31" s="7" t="str">
        <f>R44</f>
        <v>EV/EBIT</v>
      </c>
      <c r="S31" s="7" t="str">
        <f>S44</f>
        <v>EV/EBITDA</v>
      </c>
      <c r="T31" s="7" t="str">
        <f>T44</f>
        <v>EV/Sales</v>
      </c>
      <c r="U31" s="7" t="s">
        <v>305</v>
      </c>
    </row>
    <row r="32" spans="7:22">
      <c r="G32" s="7" t="s">
        <v>26</v>
      </c>
      <c r="K32" s="31">
        <f>K335</f>
        <v>2077.8506640000001</v>
      </c>
      <c r="M32" s="44" t="s">
        <v>306</v>
      </c>
      <c r="Q32" s="54">
        <f>Q53</f>
        <v>-19.137897119362609</v>
      </c>
      <c r="R32" s="54">
        <f>R53</f>
        <v>90.881287105480396</v>
      </c>
      <c r="S32" s="54">
        <f>S53</f>
        <v>15.549706368679441</v>
      </c>
      <c r="T32" s="54">
        <f>T53</f>
        <v>8.2251238772098976</v>
      </c>
      <c r="U32" s="54">
        <f>U53</f>
        <v>1.2348507862421225</v>
      </c>
    </row>
    <row r="33" spans="1:23">
      <c r="G33" s="3" t="s">
        <v>38</v>
      </c>
      <c r="K33" s="40">
        <f>K31/K32</f>
        <v>4.1337349478196286</v>
      </c>
      <c r="M33" s="7" t="s">
        <v>309</v>
      </c>
      <c r="Q33" s="54">
        <f>Q52</f>
        <v>38.780594437708956</v>
      </c>
      <c r="R33" s="54">
        <f>R52</f>
        <v>20.55142857142857</v>
      </c>
      <c r="S33" s="54">
        <f>S52</f>
        <v>10.359837109938816</v>
      </c>
      <c r="T33" s="54">
        <f>T52</f>
        <v>2.2384928734016123</v>
      </c>
      <c r="U33" s="54">
        <f>U52</f>
        <v>1.5487935084347639</v>
      </c>
    </row>
    <row r="34" spans="1:23">
      <c r="G34" s="3"/>
      <c r="K34" s="12"/>
      <c r="M34" s="7" t="s">
        <v>312</v>
      </c>
      <c r="Q34" s="41">
        <v>0.4</v>
      </c>
      <c r="R34" s="41">
        <v>0</v>
      </c>
      <c r="S34" s="41">
        <v>0.1</v>
      </c>
      <c r="T34" s="41">
        <v>0</v>
      </c>
      <c r="U34" s="41">
        <v>0.5</v>
      </c>
    </row>
    <row r="35" spans="1:23">
      <c r="G35" s="7" t="s">
        <v>27</v>
      </c>
      <c r="K35" s="40">
        <f>4.29</f>
        <v>4.29</v>
      </c>
      <c r="M35" s="44" t="s">
        <v>311</v>
      </c>
      <c r="P35" s="40">
        <f>P58</f>
        <v>3.8600038315474929</v>
      </c>
    </row>
    <row r="36" spans="1:23">
      <c r="G36" s="7" t="s">
        <v>28</v>
      </c>
      <c r="K36" s="88">
        <f>K33/K35-1</f>
        <v>-3.6425420088664673E-2</v>
      </c>
    </row>
    <row r="37" spans="1:23">
      <c r="G37" s="106" t="str">
        <f>"We also cross check our valuation on a multiples basis. Our target "&amp;TEXT(K14,"dd mmm yyyy")&amp;" "&amp;U44&amp;" multiple of "&amp;ROUND(U52,2)&amp;"x generates a valuation of $"&amp;ROUND(U56,2)&amp;"."</f>
        <v>We also cross check our valuation on a multiples basis. Our target 31 Dec 2020 Price-to-book ratio multiple of 1.55x generates a valuation of $5.38.</v>
      </c>
      <c r="K37" s="8"/>
    </row>
    <row r="38" spans="1:23">
      <c r="L38" s="8"/>
      <c r="N38" s="8"/>
      <c r="O38" s="8"/>
      <c r="P38" s="8"/>
      <c r="W38" s="7" t="s">
        <v>307</v>
      </c>
    </row>
    <row r="40" spans="1:23">
      <c r="G40" s="7" t="s">
        <v>202</v>
      </c>
    </row>
    <row r="41" spans="1:23">
      <c r="G41" s="7" t="s">
        <v>184</v>
      </c>
      <c r="L41" s="31">
        <f>L22/(1+$O$24)^L13</f>
        <v>581.42787896283699</v>
      </c>
      <c r="M41" s="31">
        <f t="shared" ref="M41:U41" si="11">M22/(1+$O$24)^M13</f>
        <v>501.99657140491269</v>
      </c>
      <c r="N41" s="31">
        <f t="shared" si="11"/>
        <v>469.54247960760682</v>
      </c>
      <c r="O41" s="31">
        <f t="shared" si="11"/>
        <v>461.89274579185962</v>
      </c>
      <c r="P41" s="31">
        <f t="shared" si="11"/>
        <v>416.35715930329678</v>
      </c>
      <c r="Q41" s="31">
        <f t="shared" si="11"/>
        <v>418.56437918307705</v>
      </c>
      <c r="R41" s="31">
        <f t="shared" si="11"/>
        <v>420.00539965628025</v>
      </c>
      <c r="S41" s="31">
        <f t="shared" si="11"/>
        <v>399.62560426181085</v>
      </c>
      <c r="T41" s="31">
        <f t="shared" si="11"/>
        <v>394.68313355256964</v>
      </c>
      <c r="U41" s="31">
        <f t="shared" si="11"/>
        <v>369.54185234784046</v>
      </c>
      <c r="V41" s="4"/>
    </row>
    <row r="43" spans="1:23">
      <c r="A43" s="3" t="s">
        <v>259</v>
      </c>
      <c r="G43" s="3" t="s">
        <v>308</v>
      </c>
    </row>
    <row r="44" spans="1:23">
      <c r="A44" s="7" t="s">
        <v>261</v>
      </c>
      <c r="G44" s="7" t="s">
        <v>247</v>
      </c>
      <c r="H44" s="7" t="s">
        <v>213</v>
      </c>
      <c r="I44" s="7" t="s">
        <v>216</v>
      </c>
      <c r="J44" s="7" t="s">
        <v>20</v>
      </c>
      <c r="K44" s="7" t="s">
        <v>7</v>
      </c>
      <c r="L44" s="7" t="s">
        <v>207</v>
      </c>
      <c r="M44" s="7" t="s">
        <v>208</v>
      </c>
      <c r="N44" s="7" t="s">
        <v>6</v>
      </c>
      <c r="O44" s="7" t="s">
        <v>5</v>
      </c>
      <c r="P44" s="7" t="s">
        <v>58</v>
      </c>
      <c r="Q44" s="89" t="s">
        <v>212</v>
      </c>
      <c r="R44" s="89" t="s">
        <v>209</v>
      </c>
      <c r="S44" s="89" t="s">
        <v>210</v>
      </c>
      <c r="T44" s="89" t="s">
        <v>211</v>
      </c>
      <c r="U44" s="89" t="s">
        <v>215</v>
      </c>
      <c r="W44" s="7" t="s">
        <v>313</v>
      </c>
    </row>
    <row r="45" spans="1:23">
      <c r="A45" s="7" t="s">
        <v>262</v>
      </c>
      <c r="G45" s="2" t="s">
        <v>374</v>
      </c>
      <c r="H45" s="2">
        <v>22724.400000000001</v>
      </c>
      <c r="I45" s="2">
        <v>15648</v>
      </c>
      <c r="J45" s="2">
        <v>9709.5</v>
      </c>
      <c r="K45" s="2">
        <v>4671</v>
      </c>
      <c r="L45" s="81">
        <f>H45+J45-K45</f>
        <v>27762.9</v>
      </c>
      <c r="M45" s="2">
        <v>-5851</v>
      </c>
      <c r="N45" s="2">
        <v>277</v>
      </c>
      <c r="O45" s="2">
        <v>2973</v>
      </c>
      <c r="P45" s="2">
        <v>5229</v>
      </c>
      <c r="Q45" s="89" t="str">
        <f>IF(H45/M45&lt;0,"",H45/M45)</f>
        <v/>
      </c>
      <c r="R45" s="89">
        <f>IF(L45/N45&lt;0,"",L45/N45)</f>
        <v>100.22707581227438</v>
      </c>
      <c r="S45" s="89">
        <f>IF(L45/O45&lt;0,"",L45/O45)</f>
        <v>9.3383451059535822</v>
      </c>
      <c r="T45" s="89">
        <f>L45/P45</f>
        <v>5.3094090648307519</v>
      </c>
      <c r="U45" s="89">
        <f>H45/I45</f>
        <v>1.4522239263803682</v>
      </c>
      <c r="W45" s="7" t="s">
        <v>314</v>
      </c>
    </row>
    <row r="46" spans="1:23">
      <c r="G46" s="2" t="s">
        <v>375</v>
      </c>
      <c r="H46" s="2">
        <v>3718</v>
      </c>
      <c r="I46" s="2">
        <v>3088</v>
      </c>
      <c r="J46" s="2">
        <v>277.10000000000002</v>
      </c>
      <c r="K46" s="2">
        <v>126.7</v>
      </c>
      <c r="L46" s="81">
        <f t="shared" ref="L46:L50" si="12">H46+J46-K46</f>
        <v>3868.4</v>
      </c>
      <c r="M46" s="2">
        <v>316.5</v>
      </c>
      <c r="N46" s="2">
        <v>510.7</v>
      </c>
      <c r="O46" s="2">
        <v>948.3</v>
      </c>
      <c r="P46" s="2">
        <v>1562</v>
      </c>
      <c r="Q46" s="89">
        <f t="shared" ref="Q46:Q50" si="13">IF(H46/M46&lt;0,"",H46/M46)</f>
        <v>11.747235387045814</v>
      </c>
      <c r="R46" s="89">
        <f t="shared" ref="R46:R50" si="14">IF(L46/N46&lt;0,"",L46/N46)</f>
        <v>7.5747013902486788</v>
      </c>
      <c r="S46" s="89">
        <f t="shared" ref="S46:S50" si="15">IF(L46/O46&lt;0,"",L46/O46)</f>
        <v>4.0792997996414639</v>
      </c>
      <c r="T46" s="89">
        <f t="shared" ref="T46:T50" si="16">L46/P46</f>
        <v>2.4765685019206147</v>
      </c>
      <c r="U46" s="89">
        <f t="shared" ref="U46:U53" si="17">H46/I46</f>
        <v>1.2040155440414508</v>
      </c>
    </row>
    <row r="47" spans="1:23">
      <c r="G47" s="2" t="s">
        <v>379</v>
      </c>
      <c r="H47" s="2">
        <v>14506</v>
      </c>
      <c r="I47" s="2">
        <v>9366</v>
      </c>
      <c r="J47" s="2">
        <v>6478.8</v>
      </c>
      <c r="K47" s="2">
        <v>1709</v>
      </c>
      <c r="L47" s="81">
        <f t="shared" si="12"/>
        <v>19275.8</v>
      </c>
      <c r="M47" s="2">
        <v>-518.6</v>
      </c>
      <c r="N47" s="2">
        <v>941</v>
      </c>
      <c r="O47" s="2">
        <v>2466</v>
      </c>
      <c r="P47" s="2">
        <v>5052</v>
      </c>
      <c r="Q47" s="89" t="str">
        <f t="shared" si="13"/>
        <v/>
      </c>
      <c r="R47" s="89">
        <f t="shared" si="14"/>
        <v>20.484378320935175</v>
      </c>
      <c r="S47" s="89">
        <f t="shared" si="15"/>
        <v>7.8166261151662608</v>
      </c>
      <c r="T47" s="89">
        <f t="shared" si="16"/>
        <v>3.8154790182106093</v>
      </c>
      <c r="U47" s="89">
        <f t="shared" si="17"/>
        <v>1.5487935084347639</v>
      </c>
    </row>
    <row r="48" spans="1:23">
      <c r="G48" s="2" t="s">
        <v>376</v>
      </c>
      <c r="H48" s="2">
        <v>7280</v>
      </c>
      <c r="I48" s="2">
        <v>2951</v>
      </c>
      <c r="J48" s="2">
        <v>1715.7</v>
      </c>
      <c r="K48" s="2">
        <v>367.6</v>
      </c>
      <c r="L48" s="81">
        <f>H48+J48-K48</f>
        <v>8628.1</v>
      </c>
      <c r="M48" s="2">
        <v>-485</v>
      </c>
      <c r="N48" s="2">
        <v>-488.8</v>
      </c>
      <c r="O48" s="2">
        <v>-57.2</v>
      </c>
      <c r="P48" s="2">
        <v>15176</v>
      </c>
      <c r="Q48" s="89" t="str">
        <f t="shared" si="13"/>
        <v/>
      </c>
      <c r="R48" s="89" t="str">
        <f t="shared" si="14"/>
        <v/>
      </c>
      <c r="S48" s="89" t="str">
        <f t="shared" si="15"/>
        <v/>
      </c>
      <c r="T48" s="89">
        <f t="shared" si="16"/>
        <v>0.56853584607274643</v>
      </c>
      <c r="U48" s="89">
        <f t="shared" si="17"/>
        <v>2.4669603524229076</v>
      </c>
    </row>
    <row r="49" spans="1:21">
      <c r="G49" s="2" t="s">
        <v>377</v>
      </c>
      <c r="H49" s="2">
        <v>5660</v>
      </c>
      <c r="I49" s="2">
        <v>5563</v>
      </c>
      <c r="J49" s="2">
        <v>2059</v>
      </c>
      <c r="K49" s="2">
        <v>526</v>
      </c>
      <c r="L49" s="81">
        <f t="shared" si="12"/>
        <v>7193</v>
      </c>
      <c r="M49" s="2">
        <v>86</v>
      </c>
      <c r="N49" s="2">
        <v>350</v>
      </c>
      <c r="O49" s="2">
        <v>632</v>
      </c>
      <c r="P49" s="2">
        <v>9510</v>
      </c>
      <c r="Q49" s="89">
        <f t="shared" si="13"/>
        <v>65.813953488372093</v>
      </c>
      <c r="R49" s="89">
        <f t="shared" si="14"/>
        <v>20.55142857142857</v>
      </c>
      <c r="S49" s="89">
        <f t="shared" si="15"/>
        <v>11.38132911392405</v>
      </c>
      <c r="T49" s="89">
        <f t="shared" si="16"/>
        <v>0.75636172450052575</v>
      </c>
      <c r="U49" s="89">
        <f t="shared" si="17"/>
        <v>1.0174366349092216</v>
      </c>
    </row>
    <row r="50" spans="1:21">
      <c r="G50" s="2" t="s">
        <v>378</v>
      </c>
      <c r="H50" s="2">
        <v>3610</v>
      </c>
      <c r="I50" s="2">
        <v>2057</v>
      </c>
      <c r="J50" s="2">
        <v>2687.6</v>
      </c>
      <c r="K50" s="2">
        <v>49.1</v>
      </c>
      <c r="L50" s="81">
        <f t="shared" si="12"/>
        <v>6248.5</v>
      </c>
      <c r="M50" s="2">
        <v>-36</v>
      </c>
      <c r="N50" s="2">
        <v>-197.1</v>
      </c>
      <c r="O50" s="2">
        <v>194.1</v>
      </c>
      <c r="P50" s="2">
        <v>12383</v>
      </c>
      <c r="Q50" s="89" t="str">
        <f t="shared" si="13"/>
        <v/>
      </c>
      <c r="R50" s="89" t="str">
        <f t="shared" si="14"/>
        <v/>
      </c>
      <c r="S50" s="89">
        <f t="shared" si="15"/>
        <v>32.192168985059247</v>
      </c>
      <c r="T50" s="89">
        <f t="shared" si="16"/>
        <v>0.50460308487442462</v>
      </c>
      <c r="U50" s="89">
        <f>H50/I50</f>
        <v>1.7549829849295091</v>
      </c>
    </row>
    <row r="51" spans="1:21">
      <c r="G51" s="93" t="s">
        <v>203</v>
      </c>
      <c r="H51" s="93">
        <f>AVERAGE(H45:H50)</f>
        <v>9583.0666666666675</v>
      </c>
      <c r="I51" s="93">
        <f>AVERAGE(I45:I50)</f>
        <v>6445.5</v>
      </c>
      <c r="J51" s="93">
        <f t="shared" ref="J51:K51" si="18">AVERAGE(J45:J50)</f>
        <v>3821.2833333333333</v>
      </c>
      <c r="K51" s="93">
        <f t="shared" si="18"/>
        <v>1241.5666666666668</v>
      </c>
      <c r="L51" s="94">
        <f>AVERAGE(L45:L50)</f>
        <v>12162.783333333335</v>
      </c>
      <c r="M51" s="93">
        <f>AVERAGE(M45:M50)</f>
        <v>-1081.3500000000001</v>
      </c>
      <c r="N51" s="93">
        <f t="shared" ref="N51" si="19">AVERAGE(N45:N50)</f>
        <v>232.13333333333335</v>
      </c>
      <c r="O51" s="93">
        <f t="shared" ref="O51" si="20">AVERAGE(O45:O50)</f>
        <v>1192.7</v>
      </c>
      <c r="P51" s="93">
        <f>AVERAGE(P45:P50)</f>
        <v>8152</v>
      </c>
      <c r="Q51" s="93">
        <f t="shared" ref="Q51:U51" si="21">AVERAGE(Q45:Q50)</f>
        <v>38.780594437708956</v>
      </c>
      <c r="R51" s="93">
        <f t="shared" si="21"/>
        <v>37.209396023721702</v>
      </c>
      <c r="S51" s="93">
        <f t="shared" si="21"/>
        <v>12.961553823948922</v>
      </c>
      <c r="T51" s="93">
        <f t="shared" si="21"/>
        <v>2.2384928734016123</v>
      </c>
      <c r="U51" s="93">
        <f t="shared" si="21"/>
        <v>1.5740688251863701</v>
      </c>
    </row>
    <row r="52" spans="1:21">
      <c r="G52" s="93" t="s">
        <v>204</v>
      </c>
      <c r="H52" s="93">
        <f>MEDIAN(H45:H51)</f>
        <v>7280</v>
      </c>
      <c r="I52" s="93">
        <f t="shared" ref="I52:K52" si="22">MEDIAN(I45:I51)</f>
        <v>5563</v>
      </c>
      <c r="J52" s="93">
        <f t="shared" si="22"/>
        <v>2687.6</v>
      </c>
      <c r="K52" s="93">
        <f t="shared" si="22"/>
        <v>526</v>
      </c>
      <c r="L52" s="94">
        <f>MEDIAN(L45:L51)</f>
        <v>8628.1</v>
      </c>
      <c r="M52" s="93">
        <f t="shared" ref="M52" si="23">MEDIAN(M45:M51)</f>
        <v>-485</v>
      </c>
      <c r="N52" s="93">
        <f t="shared" ref="N52" si="24">MEDIAN(N45:N51)</f>
        <v>277</v>
      </c>
      <c r="O52" s="93">
        <f t="shared" ref="O52" si="25">MEDIAN(O45:O51)</f>
        <v>948.3</v>
      </c>
      <c r="P52" s="93">
        <f>MEDIAN(P45:P51)</f>
        <v>8152</v>
      </c>
      <c r="Q52" s="93">
        <f t="shared" ref="Q52:U52" si="26">MEDIAN(Q45:Q51)</f>
        <v>38.780594437708956</v>
      </c>
      <c r="R52" s="93">
        <f t="shared" si="26"/>
        <v>20.55142857142857</v>
      </c>
      <c r="S52" s="93">
        <f t="shared" si="26"/>
        <v>10.359837109938816</v>
      </c>
      <c r="T52" s="93">
        <f t="shared" si="26"/>
        <v>2.2384928734016123</v>
      </c>
      <c r="U52" s="93">
        <f t="shared" si="26"/>
        <v>1.5487935084347639</v>
      </c>
    </row>
    <row r="53" spans="1:21">
      <c r="G53" s="31" t="str">
        <f>H9</f>
        <v>Oil Search Ltd (ASX: OSH)</v>
      </c>
      <c r="H53" s="31">
        <f>8914</f>
        <v>8914</v>
      </c>
      <c r="I53" s="31">
        <f>K401</f>
        <v>7218.6859329999997</v>
      </c>
      <c r="J53" s="31">
        <f>K28</f>
        <v>4285.3547589999998</v>
      </c>
      <c r="K53" s="31">
        <f>K29</f>
        <v>700.89030000000002</v>
      </c>
      <c r="L53" s="81">
        <f>H53+J53-K53</f>
        <v>12498.464458999999</v>
      </c>
      <c r="M53" s="91">
        <f>K327</f>
        <v>-465.777402</v>
      </c>
      <c r="N53" s="91">
        <f>K341</f>
        <v>137.52517</v>
      </c>
      <c r="O53" s="91">
        <f>K340</f>
        <v>803.77494999999999</v>
      </c>
      <c r="P53" s="91">
        <f>K301</f>
        <v>1519.5472609999999</v>
      </c>
      <c r="Q53" s="89">
        <f>H53/M53</f>
        <v>-19.137897119362609</v>
      </c>
      <c r="R53" s="89">
        <f>L53/N53</f>
        <v>90.881287105480396</v>
      </c>
      <c r="S53" s="89">
        <f>L53/O53</f>
        <v>15.549706368679441</v>
      </c>
      <c r="T53" s="89">
        <f>L53/P53</f>
        <v>8.2251238772098976</v>
      </c>
      <c r="U53" s="89">
        <f t="shared" si="17"/>
        <v>1.2348507862421225</v>
      </c>
    </row>
    <row r="54" spans="1:21">
      <c r="G54" s="7" t="s">
        <v>206</v>
      </c>
      <c r="H54" s="4"/>
      <c r="Q54" s="89">
        <f>(Q53/Q52)-1</f>
        <v>-1.4934915876573969</v>
      </c>
      <c r="R54" s="89">
        <f>(R53/R52)-1</f>
        <v>3.422139647840698</v>
      </c>
      <c r="S54" s="89">
        <f t="shared" ref="S54:U54" si="27">(S53/S52)-1</f>
        <v>0.50096050774405243</v>
      </c>
      <c r="T54" s="89">
        <f t="shared" si="27"/>
        <v>2.6744025299088867</v>
      </c>
      <c r="U54" s="89">
        <f t="shared" si="27"/>
        <v>-0.20270147084353229</v>
      </c>
    </row>
    <row r="55" spans="1:21">
      <c r="G55" s="7" t="s">
        <v>214</v>
      </c>
      <c r="Q55" s="89">
        <f>Q52*M53</f>
        <v>-18063.12452521173</v>
      </c>
      <c r="R55" s="89">
        <f>R52*N53</f>
        <v>2826.3387080285711</v>
      </c>
      <c r="S55" s="89">
        <f>S52*O53</f>
        <v>8326.9775550492159</v>
      </c>
      <c r="T55" s="89">
        <f>T52*P53</f>
        <v>3401.4957145454396</v>
      </c>
      <c r="U55" s="89">
        <f>U52*I53</f>
        <v>11180.253912459746</v>
      </c>
    </row>
    <row r="56" spans="1:21">
      <c r="G56" s="7" t="s">
        <v>242</v>
      </c>
      <c r="Q56" s="89">
        <f>Q55/K32</f>
        <v>-8.6931774444458974</v>
      </c>
      <c r="R56" s="96">
        <f>(R55+K53-J53)/K32</f>
        <v>-0.36486055716438565</v>
      </c>
      <c r="S56" s="89">
        <f>(S55+K53-J53)/K32</f>
        <v>2.2824128693250572</v>
      </c>
      <c r="T56" s="89">
        <f>(T55+K53-J53)/K32</f>
        <v>-8.805673459820873E-2</v>
      </c>
      <c r="U56" s="89">
        <f>U55/K32</f>
        <v>5.3806821183852636</v>
      </c>
    </row>
    <row r="57" spans="1:21">
      <c r="G57" s="7" t="s">
        <v>260</v>
      </c>
      <c r="Q57" s="90">
        <v>0</v>
      </c>
      <c r="R57" s="90">
        <v>0</v>
      </c>
      <c r="S57" s="90">
        <v>0.49081540840875459</v>
      </c>
      <c r="T57" s="90">
        <v>0</v>
      </c>
      <c r="U57" s="90">
        <v>0.50918459159124541</v>
      </c>
    </row>
    <row r="58" spans="1:21">
      <c r="G58" s="44" t="s">
        <v>315</v>
      </c>
      <c r="P58" s="40">
        <f>Q57*Q56+S57*S56+U57*U56</f>
        <v>3.8600038315474929</v>
      </c>
      <c r="S58" s="37"/>
    </row>
    <row r="60" spans="1:21">
      <c r="A60" s="3" t="s">
        <v>291</v>
      </c>
      <c r="G60" s="3" t="s">
        <v>194</v>
      </c>
    </row>
    <row r="61" spans="1:21">
      <c r="A61" s="7" t="s">
        <v>263</v>
      </c>
      <c r="M61" s="3" t="s">
        <v>34</v>
      </c>
    </row>
    <row r="62" spans="1:21">
      <c r="A62" s="7" t="s">
        <v>264</v>
      </c>
      <c r="H62" s="42">
        <f>IF(ISERROR(K33),"",IF(K33&lt;0,"",K33))</f>
        <v>4.1337349478196286</v>
      </c>
      <c r="I62" s="55">
        <v>5.0000000000000001E-3</v>
      </c>
      <c r="J62" s="55">
        <v>0.01</v>
      </c>
      <c r="K62" s="55">
        <v>1.4999999999999999E-2</v>
      </c>
      <c r="L62" s="55">
        <v>0.02</v>
      </c>
      <c r="M62" s="56">
        <v>2.3800000000000002E-2</v>
      </c>
      <c r="N62" s="55">
        <v>2.5000000000000001E-2</v>
      </c>
      <c r="O62" s="55">
        <v>0.03</v>
      </c>
      <c r="P62" s="55">
        <v>3.5000000000000003E-2</v>
      </c>
      <c r="Q62" s="55">
        <v>0.04</v>
      </c>
      <c r="R62" s="55">
        <v>4.4999999999999998E-2</v>
      </c>
      <c r="S62" s="55">
        <v>0.05</v>
      </c>
    </row>
    <row r="63" spans="1:21">
      <c r="A63" s="7" t="s">
        <v>265</v>
      </c>
      <c r="H63" s="57">
        <v>0.03</v>
      </c>
      <c r="I63" s="54">
        <f t="dataTable" ref="I63:S79" dt2D="1" dtr="1" r1="V15" r2="O24"/>
        <v>10.508427589514117</v>
      </c>
      <c r="J63" s="54">
        <v>13.274468445320478</v>
      </c>
      <c r="K63" s="54">
        <v>17.884536538331016</v>
      </c>
      <c r="L63" s="54">
        <v>27.104672724352195</v>
      </c>
      <c r="M63" s="54">
        <v>44.057826356713505</v>
      </c>
      <c r="N63" s="54">
        <v>54.765081282415473</v>
      </c>
      <c r="O63" s="54" t="str">
        <v/>
      </c>
      <c r="P63" s="54" t="str">
        <v/>
      </c>
      <c r="Q63" s="54" t="str">
        <v/>
      </c>
      <c r="R63" s="54" t="str">
        <v/>
      </c>
      <c r="S63" s="54" t="str">
        <v/>
      </c>
    </row>
    <row r="64" spans="1:21">
      <c r="A64" s="7" t="s">
        <v>266</v>
      </c>
      <c r="H64" s="57">
        <v>3.5000000000000003E-2</v>
      </c>
      <c r="I64" s="54">
        <v>8.4623555737169358</v>
      </c>
      <c r="J64" s="54">
        <v>10.265864485892365</v>
      </c>
      <c r="K64" s="54">
        <v>12.97112785415546</v>
      </c>
      <c r="L64" s="54">
        <v>17.479900134594018</v>
      </c>
      <c r="M64" s="54">
        <v>23.598948229474797</v>
      </c>
      <c r="N64" s="54">
        <v>26.497444695471007</v>
      </c>
      <c r="O64" s="54">
        <v>53.55007837810242</v>
      </c>
      <c r="P64" s="54" t="str">
        <v/>
      </c>
      <c r="Q64" s="54" t="str">
        <v/>
      </c>
      <c r="R64" s="54" t="str">
        <v/>
      </c>
      <c r="S64" s="54" t="str">
        <v/>
      </c>
    </row>
    <row r="65" spans="7:19">
      <c r="H65" s="57">
        <v>0.04</v>
      </c>
      <c r="I65" s="54">
        <v>7.0005703768092236</v>
      </c>
      <c r="J65" s="54">
        <v>8.2599360924755949</v>
      </c>
      <c r="K65" s="54">
        <v>10.02304809440848</v>
      </c>
      <c r="L65" s="54">
        <v>12.667716097307855</v>
      </c>
      <c r="M65" s="54">
        <v>15.769487211819383</v>
      </c>
      <c r="N65" s="54">
        <v>17.075496102140054</v>
      </c>
      <c r="O65" s="54">
        <v>25.891056111804691</v>
      </c>
      <c r="P65" s="54">
        <v>52.337736140798171</v>
      </c>
      <c r="Q65" s="54" t="str">
        <v/>
      </c>
      <c r="R65" s="54" t="str">
        <v/>
      </c>
      <c r="S65" s="54" t="str">
        <v/>
      </c>
    </row>
    <row r="66" spans="7:19">
      <c r="H66" s="57">
        <v>4.4999999999999998E-2</v>
      </c>
      <c r="I66" s="54">
        <v>5.9039996714751855</v>
      </c>
      <c r="J66" s="54">
        <v>6.8269937072431883</v>
      </c>
      <c r="K66" s="54">
        <v>8.0576524216004977</v>
      </c>
      <c r="L66" s="54">
        <v>9.7805746217007634</v>
      </c>
      <c r="M66" s="54">
        <v>11.633528685959483</v>
      </c>
      <c r="N66" s="54">
        <v>12.364957921851104</v>
      </c>
      <c r="O66" s="54">
        <v>16.67226342210181</v>
      </c>
      <c r="P66" s="54">
        <v>25.286874422603031</v>
      </c>
      <c r="Q66" s="54">
        <v>51.130707424106994</v>
      </c>
      <c r="R66" s="54" t="str">
        <v/>
      </c>
      <c r="S66" s="54" t="str">
        <v/>
      </c>
    </row>
    <row r="67" spans="7:19">
      <c r="H67" s="57">
        <v>0.05</v>
      </c>
      <c r="I67" s="54">
        <v>5.0509340003458112</v>
      </c>
      <c r="J67" s="54">
        <v>5.7521903605286555</v>
      </c>
      <c r="K67" s="54">
        <v>6.653805680763722</v>
      </c>
      <c r="L67" s="54">
        <v>7.8559594410771689</v>
      </c>
      <c r="M67" s="54">
        <v>9.0764666939144369</v>
      </c>
      <c r="N67" s="54">
        <v>9.5389747055159457</v>
      </c>
      <c r="O67" s="54">
        <v>12.06349760217422</v>
      </c>
      <c r="P67" s="54">
        <v>16.271035763271204</v>
      </c>
      <c r="Q67" s="54">
        <v>24.686112085465332</v>
      </c>
      <c r="R67" s="54">
        <v>49.931341052047486</v>
      </c>
      <c r="S67" s="54" t="str">
        <v/>
      </c>
    </row>
    <row r="68" spans="7:19">
      <c r="H68" s="57">
        <v>5.5E-2</v>
      </c>
      <c r="I68" s="54">
        <v>4.368345521861122</v>
      </c>
      <c r="J68" s="54">
        <v>4.9161648306142327</v>
      </c>
      <c r="K68" s="54">
        <v>5.6009389665556011</v>
      </c>
      <c r="L68" s="54">
        <v>6.4813628556230984</v>
      </c>
      <c r="M68" s="54">
        <v>7.3392117731760083</v>
      </c>
      <c r="N68" s="54">
        <v>7.655261374379724</v>
      </c>
      <c r="O68" s="54">
        <v>9.2987193006390783</v>
      </c>
      <c r="P68" s="54">
        <v>11.763906190028015</v>
      </c>
      <c r="Q68" s="54">
        <v>15.872551005676339</v>
      </c>
      <c r="R68" s="54">
        <v>24.089840636972891</v>
      </c>
      <c r="S68" s="54">
        <v>48.741709530862664</v>
      </c>
    </row>
    <row r="69" spans="7:19">
      <c r="H69" s="57">
        <v>0.06</v>
      </c>
      <c r="I69" s="54">
        <v>3.8097601548255882</v>
      </c>
      <c r="J69" s="54">
        <v>4.2472988969133043</v>
      </c>
      <c r="K69" s="54">
        <v>4.7820684705760543</v>
      </c>
      <c r="L69" s="54">
        <v>5.4505304376545105</v>
      </c>
      <c r="M69" s="54">
        <v>6.0820608043418609</v>
      </c>
      <c r="N69" s="54">
        <v>6.3099815381839228</v>
      </c>
      <c r="O69" s="54">
        <v>7.4559163388898693</v>
      </c>
      <c r="P69" s="54">
        <v>9.0602250598781193</v>
      </c>
      <c r="Q69" s="54">
        <v>11.466688141360565</v>
      </c>
      <c r="R69" s="54">
        <v>15.477459943831251</v>
      </c>
      <c r="S69" s="54">
        <v>23.499003548772663</v>
      </c>
    </row>
    <row r="70" spans="7:19">
      <c r="H70" s="57">
        <v>6.5000000000000002E-2</v>
      </c>
      <c r="I70" s="54">
        <v>3.3441936400019738</v>
      </c>
      <c r="J70" s="54">
        <v>3.7000160824356332</v>
      </c>
      <c r="K70" s="54">
        <v>4.1270030133560134</v>
      </c>
      <c r="L70" s="54">
        <v>4.6488759289253796</v>
      </c>
      <c r="M70" s="54">
        <v>5.1302150258097212</v>
      </c>
      <c r="N70" s="54">
        <v>5.3012170733870647</v>
      </c>
      <c r="O70" s="54">
        <v>6.1399414019807104</v>
      </c>
      <c r="P70" s="54">
        <v>7.2582405067721769</v>
      </c>
      <c r="Q70" s="54">
        <v>8.8238592534802862</v>
      </c>
      <c r="R70" s="54">
        <v>11.172287373542407</v>
      </c>
      <c r="S70" s="54">
        <v>15.086334240312635</v>
      </c>
    </row>
    <row r="71" spans="7:19">
      <c r="H71" s="57">
        <v>7.0000000000000007E-2</v>
      </c>
      <c r="I71" s="54">
        <v>2.9501940257297896</v>
      </c>
      <c r="J71" s="54">
        <v>3.2439310174392109</v>
      </c>
      <c r="K71" s="54">
        <v>3.59107473491397</v>
      </c>
      <c r="L71" s="54">
        <v>4.0076471958836937</v>
      </c>
      <c r="M71" s="54">
        <v>4.3845460891419954</v>
      </c>
      <c r="N71" s="54">
        <v>4.5167913148466701</v>
      </c>
      <c r="O71" s="54">
        <v>5.1532214635504321</v>
      </c>
      <c r="P71" s="54">
        <v>5.9714887975980773</v>
      </c>
      <c r="Q71" s="54">
        <v>7.0625119096616498</v>
      </c>
      <c r="R71" s="54">
        <v>8.5899442665506154</v>
      </c>
      <c r="S71" s="54">
        <v>10.88109280188408</v>
      </c>
    </row>
    <row r="72" spans="7:19">
      <c r="G72" s="3" t="s">
        <v>36</v>
      </c>
      <c r="H72" s="58">
        <v>7.1961096661788793E-2</v>
      </c>
      <c r="I72" s="54">
        <v>2.8117118940840116</v>
      </c>
      <c r="J72" s="54">
        <v>3.0851405144103432</v>
      </c>
      <c r="K72" s="54">
        <v>3.4065718306731285</v>
      </c>
      <c r="L72" s="54">
        <v>3.7898631416075106</v>
      </c>
      <c r="M72" s="40">
        <v>4.1343911557733337</v>
      </c>
      <c r="N72" s="54">
        <v>4.2547733537559598</v>
      </c>
      <c r="O72" s="54">
        <v>4.8304791001336147</v>
      </c>
      <c r="P72" s="54">
        <v>5.56194476663633</v>
      </c>
      <c r="Q72" s="54">
        <v>6.5222716872578221</v>
      </c>
      <c r="R72" s="54">
        <v>7.838788466425556</v>
      </c>
      <c r="S72" s="54">
        <v>9.7547820383248833</v>
      </c>
    </row>
    <row r="73" spans="7:19">
      <c r="H73" s="57">
        <v>7.4999999999999997E-2</v>
      </c>
      <c r="I73" s="54">
        <v>2.6124373662183338</v>
      </c>
      <c r="J73" s="54">
        <v>2.8580067826444906</v>
      </c>
      <c r="K73" s="54">
        <v>3.1445044351416636</v>
      </c>
      <c r="L73" s="54">
        <v>3.4830925699110624</v>
      </c>
      <c r="M73" s="54">
        <v>3.7846476274400391</v>
      </c>
      <c r="N73" s="54">
        <v>3.8893983316343212</v>
      </c>
      <c r="O73" s="54">
        <v>4.3859942626294526</v>
      </c>
      <c r="P73" s="54">
        <v>5.0067391763733262</v>
      </c>
      <c r="Q73" s="54">
        <v>5.8048397797583444</v>
      </c>
      <c r="R73" s="54">
        <v>6.8689739176050049</v>
      </c>
      <c r="S73" s="54">
        <v>8.3587617105903433</v>
      </c>
    </row>
    <row r="74" spans="7:19">
      <c r="H74" s="57">
        <v>0.08</v>
      </c>
      <c r="I74" s="54">
        <v>2.3196851338337514</v>
      </c>
      <c r="J74" s="54">
        <v>2.527216242701142</v>
      </c>
      <c r="K74" s="54">
        <v>2.766675214471201</v>
      </c>
      <c r="L74" s="54">
        <v>3.0460440148696115</v>
      </c>
      <c r="M74" s="54">
        <v>3.2916101846148176</v>
      </c>
      <c r="N74" s="54">
        <v>3.3762071426131715</v>
      </c>
      <c r="O74" s="54">
        <v>3.7724028959054769</v>
      </c>
      <c r="P74" s="54">
        <v>4.2566421499293696</v>
      </c>
      <c r="Q74" s="54">
        <v>4.8619412174592647</v>
      </c>
      <c r="R74" s="54">
        <v>5.6401828757119681</v>
      </c>
      <c r="S74" s="54">
        <v>6.6778384200489143</v>
      </c>
    </row>
    <row r="75" spans="7:19">
      <c r="H75" s="57">
        <v>8.5000000000000006E-2</v>
      </c>
      <c r="I75" s="54">
        <v>2.063507595997077</v>
      </c>
      <c r="J75" s="54">
        <v>2.2405388415273202</v>
      </c>
      <c r="K75" s="54">
        <v>2.442860264990447</v>
      </c>
      <c r="L75" s="54">
        <v>2.6763080612940642</v>
      </c>
      <c r="M75" s="54">
        <v>2.8792398057932727</v>
      </c>
      <c r="N75" s="54">
        <v>2.9486638236482712</v>
      </c>
      <c r="O75" s="54">
        <v>3.2705388155214514</v>
      </c>
      <c r="P75" s="54">
        <v>3.6567888057692381</v>
      </c>
      <c r="Q75" s="54">
        <v>4.1288721271832252</v>
      </c>
      <c r="R75" s="54">
        <v>4.7189762789506888</v>
      </c>
      <c r="S75" s="54">
        <v>5.4776816169374403</v>
      </c>
    </row>
    <row r="76" spans="7:19">
      <c r="H76" s="57">
        <v>0.09</v>
      </c>
      <c r="I76" s="54">
        <v>1.837457759923621</v>
      </c>
      <c r="J76" s="54">
        <v>1.9897085953004041</v>
      </c>
      <c r="K76" s="54">
        <v>2.1622595420607515</v>
      </c>
      <c r="L76" s="54">
        <v>2.3594606240725855</v>
      </c>
      <c r="M76" s="54">
        <v>2.5292561176477171</v>
      </c>
      <c r="N76" s="54">
        <v>2.5870003340862273</v>
      </c>
      <c r="O76" s="54">
        <v>2.852463329102167</v>
      </c>
      <c r="P76" s="54">
        <v>3.1661923232118885</v>
      </c>
      <c r="Q76" s="54">
        <v>3.542667116143575</v>
      </c>
      <c r="R76" s="54">
        <v>4.0028029741711784</v>
      </c>
      <c r="S76" s="54">
        <v>4.5779727967056862</v>
      </c>
    </row>
    <row r="77" spans="7:19">
      <c r="H77" s="57">
        <v>9.5000000000000001E-2</v>
      </c>
      <c r="I77" s="54">
        <v>1.636520664744235</v>
      </c>
      <c r="J77" s="54">
        <v>1.7684039667206843</v>
      </c>
      <c r="K77" s="54">
        <v>1.9167726814441852</v>
      </c>
      <c r="L77" s="54">
        <v>2.0849238914641597</v>
      </c>
      <c r="M77" s="54">
        <v>2.2285136887845756</v>
      </c>
      <c r="N77" s="54">
        <v>2.2770967029155478</v>
      </c>
      <c r="O77" s="54">
        <v>2.4988345622825552</v>
      </c>
      <c r="P77" s="54">
        <v>2.7575287315440415</v>
      </c>
      <c r="Q77" s="54">
        <v>3.0632582043076342</v>
      </c>
      <c r="R77" s="54">
        <v>3.4301335716239341</v>
      </c>
      <c r="S77" s="54">
        <v>3.8785367983438603</v>
      </c>
    </row>
    <row r="78" spans="7:19">
      <c r="H78" s="57">
        <v>0.1</v>
      </c>
      <c r="I78" s="54">
        <v>1.4567365775564389</v>
      </c>
      <c r="J78" s="54">
        <v>1.5717077780923303</v>
      </c>
      <c r="K78" s="54">
        <v>1.7002050022206754</v>
      </c>
      <c r="L78" s="54">
        <v>1.8447643793650685</v>
      </c>
      <c r="M78" s="54">
        <v>1.9673173421410142</v>
      </c>
      <c r="N78" s="54">
        <v>2.0085983401287053</v>
      </c>
      <c r="O78" s="54">
        <v>2.1958371524300224</v>
      </c>
      <c r="P78" s="54">
        <v>2.4118819358546002</v>
      </c>
      <c r="Q78" s="54">
        <v>2.6639341831832892</v>
      </c>
      <c r="R78" s="54">
        <v>2.9618141118444576</v>
      </c>
      <c r="S78" s="54">
        <v>3.3192700262378629</v>
      </c>
    </row>
    <row r="79" spans="7:19">
      <c r="H79" s="59">
        <v>0.105</v>
      </c>
      <c r="I79" s="54">
        <v>1.2949372273100868</v>
      </c>
      <c r="J79" s="54">
        <v>1.3957376754644584</v>
      </c>
      <c r="K79" s="54">
        <v>1.5077381734137558</v>
      </c>
      <c r="L79" s="54">
        <v>1.6329152005335643</v>
      </c>
      <c r="M79" s="54">
        <v>1.7383598884029507</v>
      </c>
      <c r="N79" s="54">
        <v>1.773739356043341</v>
      </c>
      <c r="O79" s="54">
        <v>1.9333400656211033</v>
      </c>
      <c r="P79" s="54">
        <v>2.1157408765671</v>
      </c>
      <c r="Q79" s="54">
        <v>2.326203350735573</v>
      </c>
      <c r="R79" s="54">
        <v>2.5717429039321145</v>
      </c>
      <c r="S79" s="54">
        <v>2.8619260122553039</v>
      </c>
    </row>
    <row r="81" spans="1:19">
      <c r="A81" s="3" t="s">
        <v>290</v>
      </c>
    </row>
    <row r="82" spans="1:19">
      <c r="A82" s="44" t="s">
        <v>268</v>
      </c>
      <c r="G82" s="44"/>
      <c r="K82" s="38">
        <v>7.1099999999999997E-2</v>
      </c>
    </row>
    <row r="83" spans="1:19">
      <c r="A83" s="44"/>
      <c r="G83" s="44"/>
    </row>
    <row r="84" spans="1:19">
      <c r="A84" s="3" t="s">
        <v>289</v>
      </c>
    </row>
    <row r="85" spans="1:19">
      <c r="A85" s="44" t="s">
        <v>267</v>
      </c>
      <c r="G85" s="44"/>
      <c r="K85" s="38">
        <v>7.4300000000000005E-2</v>
      </c>
    </row>
    <row r="86" spans="1:19">
      <c r="A86" s="3"/>
      <c r="G86" s="44"/>
    </row>
    <row r="87" spans="1:19">
      <c r="A87" s="3" t="s">
        <v>288</v>
      </c>
      <c r="H87" s="2" t="s">
        <v>280</v>
      </c>
      <c r="I87" s="2"/>
      <c r="J87" s="2"/>
      <c r="K87" s="2"/>
      <c r="L87" s="2"/>
      <c r="M87" s="2"/>
      <c r="N87" s="2"/>
      <c r="O87" s="2"/>
      <c r="P87" s="2"/>
      <c r="Q87" s="2"/>
      <c r="R87" s="2"/>
      <c r="S87" s="2"/>
    </row>
    <row r="88" spans="1:19">
      <c r="A88" s="44" t="s">
        <v>269</v>
      </c>
      <c r="H88" s="2"/>
      <c r="I88" s="2"/>
      <c r="J88" s="2"/>
      <c r="K88" s="2"/>
      <c r="L88" s="2"/>
      <c r="M88" s="2" t="s">
        <v>380</v>
      </c>
      <c r="N88" s="2" t="s">
        <v>381</v>
      </c>
      <c r="O88" s="2" t="s">
        <v>382</v>
      </c>
      <c r="P88" s="2" t="s">
        <v>384</v>
      </c>
      <c r="Q88" s="2"/>
      <c r="R88" s="2"/>
      <c r="S88" s="2"/>
    </row>
    <row r="89" spans="1:19">
      <c r="A89" s="7" t="s">
        <v>270</v>
      </c>
      <c r="H89" s="2"/>
      <c r="I89" s="2"/>
      <c r="J89" s="2"/>
      <c r="K89" s="2"/>
      <c r="L89" s="38">
        <f t="shared" ref="L89:L97" si="28">H63</f>
        <v>0.03</v>
      </c>
      <c r="M89" s="39">
        <f t="shared" ref="M89:M97" si="29">M63</f>
        <v>44.057826356713505</v>
      </c>
      <c r="N89" s="2"/>
      <c r="O89" s="2"/>
      <c r="P89" s="2"/>
      <c r="Q89" s="2"/>
      <c r="R89" s="2"/>
      <c r="S89" s="2"/>
    </row>
    <row r="90" spans="1:19">
      <c r="A90" s="7" t="s">
        <v>272</v>
      </c>
      <c r="H90" s="2"/>
      <c r="I90" s="2"/>
      <c r="J90" s="2"/>
      <c r="K90" s="2"/>
      <c r="L90" s="38">
        <f t="shared" si="28"/>
        <v>3.5000000000000003E-2</v>
      </c>
      <c r="M90" s="39">
        <f t="shared" si="29"/>
        <v>23.598948229474797</v>
      </c>
      <c r="N90" s="2"/>
      <c r="O90" s="2"/>
      <c r="P90" s="2"/>
      <c r="Q90" s="2"/>
      <c r="R90" s="2"/>
      <c r="S90" s="2"/>
    </row>
    <row r="91" spans="1:19">
      <c r="A91" s="7" t="s">
        <v>271</v>
      </c>
      <c r="H91" s="2"/>
      <c r="I91" s="2"/>
      <c r="J91" s="2"/>
      <c r="K91" s="2"/>
      <c r="L91" s="38">
        <f t="shared" si="28"/>
        <v>0.04</v>
      </c>
      <c r="M91" s="39">
        <f t="shared" si="29"/>
        <v>15.769487211819383</v>
      </c>
      <c r="N91" s="2"/>
      <c r="O91" s="2"/>
      <c r="P91" s="2"/>
      <c r="Q91" s="2"/>
      <c r="R91" s="2"/>
      <c r="S91" s="2"/>
    </row>
    <row r="92" spans="1:19">
      <c r="A92" s="7" t="s">
        <v>300</v>
      </c>
      <c r="H92" s="2"/>
      <c r="I92" s="2"/>
      <c r="J92" s="2"/>
      <c r="K92" s="2"/>
      <c r="L92" s="38">
        <f t="shared" si="28"/>
        <v>4.4999999999999998E-2</v>
      </c>
      <c r="M92" s="39">
        <f t="shared" si="29"/>
        <v>11.633528685959483</v>
      </c>
      <c r="N92" s="2"/>
      <c r="O92" s="2"/>
      <c r="P92" s="2"/>
      <c r="Q92" s="2"/>
      <c r="R92" s="2"/>
      <c r="S92" s="2"/>
    </row>
    <row r="93" spans="1:19">
      <c r="A93" s="7" t="s">
        <v>299</v>
      </c>
      <c r="H93" s="2"/>
      <c r="I93" s="2"/>
      <c r="J93" s="2"/>
      <c r="K93" s="2"/>
      <c r="L93" s="38">
        <f t="shared" si="28"/>
        <v>0.05</v>
      </c>
      <c r="M93" s="39">
        <f t="shared" si="29"/>
        <v>9.0764666939144369</v>
      </c>
      <c r="N93" s="2"/>
      <c r="O93" s="2"/>
      <c r="P93" s="2"/>
      <c r="Q93" s="2"/>
      <c r="R93" s="2"/>
      <c r="S93" s="2"/>
    </row>
    <row r="94" spans="1:19">
      <c r="H94" s="2"/>
      <c r="I94" s="2"/>
      <c r="J94" s="2"/>
      <c r="K94" s="2"/>
      <c r="L94" s="38">
        <f t="shared" si="28"/>
        <v>5.5E-2</v>
      </c>
      <c r="M94" s="39">
        <f t="shared" si="29"/>
        <v>7.3392117731760083</v>
      </c>
      <c r="N94" s="2"/>
      <c r="O94" s="2"/>
      <c r="P94" s="2"/>
      <c r="Q94" s="2"/>
      <c r="R94" s="2"/>
      <c r="S94" s="2"/>
    </row>
    <row r="95" spans="1:19">
      <c r="H95" s="2"/>
      <c r="I95" s="2"/>
      <c r="J95" s="2"/>
      <c r="K95" s="2"/>
      <c r="L95" s="38">
        <f t="shared" si="28"/>
        <v>0.06</v>
      </c>
      <c r="M95" s="39">
        <f t="shared" si="29"/>
        <v>6.0820608043418609</v>
      </c>
      <c r="N95" s="2"/>
      <c r="O95" s="2"/>
      <c r="P95" s="2"/>
      <c r="Q95" s="2"/>
      <c r="R95" s="2"/>
      <c r="S95" s="2"/>
    </row>
    <row r="96" spans="1:19">
      <c r="H96" s="2"/>
      <c r="I96" s="2"/>
      <c r="J96" s="2"/>
      <c r="K96" s="2"/>
      <c r="L96" s="38">
        <f t="shared" si="28"/>
        <v>6.5000000000000002E-2</v>
      </c>
      <c r="M96" s="39">
        <f t="shared" si="29"/>
        <v>5.1302150258097212</v>
      </c>
      <c r="N96" s="2"/>
      <c r="O96" s="2"/>
      <c r="P96" s="2"/>
      <c r="Q96" s="2"/>
      <c r="R96" s="2"/>
      <c r="S96" s="2"/>
    </row>
    <row r="97" spans="1:22">
      <c r="H97" s="2"/>
      <c r="I97" s="2"/>
      <c r="J97" s="2"/>
      <c r="K97" s="2"/>
      <c r="L97" s="38">
        <f t="shared" si="28"/>
        <v>7.0000000000000007E-2</v>
      </c>
      <c r="M97" s="39">
        <f t="shared" si="29"/>
        <v>4.3845460891419954</v>
      </c>
      <c r="N97" s="2"/>
      <c r="O97" s="2"/>
      <c r="P97" s="2"/>
      <c r="Q97" s="2"/>
      <c r="R97" s="2"/>
      <c r="S97" s="2"/>
    </row>
    <row r="98" spans="1:22">
      <c r="H98" s="2"/>
      <c r="I98" s="2"/>
      <c r="J98" s="2"/>
      <c r="K98" s="2"/>
      <c r="L98" s="38">
        <v>7.1099999999999997E-2</v>
      </c>
      <c r="M98" s="39">
        <f>O98</f>
        <v>4.29</v>
      </c>
      <c r="N98" s="2"/>
      <c r="O98" s="39">
        <f>K35</f>
        <v>4.29</v>
      </c>
      <c r="P98" s="2"/>
      <c r="Q98" s="2"/>
      <c r="R98" s="2"/>
      <c r="S98" s="2"/>
    </row>
    <row r="99" spans="1:22">
      <c r="H99" s="2"/>
      <c r="I99" s="2"/>
      <c r="J99" s="2"/>
      <c r="K99" s="2"/>
      <c r="L99" s="95">
        <f>H72</f>
        <v>7.1961096661788793E-2</v>
      </c>
      <c r="M99" s="40">
        <f>M72</f>
        <v>4.1343911557733337</v>
      </c>
      <c r="N99" s="40">
        <f>M99</f>
        <v>4.1343911557733337</v>
      </c>
      <c r="O99" s="2"/>
      <c r="P99" s="2"/>
      <c r="Q99" s="2"/>
      <c r="R99" s="2"/>
      <c r="S99" s="2"/>
    </row>
    <row r="100" spans="1:22">
      <c r="H100" s="2"/>
      <c r="I100" s="2"/>
      <c r="J100" s="2"/>
      <c r="K100" s="2"/>
      <c r="L100" s="38">
        <v>7.4300000000000005E-2</v>
      </c>
      <c r="M100" s="2">
        <v>3.86</v>
      </c>
      <c r="N100" s="2"/>
      <c r="O100" s="2"/>
      <c r="P100" s="2">
        <v>3.86</v>
      </c>
      <c r="Q100" s="2"/>
      <c r="R100" s="2"/>
      <c r="S100" s="2"/>
    </row>
    <row r="101" spans="1:22">
      <c r="H101" s="2"/>
      <c r="I101" s="2"/>
      <c r="J101" s="2"/>
      <c r="K101" s="2"/>
      <c r="L101" s="38">
        <f t="shared" ref="L101:L107" si="30">H73</f>
        <v>7.4999999999999997E-2</v>
      </c>
      <c r="M101" s="39">
        <f t="shared" ref="M101:M107" si="31">M73</f>
        <v>3.7846476274400391</v>
      </c>
      <c r="N101" s="2"/>
      <c r="O101" s="2"/>
      <c r="P101" s="2"/>
      <c r="Q101" s="2"/>
      <c r="R101" s="2"/>
      <c r="S101" s="2"/>
    </row>
    <row r="102" spans="1:22">
      <c r="H102" s="2"/>
      <c r="I102" s="2"/>
      <c r="J102" s="2"/>
      <c r="K102" s="2"/>
      <c r="L102" s="38">
        <f t="shared" si="30"/>
        <v>0.08</v>
      </c>
      <c r="M102" s="39">
        <f t="shared" si="31"/>
        <v>3.2916101846148176</v>
      </c>
      <c r="N102" s="2"/>
      <c r="O102" s="2"/>
      <c r="P102" s="2"/>
      <c r="Q102" s="2"/>
      <c r="R102" s="2"/>
      <c r="S102" s="2"/>
    </row>
    <row r="103" spans="1:22">
      <c r="H103" s="2"/>
      <c r="I103" s="2"/>
      <c r="J103" s="2"/>
      <c r="K103" s="2"/>
      <c r="L103" s="38">
        <f t="shared" si="30"/>
        <v>8.5000000000000006E-2</v>
      </c>
      <c r="M103" s="39">
        <f t="shared" si="31"/>
        <v>2.8792398057932727</v>
      </c>
      <c r="N103" s="2"/>
      <c r="O103" s="2"/>
      <c r="P103" s="2"/>
      <c r="Q103" s="2"/>
      <c r="R103" s="2"/>
      <c r="S103" s="2"/>
    </row>
    <row r="104" spans="1:22">
      <c r="H104" s="2"/>
      <c r="I104" s="2"/>
      <c r="J104" s="2"/>
      <c r="K104" s="2"/>
      <c r="L104" s="38">
        <f t="shared" si="30"/>
        <v>0.09</v>
      </c>
      <c r="M104" s="39">
        <f t="shared" si="31"/>
        <v>2.5292561176477171</v>
      </c>
      <c r="N104" s="2"/>
      <c r="O104" s="2"/>
      <c r="P104" s="2"/>
      <c r="Q104" s="2"/>
      <c r="R104" s="2"/>
      <c r="S104" s="2"/>
    </row>
    <row r="105" spans="1:22">
      <c r="H105" s="2"/>
      <c r="I105" s="2"/>
      <c r="J105" s="2"/>
      <c r="K105" s="2"/>
      <c r="L105" s="38">
        <f t="shared" si="30"/>
        <v>9.5000000000000001E-2</v>
      </c>
      <c r="M105" s="39">
        <f t="shared" si="31"/>
        <v>2.2285136887845756</v>
      </c>
      <c r="N105" s="2"/>
      <c r="O105" s="2"/>
      <c r="P105" s="2"/>
      <c r="Q105" s="2"/>
      <c r="R105" s="2"/>
      <c r="S105" s="2"/>
    </row>
    <row r="106" spans="1:22">
      <c r="H106" s="2"/>
      <c r="I106" s="2"/>
      <c r="J106" s="2"/>
      <c r="K106" s="2"/>
      <c r="L106" s="38">
        <f t="shared" si="30"/>
        <v>0.1</v>
      </c>
      <c r="M106" s="39">
        <f t="shared" si="31"/>
        <v>1.9673173421410142</v>
      </c>
      <c r="N106" s="2"/>
      <c r="O106" s="2"/>
      <c r="P106" s="2"/>
      <c r="Q106" s="2"/>
      <c r="R106" s="2"/>
      <c r="S106" s="2"/>
    </row>
    <row r="107" spans="1:22">
      <c r="H107" s="2"/>
      <c r="I107" s="2"/>
      <c r="J107" s="2"/>
      <c r="K107" s="2"/>
      <c r="L107" s="38">
        <f t="shared" si="30"/>
        <v>0.105</v>
      </c>
      <c r="M107" s="39">
        <f t="shared" si="31"/>
        <v>1.7383598884029507</v>
      </c>
      <c r="N107" s="2"/>
      <c r="O107" s="2"/>
      <c r="P107" s="2"/>
      <c r="Q107" s="2"/>
      <c r="R107" s="2"/>
      <c r="S107" s="2"/>
    </row>
    <row r="109" spans="1:22">
      <c r="A109" s="3" t="s">
        <v>287</v>
      </c>
    </row>
    <row r="110" spans="1:22">
      <c r="A110" s="7" t="s">
        <v>279</v>
      </c>
      <c r="R110" s="37"/>
      <c r="S110" s="11"/>
      <c r="T110" s="11"/>
    </row>
    <row r="111" spans="1:22">
      <c r="G111" s="3"/>
      <c r="J111" s="13"/>
      <c r="M111" s="6"/>
    </row>
    <row r="112" spans="1:22">
      <c r="B112" s="1">
        <f t="shared" ref="B112:V112" si="32">B1</f>
        <v>40908</v>
      </c>
      <c r="C112" s="1">
        <f t="shared" si="32"/>
        <v>41274</v>
      </c>
      <c r="D112" s="1">
        <f t="shared" si="32"/>
        <v>41639</v>
      </c>
      <c r="E112" s="1">
        <f t="shared" si="32"/>
        <v>42004</v>
      </c>
      <c r="F112" s="1">
        <f t="shared" si="32"/>
        <v>42369</v>
      </c>
      <c r="G112" s="1">
        <f t="shared" si="32"/>
        <v>42735</v>
      </c>
      <c r="H112" s="1">
        <f t="shared" si="32"/>
        <v>43100</v>
      </c>
      <c r="I112" s="1">
        <f t="shared" si="32"/>
        <v>43465</v>
      </c>
      <c r="J112" s="1">
        <f t="shared" si="32"/>
        <v>43830</v>
      </c>
      <c r="K112" s="1">
        <f t="shared" si="32"/>
        <v>44196</v>
      </c>
      <c r="L112" s="1">
        <f t="shared" si="32"/>
        <v>44561</v>
      </c>
      <c r="M112" s="1">
        <f t="shared" si="32"/>
        <v>44926</v>
      </c>
      <c r="N112" s="1">
        <f t="shared" si="32"/>
        <v>45291</v>
      </c>
      <c r="O112" s="1">
        <f t="shared" si="32"/>
        <v>45657</v>
      </c>
      <c r="P112" s="1">
        <f t="shared" si="32"/>
        <v>46022</v>
      </c>
      <c r="Q112" s="1">
        <f t="shared" si="32"/>
        <v>46387</v>
      </c>
      <c r="R112" s="1">
        <f t="shared" si="32"/>
        <v>46752</v>
      </c>
      <c r="S112" s="1">
        <f t="shared" si="32"/>
        <v>47118</v>
      </c>
      <c r="T112" s="1">
        <f t="shared" si="32"/>
        <v>47483</v>
      </c>
      <c r="U112" s="1">
        <f t="shared" si="32"/>
        <v>47848</v>
      </c>
      <c r="V112" s="1">
        <f t="shared" si="32"/>
        <v>48213</v>
      </c>
    </row>
    <row r="113" spans="1:22">
      <c r="A113" s="7" t="str">
        <f>A301&amp;" (RHS)"</f>
        <v>Sales (RHS)</v>
      </c>
      <c r="B113" s="31">
        <f>B301</f>
        <v>710.36810700000001</v>
      </c>
      <c r="C113" s="31">
        <f t="shared" ref="C113:K113" si="33">C301</f>
        <v>700.010177</v>
      </c>
      <c r="D113" s="31">
        <f t="shared" si="33"/>
        <v>794.52966700000002</v>
      </c>
      <c r="E113" s="31">
        <f t="shared" si="33"/>
        <v>1786.700797</v>
      </c>
      <c r="F113" s="31">
        <f t="shared" si="33"/>
        <v>2113.2282850000001</v>
      </c>
      <c r="G113" s="31">
        <f t="shared" si="33"/>
        <v>1662.5144580000001</v>
      </c>
      <c r="H113" s="31">
        <f t="shared" si="33"/>
        <v>1886.4574520000001</v>
      </c>
      <c r="I113" s="31">
        <f t="shared" si="33"/>
        <v>2056.833709</v>
      </c>
      <c r="J113" s="31">
        <f t="shared" si="33"/>
        <v>2237.752446</v>
      </c>
      <c r="K113" s="31">
        <f t="shared" si="33"/>
        <v>1519.5472609999999</v>
      </c>
      <c r="L113" s="31">
        <f t="shared" ref="L113:V113" si="34">L301</f>
        <v>2127.3661653999998</v>
      </c>
      <c r="M113" s="31">
        <f t="shared" si="34"/>
        <v>2446.4710902099996</v>
      </c>
      <c r="N113" s="31">
        <f t="shared" si="34"/>
        <v>2691.1181992309998</v>
      </c>
      <c r="O113" s="31">
        <f t="shared" si="34"/>
        <v>2906.4076551694802</v>
      </c>
      <c r="P113" s="31">
        <f t="shared" si="34"/>
        <v>3051.7280379279546</v>
      </c>
      <c r="Q113" s="31">
        <f t="shared" si="34"/>
        <v>3204.3144398243526</v>
      </c>
      <c r="R113" s="31">
        <f t="shared" si="34"/>
        <v>3364.5301618155704</v>
      </c>
      <c r="S113" s="31">
        <f t="shared" si="34"/>
        <v>3499.1113682881933</v>
      </c>
      <c r="T113" s="31">
        <f t="shared" si="34"/>
        <v>3639.0758230197212</v>
      </c>
      <c r="U113" s="31">
        <f t="shared" si="34"/>
        <v>3748.2480977103128</v>
      </c>
      <c r="V113" s="31">
        <f t="shared" si="34"/>
        <v>3837.4564024358183</v>
      </c>
    </row>
    <row r="114" spans="1:22">
      <c r="A114" s="7" t="str">
        <f>A303&amp;" (RHS)"</f>
        <v>COGS excluding D&amp;A (RHS)</v>
      </c>
      <c r="B114" s="31">
        <f>B303</f>
        <v>219.29774900000001</v>
      </c>
      <c r="C114" s="31">
        <f t="shared" ref="C114:K114" si="35">C303</f>
        <v>365.69984099999999</v>
      </c>
      <c r="D114" s="31">
        <f t="shared" si="35"/>
        <v>382.82878399999998</v>
      </c>
      <c r="E114" s="31">
        <f t="shared" si="35"/>
        <v>465.87892900000003</v>
      </c>
      <c r="F114" s="31">
        <f t="shared" si="35"/>
        <v>576.49854000000005</v>
      </c>
      <c r="G114" s="31">
        <f t="shared" si="35"/>
        <v>533.10691799999995</v>
      </c>
      <c r="H114" s="31">
        <f t="shared" si="35"/>
        <v>493.21565600000002</v>
      </c>
      <c r="I114" s="31">
        <f t="shared" si="35"/>
        <v>598.31434300000001</v>
      </c>
      <c r="J114" s="31">
        <f t="shared" si="35"/>
        <v>708.17950800000006</v>
      </c>
      <c r="K114" s="31">
        <f t="shared" si="35"/>
        <v>632.61111400000004</v>
      </c>
      <c r="L114" s="31">
        <f t="shared" ref="L114:U114" si="36">L303</f>
        <v>540.35975347631927</v>
      </c>
      <c r="M114" s="31">
        <f t="shared" si="36"/>
        <v>721.351183197767</v>
      </c>
      <c r="N114" s="31">
        <f t="shared" si="36"/>
        <v>860.11127931754379</v>
      </c>
      <c r="O114" s="31">
        <f t="shared" si="36"/>
        <v>982.22016390294755</v>
      </c>
      <c r="P114" s="31">
        <f t="shared" si="36"/>
        <v>1064.6436609980951</v>
      </c>
      <c r="Q114" s="31">
        <f t="shared" si="36"/>
        <v>1151.1883329480002</v>
      </c>
      <c r="R114" s="31">
        <f t="shared" si="36"/>
        <v>1242.0602384954</v>
      </c>
      <c r="S114" s="31">
        <f t="shared" si="36"/>
        <v>1318.3926391552163</v>
      </c>
      <c r="T114" s="31">
        <f t="shared" si="36"/>
        <v>1397.7783358414249</v>
      </c>
      <c r="U114" s="31">
        <f t="shared" si="36"/>
        <v>1459.6991792566678</v>
      </c>
      <c r="V114" s="31">
        <f>V303</f>
        <v>1510.2967644393766</v>
      </c>
    </row>
    <row r="115" spans="1:22">
      <c r="A115" s="7" t="str">
        <f>A327&amp;" (LHS)"</f>
        <v>Net Income (LHS)</v>
      </c>
      <c r="B115" s="31">
        <f>B327</f>
        <v>196.26626999999999</v>
      </c>
      <c r="C115" s="31">
        <f t="shared" ref="C115:T115" si="37">C327</f>
        <v>169.862493</v>
      </c>
      <c r="D115" s="31">
        <f t="shared" si="37"/>
        <v>213.31031999999999</v>
      </c>
      <c r="E115" s="31">
        <f t="shared" si="37"/>
        <v>391.89433600000001</v>
      </c>
      <c r="F115" s="31">
        <f t="shared" si="37"/>
        <v>-52.482618000000002</v>
      </c>
      <c r="G115" s="31">
        <f t="shared" si="37"/>
        <v>120.790128</v>
      </c>
      <c r="H115" s="31">
        <f t="shared" si="37"/>
        <v>394.11017299999997</v>
      </c>
      <c r="I115" s="31">
        <f t="shared" si="37"/>
        <v>456.96939500000002</v>
      </c>
      <c r="J115" s="31">
        <f t="shared" si="37"/>
        <v>449.56332200000003</v>
      </c>
      <c r="K115" s="31">
        <f t="shared" si="37"/>
        <v>-465.777402</v>
      </c>
      <c r="L115" s="31">
        <f t="shared" si="37"/>
        <v>274.80332335997122</v>
      </c>
      <c r="M115" s="31">
        <f t="shared" si="37"/>
        <v>437.60092681803025</v>
      </c>
      <c r="N115" s="31">
        <f t="shared" si="37"/>
        <v>476.99474089154006</v>
      </c>
      <c r="O115" s="31">
        <f t="shared" si="37"/>
        <v>511.66129727622871</v>
      </c>
      <c r="P115" s="31">
        <f t="shared" si="37"/>
        <v>535.06122283589343</v>
      </c>
      <c r="Q115" s="31">
        <f t="shared" si="37"/>
        <v>559.63114467354148</v>
      </c>
      <c r="R115" s="31">
        <f t="shared" si="37"/>
        <v>585.42956260307187</v>
      </c>
      <c r="S115" s="31">
        <f t="shared" si="37"/>
        <v>607.10023366387748</v>
      </c>
      <c r="T115" s="31">
        <f t="shared" si="37"/>
        <v>629.63773156711522</v>
      </c>
      <c r="U115" s="31">
        <f>U327</f>
        <v>647.21697993164071</v>
      </c>
      <c r="V115" s="31">
        <f>V327</f>
        <v>661.58156974523979</v>
      </c>
    </row>
    <row r="116" spans="1:22">
      <c r="A116" s="7" t="str">
        <f>G22&amp;" (LHS)"</f>
        <v>Total FCF (LHS)</v>
      </c>
      <c r="L116" s="31">
        <f>L22</f>
        <v>623.27118528967333</v>
      </c>
      <c r="M116" s="31">
        <f t="shared" ref="M116:U116" si="38">M22</f>
        <v>576.85033027052157</v>
      </c>
      <c r="N116" s="31">
        <f t="shared" si="38"/>
        <v>578.38694408817037</v>
      </c>
      <c r="O116" s="31">
        <f t="shared" si="38"/>
        <v>609.91024829429784</v>
      </c>
      <c r="P116" s="31">
        <f t="shared" si="38"/>
        <v>589.34828413940613</v>
      </c>
      <c r="Q116" s="31">
        <f t="shared" si="38"/>
        <v>635.11072998666532</v>
      </c>
      <c r="R116" s="31">
        <f t="shared" si="38"/>
        <v>683.16129812630493</v>
      </c>
      <c r="S116" s="31">
        <f t="shared" si="38"/>
        <v>696.79156485507679</v>
      </c>
      <c r="T116" s="31">
        <f t="shared" si="38"/>
        <v>737.69925276152253</v>
      </c>
      <c r="U116" s="31">
        <f t="shared" si="38"/>
        <v>740.41567545324688</v>
      </c>
      <c r="V116" s="31">
        <f>V22</f>
        <v>746.97127675502225</v>
      </c>
    </row>
    <row r="117" spans="1:22">
      <c r="J117" s="13"/>
      <c r="M117" s="6"/>
    </row>
    <row r="118" spans="1:22">
      <c r="H118" s="2" t="s">
        <v>280</v>
      </c>
      <c r="I118" s="2"/>
      <c r="J118" s="2"/>
      <c r="K118" s="2"/>
      <c r="L118" s="2"/>
      <c r="M118" s="2"/>
      <c r="N118" s="2"/>
      <c r="O118" s="2"/>
      <c r="P118" s="2"/>
      <c r="Q118" s="2"/>
      <c r="R118" s="2"/>
      <c r="S118" s="2"/>
    </row>
    <row r="119" spans="1:22">
      <c r="H119" s="2"/>
      <c r="I119" s="2"/>
      <c r="J119" s="2"/>
      <c r="K119" s="2"/>
      <c r="L119" s="2"/>
      <c r="M119" s="2"/>
      <c r="N119" s="2"/>
      <c r="O119" s="2"/>
      <c r="P119" s="2"/>
      <c r="Q119" s="2"/>
      <c r="R119" s="2"/>
      <c r="S119" s="2"/>
    </row>
    <row r="120" spans="1:22">
      <c r="H120" s="2"/>
      <c r="I120" s="2"/>
      <c r="J120" s="2"/>
      <c r="K120" s="2"/>
      <c r="L120" s="2"/>
      <c r="M120" s="2"/>
      <c r="N120" s="2"/>
      <c r="O120" s="2"/>
      <c r="P120" s="2"/>
      <c r="Q120" s="2"/>
      <c r="R120" s="2"/>
      <c r="S120" s="2"/>
    </row>
    <row r="121" spans="1:22">
      <c r="H121" s="2"/>
      <c r="I121" s="2"/>
      <c r="J121" s="2"/>
      <c r="K121" s="2"/>
      <c r="L121" s="2"/>
      <c r="M121" s="2"/>
      <c r="N121" s="2"/>
      <c r="O121" s="2"/>
      <c r="P121" s="2"/>
      <c r="Q121" s="2"/>
      <c r="R121" s="2"/>
      <c r="S121" s="2"/>
    </row>
    <row r="122" spans="1:22">
      <c r="H122" s="2"/>
      <c r="I122" s="2"/>
      <c r="J122" s="2"/>
      <c r="K122" s="2"/>
      <c r="L122" s="2"/>
      <c r="M122" s="2"/>
      <c r="N122" s="2"/>
      <c r="O122" s="2"/>
      <c r="P122" s="2"/>
      <c r="Q122" s="2"/>
      <c r="R122" s="2"/>
      <c r="S122" s="2"/>
    </row>
    <row r="123" spans="1:22">
      <c r="H123" s="2"/>
      <c r="I123" s="2"/>
      <c r="J123" s="2"/>
      <c r="K123" s="2"/>
      <c r="L123" s="2"/>
      <c r="M123" s="2"/>
      <c r="N123" s="2"/>
      <c r="O123" s="2"/>
      <c r="P123" s="2"/>
      <c r="Q123" s="2"/>
      <c r="R123" s="2"/>
      <c r="S123" s="2"/>
    </row>
    <row r="124" spans="1:22">
      <c r="H124" s="2"/>
      <c r="I124" s="2"/>
      <c r="J124" s="2"/>
      <c r="K124" s="2"/>
      <c r="L124" s="2"/>
      <c r="M124" s="2"/>
      <c r="N124" s="2"/>
      <c r="O124" s="2"/>
      <c r="P124" s="2"/>
      <c r="Q124" s="2"/>
      <c r="R124" s="2"/>
      <c r="S124" s="2"/>
    </row>
    <row r="125" spans="1:22">
      <c r="H125" s="2"/>
      <c r="I125" s="2"/>
      <c r="J125" s="2"/>
      <c r="K125" s="2"/>
      <c r="L125" s="2"/>
      <c r="M125" s="2"/>
      <c r="N125" s="2"/>
      <c r="O125" s="2"/>
      <c r="P125" s="2"/>
      <c r="Q125" s="2"/>
      <c r="R125" s="2"/>
      <c r="S125" s="2"/>
    </row>
    <row r="126" spans="1:22">
      <c r="H126" s="2"/>
      <c r="I126" s="2"/>
      <c r="J126" s="2"/>
      <c r="K126" s="2"/>
      <c r="L126" s="2"/>
      <c r="M126" s="2"/>
      <c r="N126" s="2"/>
      <c r="O126" s="2"/>
      <c r="P126" s="2"/>
      <c r="Q126" s="2"/>
      <c r="R126" s="2"/>
      <c r="S126" s="2"/>
    </row>
    <row r="127" spans="1:22">
      <c r="H127" s="2"/>
      <c r="I127" s="2"/>
      <c r="J127" s="2"/>
      <c r="K127" s="2"/>
      <c r="L127" s="2"/>
      <c r="M127" s="2"/>
      <c r="N127" s="2"/>
      <c r="O127" s="2"/>
      <c r="P127" s="2"/>
      <c r="Q127" s="2"/>
      <c r="R127" s="2"/>
      <c r="S127" s="2"/>
    </row>
    <row r="128" spans="1:22">
      <c r="H128" s="2"/>
      <c r="I128" s="2"/>
      <c r="J128" s="2"/>
      <c r="K128" s="2"/>
      <c r="L128" s="2"/>
      <c r="M128" s="2"/>
      <c r="N128" s="2"/>
      <c r="O128" s="2"/>
      <c r="P128" s="2"/>
      <c r="Q128" s="2"/>
      <c r="R128" s="2"/>
      <c r="S128" s="2"/>
    </row>
    <row r="129" spans="1:22">
      <c r="H129" s="2"/>
      <c r="I129" s="2"/>
      <c r="J129" s="2"/>
      <c r="K129" s="2"/>
      <c r="L129" s="2"/>
      <c r="M129" s="2"/>
      <c r="N129" s="2"/>
      <c r="O129" s="2"/>
      <c r="P129" s="2"/>
      <c r="Q129" s="2"/>
      <c r="R129" s="2"/>
      <c r="S129" s="2"/>
    </row>
    <row r="130" spans="1:22">
      <c r="H130" s="2"/>
      <c r="I130" s="2"/>
      <c r="J130" s="2"/>
      <c r="K130" s="2"/>
      <c r="L130" s="2"/>
      <c r="M130" s="2"/>
      <c r="N130" s="2"/>
      <c r="O130" s="2"/>
      <c r="P130" s="2"/>
      <c r="Q130" s="2"/>
      <c r="R130" s="2"/>
      <c r="S130" s="2"/>
    </row>
    <row r="131" spans="1:22">
      <c r="H131" s="2"/>
      <c r="I131" s="2"/>
      <c r="J131" s="2"/>
      <c r="K131" s="2"/>
      <c r="L131" s="2"/>
      <c r="M131" s="2"/>
      <c r="N131" s="2"/>
      <c r="O131" s="2"/>
      <c r="P131" s="2"/>
      <c r="Q131" s="2"/>
      <c r="R131" s="2"/>
      <c r="S131" s="2"/>
    </row>
    <row r="132" spans="1:22">
      <c r="H132" s="2"/>
      <c r="I132" s="2"/>
      <c r="J132" s="2"/>
      <c r="K132" s="2"/>
      <c r="L132" s="2"/>
      <c r="M132" s="2"/>
      <c r="N132" s="2"/>
      <c r="O132" s="2"/>
      <c r="P132" s="2"/>
      <c r="Q132" s="2"/>
      <c r="R132" s="2"/>
      <c r="S132" s="2"/>
    </row>
    <row r="133" spans="1:22">
      <c r="H133" s="2"/>
      <c r="I133" s="2"/>
      <c r="J133" s="2"/>
      <c r="K133" s="2"/>
      <c r="L133" s="2"/>
      <c r="M133" s="2"/>
      <c r="N133" s="2"/>
      <c r="O133" s="2"/>
      <c r="P133" s="2"/>
      <c r="Q133" s="2"/>
      <c r="R133" s="2"/>
      <c r="S133" s="2"/>
    </row>
    <row r="134" spans="1:22">
      <c r="G134" s="3"/>
      <c r="H134" s="2"/>
      <c r="I134" s="2"/>
      <c r="J134" s="2"/>
      <c r="K134" s="2"/>
      <c r="L134" s="2"/>
      <c r="M134" s="2"/>
      <c r="N134" s="2"/>
      <c r="O134" s="2"/>
      <c r="P134" s="2"/>
      <c r="Q134" s="2"/>
      <c r="R134" s="2"/>
      <c r="S134" s="2"/>
      <c r="U134" s="13"/>
      <c r="V134" s="13"/>
    </row>
    <row r="135" spans="1:22">
      <c r="G135" s="10"/>
      <c r="H135" s="2"/>
      <c r="I135" s="2"/>
      <c r="J135" s="2"/>
      <c r="K135" s="2"/>
      <c r="L135" s="2"/>
      <c r="M135" s="2"/>
      <c r="N135" s="2"/>
      <c r="O135" s="2"/>
      <c r="P135" s="2"/>
      <c r="Q135" s="2"/>
      <c r="R135" s="2"/>
      <c r="S135" s="2"/>
      <c r="U135" s="13"/>
      <c r="V135" s="13"/>
    </row>
    <row r="136" spans="1:22">
      <c r="H136" s="2"/>
      <c r="I136" s="2"/>
      <c r="J136" s="2"/>
      <c r="K136" s="2"/>
      <c r="L136" s="2"/>
      <c r="M136" s="2"/>
      <c r="N136" s="2"/>
      <c r="O136" s="2"/>
      <c r="P136" s="2"/>
      <c r="Q136" s="2"/>
      <c r="R136" s="2"/>
      <c r="S136" s="2"/>
      <c r="U136" s="13"/>
      <c r="V136" s="13"/>
    </row>
    <row r="137" spans="1:22">
      <c r="H137" s="2"/>
      <c r="I137" s="2"/>
      <c r="J137" s="2"/>
      <c r="K137" s="2"/>
      <c r="L137" s="2"/>
      <c r="M137" s="2"/>
      <c r="N137" s="2"/>
      <c r="O137" s="2"/>
      <c r="P137" s="2"/>
      <c r="Q137" s="2"/>
      <c r="R137" s="2"/>
      <c r="S137" s="2"/>
      <c r="U137" s="13"/>
      <c r="V137" s="13"/>
    </row>
    <row r="138" spans="1:22">
      <c r="U138" s="13"/>
      <c r="V138" s="13"/>
    </row>
    <row r="139" spans="1:22">
      <c r="A139" s="3" t="s">
        <v>286</v>
      </c>
      <c r="H139" s="2" t="s">
        <v>280</v>
      </c>
      <c r="I139" s="2"/>
      <c r="J139" s="2"/>
      <c r="K139" s="2"/>
      <c r="L139" s="103">
        <f>L1</f>
        <v>44561</v>
      </c>
      <c r="M139" s="103">
        <f t="shared" ref="M139:V139" si="39">M1</f>
        <v>44926</v>
      </c>
      <c r="N139" s="103">
        <f t="shared" si="39"/>
        <v>45291</v>
      </c>
      <c r="O139" s="103">
        <f t="shared" si="39"/>
        <v>45657</v>
      </c>
      <c r="P139" s="103">
        <f t="shared" si="39"/>
        <v>46022</v>
      </c>
      <c r="Q139" s="103">
        <f t="shared" si="39"/>
        <v>46387</v>
      </c>
      <c r="R139" s="103">
        <f t="shared" si="39"/>
        <v>46752</v>
      </c>
      <c r="S139" s="103">
        <f t="shared" si="39"/>
        <v>47118</v>
      </c>
      <c r="T139" s="103">
        <f t="shared" si="39"/>
        <v>47483</v>
      </c>
      <c r="U139" s="103">
        <f t="shared" si="39"/>
        <v>47848</v>
      </c>
      <c r="V139" s="103">
        <f t="shared" si="39"/>
        <v>48213</v>
      </c>
    </row>
    <row r="140" spans="1:22">
      <c r="A140" s="7" t="s">
        <v>273</v>
      </c>
      <c r="H140" s="2"/>
      <c r="I140" s="2"/>
      <c r="J140" s="2"/>
      <c r="K140" s="2" t="str">
        <f t="shared" ref="K140:K145" si="40">G17</f>
        <v>Net income</v>
      </c>
      <c r="L140" s="31">
        <f t="shared" ref="L140:V140" si="41">L17</f>
        <v>274.80332335997122</v>
      </c>
      <c r="M140" s="31">
        <f t="shared" si="41"/>
        <v>437.60092681803025</v>
      </c>
      <c r="N140" s="31">
        <f t="shared" si="41"/>
        <v>476.99474089154006</v>
      </c>
      <c r="O140" s="31">
        <f t="shared" si="41"/>
        <v>511.66129727622871</v>
      </c>
      <c r="P140" s="31">
        <f t="shared" si="41"/>
        <v>535.06122283589343</v>
      </c>
      <c r="Q140" s="31">
        <f t="shared" si="41"/>
        <v>559.63114467354148</v>
      </c>
      <c r="R140" s="31">
        <f t="shared" si="41"/>
        <v>585.42956260307187</v>
      </c>
      <c r="S140" s="31">
        <f t="shared" si="41"/>
        <v>607.10023366387748</v>
      </c>
      <c r="T140" s="31">
        <f t="shared" si="41"/>
        <v>629.63773156711522</v>
      </c>
      <c r="U140" s="31">
        <f t="shared" si="41"/>
        <v>647.21697993164071</v>
      </c>
      <c r="V140" s="31">
        <f t="shared" si="41"/>
        <v>661.58156974523979</v>
      </c>
    </row>
    <row r="141" spans="1:22">
      <c r="H141" s="2"/>
      <c r="I141" s="2"/>
      <c r="J141" s="2"/>
      <c r="K141" s="2" t="str">
        <f t="shared" si="40"/>
        <v>Add: Depr &amp; amort</v>
      </c>
      <c r="L141" s="31">
        <f t="shared" ref="L141:V141" si="42">L18</f>
        <v>666.24977799999999</v>
      </c>
      <c r="M141" s="31">
        <f t="shared" si="42"/>
        <v>666.24977799999999</v>
      </c>
      <c r="N141" s="31">
        <f t="shared" si="42"/>
        <v>666.24977799999999</v>
      </c>
      <c r="O141" s="31">
        <f t="shared" si="42"/>
        <v>666.24977799999999</v>
      </c>
      <c r="P141" s="31">
        <f t="shared" si="42"/>
        <v>666.24977799999999</v>
      </c>
      <c r="Q141" s="31">
        <f t="shared" si="42"/>
        <v>666.24977799999999</v>
      </c>
      <c r="R141" s="31">
        <f t="shared" si="42"/>
        <v>666.24977799999999</v>
      </c>
      <c r="S141" s="31">
        <f t="shared" si="42"/>
        <v>666.24977799999999</v>
      </c>
      <c r="T141" s="31">
        <f t="shared" si="42"/>
        <v>666.24977799999999</v>
      </c>
      <c r="U141" s="31">
        <f t="shared" si="42"/>
        <v>666.24977799999999</v>
      </c>
      <c r="V141" s="31">
        <f t="shared" si="42"/>
        <v>666.24977799999999</v>
      </c>
    </row>
    <row r="142" spans="1:22">
      <c r="H142" s="2"/>
      <c r="I142" s="2"/>
      <c r="J142" s="2"/>
      <c r="K142" s="2" t="str">
        <f t="shared" si="40"/>
        <v>Less: Capex</v>
      </c>
      <c r="L142" s="31">
        <f t="shared" ref="L142:V142" si="43">L19</f>
        <v>-1660.8447528888887</v>
      </c>
      <c r="M142" s="31">
        <f t="shared" si="43"/>
        <v>-1363.9547637888886</v>
      </c>
      <c r="N142" s="31">
        <f t="shared" si="43"/>
        <v>-1287.3883981788881</v>
      </c>
      <c r="O142" s="31">
        <f t="shared" si="43"/>
        <v>-1257.1993740240891</v>
      </c>
      <c r="P142" s="31">
        <f t="shared" si="43"/>
        <v>-1185.2488664551479</v>
      </c>
      <c r="Q142" s="31">
        <f t="shared" si="43"/>
        <v>-1192.7206499334666</v>
      </c>
      <c r="R142" s="31">
        <f t="shared" si="43"/>
        <v>-1200.5660225856868</v>
      </c>
      <c r="S142" s="31">
        <f t="shared" si="43"/>
        <v>-1174.2055704742038</v>
      </c>
      <c r="T142" s="31">
        <f t="shared" si="43"/>
        <v>-1179.7412654176137</v>
      </c>
      <c r="U142" s="31">
        <f t="shared" si="43"/>
        <v>-1148.0770903412945</v>
      </c>
      <c r="V142" s="31">
        <f t="shared" si="43"/>
        <v>-1127.5477663586339</v>
      </c>
    </row>
    <row r="143" spans="1:22">
      <c r="H143" s="2"/>
      <c r="I143" s="2"/>
      <c r="J143" s="2"/>
      <c r="K143" s="2" t="str">
        <f t="shared" si="40"/>
        <v>Less: Δ in WC</v>
      </c>
      <c r="L143" s="31">
        <f t="shared" ref="L143:V143" si="44">L20</f>
        <v>1132.1085977999996</v>
      </c>
      <c r="M143" s="31">
        <f t="shared" si="44"/>
        <v>594.35701437</v>
      </c>
      <c r="N143" s="31">
        <f t="shared" si="44"/>
        <v>455.67371101700041</v>
      </c>
      <c r="O143" s="31">
        <f t="shared" si="44"/>
        <v>400.99286569495882</v>
      </c>
      <c r="P143" s="31">
        <f t="shared" si="44"/>
        <v>270.67018434410113</v>
      </c>
      <c r="Q143" s="31">
        <f t="shared" si="44"/>
        <v>284.20369356130288</v>
      </c>
      <c r="R143" s="31">
        <f t="shared" si="44"/>
        <v>298.41387823936793</v>
      </c>
      <c r="S143" s="31">
        <f t="shared" si="44"/>
        <v>250.66765772106919</v>
      </c>
      <c r="T143" s="31">
        <f t="shared" si="44"/>
        <v>260.69436402991391</v>
      </c>
      <c r="U143" s="31">
        <f t="shared" si="44"/>
        <v>203.34160394333026</v>
      </c>
      <c r="V143" s="31">
        <f t="shared" si="44"/>
        <v>166.15720263556</v>
      </c>
    </row>
    <row r="144" spans="1:22">
      <c r="H144" s="2"/>
      <c r="I144" s="2"/>
      <c r="J144" s="2"/>
      <c r="K144" s="2" t="str">
        <f t="shared" si="40"/>
        <v>Add: Interest exp after tax</v>
      </c>
      <c r="L144" s="31">
        <f t="shared" ref="L144:V144" si="45">L21</f>
        <v>210.95423901859124</v>
      </c>
      <c r="M144" s="31">
        <f t="shared" si="45"/>
        <v>242.59737487137997</v>
      </c>
      <c r="N144" s="31">
        <f t="shared" si="45"/>
        <v>266.85711235851795</v>
      </c>
      <c r="O144" s="31">
        <f t="shared" si="45"/>
        <v>288.20568134719946</v>
      </c>
      <c r="P144" s="31">
        <f t="shared" si="45"/>
        <v>302.61596541455941</v>
      </c>
      <c r="Q144" s="31">
        <f t="shared" si="45"/>
        <v>317.74676368528748</v>
      </c>
      <c r="R144" s="31">
        <f t="shared" si="45"/>
        <v>333.6341018695519</v>
      </c>
      <c r="S144" s="31">
        <f t="shared" si="45"/>
        <v>346.97946594433392</v>
      </c>
      <c r="T144" s="31">
        <f t="shared" si="45"/>
        <v>360.85864458210727</v>
      </c>
      <c r="U144" s="31">
        <f t="shared" si="45"/>
        <v>371.68440391957057</v>
      </c>
      <c r="V144" s="31">
        <f t="shared" si="45"/>
        <v>380.53049273285632</v>
      </c>
    </row>
    <row r="145" spans="8:22">
      <c r="H145" s="2"/>
      <c r="I145" s="2"/>
      <c r="J145" s="2"/>
      <c r="K145" s="2" t="str">
        <f t="shared" si="40"/>
        <v>Total FCF</v>
      </c>
      <c r="L145" s="31">
        <f t="shared" ref="L145:V145" si="46">L22</f>
        <v>623.27118528967333</v>
      </c>
      <c r="M145" s="31">
        <f t="shared" si="46"/>
        <v>576.85033027052157</v>
      </c>
      <c r="N145" s="31">
        <f t="shared" si="46"/>
        <v>578.38694408817037</v>
      </c>
      <c r="O145" s="31">
        <f t="shared" si="46"/>
        <v>609.91024829429784</v>
      </c>
      <c r="P145" s="31">
        <f t="shared" si="46"/>
        <v>589.34828413940613</v>
      </c>
      <c r="Q145" s="31">
        <f t="shared" si="46"/>
        <v>635.11072998666532</v>
      </c>
      <c r="R145" s="31">
        <f t="shared" si="46"/>
        <v>683.16129812630493</v>
      </c>
      <c r="S145" s="31">
        <f t="shared" si="46"/>
        <v>696.79156485507679</v>
      </c>
      <c r="T145" s="31">
        <f t="shared" si="46"/>
        <v>737.69925276152253</v>
      </c>
      <c r="U145" s="31">
        <f t="shared" si="46"/>
        <v>740.41567545324688</v>
      </c>
      <c r="V145" s="31">
        <f t="shared" si="46"/>
        <v>746.97127675502225</v>
      </c>
    </row>
    <row r="146" spans="8:22">
      <c r="H146" s="2"/>
      <c r="I146" s="2"/>
      <c r="J146" s="2"/>
      <c r="K146" s="2"/>
      <c r="L146" s="2"/>
      <c r="M146" s="2"/>
      <c r="N146" s="2"/>
      <c r="O146" s="2"/>
      <c r="P146" s="2"/>
      <c r="Q146" s="2"/>
      <c r="R146" s="2"/>
      <c r="S146" s="2"/>
    </row>
    <row r="147" spans="8:22">
      <c r="H147" s="2"/>
      <c r="I147" s="2"/>
      <c r="J147" s="2"/>
      <c r="K147" s="2"/>
      <c r="L147" s="2"/>
      <c r="M147" s="2"/>
      <c r="N147" s="2"/>
      <c r="O147" s="2"/>
      <c r="P147" s="2"/>
      <c r="Q147" s="2"/>
      <c r="R147" s="2"/>
      <c r="S147" s="2"/>
    </row>
    <row r="148" spans="8:22">
      <c r="H148" s="2"/>
      <c r="I148" s="2"/>
      <c r="J148" s="2"/>
      <c r="K148" s="2"/>
      <c r="L148" s="2"/>
      <c r="M148" s="2"/>
      <c r="N148" s="2"/>
      <c r="O148" s="2"/>
      <c r="P148" s="2"/>
      <c r="Q148" s="2"/>
      <c r="R148" s="2"/>
      <c r="S148" s="2"/>
    </row>
    <row r="149" spans="8:22">
      <c r="H149" s="2"/>
      <c r="I149" s="2"/>
      <c r="J149" s="2"/>
      <c r="K149" s="2"/>
      <c r="L149" s="2"/>
      <c r="M149" s="2"/>
      <c r="N149" s="2"/>
      <c r="O149" s="2"/>
      <c r="P149" s="2"/>
      <c r="Q149" s="2"/>
      <c r="R149" s="2"/>
      <c r="S149" s="2"/>
    </row>
    <row r="150" spans="8:22">
      <c r="H150" s="2"/>
      <c r="I150" s="2"/>
      <c r="J150" s="2"/>
      <c r="K150" s="2"/>
      <c r="L150" s="2"/>
      <c r="M150" s="2"/>
      <c r="N150" s="2"/>
      <c r="O150" s="2"/>
      <c r="P150" s="2"/>
      <c r="Q150" s="2"/>
      <c r="R150" s="2"/>
      <c r="S150" s="2"/>
    </row>
    <row r="151" spans="8:22">
      <c r="H151" s="2"/>
      <c r="I151" s="2"/>
      <c r="J151" s="2"/>
      <c r="K151" s="2"/>
      <c r="L151" s="2"/>
      <c r="M151" s="2"/>
      <c r="N151" s="2"/>
      <c r="O151" s="2"/>
      <c r="P151" s="2"/>
      <c r="Q151" s="2"/>
      <c r="R151" s="2"/>
      <c r="S151" s="2"/>
    </row>
    <row r="152" spans="8:22">
      <c r="H152" s="2"/>
      <c r="I152" s="2"/>
      <c r="J152" s="2"/>
      <c r="K152" s="2"/>
      <c r="L152" s="2"/>
      <c r="M152" s="2"/>
      <c r="N152" s="2"/>
      <c r="O152" s="2"/>
      <c r="P152" s="2"/>
      <c r="Q152" s="2"/>
      <c r="R152" s="2"/>
      <c r="S152" s="2"/>
    </row>
    <row r="153" spans="8:22">
      <c r="H153" s="2"/>
      <c r="I153" s="2"/>
      <c r="J153" s="2"/>
      <c r="K153" s="2"/>
      <c r="L153" s="2"/>
      <c r="M153" s="2"/>
      <c r="N153" s="2"/>
      <c r="O153" s="2"/>
      <c r="P153" s="2"/>
      <c r="Q153" s="2"/>
      <c r="R153" s="2"/>
      <c r="S153" s="2"/>
    </row>
    <row r="154" spans="8:22">
      <c r="H154" s="2"/>
      <c r="I154" s="2"/>
      <c r="J154" s="2"/>
      <c r="K154" s="2"/>
      <c r="L154" s="2"/>
      <c r="M154" s="2"/>
      <c r="N154" s="2"/>
      <c r="O154" s="2"/>
      <c r="P154" s="2"/>
      <c r="Q154" s="2"/>
      <c r="R154" s="2"/>
      <c r="S154" s="2"/>
    </row>
    <row r="155" spans="8:22">
      <c r="H155" s="2"/>
      <c r="I155" s="2"/>
      <c r="J155" s="2"/>
      <c r="K155" s="2"/>
      <c r="L155" s="2"/>
      <c r="M155" s="2"/>
      <c r="N155" s="2"/>
      <c r="O155" s="2"/>
      <c r="P155" s="2"/>
      <c r="Q155" s="2"/>
      <c r="R155" s="2"/>
      <c r="S155" s="2"/>
    </row>
    <row r="156" spans="8:22">
      <c r="H156" s="2"/>
      <c r="I156" s="2"/>
      <c r="J156" s="2"/>
      <c r="K156" s="2"/>
      <c r="L156" s="2"/>
      <c r="M156" s="2"/>
      <c r="N156" s="2"/>
      <c r="O156" s="2"/>
      <c r="P156" s="2"/>
      <c r="Q156" s="2"/>
      <c r="R156" s="2"/>
      <c r="S156" s="2"/>
    </row>
    <row r="157" spans="8:22">
      <c r="H157" s="2"/>
      <c r="I157" s="2"/>
      <c r="J157" s="2"/>
      <c r="K157" s="2"/>
      <c r="L157" s="2"/>
      <c r="M157" s="2"/>
      <c r="N157" s="2"/>
      <c r="O157" s="2"/>
      <c r="P157" s="2"/>
      <c r="Q157" s="2"/>
      <c r="R157" s="2"/>
      <c r="S157" s="2"/>
    </row>
    <row r="158" spans="8:22">
      <c r="H158" s="2"/>
      <c r="I158" s="2"/>
      <c r="J158" s="2"/>
      <c r="K158" s="2"/>
      <c r="L158" s="2"/>
      <c r="M158" s="2"/>
      <c r="N158" s="2"/>
      <c r="O158" s="2"/>
      <c r="P158" s="2"/>
      <c r="Q158" s="2"/>
      <c r="R158" s="2"/>
      <c r="S158" s="2"/>
    </row>
    <row r="159" spans="8:22">
      <c r="H159" s="2"/>
      <c r="I159" s="2"/>
      <c r="J159" s="2"/>
      <c r="K159" s="2"/>
      <c r="L159" s="2"/>
      <c r="M159" s="2"/>
      <c r="N159" s="2"/>
      <c r="O159" s="2"/>
      <c r="P159" s="2"/>
      <c r="Q159" s="2"/>
      <c r="R159" s="2"/>
      <c r="S159" s="2"/>
    </row>
    <row r="160" spans="8:22">
      <c r="H160" s="2"/>
      <c r="I160" s="2"/>
      <c r="J160" s="2"/>
      <c r="K160" s="2"/>
      <c r="L160" s="2"/>
      <c r="M160" s="2"/>
      <c r="N160" s="2"/>
      <c r="O160" s="2"/>
      <c r="P160" s="2"/>
      <c r="Q160" s="2"/>
      <c r="R160" s="2"/>
      <c r="S160" s="2"/>
    </row>
    <row r="161" spans="1:22">
      <c r="H161" s="2"/>
      <c r="I161" s="2"/>
      <c r="J161" s="2"/>
      <c r="K161" s="2"/>
      <c r="L161" s="2"/>
      <c r="M161" s="2"/>
      <c r="N161" s="2"/>
      <c r="O161" s="2"/>
      <c r="P161" s="2"/>
      <c r="Q161" s="2"/>
      <c r="R161" s="2"/>
      <c r="S161" s="2"/>
    </row>
    <row r="162" spans="1:22">
      <c r="H162" s="2"/>
      <c r="I162" s="2"/>
      <c r="J162" s="2"/>
      <c r="K162" s="2"/>
      <c r="L162" s="2"/>
      <c r="M162" s="2"/>
      <c r="N162" s="2"/>
      <c r="O162" s="2"/>
      <c r="P162" s="2"/>
      <c r="Q162" s="2"/>
      <c r="R162" s="2"/>
      <c r="S162" s="2"/>
    </row>
    <row r="163" spans="1:22">
      <c r="H163" s="2"/>
      <c r="I163" s="2"/>
      <c r="J163" s="2"/>
      <c r="K163" s="2"/>
      <c r="L163" s="2"/>
      <c r="M163" s="2"/>
      <c r="N163" s="2"/>
      <c r="O163" s="2"/>
      <c r="P163" s="2"/>
      <c r="Q163" s="2"/>
      <c r="R163" s="2"/>
      <c r="S163" s="2"/>
    </row>
    <row r="164" spans="1:22">
      <c r="H164" s="2"/>
      <c r="I164" s="2"/>
      <c r="J164" s="2"/>
      <c r="K164" s="2"/>
      <c r="L164" s="2"/>
      <c r="M164" s="2"/>
      <c r="N164" s="2"/>
      <c r="O164" s="2"/>
      <c r="P164" s="2"/>
      <c r="Q164" s="2"/>
      <c r="R164" s="2"/>
      <c r="S164" s="2"/>
    </row>
    <row r="165" spans="1:22">
      <c r="J165" s="13"/>
      <c r="M165" s="6"/>
    </row>
    <row r="166" spans="1:22">
      <c r="A166" s="3" t="s">
        <v>285</v>
      </c>
      <c r="J166" s="13"/>
      <c r="M166" s="6"/>
    </row>
    <row r="167" spans="1:22">
      <c r="A167" s="7" t="s">
        <v>277</v>
      </c>
      <c r="G167" s="3"/>
      <c r="J167" s="13"/>
      <c r="M167" s="6"/>
    </row>
    <row r="168" spans="1:22">
      <c r="B168" s="1">
        <f t="shared" ref="B168:V168" si="47">B1</f>
        <v>40908</v>
      </c>
      <c r="C168" s="1">
        <f t="shared" si="47"/>
        <v>41274</v>
      </c>
      <c r="D168" s="1">
        <f t="shared" si="47"/>
        <v>41639</v>
      </c>
      <c r="E168" s="1">
        <f t="shared" si="47"/>
        <v>42004</v>
      </c>
      <c r="F168" s="1">
        <f t="shared" si="47"/>
        <v>42369</v>
      </c>
      <c r="G168" s="1">
        <f t="shared" si="47"/>
        <v>42735</v>
      </c>
      <c r="H168" s="1">
        <f t="shared" si="47"/>
        <v>43100</v>
      </c>
      <c r="I168" s="1">
        <f t="shared" si="47"/>
        <v>43465</v>
      </c>
      <c r="J168" s="1">
        <f t="shared" si="47"/>
        <v>43830</v>
      </c>
      <c r="K168" s="1">
        <f t="shared" si="47"/>
        <v>44196</v>
      </c>
      <c r="L168" s="1">
        <f t="shared" si="47"/>
        <v>44561</v>
      </c>
      <c r="M168" s="1">
        <f t="shared" si="47"/>
        <v>44926</v>
      </c>
      <c r="N168" s="1">
        <f t="shared" si="47"/>
        <v>45291</v>
      </c>
      <c r="O168" s="1">
        <f t="shared" si="47"/>
        <v>45657</v>
      </c>
      <c r="P168" s="1">
        <f t="shared" si="47"/>
        <v>46022</v>
      </c>
      <c r="Q168" s="1">
        <f t="shared" si="47"/>
        <v>46387</v>
      </c>
      <c r="R168" s="1">
        <f t="shared" si="47"/>
        <v>46752</v>
      </c>
      <c r="S168" s="1">
        <f t="shared" si="47"/>
        <v>47118</v>
      </c>
      <c r="T168" s="1">
        <f t="shared" si="47"/>
        <v>47483</v>
      </c>
      <c r="U168" s="1">
        <f t="shared" si="47"/>
        <v>47848</v>
      </c>
      <c r="V168" s="1">
        <f t="shared" si="47"/>
        <v>48213</v>
      </c>
    </row>
    <row r="169" spans="1:22">
      <c r="A169" s="7" t="s">
        <v>196</v>
      </c>
      <c r="B169" s="2">
        <f>B327/B301</f>
        <v>0.27628812170195022</v>
      </c>
      <c r="C169" s="2">
        <f t="shared" ref="C169:V169" si="48">C327/C301</f>
        <v>0.24265717639702258</v>
      </c>
      <c r="D169" s="2">
        <f t="shared" si="48"/>
        <v>0.26847370068058135</v>
      </c>
      <c r="E169" s="2">
        <f t="shared" si="48"/>
        <v>0.21933965477488956</v>
      </c>
      <c r="F169" s="2">
        <f t="shared" si="48"/>
        <v>-2.4835280869809104E-2</v>
      </c>
      <c r="G169" s="2">
        <f t="shared" si="48"/>
        <v>7.2655084242280912E-2</v>
      </c>
      <c r="H169" s="2">
        <f t="shared" si="48"/>
        <v>0.20891548472623594</v>
      </c>
      <c r="I169" s="2">
        <f t="shared" si="48"/>
        <v>0.22217128832557462</v>
      </c>
      <c r="J169" s="2">
        <f t="shared" si="48"/>
        <v>0.20089948859338663</v>
      </c>
      <c r="K169" s="2">
        <f t="shared" si="48"/>
        <v>-0.30652380084149289</v>
      </c>
      <c r="L169" s="2">
        <f t="shared" si="48"/>
        <v>0.12917537555567032</v>
      </c>
      <c r="M169" s="2">
        <f t="shared" si="48"/>
        <v>0.17887026279164719</v>
      </c>
      <c r="N169" s="2">
        <f t="shared" si="48"/>
        <v>0.17724778533616384</v>
      </c>
      <c r="O169" s="2">
        <f t="shared" si="48"/>
        <v>0.17604595018395394</v>
      </c>
      <c r="P169" s="2">
        <f t="shared" si="48"/>
        <v>0.1753305721171623</v>
      </c>
      <c r="Q169" s="2">
        <f t="shared" si="48"/>
        <v>0.17464925967259887</v>
      </c>
      <c r="R169" s="2">
        <f t="shared" si="48"/>
        <v>0.17400039067777651</v>
      </c>
      <c r="S169" s="2">
        <f t="shared" si="48"/>
        <v>0.17350126068175936</v>
      </c>
      <c r="T169" s="2">
        <f t="shared" si="48"/>
        <v>0.17302132799328129</v>
      </c>
      <c r="U169" s="2">
        <f t="shared" si="48"/>
        <v>0.17267186244341864</v>
      </c>
      <c r="V169" s="2">
        <f t="shared" si="48"/>
        <v>0.17240106475875586</v>
      </c>
    </row>
    <row r="170" spans="1:22">
      <c r="A170" s="7" t="s">
        <v>385</v>
      </c>
      <c r="B170" s="2">
        <f>B301/B379</f>
        <v>0.12772098225219367</v>
      </c>
      <c r="C170" s="2">
        <f t="shared" ref="C170:V170" si="49">C301/C379</f>
        <v>0.10232002154014455</v>
      </c>
      <c r="D170" s="2">
        <f t="shared" si="49"/>
        <v>8.4405728618235545E-2</v>
      </c>
      <c r="E170" s="2">
        <f t="shared" si="49"/>
        <v>0.13630214103959892</v>
      </c>
      <c r="F170" s="2">
        <f t="shared" si="49"/>
        <v>0.14865164023037594</v>
      </c>
      <c r="G170" s="2">
        <f t="shared" si="49"/>
        <v>0.11888320986926545</v>
      </c>
      <c r="H170" s="2">
        <f t="shared" si="49"/>
        <v>0.14035605011024085</v>
      </c>
      <c r="I170" s="2">
        <f t="shared" si="49"/>
        <v>0.13565914539517701</v>
      </c>
      <c r="J170" s="2">
        <f t="shared" si="49"/>
        <v>0.13658959683006761</v>
      </c>
      <c r="K170" s="2">
        <f t="shared" si="49"/>
        <v>0.10296200904310013</v>
      </c>
      <c r="L170" s="2">
        <f t="shared" si="49"/>
        <v>0.11867933836066631</v>
      </c>
      <c r="M170" s="2">
        <f t="shared" si="49"/>
        <v>0.1238761280896722</v>
      </c>
      <c r="N170" s="2">
        <f t="shared" si="49"/>
        <v>0.12678665075696585</v>
      </c>
      <c r="O170" s="2">
        <f t="shared" si="49"/>
        <v>0.12874341505823586</v>
      </c>
      <c r="P170" s="2">
        <f t="shared" si="49"/>
        <v>0.12936244908733355</v>
      </c>
      <c r="Q170" s="2">
        <f t="shared" si="49"/>
        <v>0.12996389425148416</v>
      </c>
      <c r="R170" s="2">
        <f t="shared" si="49"/>
        <v>0.13054800367470878</v>
      </c>
      <c r="S170" s="2">
        <f t="shared" si="49"/>
        <v>0.13069051860604491</v>
      </c>
      <c r="T170" s="2">
        <f t="shared" si="49"/>
        <v>0.13083236406525378</v>
      </c>
      <c r="U170" s="2">
        <f t="shared" si="49"/>
        <v>0.13054432473429886</v>
      </c>
      <c r="V170" s="2">
        <f t="shared" si="49"/>
        <v>0.12999973181290012</v>
      </c>
    </row>
    <row r="171" spans="1:22">
      <c r="A171" s="7" t="s">
        <v>195</v>
      </c>
      <c r="B171" s="2">
        <f>B379/B407</f>
        <v>1.889822857257488</v>
      </c>
      <c r="C171" s="2">
        <f t="shared" ref="C171:V171" si="50">C379/C407</f>
        <v>2.2138263769482944</v>
      </c>
      <c r="D171" s="2">
        <f t="shared" si="50"/>
        <v>2.4616805007227582</v>
      </c>
      <c r="E171" s="2">
        <f t="shared" si="50"/>
        <v>2.1345731228455693</v>
      </c>
      <c r="F171" s="2">
        <f t="shared" si="50"/>
        <v>2.1962287451227218</v>
      </c>
      <c r="G171" s="2">
        <f t="shared" si="50"/>
        <v>2.1429527676866691</v>
      </c>
      <c r="H171" s="2">
        <f t="shared" si="50"/>
        <v>2.1290039964128389</v>
      </c>
      <c r="I171" s="2">
        <f t="shared" si="50"/>
        <v>2.0663337863002047</v>
      </c>
      <c r="J171" s="2">
        <f t="shared" si="50"/>
        <v>2.190101914715425</v>
      </c>
      <c r="K171" s="2">
        <f t="shared" si="50"/>
        <v>2.0444620656694248</v>
      </c>
      <c r="L171" s="2">
        <f t="shared" si="50"/>
        <v>2.4322588547965562</v>
      </c>
      <c r="M171" s="2">
        <f t="shared" si="50"/>
        <v>2.5950086114900635</v>
      </c>
      <c r="N171" s="2">
        <f t="shared" si="50"/>
        <v>2.696043965157203</v>
      </c>
      <c r="O171" s="2">
        <f t="shared" si="50"/>
        <v>2.7685123459808123</v>
      </c>
      <c r="P171" s="2">
        <f t="shared" si="50"/>
        <v>2.7922562907254194</v>
      </c>
      <c r="Q171" s="2">
        <f t="shared" si="50"/>
        <v>2.8157189495738439</v>
      </c>
      <c r="R171" s="2">
        <f t="shared" si="50"/>
        <v>2.8388858565219652</v>
      </c>
      <c r="S171" s="2">
        <f t="shared" si="50"/>
        <v>2.8445962434889238</v>
      </c>
      <c r="T171" s="2">
        <f t="shared" si="50"/>
        <v>2.8503026624806784</v>
      </c>
      <c r="U171" s="2">
        <f t="shared" si="50"/>
        <v>2.8387387497966565</v>
      </c>
      <c r="V171" s="2">
        <f t="shared" si="50"/>
        <v>2.8171294434195828</v>
      </c>
    </row>
    <row r="172" spans="1:22">
      <c r="A172" s="7" t="s">
        <v>197</v>
      </c>
      <c r="B172" s="2">
        <f>B169*B170*B171</f>
        <v>6.6687672669102013E-2</v>
      </c>
      <c r="C172" s="2">
        <f t="shared" ref="C172:V172" si="51">C169*C170*C171</f>
        <v>5.4966403327515873E-2</v>
      </c>
      <c r="D172" s="2">
        <f t="shared" si="51"/>
        <v>5.5783448422631519E-2</v>
      </c>
      <c r="E172" s="2">
        <f t="shared" si="51"/>
        <v>6.3816189719383687E-2</v>
      </c>
      <c r="F172" s="2">
        <f t="shared" si="51"/>
        <v>-8.1080487826287011E-3</v>
      </c>
      <c r="G172" s="2">
        <f t="shared" si="51"/>
        <v>1.8509689445226955E-2</v>
      </c>
      <c r="H172" s="2">
        <f t="shared" si="51"/>
        <v>6.2427830910458178E-2</v>
      </c>
      <c r="I172" s="2">
        <f t="shared" si="51"/>
        <v>6.2278405814748916E-2</v>
      </c>
      <c r="J172" s="2">
        <f t="shared" si="51"/>
        <v>6.0098105148539069E-2</v>
      </c>
      <c r="K172" s="2">
        <f t="shared" si="51"/>
        <v>-6.4523849122000571E-2</v>
      </c>
      <c r="L172" s="2">
        <f t="shared" si="51"/>
        <v>3.7287618147585036E-2</v>
      </c>
      <c r="M172" s="2">
        <f t="shared" si="51"/>
        <v>5.7499566554396669E-2</v>
      </c>
      <c r="N172" s="2">
        <f t="shared" si="51"/>
        <v>6.0587260655023983E-2</v>
      </c>
      <c r="O172" s="2">
        <f t="shared" si="51"/>
        <v>6.2747659113178603E-2</v>
      </c>
      <c r="P172" s="2">
        <f t="shared" si="51"/>
        <v>6.3331701626619455E-2</v>
      </c>
      <c r="Q172" s="2">
        <f t="shared" si="51"/>
        <v>6.391146441908202E-2</v>
      </c>
      <c r="R172" s="2">
        <f t="shared" si="51"/>
        <v>6.4486438123334669E-2</v>
      </c>
      <c r="S172" s="2">
        <f t="shared" si="51"/>
        <v>6.4501133735953495E-2</v>
      </c>
      <c r="T172" s="2">
        <f t="shared" si="51"/>
        <v>6.4521701025778241E-2</v>
      </c>
      <c r="U172" s="2">
        <f t="shared" si="51"/>
        <v>6.3988951721373935E-2</v>
      </c>
      <c r="V172" s="2">
        <f t="shared" si="51"/>
        <v>6.3137764777072128E-2</v>
      </c>
    </row>
    <row r="173" spans="1:22">
      <c r="J173" s="13"/>
      <c r="M173" s="6"/>
    </row>
    <row r="174" spans="1:22">
      <c r="H174" s="2" t="s">
        <v>280</v>
      </c>
      <c r="I174" s="2"/>
      <c r="J174" s="2"/>
      <c r="K174" s="2"/>
      <c r="L174" s="2"/>
      <c r="M174" s="2"/>
      <c r="N174" s="2"/>
      <c r="O174" s="2"/>
      <c r="P174" s="2"/>
      <c r="Q174" s="2"/>
      <c r="R174" s="2"/>
      <c r="S174" s="2"/>
    </row>
    <row r="175" spans="1:22">
      <c r="H175" s="2"/>
      <c r="I175" s="2"/>
      <c r="J175" s="2"/>
      <c r="K175" s="2"/>
      <c r="L175" s="2"/>
      <c r="M175" s="2"/>
      <c r="N175" s="2"/>
      <c r="O175" s="2"/>
      <c r="P175" s="2"/>
      <c r="Q175" s="2"/>
      <c r="R175" s="2"/>
      <c r="S175" s="2"/>
    </row>
    <row r="176" spans="1:22">
      <c r="H176" s="2"/>
      <c r="I176" s="2"/>
      <c r="J176" s="2"/>
      <c r="K176" s="2"/>
      <c r="L176" s="2"/>
      <c r="M176" s="2"/>
      <c r="N176" s="2"/>
      <c r="O176" s="2"/>
      <c r="P176" s="2"/>
      <c r="Q176" s="2"/>
      <c r="R176" s="2"/>
      <c r="S176" s="2"/>
    </row>
    <row r="177" spans="1:22">
      <c r="H177" s="2"/>
      <c r="I177" s="2"/>
      <c r="J177" s="2"/>
      <c r="K177" s="2"/>
      <c r="L177" s="2"/>
      <c r="M177" s="2"/>
      <c r="N177" s="2"/>
      <c r="O177" s="2"/>
      <c r="P177" s="2"/>
      <c r="Q177" s="2"/>
      <c r="R177" s="2"/>
      <c r="S177" s="2"/>
    </row>
    <row r="178" spans="1:22">
      <c r="H178" s="2"/>
      <c r="I178" s="2"/>
      <c r="J178" s="2"/>
      <c r="K178" s="2"/>
      <c r="L178" s="2"/>
      <c r="M178" s="2"/>
      <c r="N178" s="2"/>
      <c r="O178" s="2"/>
      <c r="P178" s="2"/>
      <c r="Q178" s="2"/>
      <c r="R178" s="2"/>
      <c r="S178" s="2"/>
    </row>
    <row r="179" spans="1:22">
      <c r="H179" s="2"/>
      <c r="I179" s="2"/>
      <c r="J179" s="2"/>
      <c r="K179" s="2"/>
      <c r="L179" s="2"/>
      <c r="M179" s="2"/>
      <c r="N179" s="2"/>
      <c r="O179" s="2"/>
      <c r="P179" s="2"/>
      <c r="Q179" s="2"/>
      <c r="R179" s="2"/>
      <c r="S179" s="2"/>
    </row>
    <row r="180" spans="1:22">
      <c r="H180" s="2"/>
      <c r="I180" s="2"/>
      <c r="J180" s="2"/>
      <c r="K180" s="2"/>
      <c r="L180" s="2"/>
      <c r="M180" s="2"/>
      <c r="N180" s="2"/>
      <c r="O180" s="2"/>
      <c r="P180" s="2"/>
      <c r="Q180" s="2"/>
      <c r="R180" s="2"/>
      <c r="S180" s="2"/>
    </row>
    <row r="181" spans="1:22">
      <c r="H181" s="2"/>
      <c r="I181" s="2"/>
      <c r="J181" s="2"/>
      <c r="K181" s="2"/>
      <c r="L181" s="2"/>
      <c r="M181" s="2"/>
      <c r="N181" s="2"/>
      <c r="O181" s="2"/>
      <c r="P181" s="2"/>
      <c r="Q181" s="2"/>
      <c r="R181" s="2"/>
      <c r="S181" s="2"/>
    </row>
    <row r="182" spans="1:22">
      <c r="H182" s="2"/>
      <c r="I182" s="2"/>
      <c r="J182" s="2"/>
      <c r="K182" s="2"/>
      <c r="L182" s="2"/>
      <c r="M182" s="2"/>
      <c r="N182" s="2"/>
      <c r="O182" s="2"/>
      <c r="P182" s="2"/>
      <c r="Q182" s="2"/>
      <c r="R182" s="2"/>
      <c r="S182" s="2"/>
    </row>
    <row r="183" spans="1:22">
      <c r="H183" s="2"/>
      <c r="I183" s="2"/>
      <c r="J183" s="2"/>
      <c r="K183" s="2"/>
      <c r="L183" s="2"/>
      <c r="M183" s="2"/>
      <c r="N183" s="2"/>
      <c r="O183" s="2"/>
      <c r="P183" s="2"/>
      <c r="Q183" s="2"/>
      <c r="R183" s="2"/>
      <c r="S183" s="2"/>
    </row>
    <row r="184" spans="1:22">
      <c r="A184" s="3" t="s">
        <v>284</v>
      </c>
      <c r="J184" s="13"/>
      <c r="M184" s="6"/>
    </row>
    <row r="185" spans="1:22">
      <c r="A185" s="44" t="s">
        <v>274</v>
      </c>
      <c r="J185" s="13"/>
      <c r="M185" s="6"/>
    </row>
    <row r="186" spans="1:22">
      <c r="A186" s="7" t="s">
        <v>275</v>
      </c>
      <c r="F186" s="32"/>
      <c r="G186" s="32"/>
      <c r="H186" s="32"/>
      <c r="I186" s="32"/>
      <c r="J186" s="32"/>
      <c r="K186" s="32"/>
    </row>
    <row r="187" spans="1:22">
      <c r="A187" s="7" t="s">
        <v>295</v>
      </c>
      <c r="F187" s="32"/>
      <c r="G187" s="32"/>
      <c r="H187" s="32"/>
      <c r="I187" s="32"/>
      <c r="J187" s="32"/>
      <c r="K187" s="32"/>
    </row>
    <row r="188" spans="1:22">
      <c r="B188" s="34" t="s">
        <v>189</v>
      </c>
      <c r="C188" s="34" t="s">
        <v>189</v>
      </c>
      <c r="D188" s="34" t="s">
        <v>189</v>
      </c>
      <c r="E188" s="34" t="s">
        <v>189</v>
      </c>
      <c r="F188" s="34" t="s">
        <v>189</v>
      </c>
      <c r="G188" s="34" t="s">
        <v>189</v>
      </c>
      <c r="H188" s="34" t="s">
        <v>189</v>
      </c>
      <c r="I188" s="34" t="s">
        <v>189</v>
      </c>
      <c r="J188" s="34" t="s">
        <v>189</v>
      </c>
      <c r="K188" s="34" t="s">
        <v>189</v>
      </c>
      <c r="L188" s="47" t="s">
        <v>0</v>
      </c>
      <c r="M188" s="47" t="s">
        <v>0</v>
      </c>
      <c r="N188" s="47" t="s">
        <v>0</v>
      </c>
      <c r="O188" s="47" t="s">
        <v>0</v>
      </c>
      <c r="P188" s="47" t="s">
        <v>0</v>
      </c>
      <c r="Q188" s="47" t="s">
        <v>0</v>
      </c>
      <c r="R188" s="47" t="s">
        <v>0</v>
      </c>
      <c r="S188" s="47" t="s">
        <v>0</v>
      </c>
      <c r="T188" s="47" t="s">
        <v>0</v>
      </c>
      <c r="U188" s="47" t="s">
        <v>0</v>
      </c>
      <c r="V188" s="47" t="s">
        <v>0</v>
      </c>
    </row>
    <row r="189" spans="1:22">
      <c r="A189" s="7" t="s">
        <v>179</v>
      </c>
      <c r="B189" s="45">
        <v>0</v>
      </c>
      <c r="C189" s="45">
        <v>0</v>
      </c>
      <c r="D189" s="45">
        <v>0</v>
      </c>
      <c r="E189" s="45">
        <v>0</v>
      </c>
      <c r="F189" s="45">
        <v>0</v>
      </c>
      <c r="G189" s="45">
        <v>0</v>
      </c>
      <c r="H189" s="45">
        <v>0</v>
      </c>
      <c r="I189" s="45">
        <v>0</v>
      </c>
      <c r="J189" s="45">
        <v>0</v>
      </c>
      <c r="K189" s="45">
        <v>0</v>
      </c>
      <c r="L189" s="48">
        <f>L379-L399-L408</f>
        <v>-1.9999988580821082E-6</v>
      </c>
      <c r="M189" s="48">
        <f>M379-M399-M408</f>
        <v>-1.9999988580821082E-6</v>
      </c>
      <c r="N189" s="48">
        <f t="shared" ref="N189:V189" si="52">N379-N399-N408</f>
        <v>-1.9999979485874064E-6</v>
      </c>
      <c r="O189" s="48">
        <f t="shared" si="52"/>
        <v>-1.9999970390927047E-6</v>
      </c>
      <c r="P189" s="48">
        <f t="shared" si="52"/>
        <v>-1.9999952201033011E-6</v>
      </c>
      <c r="Q189" s="48">
        <f t="shared" si="52"/>
        <v>-2.0000006770715117E-6</v>
      </c>
      <c r="R189" s="48">
        <f t="shared" si="52"/>
        <v>-1.9999952201033011E-6</v>
      </c>
      <c r="S189" s="48">
        <f t="shared" si="52"/>
        <v>-1.9999988580821082E-6</v>
      </c>
      <c r="T189" s="48">
        <f t="shared" si="52"/>
        <v>-1.9999952201033011E-6</v>
      </c>
      <c r="U189" s="48">
        <f t="shared" si="52"/>
        <v>-1.9999988580821082E-6</v>
      </c>
      <c r="V189" s="48">
        <f t="shared" si="52"/>
        <v>-1.9999970390927047E-6</v>
      </c>
    </row>
    <row r="190" spans="1:22">
      <c r="B190" s="35"/>
      <c r="C190" s="35"/>
      <c r="D190" s="35"/>
      <c r="E190" s="35"/>
      <c r="F190" s="35"/>
      <c r="G190" s="35"/>
      <c r="H190" s="35"/>
      <c r="I190" s="35"/>
      <c r="J190" s="35"/>
      <c r="K190" s="35"/>
      <c r="L190" s="49"/>
      <c r="M190" s="49"/>
      <c r="N190" s="49"/>
      <c r="O190" s="49"/>
      <c r="P190" s="49"/>
      <c r="Q190" s="49"/>
      <c r="R190" s="49"/>
      <c r="S190" s="49"/>
      <c r="T190" s="49"/>
      <c r="U190" s="49"/>
      <c r="V190" s="49"/>
    </row>
    <row r="191" spans="1:22">
      <c r="A191" s="7" t="s">
        <v>165</v>
      </c>
      <c r="B191" s="48">
        <f t="shared" ref="B191:J191" si="53">B352+B356+B360</f>
        <v>241.626024</v>
      </c>
      <c r="C191" s="48">
        <f t="shared" si="53"/>
        <v>404.67250999999999</v>
      </c>
      <c r="D191" s="48">
        <f t="shared" si="53"/>
        <v>555.058403</v>
      </c>
      <c r="E191" s="48">
        <f t="shared" si="53"/>
        <v>515.46648700000003</v>
      </c>
      <c r="F191" s="48">
        <f t="shared" si="53"/>
        <v>318.10322399999995</v>
      </c>
      <c r="G191" s="48">
        <f t="shared" si="53"/>
        <v>374.65819700000003</v>
      </c>
      <c r="H191" s="48">
        <f t="shared" si="53"/>
        <v>347.90513199999998</v>
      </c>
      <c r="I191" s="48">
        <f t="shared" si="53"/>
        <v>470.78835299999992</v>
      </c>
      <c r="J191" s="48">
        <f t="shared" si="53"/>
        <v>563.32882900000004</v>
      </c>
      <c r="K191" s="48">
        <f>K352+K356+K360</f>
        <v>424.01736600000004</v>
      </c>
      <c r="L191" s="84">
        <f>L352+L356+L360</f>
        <v>593.62431240000001</v>
      </c>
      <c r="M191" s="84">
        <f t="shared" ref="M191:V191" si="54">M352+M356+M360</f>
        <v>682.66795925999998</v>
      </c>
      <c r="N191" s="84">
        <f t="shared" si="54"/>
        <v>750.93475518599996</v>
      </c>
      <c r="O191" s="84">
        <f t="shared" si="54"/>
        <v>811.0095356008801</v>
      </c>
      <c r="P191" s="84">
        <f t="shared" si="54"/>
        <v>851.56001238092415</v>
      </c>
      <c r="Q191" s="84">
        <f t="shared" si="54"/>
        <v>894.13801299997067</v>
      </c>
      <c r="R191" s="84">
        <f t="shared" si="54"/>
        <v>938.84491364996916</v>
      </c>
      <c r="S191" s="84">
        <f t="shared" si="54"/>
        <v>976.39871019596808</v>
      </c>
      <c r="T191" s="84">
        <f t="shared" si="54"/>
        <v>1015.4546586038068</v>
      </c>
      <c r="U191" s="84">
        <f t="shared" si="54"/>
        <v>1045.918298361921</v>
      </c>
      <c r="V191" s="84">
        <f t="shared" si="54"/>
        <v>1070.8111538629346</v>
      </c>
    </row>
    <row r="192" spans="1:22">
      <c r="A192" s="7" t="s">
        <v>166</v>
      </c>
      <c r="B192" s="48">
        <f t="shared" ref="B192:J192" si="55">B388-B382</f>
        <v>515.421381</v>
      </c>
      <c r="C192" s="48">
        <f t="shared" si="55"/>
        <v>460.441148</v>
      </c>
      <c r="D192" s="48">
        <f t="shared" si="55"/>
        <v>468.56759599999998</v>
      </c>
      <c r="E192" s="48">
        <f t="shared" si="55"/>
        <v>472.72682799999995</v>
      </c>
      <c r="F192" s="48">
        <f t="shared" si="55"/>
        <v>393.41213600000003</v>
      </c>
      <c r="G192" s="48">
        <f t="shared" si="55"/>
        <v>325.86935500000004</v>
      </c>
      <c r="H192" s="48">
        <f t="shared" si="55"/>
        <v>374.15585300000004</v>
      </c>
      <c r="I192" s="48">
        <f t="shared" si="55"/>
        <v>588.40056800000002</v>
      </c>
      <c r="J192" s="48">
        <f t="shared" si="55"/>
        <v>663.21644500000002</v>
      </c>
      <c r="K192" s="48">
        <f>K388-K382</f>
        <v>316.30920800000001</v>
      </c>
      <c r="L192" s="84">
        <f>L388-L382</f>
        <v>442.8328898000002</v>
      </c>
      <c r="M192" s="84">
        <f t="shared" ref="M192:V192" si="56">M388-M382</f>
        <v>509.25782327000002</v>
      </c>
      <c r="N192" s="84">
        <f t="shared" si="56"/>
        <v>560.183605597</v>
      </c>
      <c r="O192" s="84">
        <f t="shared" si="56"/>
        <v>604.99829404475986</v>
      </c>
      <c r="P192" s="84">
        <f t="shared" si="56"/>
        <v>635.24820874699776</v>
      </c>
      <c r="Q192" s="84">
        <f t="shared" si="56"/>
        <v>667.01061918434766</v>
      </c>
      <c r="R192" s="84">
        <f t="shared" si="56"/>
        <v>700.36115014356528</v>
      </c>
      <c r="S192" s="84">
        <f t="shared" si="56"/>
        <v>728.37559614930797</v>
      </c>
      <c r="T192" s="84">
        <f t="shared" si="56"/>
        <v>757.51061999528065</v>
      </c>
      <c r="U192" s="84">
        <f t="shared" si="56"/>
        <v>780.23593859513903</v>
      </c>
      <c r="V192" s="84">
        <f t="shared" si="56"/>
        <v>798.80555393370378</v>
      </c>
    </row>
    <row r="193" spans="1:22">
      <c r="A193" s="7" t="s">
        <v>167</v>
      </c>
      <c r="B193" s="84">
        <f t="shared" ref="B193:J193" si="57">B363+B370+B374+B375</f>
        <v>4298.5329670000001</v>
      </c>
      <c r="C193" s="84">
        <f t="shared" si="57"/>
        <v>5966.3995390000009</v>
      </c>
      <c r="D193" s="84">
        <f t="shared" si="57"/>
        <v>8623.8115509999989</v>
      </c>
      <c r="E193" s="84">
        <f t="shared" si="57"/>
        <v>11419.622414000001</v>
      </c>
      <c r="F193" s="84">
        <f t="shared" si="57"/>
        <v>12646.442171000001</v>
      </c>
      <c r="G193" s="84">
        <f t="shared" si="57"/>
        <v>12418.299961999999</v>
      </c>
      <c r="H193" s="84">
        <f t="shared" si="57"/>
        <v>11794.589273000001</v>
      </c>
      <c r="I193" s="84">
        <f t="shared" si="57"/>
        <v>13837.924714000001</v>
      </c>
      <c r="J193" s="84">
        <f t="shared" si="57"/>
        <v>15256.038128</v>
      </c>
      <c r="K193" s="84">
        <f>K363+K370+K374+K375</f>
        <v>13633.421888000001</v>
      </c>
      <c r="L193" s="84">
        <f>L363+L370+L374+L375</f>
        <v>14628.01686288889</v>
      </c>
      <c r="M193" s="84">
        <f t="shared" ref="M193:V193" si="58">M363+M370+M374+M375</f>
        <v>15325.721848677778</v>
      </c>
      <c r="N193" s="84">
        <f t="shared" si="58"/>
        <v>15946.860468856667</v>
      </c>
      <c r="O193" s="84">
        <f t="shared" si="58"/>
        <v>16537.810064880756</v>
      </c>
      <c r="P193" s="84">
        <f t="shared" si="58"/>
        <v>17056.809153335904</v>
      </c>
      <c r="Q193" s="84">
        <f t="shared" si="58"/>
        <v>17583.280025269371</v>
      </c>
      <c r="R193" s="84">
        <f t="shared" si="58"/>
        <v>18117.596269855057</v>
      </c>
      <c r="S193" s="84">
        <f t="shared" si="58"/>
        <v>18625.552062329261</v>
      </c>
      <c r="T193" s="84">
        <f t="shared" si="58"/>
        <v>19139.043549746875</v>
      </c>
      <c r="U193" s="84">
        <f t="shared" si="58"/>
        <v>19620.87086208817</v>
      </c>
      <c r="V193" s="84">
        <f t="shared" si="58"/>
        <v>20082.168850446804</v>
      </c>
    </row>
    <row r="194" spans="1:22">
      <c r="A194" s="7" t="s">
        <v>168</v>
      </c>
      <c r="B194" s="48">
        <f t="shared" ref="B194:K194" si="59">B398-B390</f>
        <v>398.77584900000011</v>
      </c>
      <c r="C194" s="48">
        <f t="shared" si="59"/>
        <v>530.04719599999999</v>
      </c>
      <c r="D194" s="48">
        <f t="shared" si="59"/>
        <v>622.43335299999944</v>
      </c>
      <c r="E194" s="48">
        <f t="shared" si="59"/>
        <v>1092.2575909999996</v>
      </c>
      <c r="F194" s="48">
        <f t="shared" si="59"/>
        <v>1435.7721149999998</v>
      </c>
      <c r="G194" s="48">
        <f t="shared" si="59"/>
        <v>1505.4136119999994</v>
      </c>
      <c r="H194" s="48">
        <f t="shared" si="59"/>
        <v>1947.4423040000001</v>
      </c>
      <c r="I194" s="48">
        <f t="shared" si="59"/>
        <v>2371.1150530000004</v>
      </c>
      <c r="J194" s="48">
        <f t="shared" si="59"/>
        <v>2841.2476040000001</v>
      </c>
      <c r="K194" s="48">
        <f t="shared" si="59"/>
        <v>2937.979656</v>
      </c>
      <c r="L194" s="84">
        <f>L398-L390</f>
        <v>4113.1715183999995</v>
      </c>
      <c r="M194" s="84">
        <f t="shared" ref="M194:V194" si="60">M398-M390</f>
        <v>4730.1472461599997</v>
      </c>
      <c r="N194" s="84">
        <f t="shared" si="60"/>
        <v>5203.1619707760001</v>
      </c>
      <c r="O194" s="84">
        <f t="shared" si="60"/>
        <v>5619.4149284380792</v>
      </c>
      <c r="P194" s="84">
        <f t="shared" si="60"/>
        <v>5900.3856748599865</v>
      </c>
      <c r="Q194" s="84">
        <f t="shared" si="60"/>
        <v>6195.404958602986</v>
      </c>
      <c r="R194" s="84">
        <f t="shared" si="60"/>
        <v>6505.1752065331348</v>
      </c>
      <c r="S194" s="84">
        <f t="shared" si="60"/>
        <v>6765.3822147944602</v>
      </c>
      <c r="T194" s="84">
        <f t="shared" si="60"/>
        <v>7035.9975033862402</v>
      </c>
      <c r="U194" s="84">
        <f t="shared" si="60"/>
        <v>7247.0774284878262</v>
      </c>
      <c r="V194" s="84">
        <f t="shared" si="60"/>
        <v>7419.5578712858351</v>
      </c>
    </row>
    <row r="195" spans="1:22">
      <c r="A195" s="7" t="s">
        <v>240</v>
      </c>
      <c r="B195" s="48">
        <f t="shared" ref="B195:K195" si="61">B390+B382</f>
        <v>1704.6108079999999</v>
      </c>
      <c r="C195" s="48">
        <f t="shared" si="61"/>
        <v>2760.5952609999999</v>
      </c>
      <c r="D195" s="48">
        <f t="shared" si="61"/>
        <v>4498.3188959999998</v>
      </c>
      <c r="E195" s="48">
        <f t="shared" si="61"/>
        <v>5402.4133930000007</v>
      </c>
      <c r="F195" s="48">
        <f t="shared" si="61"/>
        <v>5913.8890799999999</v>
      </c>
      <c r="G195" s="48">
        <f t="shared" si="61"/>
        <v>5627.3732909999999</v>
      </c>
      <c r="H195" s="48">
        <f t="shared" si="61"/>
        <v>4805.8633249999993</v>
      </c>
      <c r="I195" s="48">
        <f t="shared" si="61"/>
        <v>4864.7357950000005</v>
      </c>
      <c r="J195" s="48">
        <f t="shared" si="61"/>
        <v>5398.082367</v>
      </c>
      <c r="K195" s="48">
        <f t="shared" si="61"/>
        <v>4285.3547589999998</v>
      </c>
      <c r="L195" s="84">
        <f>L390+L382</f>
        <v>5999.4966625999987</v>
      </c>
      <c r="M195" s="84">
        <f t="shared" ref="M195:V195" si="62">M390+M382</f>
        <v>6899.4211619899988</v>
      </c>
      <c r="N195" s="84">
        <f t="shared" si="62"/>
        <v>7589.3632781889992</v>
      </c>
      <c r="O195" s="84">
        <f t="shared" si="62"/>
        <v>8196.5123404441201</v>
      </c>
      <c r="P195" s="84">
        <f t="shared" si="62"/>
        <v>8606.3379574663268</v>
      </c>
      <c r="Q195" s="84">
        <f t="shared" si="62"/>
        <v>9036.6548553396442</v>
      </c>
      <c r="R195" s="84">
        <f t="shared" si="62"/>
        <v>9488.487598106627</v>
      </c>
      <c r="S195" s="84">
        <f t="shared" si="62"/>
        <v>9868.0271020308919</v>
      </c>
      <c r="T195" s="84">
        <f t="shared" si="62"/>
        <v>10262.748186112129</v>
      </c>
      <c r="U195" s="84">
        <f t="shared" si="62"/>
        <v>10570.630631695492</v>
      </c>
      <c r="V195" s="84">
        <f t="shared" si="62"/>
        <v>10822.211640729845</v>
      </c>
    </row>
    <row r="196" spans="1:22">
      <c r="A196" s="7" t="s">
        <v>234</v>
      </c>
      <c r="B196" s="48">
        <f t="shared" ref="B196:K196" si="63">B407</f>
        <v>2943.0667189999999</v>
      </c>
      <c r="C196" s="48">
        <f t="shared" si="63"/>
        <v>3090.2966670000001</v>
      </c>
      <c r="D196" s="48">
        <f t="shared" si="63"/>
        <v>3823.8998489999999</v>
      </c>
      <c r="E196" s="48">
        <f t="shared" si="63"/>
        <v>6140.9861309999997</v>
      </c>
      <c r="F196" s="48">
        <f t="shared" si="63"/>
        <v>6472.9035809999996</v>
      </c>
      <c r="G196" s="48">
        <f t="shared" si="63"/>
        <v>6525.7782070000003</v>
      </c>
      <c r="H196" s="48">
        <f t="shared" si="63"/>
        <v>6313.0524839999998</v>
      </c>
      <c r="I196" s="48">
        <f t="shared" si="63"/>
        <v>7337.525568</v>
      </c>
      <c r="J196" s="48">
        <f t="shared" si="63"/>
        <v>7480.4907890000004</v>
      </c>
      <c r="K196" s="48">
        <f t="shared" si="63"/>
        <v>7218.6859329999997</v>
      </c>
      <c r="L196" s="84">
        <f>L407</f>
        <v>7369.8277608479839</v>
      </c>
      <c r="M196" s="84">
        <f t="shared" ref="M196:V196" si="64">M407</f>
        <v>7610.5082705979003</v>
      </c>
      <c r="N196" s="84">
        <f t="shared" si="64"/>
        <v>7872.8553780882476</v>
      </c>
      <c r="O196" s="84">
        <f t="shared" si="64"/>
        <v>8154.269091590173</v>
      </c>
      <c r="P196" s="84">
        <f t="shared" si="64"/>
        <v>8448.5527641499139</v>
      </c>
      <c r="Q196" s="84">
        <f t="shared" si="64"/>
        <v>8756.3498937203622</v>
      </c>
      <c r="R196" s="84">
        <f t="shared" si="64"/>
        <v>9078.3361531520513</v>
      </c>
      <c r="S196" s="84">
        <f t="shared" si="64"/>
        <v>9412.241281667184</v>
      </c>
      <c r="T196" s="84">
        <f t="shared" si="64"/>
        <v>9758.5420340290966</v>
      </c>
      <c r="U196" s="84">
        <f t="shared" si="64"/>
        <v>10114.511372991501</v>
      </c>
      <c r="V196" s="84">
        <f t="shared" si="64"/>
        <v>10478.381236351383</v>
      </c>
    </row>
    <row r="197" spans="1:22">
      <c r="A197" s="7" t="s">
        <v>7</v>
      </c>
      <c r="B197" s="48">
        <f t="shared" ref="B197:K197" si="65">B351</f>
        <v>1021.715763</v>
      </c>
      <c r="C197" s="48">
        <f t="shared" si="65"/>
        <v>470.30822599999999</v>
      </c>
      <c r="D197" s="48">
        <f t="shared" si="65"/>
        <v>234.34974600000001</v>
      </c>
      <c r="E197" s="48">
        <f t="shared" si="65"/>
        <v>1173.2950450000001</v>
      </c>
      <c r="F197" s="48">
        <f t="shared" si="65"/>
        <v>1251.431517</v>
      </c>
      <c r="G197" s="48">
        <f t="shared" si="65"/>
        <v>1191.4763150000001</v>
      </c>
      <c r="H197" s="48">
        <f t="shared" si="65"/>
        <v>1298.0195610000001</v>
      </c>
      <c r="I197" s="48">
        <f t="shared" si="65"/>
        <v>853.06392000000005</v>
      </c>
      <c r="J197" s="48">
        <f t="shared" si="65"/>
        <v>563.67024700000002</v>
      </c>
      <c r="K197" s="48">
        <f t="shared" si="65"/>
        <v>700.89030000000002</v>
      </c>
      <c r="L197" s="84">
        <f>L351</f>
        <v>2703.6876543590938</v>
      </c>
      <c r="M197" s="84">
        <f t="shared" ref="M197:V197" si="66">M351</f>
        <v>3740.944692080122</v>
      </c>
      <c r="N197" s="84">
        <f t="shared" si="66"/>
        <v>4527.769006607582</v>
      </c>
      <c r="O197" s="84">
        <f t="shared" si="66"/>
        <v>5226.3750520354988</v>
      </c>
      <c r="P197" s="84">
        <f t="shared" si="66"/>
        <v>5682.1554375063997</v>
      </c>
      <c r="Q197" s="84">
        <f t="shared" si="66"/>
        <v>6178.0022865780011</v>
      </c>
      <c r="R197" s="84">
        <f t="shared" si="66"/>
        <v>6715.9189224303545</v>
      </c>
      <c r="S197" s="84">
        <f t="shared" si="66"/>
        <v>7172.0754201166174</v>
      </c>
      <c r="T197" s="84">
        <f t="shared" si="66"/>
        <v>7660.3001331720679</v>
      </c>
      <c r="U197" s="84">
        <f t="shared" si="66"/>
        <v>8045.6662093198702</v>
      </c>
      <c r="V197" s="84">
        <f t="shared" si="66"/>
        <v>8365.9762959910313</v>
      </c>
    </row>
    <row r="198" spans="1:22">
      <c r="A198" s="7" t="s">
        <v>330</v>
      </c>
      <c r="B198" s="48">
        <f t="shared" ref="B198:J198" si="67">SUM(B197,B191,B193)-SUM(B192,B194:B196)</f>
        <v>-2.9999991966178641E-6</v>
      </c>
      <c r="C198" s="48">
        <f t="shared" si="67"/>
        <v>3.0000010156072676E-6</v>
      </c>
      <c r="D198" s="48">
        <f t="shared" si="67"/>
        <v>6.0000002122251317E-6</v>
      </c>
      <c r="E198" s="48">
        <f t="shared" si="67"/>
        <v>3.0000010156072676E-6</v>
      </c>
      <c r="F198" s="48">
        <f t="shared" si="67"/>
        <v>0</v>
      </c>
      <c r="G198" s="48">
        <f t="shared" si="67"/>
        <v>9.0000012278323993E-6</v>
      </c>
      <c r="H198" s="48">
        <f t="shared" si="67"/>
        <v>0</v>
      </c>
      <c r="I198" s="48">
        <f t="shared" si="67"/>
        <v>3.0000010156072676E-6</v>
      </c>
      <c r="J198" s="48">
        <f t="shared" si="67"/>
        <v>-1.0000003385357559E-6</v>
      </c>
      <c r="K198" s="48">
        <f>SUM(K197,K191,K193)-SUM(K192,K194:K196)</f>
        <v>-2.0000006770715117E-6</v>
      </c>
      <c r="L198" s="99">
        <f>SUM(L197,L191,L193)-SUM(L192,L194:L196)</f>
        <v>-1.9999970390927047E-6</v>
      </c>
      <c r="M198" s="48">
        <f t="shared" ref="M198:V198" si="68">SUM(M197,M191,M193)-SUM(M192,M194:M196)</f>
        <v>-1.9999970390927047E-6</v>
      </c>
      <c r="N198" s="48">
        <f t="shared" si="68"/>
        <v>-1.9999970390927047E-6</v>
      </c>
      <c r="O198" s="48">
        <f t="shared" si="68"/>
        <v>-1.9999934011138976E-6</v>
      </c>
      <c r="P198" s="48">
        <f t="shared" si="68"/>
        <v>-1.9999970390927047E-6</v>
      </c>
      <c r="Q198" s="48">
        <f t="shared" si="68"/>
        <v>-1.9999970390927047E-6</v>
      </c>
      <c r="R198" s="48">
        <f t="shared" si="68"/>
        <v>-1.9999934011138976E-6</v>
      </c>
      <c r="S198" s="48">
        <f t="shared" si="68"/>
        <v>-2.0000006770715117E-6</v>
      </c>
      <c r="T198" s="48">
        <f t="shared" si="68"/>
        <v>-1.9999934011138976E-6</v>
      </c>
      <c r="U198" s="48">
        <f t="shared" si="68"/>
        <v>-2.0000006770715117E-6</v>
      </c>
      <c r="V198" s="48">
        <f t="shared" si="68"/>
        <v>-1.9999970390927047E-6</v>
      </c>
    </row>
    <row r="199" spans="1:22">
      <c r="B199" s="34"/>
      <c r="C199" s="34"/>
      <c r="D199" s="34"/>
      <c r="E199" s="34"/>
      <c r="F199" s="34"/>
      <c r="G199" s="34"/>
      <c r="H199" s="34"/>
      <c r="I199" s="34"/>
      <c r="J199" s="34"/>
      <c r="K199" s="34"/>
      <c r="L199" s="49"/>
      <c r="M199" s="49"/>
      <c r="N199" s="49"/>
      <c r="O199" s="49"/>
      <c r="P199" s="49"/>
      <c r="Q199" s="49"/>
      <c r="R199" s="49"/>
      <c r="S199" s="49"/>
      <c r="T199" s="49"/>
      <c r="U199" s="49"/>
      <c r="V199" s="49"/>
    </row>
    <row r="200" spans="1:22">
      <c r="A200" s="5" t="s">
        <v>170</v>
      </c>
      <c r="B200" s="34"/>
      <c r="C200" s="45">
        <v>209.68799999999999</v>
      </c>
      <c r="D200" s="45">
        <v>113.25400000000002</v>
      </c>
      <c r="E200" s="45">
        <v>857.95900000000006</v>
      </c>
      <c r="F200" s="45">
        <v>297.03499999999985</v>
      </c>
      <c r="G200" s="45">
        <v>1188.5290000000002</v>
      </c>
      <c r="H200" s="45">
        <v>286.7219999999993</v>
      </c>
      <c r="I200" s="45">
        <v>1380.8560000000007</v>
      </c>
      <c r="J200" s="45">
        <v>1160.8609999999999</v>
      </c>
      <c r="K200" s="45">
        <v>1506</v>
      </c>
      <c r="L200" s="48">
        <f>L191-K191</f>
        <v>169.60694639999997</v>
      </c>
      <c r="M200" s="48">
        <f>M191-L191</f>
        <v>89.043646859999967</v>
      </c>
      <c r="N200" s="48">
        <f>N191-M191</f>
        <v>68.266795925999986</v>
      </c>
      <c r="O200" s="48">
        <f t="shared" ref="O200:V200" si="69">O191-N191</f>
        <v>60.074780414880138</v>
      </c>
      <c r="P200" s="48">
        <f t="shared" si="69"/>
        <v>40.55047678004405</v>
      </c>
      <c r="Q200" s="48">
        <f t="shared" si="69"/>
        <v>42.57800061904652</v>
      </c>
      <c r="R200" s="48">
        <f t="shared" si="69"/>
        <v>44.706900649998488</v>
      </c>
      <c r="S200" s="48">
        <f t="shared" si="69"/>
        <v>37.553796545998921</v>
      </c>
      <c r="T200" s="48">
        <f t="shared" si="69"/>
        <v>39.055948407838741</v>
      </c>
      <c r="U200" s="48">
        <f t="shared" si="69"/>
        <v>30.463639758114141</v>
      </c>
      <c r="V200" s="48">
        <f t="shared" si="69"/>
        <v>24.892855501013628</v>
      </c>
    </row>
    <row r="201" spans="1:22">
      <c r="A201" s="5" t="s">
        <v>235</v>
      </c>
      <c r="B201" s="34"/>
      <c r="C201" s="45">
        <v>301.54599999999999</v>
      </c>
      <c r="D201" s="45">
        <v>183.35399999999998</v>
      </c>
      <c r="E201" s="45">
        <v>807.78200000000004</v>
      </c>
      <c r="F201" s="45">
        <v>706.77</v>
      </c>
      <c r="G201" s="45">
        <v>2439.2190000000001</v>
      </c>
      <c r="H201" s="45">
        <v>2074.8809999999994</v>
      </c>
      <c r="I201" s="45">
        <v>585.02900000000045</v>
      </c>
      <c r="J201" s="45">
        <v>1316.0630000000001</v>
      </c>
      <c r="K201" s="45">
        <v>3192</v>
      </c>
      <c r="L201" s="48">
        <f>L192-K192</f>
        <v>126.52368180000019</v>
      </c>
      <c r="M201" s="48">
        <f t="shared" ref="L201:M205" si="70">M192-L192</f>
        <v>66.424933469999814</v>
      </c>
      <c r="N201" s="48">
        <f t="shared" ref="N201:V201" si="71">N192-M192</f>
        <v>50.925782326999979</v>
      </c>
      <c r="O201" s="48">
        <f t="shared" si="71"/>
        <v>44.814688447759863</v>
      </c>
      <c r="P201" s="48">
        <f t="shared" si="71"/>
        <v>30.249914702237902</v>
      </c>
      <c r="Q201" s="48">
        <f t="shared" si="71"/>
        <v>31.762410437349899</v>
      </c>
      <c r="R201" s="48">
        <f t="shared" si="71"/>
        <v>33.350530959217622</v>
      </c>
      <c r="S201" s="48">
        <f t="shared" si="71"/>
        <v>28.014446005742684</v>
      </c>
      <c r="T201" s="48">
        <f t="shared" si="71"/>
        <v>29.135023845972682</v>
      </c>
      <c r="U201" s="48">
        <f t="shared" si="71"/>
        <v>22.725318599858383</v>
      </c>
      <c r="V201" s="48">
        <f t="shared" si="71"/>
        <v>18.569615338564745</v>
      </c>
    </row>
    <row r="202" spans="1:22">
      <c r="A202" s="5" t="s">
        <v>171</v>
      </c>
      <c r="B202" s="34"/>
      <c r="C202" s="45">
        <v>248.81200000000001</v>
      </c>
      <c r="D202" s="45">
        <v>561.56900000000019</v>
      </c>
      <c r="E202" s="45">
        <v>1499.6029999999994</v>
      </c>
      <c r="F202" s="45">
        <v>2650.2980000000002</v>
      </c>
      <c r="G202" s="45">
        <v>11103.887999999999</v>
      </c>
      <c r="H202" s="45">
        <v>5680.0720000000038</v>
      </c>
      <c r="I202" s="45">
        <v>-651.5460000000021</v>
      </c>
      <c r="J202" s="45">
        <v>772.69399999999951</v>
      </c>
      <c r="K202" s="45">
        <v>3225</v>
      </c>
      <c r="L202" s="48">
        <f>L193-K193</f>
        <v>994.59497488888883</v>
      </c>
      <c r="M202" s="48">
        <f t="shared" si="70"/>
        <v>697.70498578888873</v>
      </c>
      <c r="N202" s="48">
        <f t="shared" ref="N202:V202" si="72">N193-M193</f>
        <v>621.13862017888823</v>
      </c>
      <c r="O202" s="48">
        <f t="shared" si="72"/>
        <v>590.94959602408926</v>
      </c>
      <c r="P202" s="48">
        <f t="shared" si="72"/>
        <v>518.99908845514801</v>
      </c>
      <c r="Q202" s="48">
        <f t="shared" si="72"/>
        <v>526.4708719334667</v>
      </c>
      <c r="R202" s="48">
        <f t="shared" si="72"/>
        <v>534.31624458568695</v>
      </c>
      <c r="S202" s="48">
        <f t="shared" si="72"/>
        <v>507.95579247420392</v>
      </c>
      <c r="T202" s="48">
        <f t="shared" si="72"/>
        <v>513.49148741761383</v>
      </c>
      <c r="U202" s="48">
        <f t="shared" si="72"/>
        <v>481.8273123412946</v>
      </c>
      <c r="V202" s="48">
        <f t="shared" si="72"/>
        <v>461.29798835863403</v>
      </c>
    </row>
    <row r="203" spans="1:22">
      <c r="A203" s="7" t="s">
        <v>236</v>
      </c>
      <c r="B203" s="34"/>
      <c r="C203" s="45">
        <v>19.158000000000001</v>
      </c>
      <c r="D203" s="45">
        <v>439.64400000000001</v>
      </c>
      <c r="E203" s="45">
        <v>535.32600000000002</v>
      </c>
      <c r="F203" s="45">
        <v>1098.1869999999999</v>
      </c>
      <c r="G203" s="45">
        <v>2909.1019999999999</v>
      </c>
      <c r="H203" s="45">
        <v>1488.179000000001</v>
      </c>
      <c r="I203" s="45">
        <v>-1495.9410000000007</v>
      </c>
      <c r="J203" s="45">
        <v>106.61599999999999</v>
      </c>
      <c r="K203" s="45">
        <v>578</v>
      </c>
      <c r="L203" s="48">
        <f t="shared" si="70"/>
        <v>1175.1918623999995</v>
      </c>
      <c r="M203" s="48">
        <f t="shared" si="70"/>
        <v>616.97572776000015</v>
      </c>
      <c r="N203" s="48">
        <f t="shared" ref="N203:V203" si="73">N194-M194</f>
        <v>473.01472461600042</v>
      </c>
      <c r="O203" s="48">
        <f t="shared" si="73"/>
        <v>416.2529576620791</v>
      </c>
      <c r="P203" s="48">
        <f t="shared" si="73"/>
        <v>280.97074642190728</v>
      </c>
      <c r="Q203" s="48">
        <f t="shared" si="73"/>
        <v>295.01928374299951</v>
      </c>
      <c r="R203" s="48">
        <f t="shared" si="73"/>
        <v>309.7702479301488</v>
      </c>
      <c r="S203" s="48">
        <f t="shared" si="73"/>
        <v>260.20700826132543</v>
      </c>
      <c r="T203" s="48">
        <f t="shared" si="73"/>
        <v>270.61528859177997</v>
      </c>
      <c r="U203" s="48">
        <f t="shared" si="73"/>
        <v>211.07992510158601</v>
      </c>
      <c r="V203" s="48">
        <f t="shared" si="73"/>
        <v>172.48044279800888</v>
      </c>
    </row>
    <row r="204" spans="1:22">
      <c r="A204" s="7" t="s">
        <v>237</v>
      </c>
      <c r="B204" s="34"/>
      <c r="C204" s="45">
        <v>179.38300000000004</v>
      </c>
      <c r="D204" s="45">
        <v>137.322</v>
      </c>
      <c r="E204" s="45">
        <v>1844.623</v>
      </c>
      <c r="F204" s="45">
        <v>261.01799999999957</v>
      </c>
      <c r="G204" s="45">
        <v>4407.1140000000005</v>
      </c>
      <c r="H204" s="45">
        <v>2701.0390000000007</v>
      </c>
      <c r="I204" s="45">
        <v>1313.8719999999994</v>
      </c>
      <c r="J204" s="45">
        <v>1350.3109999999997</v>
      </c>
      <c r="K204" s="45">
        <v>-1500</v>
      </c>
      <c r="L204" s="48">
        <f>L195-K195</f>
        <v>1714.1419035999988</v>
      </c>
      <c r="M204" s="48">
        <f t="shared" si="70"/>
        <v>899.92449939000016</v>
      </c>
      <c r="N204" s="48">
        <f t="shared" ref="N204:V204" si="74">N195-M195</f>
        <v>689.94211619900034</v>
      </c>
      <c r="O204" s="48">
        <f t="shared" si="74"/>
        <v>607.14906225512095</v>
      </c>
      <c r="P204" s="48">
        <f t="shared" si="74"/>
        <v>409.82561702220664</v>
      </c>
      <c r="Q204" s="48">
        <f t="shared" si="74"/>
        <v>430.31689787331743</v>
      </c>
      <c r="R204" s="48">
        <f t="shared" si="74"/>
        <v>451.83274276698285</v>
      </c>
      <c r="S204" s="48">
        <f t="shared" si="74"/>
        <v>379.53950392426486</v>
      </c>
      <c r="T204" s="48">
        <f t="shared" si="74"/>
        <v>394.72108408123677</v>
      </c>
      <c r="U204" s="48">
        <f t="shared" si="74"/>
        <v>307.88244558336373</v>
      </c>
      <c r="V204" s="48">
        <f t="shared" si="74"/>
        <v>251.58100903435297</v>
      </c>
    </row>
    <row r="205" spans="1:22">
      <c r="A205" s="7" t="s">
        <v>172</v>
      </c>
      <c r="B205" s="34"/>
      <c r="C205" s="45">
        <v>-99.344999999999985</v>
      </c>
      <c r="D205" s="45">
        <v>542.41999999999996</v>
      </c>
      <c r="E205" s="45">
        <v>244.59000000000003</v>
      </c>
      <c r="F205" s="45">
        <v>177.23399999999992</v>
      </c>
      <c r="G205" s="45">
        <v>4816.1810000000005</v>
      </c>
      <c r="H205" s="45">
        <v>-272.80299999999988</v>
      </c>
      <c r="I205" s="45">
        <v>681.28200000000015</v>
      </c>
      <c r="J205" s="45">
        <v>1796.3959999999997</v>
      </c>
      <c r="K205" s="45">
        <v>15569</v>
      </c>
      <c r="L205" s="48">
        <f t="shared" si="70"/>
        <v>151.14182784798413</v>
      </c>
      <c r="M205" s="48">
        <f t="shared" si="70"/>
        <v>240.68050974991638</v>
      </c>
      <c r="N205" s="48">
        <f t="shared" ref="N205:V205" si="75">N196-M196</f>
        <v>262.3471074903473</v>
      </c>
      <c r="O205" s="48">
        <f t="shared" si="75"/>
        <v>281.41371350192549</v>
      </c>
      <c r="P205" s="48">
        <f t="shared" si="75"/>
        <v>294.28367255974081</v>
      </c>
      <c r="Q205" s="48">
        <f t="shared" si="75"/>
        <v>307.79712957044831</v>
      </c>
      <c r="R205" s="48">
        <f t="shared" si="75"/>
        <v>321.98625943168918</v>
      </c>
      <c r="S205" s="48">
        <f t="shared" si="75"/>
        <v>333.90512851513267</v>
      </c>
      <c r="T205" s="48">
        <f t="shared" si="75"/>
        <v>346.3007523619126</v>
      </c>
      <c r="U205" s="48">
        <f t="shared" si="75"/>
        <v>355.96933896240444</v>
      </c>
      <c r="V205" s="48">
        <f t="shared" si="75"/>
        <v>363.86986335988149</v>
      </c>
    </row>
    <row r="206" spans="1:22">
      <c r="A206" s="5" t="s">
        <v>178</v>
      </c>
      <c r="B206" s="34"/>
      <c r="C206" s="45">
        <v>-57.75800000000001</v>
      </c>
      <c r="D206" s="45">
        <v>627.91699999999992</v>
      </c>
      <c r="E206" s="45">
        <v>1074.759</v>
      </c>
      <c r="F206" s="45">
        <v>-704.12400000000002</v>
      </c>
      <c r="G206" s="45">
        <v>2279.1990000000001</v>
      </c>
      <c r="H206" s="45">
        <v>24.501999999999999</v>
      </c>
      <c r="I206" s="45">
        <v>354.93199999999979</v>
      </c>
      <c r="J206" s="45">
        <v>2635.8310000000001</v>
      </c>
      <c r="K206" s="45">
        <v>13108</v>
      </c>
      <c r="L206" s="48">
        <f>L351-K351</f>
        <v>2002.7973543590938</v>
      </c>
      <c r="M206" s="48">
        <f>M351-L351</f>
        <v>1037.2570377210282</v>
      </c>
      <c r="N206" s="48">
        <f t="shared" ref="N206:V206" si="76">N351-M351</f>
        <v>786.82431452746005</v>
      </c>
      <c r="O206" s="48">
        <f t="shared" si="76"/>
        <v>698.6060454279168</v>
      </c>
      <c r="P206" s="48">
        <f t="shared" si="76"/>
        <v>455.78038547090091</v>
      </c>
      <c r="Q206" s="48">
        <f t="shared" si="76"/>
        <v>495.84684907160135</v>
      </c>
      <c r="R206" s="48">
        <f t="shared" si="76"/>
        <v>537.91663585235347</v>
      </c>
      <c r="S206" s="48">
        <f t="shared" si="76"/>
        <v>456.15649768626281</v>
      </c>
      <c r="T206" s="48">
        <f t="shared" si="76"/>
        <v>488.22471305545059</v>
      </c>
      <c r="U206" s="48">
        <f t="shared" si="76"/>
        <v>385.36607614780223</v>
      </c>
      <c r="V206" s="48">
        <f t="shared" si="76"/>
        <v>320.31008667116112</v>
      </c>
    </row>
    <row r="207" spans="1:22">
      <c r="A207" s="5" t="s">
        <v>238</v>
      </c>
      <c r="B207" s="34"/>
      <c r="C207" s="45">
        <v>-57.757999999999939</v>
      </c>
      <c r="D207" s="45">
        <v>627.91699999999969</v>
      </c>
      <c r="E207" s="45">
        <v>1074.7590000000007</v>
      </c>
      <c r="F207" s="45">
        <v>-704.12400000000071</v>
      </c>
      <c r="G207" s="45">
        <v>2279.1990000000005</v>
      </c>
      <c r="H207" s="45">
        <v>24.501999999998134</v>
      </c>
      <c r="I207" s="45">
        <v>354.9320000000007</v>
      </c>
      <c r="J207" s="45">
        <v>2635.8310000000001</v>
      </c>
      <c r="K207" s="45">
        <v>13108</v>
      </c>
      <c r="L207" s="48">
        <f xml:space="preserve"> -(L200 - L201) - (L202 - L203) + L204 + L205</f>
        <v>2002.7973543590938</v>
      </c>
      <c r="M207" s="48">
        <f xml:space="preserve"> -(M200 - M201) - (M202 - M203) + M204 + M205</f>
        <v>1037.2570377210277</v>
      </c>
      <c r="N207" s="48">
        <f t="shared" ref="N207:V207" si="77" xml:space="preserve"> -(N200 - N201) - (N202 - N203) + N204 + N205</f>
        <v>786.82431452745982</v>
      </c>
      <c r="O207" s="48">
        <f t="shared" si="77"/>
        <v>698.606045427916</v>
      </c>
      <c r="P207" s="48">
        <f t="shared" si="77"/>
        <v>455.78038547090057</v>
      </c>
      <c r="Q207" s="48">
        <f t="shared" si="77"/>
        <v>495.84684907160192</v>
      </c>
      <c r="R207" s="48">
        <f t="shared" si="77"/>
        <v>537.91663585235301</v>
      </c>
      <c r="S207" s="48">
        <f t="shared" si="77"/>
        <v>456.15649768626281</v>
      </c>
      <c r="T207" s="48">
        <f t="shared" si="77"/>
        <v>488.22471305544946</v>
      </c>
      <c r="U207" s="48">
        <f t="shared" si="77"/>
        <v>385.36607614780382</v>
      </c>
      <c r="V207" s="48">
        <f t="shared" si="77"/>
        <v>320.31008667116043</v>
      </c>
    </row>
    <row r="208" spans="1:22">
      <c r="A208" s="7" t="s">
        <v>331</v>
      </c>
      <c r="B208" s="34"/>
      <c r="C208" s="45">
        <v>-7.1054273576010019E-14</v>
      </c>
      <c r="D208" s="45">
        <v>0</v>
      </c>
      <c r="E208" s="45">
        <v>0</v>
      </c>
      <c r="F208" s="45">
        <v>0</v>
      </c>
      <c r="G208" s="45">
        <v>0</v>
      </c>
      <c r="H208" s="45">
        <v>1.8189894035458565E-12</v>
      </c>
      <c r="I208" s="45">
        <v>-9.0949470177292824E-13</v>
      </c>
      <c r="J208" s="45">
        <v>0</v>
      </c>
      <c r="K208" s="45">
        <v>0</v>
      </c>
      <c r="L208" s="48">
        <f>(L379-K379)-(L399-K399)-(L408-K408)</f>
        <v>-1.9999988580821082E-6</v>
      </c>
      <c r="M208" s="48">
        <f>(M379-L379)-(M399-L399)-(M408-L408)</f>
        <v>0</v>
      </c>
      <c r="N208" s="48">
        <f t="shared" ref="N208:V208" si="78">(N379-M379)-(N399-M399)-(N408-M408)</f>
        <v>9.0949470177292824E-13</v>
      </c>
      <c r="O208" s="48">
        <f t="shared" si="78"/>
        <v>9.0949470177292824E-13</v>
      </c>
      <c r="P208" s="48">
        <f t="shared" si="78"/>
        <v>1.8189894035458565E-12</v>
      </c>
      <c r="Q208" s="48">
        <f t="shared" si="78"/>
        <v>-5.4569682106375694E-12</v>
      </c>
      <c r="R208" s="48">
        <f t="shared" si="78"/>
        <v>5.4569682106375694E-12</v>
      </c>
      <c r="S208" s="48">
        <f t="shared" si="78"/>
        <v>-3.637978807091713E-12</v>
      </c>
      <c r="T208" s="48">
        <f t="shared" si="78"/>
        <v>3.637978807091713E-12</v>
      </c>
      <c r="U208" s="48">
        <f t="shared" si="78"/>
        <v>-3.637978807091713E-12</v>
      </c>
      <c r="V208" s="48">
        <f t="shared" si="78"/>
        <v>1.8189894035458565E-12</v>
      </c>
    </row>
    <row r="209" spans="1:22">
      <c r="B209" s="34"/>
      <c r="C209" s="34"/>
      <c r="D209" s="34"/>
      <c r="E209" s="34"/>
      <c r="F209" s="34"/>
      <c r="G209" s="34"/>
      <c r="H209" s="34"/>
      <c r="I209" s="34"/>
      <c r="J209" s="34"/>
      <c r="K209" s="34"/>
      <c r="L209" s="49"/>
      <c r="M209" s="49"/>
      <c r="N209" s="49"/>
      <c r="O209" s="49"/>
      <c r="P209" s="49"/>
      <c r="Q209" s="49"/>
      <c r="R209" s="49"/>
      <c r="S209" s="49"/>
      <c r="T209" s="49"/>
      <c r="U209" s="49"/>
      <c r="V209" s="49"/>
    </row>
    <row r="210" spans="1:22">
      <c r="A210" s="5" t="s">
        <v>175</v>
      </c>
      <c r="B210" s="34"/>
      <c r="C210" s="45">
        <v>-396.21300000000002</v>
      </c>
      <c r="D210" s="45">
        <v>-74.013999999999996</v>
      </c>
      <c r="E210" s="45"/>
      <c r="F210" s="45"/>
      <c r="G210" s="45"/>
      <c r="H210" s="45"/>
      <c r="I210" s="45"/>
      <c r="J210" s="45"/>
      <c r="K210" s="48"/>
      <c r="L210" s="48">
        <f>L327</f>
        <v>274.80332335997122</v>
      </c>
      <c r="M210" s="48">
        <f>M327</f>
        <v>437.60092681803025</v>
      </c>
      <c r="N210" s="48">
        <f t="shared" ref="N210:V210" si="79">N327</f>
        <v>476.99474089154006</v>
      </c>
      <c r="O210" s="48">
        <f t="shared" si="79"/>
        <v>511.66129727622871</v>
      </c>
      <c r="P210" s="48">
        <f t="shared" si="79"/>
        <v>535.06122283589343</v>
      </c>
      <c r="Q210" s="48">
        <f t="shared" si="79"/>
        <v>559.63114467354148</v>
      </c>
      <c r="R210" s="48">
        <f t="shared" si="79"/>
        <v>585.42956260307187</v>
      </c>
      <c r="S210" s="48">
        <f t="shared" si="79"/>
        <v>607.10023366387748</v>
      </c>
      <c r="T210" s="48">
        <f t="shared" si="79"/>
        <v>629.63773156711522</v>
      </c>
      <c r="U210" s="48">
        <f t="shared" si="79"/>
        <v>647.21697993164071</v>
      </c>
      <c r="V210" s="48">
        <f t="shared" si="79"/>
        <v>661.58156974523979</v>
      </c>
    </row>
    <row r="211" spans="1:22">
      <c r="A211" s="5" t="s">
        <v>164</v>
      </c>
      <c r="B211" s="34"/>
      <c r="C211" s="45">
        <v>0</v>
      </c>
      <c r="D211" s="45">
        <v>0</v>
      </c>
      <c r="E211" s="45"/>
      <c r="F211" s="45"/>
      <c r="G211" s="45"/>
      <c r="H211" s="45"/>
      <c r="I211" s="45"/>
      <c r="J211" s="45"/>
      <c r="K211" s="48"/>
      <c r="L211" s="48">
        <f>-L446</f>
        <v>123.66149551198706</v>
      </c>
      <c r="M211" s="48">
        <f>-M446</f>
        <v>196.92041706811361</v>
      </c>
      <c r="N211" s="48">
        <f t="shared" ref="N211:V211" si="80">-N446</f>
        <v>214.64763340119302</v>
      </c>
      <c r="O211" s="48">
        <f t="shared" si="80"/>
        <v>230.24758377430294</v>
      </c>
      <c r="P211" s="48">
        <f t="shared" si="80"/>
        <v>240.77755027615206</v>
      </c>
      <c r="Q211" s="48">
        <f t="shared" si="80"/>
        <v>251.83401510309366</v>
      </c>
      <c r="R211" s="48">
        <f t="shared" si="80"/>
        <v>263.44330317138235</v>
      </c>
      <c r="S211" s="48">
        <f t="shared" si="80"/>
        <v>273.19510514874486</v>
      </c>
      <c r="T211" s="48">
        <f t="shared" si="80"/>
        <v>283.33697920520189</v>
      </c>
      <c r="U211" s="48">
        <f t="shared" si="80"/>
        <v>291.24764096923832</v>
      </c>
      <c r="V211" s="48">
        <f t="shared" si="80"/>
        <v>297.7117063853579</v>
      </c>
    </row>
    <row r="212" spans="1:22">
      <c r="A212" s="5" t="s">
        <v>173</v>
      </c>
      <c r="B212" s="34"/>
      <c r="C212" s="45">
        <v>0</v>
      </c>
      <c r="D212" s="45">
        <v>0</v>
      </c>
      <c r="E212" s="45"/>
      <c r="F212" s="45"/>
      <c r="G212" s="45"/>
      <c r="H212" s="45"/>
      <c r="I212" s="45"/>
      <c r="J212" s="45"/>
      <c r="K212" s="48"/>
      <c r="L212" s="48">
        <f>L449</f>
        <v>0</v>
      </c>
      <c r="M212" s="48">
        <f>M449</f>
        <v>0</v>
      </c>
      <c r="N212" s="48">
        <f t="shared" ref="N212:V212" si="81">N449</f>
        <v>0</v>
      </c>
      <c r="O212" s="48">
        <f t="shared" si="81"/>
        <v>0</v>
      </c>
      <c r="P212" s="48">
        <f t="shared" si="81"/>
        <v>0</v>
      </c>
      <c r="Q212" s="48">
        <f t="shared" si="81"/>
        <v>0</v>
      </c>
      <c r="R212" s="48">
        <f t="shared" si="81"/>
        <v>0</v>
      </c>
      <c r="S212" s="48">
        <f t="shared" si="81"/>
        <v>0</v>
      </c>
      <c r="T212" s="48">
        <f t="shared" si="81"/>
        <v>0</v>
      </c>
      <c r="U212" s="48">
        <f t="shared" si="81"/>
        <v>0</v>
      </c>
      <c r="V212" s="48">
        <f t="shared" si="81"/>
        <v>0</v>
      </c>
    </row>
    <row r="213" spans="1:22">
      <c r="A213" s="5" t="s">
        <v>174</v>
      </c>
      <c r="B213" s="34"/>
      <c r="C213" s="45">
        <v>246.381</v>
      </c>
      <c r="D213" s="45">
        <v>630.625</v>
      </c>
      <c r="E213" s="45"/>
      <c r="F213" s="45"/>
      <c r="G213" s="45"/>
      <c r="H213" s="45"/>
      <c r="I213" s="45"/>
      <c r="J213" s="45"/>
      <c r="K213" s="48"/>
      <c r="L213" s="48">
        <f>L450</f>
        <v>0</v>
      </c>
      <c r="M213" s="48">
        <f>M450</f>
        <v>0</v>
      </c>
      <c r="N213" s="48">
        <f t="shared" ref="N213:V213" si="82">N450</f>
        <v>0</v>
      </c>
      <c r="O213" s="48">
        <f t="shared" si="82"/>
        <v>0</v>
      </c>
      <c r="P213" s="48">
        <f t="shared" si="82"/>
        <v>0</v>
      </c>
      <c r="Q213" s="48">
        <f t="shared" si="82"/>
        <v>0</v>
      </c>
      <c r="R213" s="48">
        <f t="shared" si="82"/>
        <v>0</v>
      </c>
      <c r="S213" s="48">
        <f t="shared" si="82"/>
        <v>0</v>
      </c>
      <c r="T213" s="48">
        <f t="shared" si="82"/>
        <v>0</v>
      </c>
      <c r="U213" s="48">
        <f t="shared" si="82"/>
        <v>0</v>
      </c>
      <c r="V213" s="48">
        <f t="shared" si="82"/>
        <v>0</v>
      </c>
    </row>
    <row r="214" spans="1:22">
      <c r="A214" s="5" t="s">
        <v>176</v>
      </c>
      <c r="B214" s="34"/>
      <c r="C214" s="45">
        <v>-246.381</v>
      </c>
      <c r="D214" s="45">
        <v>-630.625</v>
      </c>
      <c r="E214" s="45"/>
      <c r="F214" s="45"/>
      <c r="G214" s="45"/>
      <c r="H214" s="45"/>
      <c r="I214" s="45"/>
      <c r="J214" s="45"/>
      <c r="K214" s="48"/>
      <c r="L214" s="48">
        <f>L211+L212-L213</f>
        <v>123.66149551198706</v>
      </c>
      <c r="M214" s="48">
        <f>M211+M212-M213</f>
        <v>196.92041706811361</v>
      </c>
      <c r="N214" s="48">
        <f t="shared" ref="N214:V214" si="83">N211+N212-N213</f>
        <v>214.64763340119302</v>
      </c>
      <c r="O214" s="48">
        <f t="shared" si="83"/>
        <v>230.24758377430294</v>
      </c>
      <c r="P214" s="48">
        <f t="shared" si="83"/>
        <v>240.77755027615206</v>
      </c>
      <c r="Q214" s="48">
        <f t="shared" si="83"/>
        <v>251.83401510309366</v>
      </c>
      <c r="R214" s="48">
        <f t="shared" si="83"/>
        <v>263.44330317138235</v>
      </c>
      <c r="S214" s="48">
        <f t="shared" si="83"/>
        <v>273.19510514874486</v>
      </c>
      <c r="T214" s="48">
        <f t="shared" si="83"/>
        <v>283.33697920520189</v>
      </c>
      <c r="U214" s="48">
        <f t="shared" si="83"/>
        <v>291.24764096923832</v>
      </c>
      <c r="V214" s="48">
        <f t="shared" si="83"/>
        <v>297.7117063853579</v>
      </c>
    </row>
    <row r="215" spans="1:22">
      <c r="A215" s="7" t="s">
        <v>181</v>
      </c>
      <c r="B215" s="34"/>
      <c r="C215" s="45">
        <v>-149.83200000000002</v>
      </c>
      <c r="D215" s="45">
        <v>556.61099999999999</v>
      </c>
      <c r="E215" s="45"/>
      <c r="F215" s="45"/>
      <c r="G215" s="45"/>
      <c r="H215" s="45"/>
      <c r="I215" s="45"/>
      <c r="J215" s="45"/>
      <c r="K215" s="48"/>
      <c r="L215" s="107">
        <f>L210-L211-L212+L213</f>
        <v>151.14182784798416</v>
      </c>
      <c r="M215" s="48">
        <f>M210-M211-M212+M213</f>
        <v>240.68050974991664</v>
      </c>
      <c r="N215" s="48">
        <f t="shared" ref="N215:V215" si="84">N210-N211-N212+N213</f>
        <v>262.34710749034707</v>
      </c>
      <c r="O215" s="48">
        <f t="shared" si="84"/>
        <v>281.41371350192577</v>
      </c>
      <c r="P215" s="48">
        <f t="shared" si="84"/>
        <v>294.28367255974138</v>
      </c>
      <c r="Q215" s="48">
        <f t="shared" si="84"/>
        <v>307.79712957044785</v>
      </c>
      <c r="R215" s="48">
        <f t="shared" si="84"/>
        <v>321.98625943168952</v>
      </c>
      <c r="S215" s="48">
        <f t="shared" si="84"/>
        <v>333.90512851513262</v>
      </c>
      <c r="T215" s="48">
        <f t="shared" si="84"/>
        <v>346.30075236191334</v>
      </c>
      <c r="U215" s="48">
        <f t="shared" si="84"/>
        <v>355.96933896240239</v>
      </c>
      <c r="V215" s="48">
        <f t="shared" si="84"/>
        <v>363.86986335988189</v>
      </c>
    </row>
    <row r="216" spans="1:22">
      <c r="A216" s="7" t="s">
        <v>332</v>
      </c>
      <c r="B216" s="34"/>
      <c r="C216" s="45">
        <v>-99.344999999999985</v>
      </c>
      <c r="D216" s="45">
        <v>542.41999999999996</v>
      </c>
      <c r="E216" s="45"/>
      <c r="F216" s="45"/>
      <c r="G216" s="45"/>
      <c r="H216" s="45"/>
      <c r="I216" s="45"/>
      <c r="J216" s="45"/>
      <c r="K216" s="48"/>
      <c r="L216" s="107">
        <f>L407-K407</f>
        <v>151.14182784798413</v>
      </c>
      <c r="M216" s="48">
        <f>M407-L407</f>
        <v>240.68050974991638</v>
      </c>
      <c r="N216" s="48">
        <f t="shared" ref="N216:V216" si="85">N407-M407</f>
        <v>262.3471074903473</v>
      </c>
      <c r="O216" s="48">
        <f t="shared" si="85"/>
        <v>281.41371350192549</v>
      </c>
      <c r="P216" s="48">
        <f t="shared" si="85"/>
        <v>294.28367255974081</v>
      </c>
      <c r="Q216" s="48">
        <f t="shared" si="85"/>
        <v>307.79712957044831</v>
      </c>
      <c r="R216" s="48">
        <f t="shared" si="85"/>
        <v>321.98625943168918</v>
      </c>
      <c r="S216" s="48">
        <f t="shared" si="85"/>
        <v>333.90512851513267</v>
      </c>
      <c r="T216" s="48">
        <f t="shared" si="85"/>
        <v>346.3007523619126</v>
      </c>
      <c r="U216" s="48">
        <f t="shared" si="85"/>
        <v>355.96933896240444</v>
      </c>
      <c r="V216" s="48">
        <f t="shared" si="85"/>
        <v>363.86986335988149</v>
      </c>
    </row>
    <row r="217" spans="1:22">
      <c r="A217" s="5"/>
      <c r="B217" s="34"/>
      <c r="C217" s="34"/>
      <c r="D217" s="34"/>
      <c r="E217" s="34"/>
      <c r="F217" s="34"/>
      <c r="G217" s="34"/>
      <c r="H217" s="34"/>
      <c r="I217" s="34"/>
      <c r="J217" s="34"/>
      <c r="K217" s="34"/>
      <c r="L217" s="47"/>
      <c r="M217" s="47"/>
      <c r="N217" s="47"/>
      <c r="O217" s="47"/>
      <c r="P217" s="47"/>
      <c r="Q217" s="47"/>
      <c r="R217" s="47"/>
      <c r="S217" s="47"/>
      <c r="T217" s="47"/>
      <c r="U217" s="47"/>
      <c r="V217" s="47"/>
    </row>
    <row r="218" spans="1:22">
      <c r="A218" s="7" t="s">
        <v>239</v>
      </c>
      <c r="B218" s="34"/>
      <c r="C218" s="45">
        <v>179.38300000000004</v>
      </c>
      <c r="D218" s="45">
        <v>137.322</v>
      </c>
      <c r="E218" s="45"/>
      <c r="F218" s="45"/>
      <c r="G218" s="45"/>
      <c r="H218" s="45"/>
      <c r="I218" s="45"/>
      <c r="J218" s="45"/>
      <c r="K218" s="45"/>
      <c r="L218" s="48">
        <f>L204</f>
        <v>1714.1419035999988</v>
      </c>
      <c r="M218" s="48">
        <f t="shared" ref="M218:V218" si="86">M204</f>
        <v>899.92449939000016</v>
      </c>
      <c r="N218" s="48">
        <f t="shared" si="86"/>
        <v>689.94211619900034</v>
      </c>
      <c r="O218" s="48">
        <f t="shared" si="86"/>
        <v>607.14906225512095</v>
      </c>
      <c r="P218" s="48">
        <f t="shared" si="86"/>
        <v>409.82561702220664</v>
      </c>
      <c r="Q218" s="48">
        <f t="shared" si="86"/>
        <v>430.31689787331743</v>
      </c>
      <c r="R218" s="48">
        <f t="shared" si="86"/>
        <v>451.83274276698285</v>
      </c>
      <c r="S218" s="48">
        <f t="shared" si="86"/>
        <v>379.53950392426486</v>
      </c>
      <c r="T218" s="48">
        <f t="shared" si="86"/>
        <v>394.72108408123677</v>
      </c>
      <c r="U218" s="48">
        <f t="shared" si="86"/>
        <v>307.88244558336373</v>
      </c>
      <c r="V218" s="48">
        <f t="shared" si="86"/>
        <v>251.58100903435297</v>
      </c>
    </row>
    <row r="219" spans="1:22">
      <c r="A219" s="7" t="s">
        <v>177</v>
      </c>
      <c r="B219" s="34"/>
      <c r="C219" s="45">
        <v>0.254</v>
      </c>
      <c r="D219" s="45">
        <v>22.134</v>
      </c>
      <c r="E219" s="45"/>
      <c r="F219" s="45"/>
      <c r="G219" s="45"/>
      <c r="H219" s="45"/>
      <c r="I219" s="45"/>
      <c r="J219" s="45"/>
      <c r="K219" s="45"/>
      <c r="L219" s="48">
        <f>L314</f>
        <v>308.19027229346875</v>
      </c>
      <c r="M219" s="48">
        <f t="shared" ref="M219:V219" si="87">M314</f>
        <v>354.41881313748911</v>
      </c>
      <c r="N219" s="48">
        <f t="shared" si="87"/>
        <v>389.86069445123803</v>
      </c>
      <c r="O219" s="48">
        <f t="shared" si="87"/>
        <v>421.04955000733713</v>
      </c>
      <c r="P219" s="48">
        <f t="shared" si="87"/>
        <v>442.10202750770401</v>
      </c>
      <c r="Q219" s="48">
        <f t="shared" si="87"/>
        <v>464.2071288830893</v>
      </c>
      <c r="R219" s="48">
        <f t="shared" si="87"/>
        <v>487.41748532724381</v>
      </c>
      <c r="S219" s="48">
        <f t="shared" si="87"/>
        <v>506.91418474033355</v>
      </c>
      <c r="T219" s="48">
        <f t="shared" si="87"/>
        <v>527.19075212994687</v>
      </c>
      <c r="U219" s="48">
        <f t="shared" si="87"/>
        <v>543.00647469384535</v>
      </c>
      <c r="V219" s="48">
        <f t="shared" si="87"/>
        <v>555.93002879155881</v>
      </c>
    </row>
    <row r="220" spans="1:22">
      <c r="A220" s="5"/>
      <c r="B220" s="34"/>
      <c r="C220" s="34"/>
      <c r="D220" s="34"/>
      <c r="E220" s="34"/>
      <c r="F220" s="34"/>
      <c r="G220" s="34"/>
      <c r="H220" s="34"/>
      <c r="I220" s="34"/>
      <c r="J220" s="34"/>
      <c r="K220" s="34"/>
      <c r="L220" s="49"/>
      <c r="M220" s="49"/>
      <c r="N220" s="49"/>
      <c r="O220" s="49"/>
      <c r="P220" s="49"/>
      <c r="Q220" s="49"/>
      <c r="R220" s="49"/>
      <c r="S220" s="49"/>
      <c r="T220" s="49"/>
      <c r="U220" s="49"/>
      <c r="V220" s="49"/>
    </row>
    <row r="221" spans="1:22">
      <c r="A221" s="7" t="s">
        <v>169</v>
      </c>
      <c r="B221" s="34"/>
      <c r="C221" s="45">
        <v>28.824999999999999</v>
      </c>
      <c r="D221" s="45">
        <v>106.083</v>
      </c>
      <c r="E221" s="45"/>
      <c r="F221" s="45"/>
      <c r="G221" s="45"/>
      <c r="H221" s="45"/>
      <c r="I221" s="45"/>
      <c r="J221" s="45"/>
      <c r="K221" s="45"/>
      <c r="L221" s="48">
        <f>L304</f>
        <v>666.24977799999999</v>
      </c>
      <c r="M221" s="48">
        <f t="shared" ref="M221:V221" si="88">M304</f>
        <v>666.24977799999999</v>
      </c>
      <c r="N221" s="48">
        <f t="shared" si="88"/>
        <v>666.24977799999999</v>
      </c>
      <c r="O221" s="48">
        <f t="shared" si="88"/>
        <v>666.24977799999999</v>
      </c>
      <c r="P221" s="48">
        <f t="shared" si="88"/>
        <v>666.24977799999999</v>
      </c>
      <c r="Q221" s="48">
        <f t="shared" si="88"/>
        <v>666.24977799999999</v>
      </c>
      <c r="R221" s="48">
        <f t="shared" si="88"/>
        <v>666.24977799999999</v>
      </c>
      <c r="S221" s="48">
        <f t="shared" si="88"/>
        <v>666.24977799999999</v>
      </c>
      <c r="T221" s="48">
        <f t="shared" si="88"/>
        <v>666.24977799999999</v>
      </c>
      <c r="U221" s="48">
        <f t="shared" si="88"/>
        <v>666.24977799999999</v>
      </c>
      <c r="V221" s="48">
        <f t="shared" si="88"/>
        <v>666.24977799999999</v>
      </c>
    </row>
    <row r="222" spans="1:22">
      <c r="A222" s="7" t="s">
        <v>217</v>
      </c>
      <c r="B222" s="34"/>
      <c r="C222" s="45">
        <v>-111.01600000000001</v>
      </c>
      <c r="D222" s="45">
        <v>-509.74399999999997</v>
      </c>
      <c r="E222" s="45"/>
      <c r="F222" s="45"/>
      <c r="G222" s="45"/>
      <c r="H222" s="45"/>
      <c r="I222" s="45"/>
      <c r="J222" s="45"/>
      <c r="K222" s="45"/>
      <c r="L222" s="48">
        <f>L191-K191-(L192-K192)-(L194-K194)</f>
        <v>-1132.1085977999996</v>
      </c>
      <c r="M222" s="48">
        <f t="shared" ref="M222:V222" si="89">M191-L191-(M192-L192)-(M194-L194)</f>
        <v>-594.35701437</v>
      </c>
      <c r="N222" s="48">
        <f t="shared" si="89"/>
        <v>-455.67371101700041</v>
      </c>
      <c r="O222" s="48">
        <f t="shared" si="89"/>
        <v>-400.99286569495882</v>
      </c>
      <c r="P222" s="48">
        <f t="shared" si="89"/>
        <v>-270.67018434410113</v>
      </c>
      <c r="Q222" s="48">
        <f t="shared" si="89"/>
        <v>-284.20369356130288</v>
      </c>
      <c r="R222" s="48">
        <f t="shared" si="89"/>
        <v>-298.41387823936793</v>
      </c>
      <c r="S222" s="48">
        <f t="shared" si="89"/>
        <v>-250.66765772106919</v>
      </c>
      <c r="T222" s="48">
        <f t="shared" si="89"/>
        <v>-260.69436402991391</v>
      </c>
      <c r="U222" s="48">
        <f t="shared" si="89"/>
        <v>-203.34160394333026</v>
      </c>
      <c r="V222" s="48">
        <f t="shared" si="89"/>
        <v>-166.15720263556</v>
      </c>
    </row>
    <row r="223" spans="1:22">
      <c r="A223" s="5" t="s">
        <v>218</v>
      </c>
      <c r="B223" s="34"/>
      <c r="C223" s="45">
        <v>277.637</v>
      </c>
      <c r="D223" s="45">
        <v>667.65200000000016</v>
      </c>
      <c r="E223" s="45"/>
      <c r="F223" s="45"/>
      <c r="G223" s="45"/>
      <c r="H223" s="45"/>
      <c r="I223" s="45"/>
      <c r="J223" s="45"/>
      <c r="K223" s="45"/>
      <c r="L223" s="48">
        <f>L202+L221</f>
        <v>1660.8447528888887</v>
      </c>
      <c r="M223" s="48">
        <f t="shared" ref="M223:V223" si="90">M202+M221</f>
        <v>1363.9547637888886</v>
      </c>
      <c r="N223" s="48">
        <f t="shared" si="90"/>
        <v>1287.3883981788881</v>
      </c>
      <c r="O223" s="48">
        <f t="shared" si="90"/>
        <v>1257.1993740240891</v>
      </c>
      <c r="P223" s="48">
        <f t="shared" si="90"/>
        <v>1185.2488664551479</v>
      </c>
      <c r="Q223" s="48">
        <f t="shared" si="90"/>
        <v>1192.7206499334666</v>
      </c>
      <c r="R223" s="48">
        <f t="shared" si="90"/>
        <v>1200.5660225856868</v>
      </c>
      <c r="S223" s="48">
        <f t="shared" si="90"/>
        <v>1174.2055704742038</v>
      </c>
      <c r="T223" s="48">
        <f t="shared" si="90"/>
        <v>1179.7412654176137</v>
      </c>
      <c r="U223" s="48">
        <f t="shared" si="90"/>
        <v>1148.0770903412945</v>
      </c>
      <c r="V223" s="48">
        <f t="shared" si="90"/>
        <v>1127.5477663586339</v>
      </c>
    </row>
    <row r="224" spans="1:22">
      <c r="A224" s="5"/>
      <c r="B224" s="34"/>
      <c r="C224" s="34"/>
      <c r="D224" s="34"/>
      <c r="E224" s="34"/>
      <c r="F224" s="34"/>
      <c r="G224" s="34"/>
      <c r="H224" s="34"/>
      <c r="I224" s="34"/>
      <c r="J224" s="34"/>
      <c r="K224" s="34"/>
      <c r="L224" s="49"/>
      <c r="M224" s="49"/>
      <c r="N224" s="49"/>
      <c r="O224" s="49"/>
      <c r="P224" s="49"/>
      <c r="Q224" s="49"/>
      <c r="R224" s="49"/>
      <c r="S224" s="49"/>
      <c r="T224" s="49"/>
      <c r="U224" s="49"/>
      <c r="V224" s="49"/>
    </row>
    <row r="225" spans="1:22">
      <c r="A225" s="5" t="s">
        <v>180</v>
      </c>
      <c r="B225" s="36"/>
      <c r="C225" s="45">
        <v>-256.37200000000001</v>
      </c>
      <c r="D225" s="45">
        <v>541.81299999999999</v>
      </c>
      <c r="E225" s="45"/>
      <c r="F225" s="45"/>
      <c r="G225" s="45"/>
      <c r="H225" s="45"/>
      <c r="I225" s="45"/>
      <c r="J225" s="45"/>
      <c r="K225" s="45"/>
      <c r="L225" s="48">
        <f>L210+L221-L222</f>
        <v>2073.1616991599708</v>
      </c>
      <c r="M225" s="48">
        <f t="shared" ref="M225:V225" si="91">M210+M221-M222</f>
        <v>1698.2077191880303</v>
      </c>
      <c r="N225" s="48">
        <f t="shared" si="91"/>
        <v>1598.9182299085405</v>
      </c>
      <c r="O225" s="48">
        <f t="shared" si="91"/>
        <v>1578.9039409711877</v>
      </c>
      <c r="P225" s="48">
        <f t="shared" si="91"/>
        <v>1471.9811851799946</v>
      </c>
      <c r="Q225" s="48">
        <f t="shared" si="91"/>
        <v>1510.0846162348444</v>
      </c>
      <c r="R225" s="48">
        <f t="shared" si="91"/>
        <v>1550.0932188424399</v>
      </c>
      <c r="S225" s="48">
        <f t="shared" si="91"/>
        <v>1524.0176693849467</v>
      </c>
      <c r="T225" s="48">
        <f t="shared" si="91"/>
        <v>1556.581873597029</v>
      </c>
      <c r="U225" s="48">
        <f t="shared" si="91"/>
        <v>1516.8083618749708</v>
      </c>
      <c r="V225" s="48">
        <f t="shared" si="91"/>
        <v>1493.9885503807998</v>
      </c>
    </row>
    <row r="226" spans="1:22">
      <c r="A226" s="5" t="s">
        <v>333</v>
      </c>
      <c r="B226" s="36"/>
      <c r="C226" s="45">
        <v>-266.08100000000002</v>
      </c>
      <c r="D226" s="45">
        <v>257.99400000000003</v>
      </c>
      <c r="E226" s="45"/>
      <c r="F226" s="45"/>
      <c r="G226" s="45"/>
      <c r="H226" s="45"/>
      <c r="I226" s="45"/>
      <c r="J226" s="45"/>
      <c r="K226" s="45"/>
      <c r="L226" s="48">
        <f>L433</f>
        <v>2073.1616991599708</v>
      </c>
      <c r="M226" s="48">
        <f t="shared" ref="M226:V226" si="92">M433</f>
        <v>1698.2077191880303</v>
      </c>
      <c r="N226" s="48">
        <f t="shared" si="92"/>
        <v>1598.9182299085405</v>
      </c>
      <c r="O226" s="48">
        <f t="shared" si="92"/>
        <v>1578.9039409711877</v>
      </c>
      <c r="P226" s="48">
        <f t="shared" si="92"/>
        <v>1471.9811851799946</v>
      </c>
      <c r="Q226" s="48">
        <f t="shared" si="92"/>
        <v>1510.0846162348444</v>
      </c>
      <c r="R226" s="48">
        <f t="shared" si="92"/>
        <v>1550.0932188424399</v>
      </c>
      <c r="S226" s="48">
        <f t="shared" si="92"/>
        <v>1524.0176693849467</v>
      </c>
      <c r="T226" s="48">
        <f t="shared" si="92"/>
        <v>1556.581873597029</v>
      </c>
      <c r="U226" s="48">
        <f t="shared" si="92"/>
        <v>1516.8083618749708</v>
      </c>
      <c r="V226" s="48">
        <f t="shared" si="92"/>
        <v>1493.9885503807998</v>
      </c>
    </row>
    <row r="227" spans="1:22">
      <c r="A227" s="5" t="s">
        <v>230</v>
      </c>
      <c r="B227" s="36"/>
      <c r="C227" s="45">
        <v>-277.637</v>
      </c>
      <c r="D227" s="45">
        <v>-667.65200000000016</v>
      </c>
      <c r="E227" s="45"/>
      <c r="F227" s="45"/>
      <c r="G227" s="45"/>
      <c r="H227" s="45"/>
      <c r="I227" s="45"/>
      <c r="J227" s="45"/>
      <c r="K227" s="45"/>
      <c r="L227" s="48">
        <f>-L223</f>
        <v>-1660.8447528888887</v>
      </c>
      <c r="M227" s="48">
        <f t="shared" ref="M227:V227" si="93">-M223</f>
        <v>-1363.9547637888886</v>
      </c>
      <c r="N227" s="48">
        <f t="shared" si="93"/>
        <v>-1287.3883981788881</v>
      </c>
      <c r="O227" s="48">
        <f t="shared" si="93"/>
        <v>-1257.1993740240891</v>
      </c>
      <c r="P227" s="48">
        <f t="shared" si="93"/>
        <v>-1185.2488664551479</v>
      </c>
      <c r="Q227" s="48">
        <f t="shared" si="93"/>
        <v>-1192.7206499334666</v>
      </c>
      <c r="R227" s="48">
        <f t="shared" si="93"/>
        <v>-1200.5660225856868</v>
      </c>
      <c r="S227" s="48">
        <f t="shared" si="93"/>
        <v>-1174.2055704742038</v>
      </c>
      <c r="T227" s="48">
        <f t="shared" si="93"/>
        <v>-1179.7412654176137</v>
      </c>
      <c r="U227" s="48">
        <f t="shared" si="93"/>
        <v>-1148.0770903412945</v>
      </c>
      <c r="V227" s="48">
        <f t="shared" si="93"/>
        <v>-1127.5477663586339</v>
      </c>
    </row>
    <row r="228" spans="1:22">
      <c r="A228" s="5" t="s">
        <v>334</v>
      </c>
      <c r="B228" s="36"/>
      <c r="C228" s="45">
        <v>-206.93</v>
      </c>
      <c r="D228" s="45">
        <v>-249.417</v>
      </c>
      <c r="E228" s="45"/>
      <c r="F228" s="45"/>
      <c r="G228" s="45"/>
      <c r="H228" s="45"/>
      <c r="I228" s="45"/>
      <c r="J228" s="45"/>
      <c r="K228" s="45"/>
      <c r="L228" s="48">
        <f>L444</f>
        <v>-1660.8447528888887</v>
      </c>
      <c r="M228" s="48">
        <f t="shared" ref="M228:V228" si="94">M444</f>
        <v>-1363.9547637888886</v>
      </c>
      <c r="N228" s="48">
        <f t="shared" si="94"/>
        <v>-1287.3883981788881</v>
      </c>
      <c r="O228" s="48">
        <f t="shared" si="94"/>
        <v>-1257.1993740240891</v>
      </c>
      <c r="P228" s="48">
        <f t="shared" si="94"/>
        <v>-1185.2488664551479</v>
      </c>
      <c r="Q228" s="48">
        <f t="shared" si="94"/>
        <v>-1192.7206499334666</v>
      </c>
      <c r="R228" s="48">
        <f t="shared" si="94"/>
        <v>-1200.5660225856868</v>
      </c>
      <c r="S228" s="48">
        <f t="shared" si="94"/>
        <v>-1174.2055704742038</v>
      </c>
      <c r="T228" s="48">
        <f t="shared" si="94"/>
        <v>-1179.7412654176137</v>
      </c>
      <c r="U228" s="48">
        <f t="shared" si="94"/>
        <v>-1148.0770903412945</v>
      </c>
      <c r="V228" s="48">
        <f t="shared" si="94"/>
        <v>-1127.5477663586339</v>
      </c>
    </row>
    <row r="229" spans="1:22">
      <c r="A229" s="5" t="s">
        <v>245</v>
      </c>
      <c r="B229" s="36"/>
      <c r="C229" s="45">
        <v>425.76400000000001</v>
      </c>
      <c r="D229" s="45">
        <v>767.947</v>
      </c>
      <c r="E229" s="45"/>
      <c r="F229" s="45"/>
      <c r="G229" s="45"/>
      <c r="H229" s="45"/>
      <c r="I229" s="45"/>
      <c r="J229" s="45"/>
      <c r="K229" s="45"/>
      <c r="L229" s="108">
        <f>L204-L214</f>
        <v>1590.4804080880117</v>
      </c>
      <c r="M229" s="108">
        <f t="shared" ref="M229:V229" si="95">M204-M214</f>
        <v>703.00408232188659</v>
      </c>
      <c r="N229" s="108">
        <f t="shared" si="95"/>
        <v>475.29448279780729</v>
      </c>
      <c r="O229" s="108">
        <f t="shared" si="95"/>
        <v>376.90147848081801</v>
      </c>
      <c r="P229" s="108">
        <f t="shared" si="95"/>
        <v>169.04806674605459</v>
      </c>
      <c r="Q229" s="108">
        <f t="shared" si="95"/>
        <v>178.48288277022377</v>
      </c>
      <c r="R229" s="108">
        <f t="shared" si="95"/>
        <v>188.38943959560049</v>
      </c>
      <c r="S229" s="108">
        <f t="shared" si="95"/>
        <v>106.34439877552001</v>
      </c>
      <c r="T229" s="108">
        <f t="shared" si="95"/>
        <v>111.38410487603488</v>
      </c>
      <c r="U229" s="108">
        <f t="shared" si="95"/>
        <v>16.634804614125414</v>
      </c>
      <c r="V229" s="108">
        <f t="shared" si="95"/>
        <v>-46.130697351004926</v>
      </c>
    </row>
    <row r="230" spans="1:22">
      <c r="A230" s="5" t="s">
        <v>335</v>
      </c>
      <c r="B230" s="36"/>
      <c r="C230" s="45">
        <v>419.63499999999999</v>
      </c>
      <c r="D230" s="45">
        <v>635.42200000000003</v>
      </c>
      <c r="E230" s="45"/>
      <c r="F230" s="45"/>
      <c r="G230" s="45"/>
      <c r="H230" s="45"/>
      <c r="I230" s="45"/>
      <c r="J230" s="45"/>
      <c r="K230" s="45"/>
      <c r="L230" s="48">
        <f>L462</f>
        <v>1590.4804080880117</v>
      </c>
      <c r="M230" s="48">
        <f t="shared" ref="M230:V230" si="96">M462</f>
        <v>703.00408232188636</v>
      </c>
      <c r="N230" s="48">
        <f t="shared" si="96"/>
        <v>475.29448279780752</v>
      </c>
      <c r="O230" s="48">
        <f t="shared" si="96"/>
        <v>376.90147848081779</v>
      </c>
      <c r="P230" s="48">
        <f t="shared" si="96"/>
        <v>169.04806674605481</v>
      </c>
      <c r="Q230" s="48">
        <f t="shared" si="96"/>
        <v>178.48288277022331</v>
      </c>
      <c r="R230" s="48">
        <f t="shared" si="96"/>
        <v>188.38943959560117</v>
      </c>
      <c r="S230" s="48">
        <f t="shared" si="96"/>
        <v>106.34439877552001</v>
      </c>
      <c r="T230" s="48">
        <f t="shared" si="96"/>
        <v>111.38410487603443</v>
      </c>
      <c r="U230" s="48">
        <f t="shared" si="96"/>
        <v>16.63480461412496</v>
      </c>
      <c r="V230" s="48">
        <f t="shared" si="96"/>
        <v>-46.130697351004017</v>
      </c>
    </row>
    <row r="231" spans="1:22">
      <c r="A231" s="5" t="s">
        <v>182</v>
      </c>
      <c r="B231" s="34"/>
      <c r="C231" s="45">
        <v>-108.245</v>
      </c>
      <c r="D231" s="45">
        <v>642.10799999999983</v>
      </c>
      <c r="E231" s="45"/>
      <c r="F231" s="45"/>
      <c r="G231" s="45"/>
      <c r="H231" s="45"/>
      <c r="I231" s="45"/>
      <c r="J231" s="45"/>
      <c r="K231" s="45"/>
      <c r="L231" s="48">
        <f>L225+L227+L229</f>
        <v>2002.7973543590938</v>
      </c>
      <c r="M231" s="48">
        <f>M225+M227+M229</f>
        <v>1037.2570377210282</v>
      </c>
      <c r="N231" s="48">
        <f t="shared" ref="N231:V231" si="97">N225+N227+N229</f>
        <v>786.82431452745971</v>
      </c>
      <c r="O231" s="48">
        <f t="shared" si="97"/>
        <v>698.60604542791657</v>
      </c>
      <c r="P231" s="48">
        <f t="shared" si="97"/>
        <v>455.78038547090125</v>
      </c>
      <c r="Q231" s="48">
        <f t="shared" si="97"/>
        <v>495.84684907160158</v>
      </c>
      <c r="R231" s="48">
        <f t="shared" si="97"/>
        <v>537.91663585235358</v>
      </c>
      <c r="S231" s="48">
        <f t="shared" si="97"/>
        <v>456.15649768626287</v>
      </c>
      <c r="T231" s="48">
        <f t="shared" si="97"/>
        <v>488.2247130554502</v>
      </c>
      <c r="U231" s="48">
        <f t="shared" si="97"/>
        <v>385.36607614780178</v>
      </c>
      <c r="V231" s="48">
        <f t="shared" si="97"/>
        <v>320.31008667116095</v>
      </c>
    </row>
    <row r="232" spans="1:22">
      <c r="A232" s="33" t="s">
        <v>336</v>
      </c>
      <c r="B232" s="34"/>
      <c r="C232" s="45">
        <v>-57.75800000000001</v>
      </c>
      <c r="D232" s="45">
        <v>627.91699999999992</v>
      </c>
      <c r="E232" s="45"/>
      <c r="F232" s="45"/>
      <c r="G232" s="45"/>
      <c r="H232" s="45"/>
      <c r="I232" s="45"/>
      <c r="J232" s="45"/>
      <c r="K232" s="45"/>
      <c r="L232" s="48">
        <f>L464</f>
        <v>2002.7973543590938</v>
      </c>
      <c r="M232" s="48">
        <f t="shared" ref="M232:V232" si="98">M464</f>
        <v>1037.2570377210282</v>
      </c>
      <c r="N232" s="48">
        <f t="shared" si="98"/>
        <v>786.82431452745993</v>
      </c>
      <c r="O232" s="48">
        <f t="shared" si="98"/>
        <v>698.60604542791634</v>
      </c>
      <c r="P232" s="48">
        <f t="shared" si="98"/>
        <v>455.78038547090148</v>
      </c>
      <c r="Q232" s="48">
        <f t="shared" si="98"/>
        <v>495.84684907160113</v>
      </c>
      <c r="R232" s="48">
        <f t="shared" si="98"/>
        <v>537.91663585235426</v>
      </c>
      <c r="S232" s="48">
        <f t="shared" si="98"/>
        <v>456.15649768626287</v>
      </c>
      <c r="T232" s="48">
        <f t="shared" si="98"/>
        <v>488.22471305544974</v>
      </c>
      <c r="U232" s="48">
        <f t="shared" si="98"/>
        <v>385.36607614780132</v>
      </c>
      <c r="V232" s="48">
        <f t="shared" si="98"/>
        <v>320.31008667116186</v>
      </c>
    </row>
    <row r="233" spans="1:22">
      <c r="A233" s="33"/>
      <c r="B233" s="34"/>
      <c r="C233" s="34"/>
      <c r="D233" s="34"/>
      <c r="E233" s="34"/>
      <c r="F233" s="34"/>
      <c r="G233" s="34"/>
      <c r="H233" s="34"/>
      <c r="I233" s="34"/>
      <c r="J233" s="34"/>
      <c r="K233" s="34"/>
      <c r="L233" s="49"/>
      <c r="M233" s="49"/>
      <c r="N233" s="49"/>
      <c r="O233" s="49"/>
      <c r="P233" s="49"/>
      <c r="Q233" s="49"/>
      <c r="R233" s="49"/>
      <c r="S233" s="49"/>
      <c r="T233" s="49"/>
      <c r="U233" s="49"/>
      <c r="V233" s="49"/>
    </row>
    <row r="234" spans="1:22">
      <c r="A234" s="7" t="s">
        <v>190</v>
      </c>
      <c r="B234" s="45">
        <v>372.83800000000002</v>
      </c>
      <c r="C234" s="45">
        <v>524.76800000000003</v>
      </c>
      <c r="D234" s="45">
        <v>1265.9389999999999</v>
      </c>
      <c r="E234" s="45"/>
      <c r="F234" s="45"/>
      <c r="G234" s="45"/>
      <c r="H234" s="45"/>
      <c r="I234" s="45"/>
      <c r="J234" s="45"/>
      <c r="K234" s="45"/>
      <c r="L234" s="48">
        <f>L191+L197</f>
        <v>3297.3119667590936</v>
      </c>
      <c r="M234" s="48">
        <f t="shared" ref="M234:V234" si="99">M191+M197</f>
        <v>4423.6126513401223</v>
      </c>
      <c r="N234" s="48">
        <f t="shared" si="99"/>
        <v>5278.7037617935821</v>
      </c>
      <c r="O234" s="48">
        <f t="shared" si="99"/>
        <v>6037.3845876363794</v>
      </c>
      <c r="P234" s="48">
        <f t="shared" si="99"/>
        <v>6533.7154498873242</v>
      </c>
      <c r="Q234" s="48">
        <f t="shared" si="99"/>
        <v>7072.1402995779717</v>
      </c>
      <c r="R234" s="48">
        <f t="shared" si="99"/>
        <v>7654.7638360803239</v>
      </c>
      <c r="S234" s="48">
        <f t="shared" si="99"/>
        <v>8148.4741303125857</v>
      </c>
      <c r="T234" s="48">
        <f t="shared" si="99"/>
        <v>8675.7547917758748</v>
      </c>
      <c r="U234" s="48">
        <f t="shared" si="99"/>
        <v>9091.5845076817914</v>
      </c>
      <c r="V234" s="48">
        <f t="shared" si="99"/>
        <v>9436.7874498539659</v>
      </c>
    </row>
    <row r="235" spans="1:22">
      <c r="A235" s="7" t="s">
        <v>337</v>
      </c>
      <c r="B235" s="45">
        <v>372.83800000000002</v>
      </c>
      <c r="C235" s="45">
        <v>524.76800000000003</v>
      </c>
      <c r="D235" s="45">
        <v>1265.9390000000001</v>
      </c>
      <c r="E235" s="45"/>
      <c r="F235" s="45"/>
      <c r="G235" s="45"/>
      <c r="H235" s="45"/>
      <c r="I235" s="45"/>
      <c r="J235" s="45"/>
      <c r="K235" s="45"/>
      <c r="L235" s="48">
        <f>L362</f>
        <v>3297.311966759094</v>
      </c>
      <c r="M235" s="48">
        <f t="shared" ref="M235:V235" si="100">M362</f>
        <v>4423.6126513401223</v>
      </c>
      <c r="N235" s="48">
        <f t="shared" si="100"/>
        <v>5278.7037617935821</v>
      </c>
      <c r="O235" s="48">
        <f t="shared" si="100"/>
        <v>6037.3845876363785</v>
      </c>
      <c r="P235" s="48">
        <f t="shared" si="100"/>
        <v>6533.7154498873233</v>
      </c>
      <c r="Q235" s="48">
        <f t="shared" si="100"/>
        <v>7072.1402995779717</v>
      </c>
      <c r="R235" s="48">
        <f t="shared" si="100"/>
        <v>7654.7638360803248</v>
      </c>
      <c r="S235" s="48">
        <f t="shared" si="100"/>
        <v>8148.4741303125847</v>
      </c>
      <c r="T235" s="48">
        <f t="shared" si="100"/>
        <v>8675.7547917758748</v>
      </c>
      <c r="U235" s="48">
        <f t="shared" si="100"/>
        <v>9091.5845076817932</v>
      </c>
      <c r="V235" s="48">
        <f t="shared" si="100"/>
        <v>9436.7874498539677</v>
      </c>
    </row>
    <row r="236" spans="1:22">
      <c r="A236" s="7" t="s">
        <v>191</v>
      </c>
      <c r="B236" s="45">
        <v>713.44800000000009</v>
      </c>
      <c r="C236" s="45">
        <v>1114.19</v>
      </c>
      <c r="D236" s="45">
        <v>2416.9300000000003</v>
      </c>
      <c r="E236" s="45"/>
      <c r="F236" s="45"/>
      <c r="G236" s="45"/>
      <c r="H236" s="45"/>
      <c r="I236" s="45"/>
      <c r="J236" s="45"/>
      <c r="K236" s="45"/>
      <c r="L236" s="48">
        <f>L191+L193+L197</f>
        <v>17925.328829647984</v>
      </c>
      <c r="M236" s="48">
        <f t="shared" ref="M236:V236" si="101">M191+M193+M197</f>
        <v>19749.3345000179</v>
      </c>
      <c r="N236" s="48">
        <f t="shared" si="101"/>
        <v>21225.564230650249</v>
      </c>
      <c r="O236" s="48">
        <f t="shared" si="101"/>
        <v>22575.194652517133</v>
      </c>
      <c r="P236" s="48">
        <f t="shared" si="101"/>
        <v>23590.524603223228</v>
      </c>
      <c r="Q236" s="48">
        <f t="shared" si="101"/>
        <v>24655.420324847342</v>
      </c>
      <c r="R236" s="48">
        <f t="shared" si="101"/>
        <v>25772.360105935382</v>
      </c>
      <c r="S236" s="48">
        <f t="shared" si="101"/>
        <v>26774.026192641846</v>
      </c>
      <c r="T236" s="48">
        <f t="shared" si="101"/>
        <v>27814.79834152275</v>
      </c>
      <c r="U236" s="48">
        <f t="shared" si="101"/>
        <v>28712.455369769959</v>
      </c>
      <c r="V236" s="48">
        <f t="shared" si="101"/>
        <v>29518.956300300772</v>
      </c>
    </row>
    <row r="237" spans="1:22">
      <c r="A237" s="7" t="s">
        <v>338</v>
      </c>
      <c r="B237" s="45">
        <v>713.44799999999998</v>
      </c>
      <c r="C237" s="45">
        <v>1114.19</v>
      </c>
      <c r="D237" s="45">
        <v>2416.9299999999998</v>
      </c>
      <c r="E237" s="45"/>
      <c r="F237" s="45"/>
      <c r="G237" s="45"/>
      <c r="H237" s="45"/>
      <c r="I237" s="45"/>
      <c r="J237" s="45"/>
      <c r="K237" s="45"/>
      <c r="L237" s="48">
        <f>L379</f>
        <v>17925.328829647984</v>
      </c>
      <c r="M237" s="48">
        <f t="shared" ref="M237:V237" si="102">M379</f>
        <v>19749.3345000179</v>
      </c>
      <c r="N237" s="48">
        <f t="shared" si="102"/>
        <v>21225.564230650249</v>
      </c>
      <c r="O237" s="48">
        <f t="shared" si="102"/>
        <v>22575.194652517137</v>
      </c>
      <c r="P237" s="48">
        <f t="shared" si="102"/>
        <v>23590.524603223228</v>
      </c>
      <c r="Q237" s="48">
        <f t="shared" si="102"/>
        <v>24655.420324847339</v>
      </c>
      <c r="R237" s="48">
        <f t="shared" si="102"/>
        <v>25772.360105935382</v>
      </c>
      <c r="S237" s="48">
        <f t="shared" si="102"/>
        <v>26774.026192641846</v>
      </c>
      <c r="T237" s="48">
        <f t="shared" si="102"/>
        <v>27814.79834152275</v>
      </c>
      <c r="U237" s="48">
        <f t="shared" si="102"/>
        <v>28712.455369769959</v>
      </c>
      <c r="V237" s="48">
        <f t="shared" si="102"/>
        <v>29518.956300300772</v>
      </c>
    </row>
    <row r="238" spans="1:22">
      <c r="A238" s="7" t="s">
        <v>192</v>
      </c>
      <c r="B238" s="45">
        <v>713.44799999999998</v>
      </c>
      <c r="C238" s="45">
        <v>1114.19</v>
      </c>
      <c r="D238" s="45">
        <v>2416.9299999999998</v>
      </c>
      <c r="E238" s="45"/>
      <c r="F238" s="45"/>
      <c r="G238" s="45"/>
      <c r="H238" s="45"/>
      <c r="I238" s="45"/>
      <c r="J238" s="45"/>
      <c r="K238" s="45"/>
      <c r="L238" s="48">
        <f>L192+L194+L195+L196</f>
        <v>17925.328831647981</v>
      </c>
      <c r="M238" s="48">
        <f t="shared" ref="M238:V238" si="103">M192+M194+M195+M196</f>
        <v>19749.334502017897</v>
      </c>
      <c r="N238" s="48">
        <f t="shared" si="103"/>
        <v>21225.564232650246</v>
      </c>
      <c r="O238" s="48">
        <f t="shared" si="103"/>
        <v>22575.19465451713</v>
      </c>
      <c r="P238" s="48">
        <f t="shared" si="103"/>
        <v>23590.524605223225</v>
      </c>
      <c r="Q238" s="48">
        <f t="shared" si="103"/>
        <v>24655.420326847339</v>
      </c>
      <c r="R238" s="48">
        <f t="shared" si="103"/>
        <v>25772.360107935376</v>
      </c>
      <c r="S238" s="48">
        <f t="shared" si="103"/>
        <v>26774.026194641847</v>
      </c>
      <c r="T238" s="48">
        <f t="shared" si="103"/>
        <v>27814.798343522743</v>
      </c>
      <c r="U238" s="48">
        <f t="shared" si="103"/>
        <v>28712.45537176996</v>
      </c>
      <c r="V238" s="48">
        <f t="shared" si="103"/>
        <v>29518.956302300769</v>
      </c>
    </row>
    <row r="239" spans="1:22">
      <c r="A239" s="7" t="s">
        <v>339</v>
      </c>
      <c r="B239" s="45">
        <v>713.44799999999998</v>
      </c>
      <c r="C239" s="45">
        <v>1114.19</v>
      </c>
      <c r="D239" s="45">
        <v>2416.9299999999998</v>
      </c>
      <c r="E239" s="45"/>
      <c r="F239" s="45"/>
      <c r="G239" s="45"/>
      <c r="H239" s="45"/>
      <c r="I239" s="45"/>
      <c r="J239" s="45"/>
      <c r="K239" s="45"/>
      <c r="L239" s="48">
        <f>L409</f>
        <v>17925.328831647981</v>
      </c>
      <c r="M239" s="48">
        <f t="shared" ref="M239:V239" si="104">M409</f>
        <v>19749.334502017897</v>
      </c>
      <c r="N239" s="48">
        <f t="shared" si="104"/>
        <v>21225.564232650246</v>
      </c>
      <c r="O239" s="48">
        <f t="shared" si="104"/>
        <v>22575.194654517134</v>
      </c>
      <c r="P239" s="48">
        <f t="shared" si="104"/>
        <v>23590.524605223225</v>
      </c>
      <c r="Q239" s="48">
        <f t="shared" si="104"/>
        <v>24655.420326847339</v>
      </c>
      <c r="R239" s="48">
        <f t="shared" si="104"/>
        <v>25772.360107935376</v>
      </c>
      <c r="S239" s="48">
        <f t="shared" si="104"/>
        <v>26774.026194641847</v>
      </c>
      <c r="T239" s="48">
        <f t="shared" si="104"/>
        <v>27814.798343522743</v>
      </c>
      <c r="U239" s="48">
        <f t="shared" si="104"/>
        <v>28712.45537176996</v>
      </c>
      <c r="V239" s="48">
        <f t="shared" si="104"/>
        <v>29518.956302300769</v>
      </c>
    </row>
    <row r="241" spans="1:23">
      <c r="A241" s="3" t="s">
        <v>283</v>
      </c>
      <c r="L241" s="49"/>
      <c r="M241" s="47"/>
      <c r="N241" s="47"/>
      <c r="O241" s="47"/>
      <c r="P241" s="47"/>
      <c r="Q241" s="47"/>
      <c r="R241" s="47"/>
      <c r="S241" s="47"/>
      <c r="T241" s="47"/>
      <c r="U241" s="47"/>
      <c r="V241" s="47"/>
    </row>
    <row r="242" spans="1:23">
      <c r="A242" s="44" t="s">
        <v>278</v>
      </c>
      <c r="L242" s="49"/>
      <c r="M242" s="47"/>
      <c r="N242" s="47"/>
      <c r="O242" s="47"/>
      <c r="P242" s="47"/>
      <c r="Q242" s="47"/>
      <c r="R242" s="47"/>
      <c r="S242" s="47"/>
      <c r="T242" s="47"/>
      <c r="U242" s="47"/>
      <c r="V242" s="47"/>
    </row>
    <row r="243" spans="1:23">
      <c r="A243" s="3"/>
      <c r="L243" s="49"/>
      <c r="M243" s="47"/>
      <c r="N243" s="47"/>
      <c r="O243" s="47"/>
      <c r="P243" s="47"/>
      <c r="Q243" s="47"/>
      <c r="R243" s="47"/>
      <c r="S243" s="47"/>
      <c r="T243" s="47"/>
      <c r="U243" s="47"/>
      <c r="V243" s="47"/>
    </row>
    <row r="244" spans="1:23">
      <c r="A244" s="5" t="s">
        <v>244</v>
      </c>
      <c r="B244" s="34"/>
      <c r="C244" s="45">
        <f>B314</f>
        <v>3.2645940000000002</v>
      </c>
      <c r="D244" s="45">
        <f>C314</f>
        <v>4.312398</v>
      </c>
      <c r="E244" s="45">
        <f t="shared" ref="D244:V244" si="105">D314</f>
        <v>11.884791</v>
      </c>
      <c r="F244" s="45">
        <f t="shared" si="105"/>
        <v>136.88641999999999</v>
      </c>
      <c r="G244" s="45">
        <f t="shared" si="105"/>
        <v>242.03679399999999</v>
      </c>
      <c r="H244" s="45">
        <f t="shared" si="105"/>
        <v>264.59488199999998</v>
      </c>
      <c r="I244" s="45">
        <f t="shared" si="105"/>
        <v>263.67334199999999</v>
      </c>
      <c r="J244" s="45">
        <f t="shared" si="105"/>
        <v>286.22563000000002</v>
      </c>
      <c r="K244" s="45">
        <f t="shared" si="105"/>
        <v>344.52275500000002</v>
      </c>
      <c r="L244" s="45">
        <f>K314</f>
        <v>277.29600799999997</v>
      </c>
      <c r="M244" s="45">
        <f t="shared" si="105"/>
        <v>308.19027229346875</v>
      </c>
      <c r="N244" s="45">
        <f t="shared" si="105"/>
        <v>354.41881313748911</v>
      </c>
      <c r="O244" s="45">
        <f t="shared" si="105"/>
        <v>389.86069445123803</v>
      </c>
      <c r="P244" s="45">
        <f t="shared" si="105"/>
        <v>421.04955000733713</v>
      </c>
      <c r="Q244" s="45">
        <f t="shared" si="105"/>
        <v>442.10202750770401</v>
      </c>
      <c r="R244" s="45">
        <f t="shared" si="105"/>
        <v>464.2071288830893</v>
      </c>
      <c r="S244" s="45">
        <f t="shared" si="105"/>
        <v>487.41748532724381</v>
      </c>
      <c r="T244" s="45">
        <f t="shared" si="105"/>
        <v>506.91418474033355</v>
      </c>
      <c r="U244" s="45">
        <f t="shared" si="105"/>
        <v>527.19075212994687</v>
      </c>
      <c r="V244" s="45">
        <f t="shared" si="105"/>
        <v>543.00647469384535</v>
      </c>
      <c r="W244" s="8" t="s">
        <v>233</v>
      </c>
    </row>
    <row r="245" spans="1:23">
      <c r="A245" s="44" t="s">
        <v>276</v>
      </c>
      <c r="C245" s="45">
        <f>C244+C214</f>
        <v>-243.11640600000001</v>
      </c>
      <c r="D245" s="45">
        <f t="shared" ref="D245:V245" si="106">D244+D214</f>
        <v>-626.31260199999997</v>
      </c>
      <c r="E245" s="45">
        <f t="shared" si="106"/>
        <v>11.884791</v>
      </c>
      <c r="F245" s="45">
        <f t="shared" si="106"/>
        <v>136.88641999999999</v>
      </c>
      <c r="G245" s="45">
        <f t="shared" si="106"/>
        <v>242.03679399999999</v>
      </c>
      <c r="H245" s="45">
        <f t="shared" si="106"/>
        <v>264.59488199999998</v>
      </c>
      <c r="I245" s="45">
        <f t="shared" si="106"/>
        <v>263.67334199999999</v>
      </c>
      <c r="J245" s="45">
        <f t="shared" si="106"/>
        <v>286.22563000000002</v>
      </c>
      <c r="K245" s="45">
        <f t="shared" si="106"/>
        <v>344.52275500000002</v>
      </c>
      <c r="L245" s="45">
        <f>L244+L214</f>
        <v>400.95750351198706</v>
      </c>
      <c r="M245" s="45">
        <f t="shared" si="106"/>
        <v>505.11068936158233</v>
      </c>
      <c r="N245" s="45">
        <f t="shared" si="106"/>
        <v>569.06644653868216</v>
      </c>
      <c r="O245" s="45">
        <f t="shared" si="106"/>
        <v>620.10827822554097</v>
      </c>
      <c r="P245" s="45">
        <f t="shared" si="106"/>
        <v>661.82710028348924</v>
      </c>
      <c r="Q245" s="45">
        <f t="shared" si="106"/>
        <v>693.9360426107977</v>
      </c>
      <c r="R245" s="45">
        <f t="shared" si="106"/>
        <v>727.65043205447159</v>
      </c>
      <c r="S245" s="45">
        <f t="shared" si="106"/>
        <v>760.61259047598867</v>
      </c>
      <c r="T245" s="45">
        <f t="shared" si="106"/>
        <v>790.25116394553538</v>
      </c>
      <c r="U245" s="45">
        <f t="shared" si="106"/>
        <v>818.43839309918519</v>
      </c>
      <c r="V245" s="45">
        <f t="shared" si="106"/>
        <v>840.7181810792033</v>
      </c>
    </row>
    <row r="246" spans="1:23">
      <c r="A246" s="7" t="s">
        <v>246</v>
      </c>
      <c r="C246" s="104">
        <f>B314*$S$26</f>
        <v>1.0300006176401713</v>
      </c>
      <c r="D246" s="104">
        <f t="shared" ref="D246:V246" si="107">C314*$S$26</f>
        <v>1.3605895874066543</v>
      </c>
      <c r="E246" s="104">
        <f t="shared" si="107"/>
        <v>3.7497287780729698</v>
      </c>
      <c r="F246" s="104">
        <f t="shared" si="107"/>
        <v>43.188554885095016</v>
      </c>
      <c r="G246" s="104">
        <f t="shared" si="107"/>
        <v>76.36418106252934</v>
      </c>
      <c r="H246" s="104">
        <f t="shared" si="107"/>
        <v>83.481404390386132</v>
      </c>
      <c r="I246" s="104">
        <f t="shared" si="107"/>
        <v>83.190652532979016</v>
      </c>
      <c r="J246" s="104">
        <f t="shared" si="107"/>
        <v>90.306045923152212</v>
      </c>
      <c r="K246" s="104">
        <f t="shared" si="107"/>
        <v>108.69916762730479</v>
      </c>
      <c r="L246" s="104">
        <f>K314*$S$26</f>
        <v>87.488692164830866</v>
      </c>
      <c r="M246" s="104">
        <f t="shared" si="107"/>
        <v>97.236033274877485</v>
      </c>
      <c r="N246" s="104">
        <f t="shared" si="107"/>
        <v>111.82143826610913</v>
      </c>
      <c r="O246" s="104">
        <f t="shared" si="107"/>
        <v>123.00358209272004</v>
      </c>
      <c r="P246" s="104">
        <f t="shared" si="107"/>
        <v>132.84386866013764</v>
      </c>
      <c r="Q246" s="104">
        <f t="shared" si="107"/>
        <v>139.48606209314454</v>
      </c>
      <c r="R246" s="104">
        <f t="shared" si="107"/>
        <v>146.46036519780179</v>
      </c>
      <c r="S246" s="104">
        <f t="shared" si="107"/>
        <v>153.78338345769191</v>
      </c>
      <c r="T246" s="104">
        <f t="shared" si="107"/>
        <v>159.93471879599957</v>
      </c>
      <c r="U246" s="104">
        <f t="shared" si="107"/>
        <v>166.33210754783954</v>
      </c>
      <c r="V246" s="104">
        <f t="shared" si="107"/>
        <v>171.32207077427475</v>
      </c>
    </row>
    <row r="247" spans="1:23">
      <c r="A247" s="44" t="s">
        <v>248</v>
      </c>
      <c r="L247" s="48">
        <f>L246+L22</f>
        <v>710.75987745450425</v>
      </c>
      <c r="M247" s="48">
        <f t="shared" ref="M247:V247" si="108">M246+M22</f>
        <v>674.08636354539908</v>
      </c>
      <c r="N247" s="48">
        <f t="shared" si="108"/>
        <v>690.20838235427948</v>
      </c>
      <c r="O247" s="48">
        <f t="shared" si="108"/>
        <v>732.91383038701792</v>
      </c>
      <c r="P247" s="48">
        <f t="shared" si="108"/>
        <v>722.19215279954381</v>
      </c>
      <c r="Q247" s="48">
        <f t="shared" si="108"/>
        <v>774.5967920798098</v>
      </c>
      <c r="R247" s="48">
        <f t="shared" si="108"/>
        <v>829.62166332410675</v>
      </c>
      <c r="S247" s="48">
        <f t="shared" si="108"/>
        <v>850.5749483127687</v>
      </c>
      <c r="T247" s="48">
        <f t="shared" si="108"/>
        <v>897.63397155752205</v>
      </c>
      <c r="U247" s="48">
        <f t="shared" si="108"/>
        <v>906.74778300108642</v>
      </c>
      <c r="V247" s="48">
        <f>V246+V22</f>
        <v>918.29334752929697</v>
      </c>
    </row>
    <row r="248" spans="1:23">
      <c r="L248" s="47"/>
      <c r="M248" s="47"/>
      <c r="N248" s="47"/>
      <c r="O248" s="47"/>
      <c r="P248" s="47"/>
      <c r="Q248" s="47"/>
      <c r="R248" s="47"/>
      <c r="S248" s="47"/>
      <c r="T248" s="47"/>
      <c r="U248" s="47"/>
      <c r="V248" s="47"/>
    </row>
    <row r="249" spans="1:23">
      <c r="A249" s="3" t="s">
        <v>388</v>
      </c>
      <c r="L249" s="47"/>
      <c r="M249" s="47"/>
      <c r="N249" s="47"/>
      <c r="O249" s="47"/>
      <c r="P249" s="47"/>
      <c r="Q249" s="47"/>
      <c r="R249" s="47"/>
      <c r="S249" s="47"/>
      <c r="T249" s="47"/>
      <c r="U249" s="47"/>
      <c r="V249" s="47"/>
    </row>
    <row r="250" spans="1:23">
      <c r="A250" s="44" t="s">
        <v>320</v>
      </c>
      <c r="L250" s="47"/>
      <c r="M250" s="47"/>
      <c r="N250" s="47"/>
      <c r="O250" s="47"/>
      <c r="P250" s="47"/>
      <c r="Q250" s="47"/>
      <c r="R250" s="47"/>
      <c r="S250" s="47"/>
      <c r="T250" s="47"/>
      <c r="U250" s="47"/>
      <c r="V250" s="47"/>
    </row>
    <row r="251" spans="1:23">
      <c r="A251" s="44"/>
      <c r="L251" s="47"/>
      <c r="M251" s="47"/>
      <c r="N251" s="47"/>
      <c r="O251" s="47"/>
      <c r="P251" s="47"/>
      <c r="Q251" s="47"/>
      <c r="R251" s="47"/>
      <c r="S251" s="47"/>
      <c r="T251" s="47"/>
      <c r="U251" s="47"/>
      <c r="V251" s="47"/>
    </row>
    <row r="252" spans="1:23">
      <c r="A252" s="7" t="s">
        <v>319</v>
      </c>
      <c r="L252" s="105">
        <f>S27*S25+(1-S27)*O25</f>
        <v>7.7228407554239986E-2</v>
      </c>
      <c r="M252" s="105">
        <f>L252</f>
        <v>7.7228407554239986E-2</v>
      </c>
      <c r="N252" s="105">
        <f>M252</f>
        <v>7.7228407554239986E-2</v>
      </c>
      <c r="O252" s="105">
        <f t="shared" ref="N252:V252" si="109">N252</f>
        <v>7.7228407554239986E-2</v>
      </c>
      <c r="P252" s="105">
        <f t="shared" si="109"/>
        <v>7.7228407554239986E-2</v>
      </c>
      <c r="Q252" s="105">
        <f t="shared" si="109"/>
        <v>7.7228407554239986E-2</v>
      </c>
      <c r="R252" s="105">
        <f t="shared" si="109"/>
        <v>7.7228407554239986E-2</v>
      </c>
      <c r="S252" s="105">
        <f t="shared" si="109"/>
        <v>7.7228407554239986E-2</v>
      </c>
      <c r="T252" s="105">
        <f t="shared" si="109"/>
        <v>7.7228407554239986E-2</v>
      </c>
      <c r="U252" s="105">
        <f t="shared" si="109"/>
        <v>7.7228407554239986E-2</v>
      </c>
      <c r="V252" s="105">
        <f t="shared" si="109"/>
        <v>7.7228407554239986E-2</v>
      </c>
    </row>
    <row r="253" spans="1:23">
      <c r="A253" s="7" t="s">
        <v>249</v>
      </c>
      <c r="K253" s="48">
        <f t="shared" ref="K253:S253" si="110">(L253+L247)/(1+L252)^1</f>
        <v>13351.425322582239</v>
      </c>
      <c r="L253" s="48">
        <f t="shared" si="110"/>
        <v>13671.774761370118</v>
      </c>
      <c r="M253" s="48">
        <f t="shared" si="110"/>
        <v>14053.537791085582</v>
      </c>
      <c r="N253" s="48">
        <f t="shared" si="110"/>
        <v>14448.661752840173</v>
      </c>
      <c r="O253" s="48">
        <f t="shared" si="110"/>
        <v>14831.595060914855</v>
      </c>
      <c r="P253" s="48">
        <f t="shared" si="110"/>
        <v>15254.823376159096</v>
      </c>
      <c r="Q253" s="48">
        <f t="shared" si="110"/>
        <v>15658.332300941249</v>
      </c>
      <c r="R253" s="48">
        <f t="shared" si="110"/>
        <v>16037.978706173953</v>
      </c>
      <c r="S253" s="48">
        <f>(T253+T247)/(1+T252)^1</f>
        <v>16425.991313727809</v>
      </c>
      <c r="T253" s="48">
        <f>(U253+U247)/(1+U252)^1</f>
        <v>16796.910493829262</v>
      </c>
      <c r="U253" s="48">
        <f>V247/(V252-V15)</f>
        <v>17187.361360097711</v>
      </c>
    </row>
    <row r="254" spans="1:23">
      <c r="A254" s="7" t="s">
        <v>323</v>
      </c>
      <c r="K254" s="61">
        <f>(K382+K390)/(K382+K390+K401+K245)</f>
        <v>0.36167715843096843</v>
      </c>
      <c r="L254" s="61">
        <f>(L382+L390)/(L382+L390+L401+L245)</f>
        <v>0.43568437410522154</v>
      </c>
      <c r="M254" s="61">
        <f t="shared" ref="L254:U254" si="111">(M382+M390)/(M382+M390+M401+M245)</f>
        <v>0.45950068104741176</v>
      </c>
      <c r="N254" s="61">
        <f t="shared" si="111"/>
        <v>0.4734095382569119</v>
      </c>
      <c r="O254" s="61">
        <f t="shared" si="111"/>
        <v>0.48297481631083128</v>
      </c>
      <c r="P254" s="61">
        <f t="shared" si="111"/>
        <v>0.48577496373667967</v>
      </c>
      <c r="Q254" s="61">
        <f t="shared" si="111"/>
        <v>0.48881288457477312</v>
      </c>
      <c r="R254" s="61">
        <f t="shared" si="111"/>
        <v>0.4917722819475826</v>
      </c>
      <c r="S254" s="61">
        <f t="shared" si="111"/>
        <v>0.49239487599110288</v>
      </c>
      <c r="T254" s="61">
        <f>(T382+T390)/(T382+T390+T401+T245)</f>
        <v>0.49312773122895104</v>
      </c>
      <c r="U254" s="61">
        <f t="shared" si="111"/>
        <v>0.49157537657234757</v>
      </c>
    </row>
    <row r="255" spans="1:23">
      <c r="K255" s="32">
        <f>K382+K390+K401</f>
        <v>11504.040691999999</v>
      </c>
    </row>
    <row r="256" spans="1:23">
      <c r="A256" s="7" t="s">
        <v>250</v>
      </c>
      <c r="L256" s="105">
        <f>$S$25</f>
        <v>5.1369354735153486E-2</v>
      </c>
      <c r="M256" s="105">
        <f t="shared" ref="M256:V256" si="112">$S$25</f>
        <v>5.1369354735153486E-2</v>
      </c>
      <c r="N256" s="105">
        <f t="shared" si="112"/>
        <v>5.1369354735153486E-2</v>
      </c>
      <c r="O256" s="105">
        <f t="shared" si="112"/>
        <v>5.1369354735153486E-2</v>
      </c>
      <c r="P256" s="105">
        <f t="shared" si="112"/>
        <v>5.1369354735153486E-2</v>
      </c>
      <c r="Q256" s="105">
        <f t="shared" si="112"/>
        <v>5.1369354735153486E-2</v>
      </c>
      <c r="R256" s="105">
        <f t="shared" si="112"/>
        <v>5.1369354735153486E-2</v>
      </c>
      <c r="S256" s="105">
        <f t="shared" si="112"/>
        <v>5.1369354735153486E-2</v>
      </c>
      <c r="T256" s="105">
        <f t="shared" si="112"/>
        <v>5.1369354735153486E-2</v>
      </c>
      <c r="U256" s="105">
        <f t="shared" si="112"/>
        <v>5.1369354735153486E-2</v>
      </c>
      <c r="V256" s="105">
        <f t="shared" si="112"/>
        <v>5.1369354735153486E-2</v>
      </c>
    </row>
    <row r="257" spans="1:22">
      <c r="A257" s="7" t="s">
        <v>321</v>
      </c>
      <c r="L257" s="61">
        <f>L256*(1-$S$26)*((L390+L382)/(L382+L390+L401))+$O$25*(L401/(L382+L390+L401))</f>
        <v>6.5203967563785048E-2</v>
      </c>
      <c r="M257" s="61">
        <f t="shared" ref="M257:V257" si="113">M256*(1-$S$26)*((M390+M382)/(M382+M390+M401))+$O$25*(M401/(M382+M390+M401))</f>
        <v>6.3746384895286057E-2</v>
      </c>
      <c r="N257" s="61">
        <f t="shared" si="113"/>
        <v>6.2910591757994891E-2</v>
      </c>
      <c r="O257" s="61">
        <f t="shared" si="113"/>
        <v>6.2340595300365127E-2</v>
      </c>
      <c r="P257" s="61">
        <f t="shared" si="113"/>
        <v>6.2158897617831055E-2</v>
      </c>
      <c r="Q257" s="61">
        <f t="shared" si="113"/>
        <v>6.1981723194589583E-2</v>
      </c>
      <c r="R257" s="61">
        <f t="shared" si="113"/>
        <v>6.1809049126314186E-2</v>
      </c>
      <c r="S257" s="61">
        <f t="shared" si="113"/>
        <v>6.1766827907101737E-2</v>
      </c>
      <c r="T257" s="61">
        <f t="shared" si="113"/>
        <v>6.1724769471147453E-2</v>
      </c>
      <c r="U257" s="61">
        <f t="shared" si="113"/>
        <v>6.1810138568654006E-2</v>
      </c>
      <c r="V257" s="61">
        <f t="shared" si="113"/>
        <v>6.1971146155486781E-2</v>
      </c>
    </row>
    <row r="258" spans="1:22">
      <c r="A258" s="7" t="s">
        <v>322</v>
      </c>
      <c r="K258" s="48">
        <f t="shared" ref="K258:S258" si="114">(L258+K22)/(1+K257)^1</f>
        <v>15553.65410834668</v>
      </c>
      <c r="L258" s="48">
        <f t="shared" si="114"/>
        <v>15553.65410834668</v>
      </c>
      <c r="M258" s="48">
        <f t="shared" si="114"/>
        <v>15944.542881035977</v>
      </c>
      <c r="N258" s="48">
        <f t="shared" si="114"/>
        <v>16384.099518239367</v>
      </c>
      <c r="O258" s="48">
        <f t="shared" si="114"/>
        <v>16836.445970265511</v>
      </c>
      <c r="P258" s="48">
        <f t="shared" si="114"/>
        <v>17276.129786499998</v>
      </c>
      <c r="Q258" s="48">
        <f t="shared" si="114"/>
        <v>17760.646684992007</v>
      </c>
      <c r="R258" s="48">
        <f>(S258+R22)/(1+R257)^1</f>
        <v>18226.371441591418</v>
      </c>
      <c r="S258" s="48">
        <f>(T258+S22)/(1+S257)^1</f>
        <v>18669.764831292887</v>
      </c>
      <c r="T258" s="48">
        <f>(U258+T22)/(1+T257)^1</f>
        <v>19126.145417838339</v>
      </c>
      <c r="U258" s="48">
        <f>V22/(V257-V15)</f>
        <v>19569.003081864532</v>
      </c>
    </row>
    <row r="260" spans="1:22">
      <c r="A260" s="3" t="s">
        <v>296</v>
      </c>
      <c r="H260" s="2"/>
      <c r="I260" s="2"/>
      <c r="J260" s="2"/>
      <c r="K260" s="2"/>
      <c r="L260" s="2"/>
      <c r="M260" s="2"/>
      <c r="N260" s="2"/>
      <c r="O260" s="2"/>
      <c r="P260" s="2"/>
      <c r="Q260" s="2"/>
      <c r="R260" s="2"/>
      <c r="S260" s="2"/>
    </row>
    <row r="261" spans="1:22">
      <c r="A261" s="7" t="s">
        <v>324</v>
      </c>
      <c r="H261" s="2"/>
      <c r="I261" s="2"/>
      <c r="J261" s="2"/>
      <c r="K261" s="2"/>
      <c r="L261" s="2"/>
      <c r="M261" s="2"/>
      <c r="N261" s="2"/>
      <c r="O261" s="2"/>
      <c r="P261" s="2"/>
      <c r="Q261" s="2"/>
      <c r="R261" s="2"/>
      <c r="S261" s="2"/>
    </row>
    <row r="262" spans="1:22">
      <c r="A262" s="7" t="s">
        <v>325</v>
      </c>
      <c r="H262" s="2"/>
      <c r="I262" s="2"/>
      <c r="J262" s="2"/>
      <c r="K262" s="2"/>
      <c r="L262" s="2"/>
      <c r="M262" s="2"/>
      <c r="N262" s="2"/>
      <c r="O262" s="2"/>
      <c r="P262" s="2"/>
      <c r="Q262" s="2"/>
      <c r="R262" s="2"/>
      <c r="S262" s="2"/>
    </row>
    <row r="263" spans="1:22">
      <c r="A263" s="7" t="s">
        <v>297</v>
      </c>
      <c r="H263" s="2"/>
      <c r="I263" s="2"/>
      <c r="J263" s="2"/>
      <c r="K263" s="2"/>
      <c r="L263" s="2"/>
      <c r="M263" s="2"/>
      <c r="N263" s="2"/>
      <c r="O263" s="2"/>
      <c r="P263" s="2"/>
      <c r="Q263" s="2"/>
      <c r="R263" s="2"/>
      <c r="S263" s="2"/>
    </row>
    <row r="264" spans="1:22">
      <c r="A264" s="7" t="s">
        <v>326</v>
      </c>
      <c r="H264" s="2"/>
      <c r="I264" s="2"/>
      <c r="J264" s="2"/>
      <c r="K264" s="2"/>
      <c r="L264" s="2"/>
      <c r="M264" s="2"/>
      <c r="N264" s="2"/>
      <c r="O264" s="2"/>
      <c r="P264" s="2"/>
      <c r="Q264" s="2"/>
      <c r="R264" s="2"/>
      <c r="S264" s="2"/>
    </row>
    <row r="265" spans="1:22">
      <c r="A265" s="7" t="s">
        <v>327</v>
      </c>
      <c r="H265" s="2"/>
      <c r="I265" s="2"/>
      <c r="J265" s="2"/>
      <c r="K265" s="2"/>
      <c r="L265" s="2"/>
      <c r="M265" s="2"/>
      <c r="N265" s="2"/>
      <c r="O265" s="2"/>
      <c r="P265" s="2"/>
      <c r="Q265" s="2"/>
      <c r="R265" s="2"/>
      <c r="S265" s="2"/>
    </row>
    <row r="266" spans="1:22">
      <c r="A266" s="7" t="s">
        <v>328</v>
      </c>
      <c r="H266" s="2"/>
      <c r="I266" s="2"/>
      <c r="J266" s="2"/>
      <c r="K266" s="2"/>
      <c r="L266" s="2"/>
      <c r="M266" s="2"/>
      <c r="N266" s="2"/>
      <c r="O266" s="2"/>
      <c r="P266" s="2"/>
      <c r="Q266" s="2"/>
      <c r="R266" s="2"/>
      <c r="S266" s="2"/>
    </row>
    <row r="267" spans="1:22">
      <c r="A267" s="7" t="s">
        <v>329</v>
      </c>
      <c r="H267" s="2"/>
      <c r="I267" s="2"/>
      <c r="J267" s="2"/>
      <c r="K267" s="2"/>
      <c r="L267" s="2"/>
      <c r="M267" s="2"/>
      <c r="N267" s="2"/>
      <c r="O267" s="2"/>
      <c r="P267" s="2"/>
      <c r="Q267" s="2"/>
      <c r="R267" s="2"/>
      <c r="S267" s="2"/>
    </row>
    <row r="268" spans="1:22">
      <c r="A268" s="7" t="s">
        <v>298</v>
      </c>
      <c r="H268" s="2"/>
      <c r="I268" s="2"/>
      <c r="J268" s="2"/>
      <c r="K268" s="2"/>
      <c r="L268" s="2"/>
      <c r="M268" s="2"/>
      <c r="N268" s="2"/>
      <c r="O268" s="2"/>
      <c r="P268" s="2"/>
      <c r="Q268" s="2"/>
      <c r="R268" s="2"/>
      <c r="S268" s="2"/>
    </row>
    <row r="269" spans="1:22">
      <c r="B269" s="1">
        <f>B1</f>
        <v>40908</v>
      </c>
      <c r="C269" s="1">
        <f t="shared" ref="C269:K269" si="115">C1</f>
        <v>41274</v>
      </c>
      <c r="D269" s="1">
        <f t="shared" si="115"/>
        <v>41639</v>
      </c>
      <c r="E269" s="1">
        <f t="shared" si="115"/>
        <v>42004</v>
      </c>
      <c r="F269" s="1">
        <f t="shared" si="115"/>
        <v>42369</v>
      </c>
      <c r="G269" s="1">
        <f t="shared" si="115"/>
        <v>42735</v>
      </c>
      <c r="H269" s="103">
        <f t="shared" si="115"/>
        <v>43100</v>
      </c>
      <c r="I269" s="103">
        <f t="shared" si="115"/>
        <v>43465</v>
      </c>
      <c r="J269" s="103">
        <f t="shared" si="115"/>
        <v>43830</v>
      </c>
      <c r="K269" s="103">
        <f t="shared" si="115"/>
        <v>44196</v>
      </c>
      <c r="L269" s="2"/>
      <c r="M269" s="2"/>
      <c r="N269" s="2"/>
      <c r="O269" s="2"/>
      <c r="P269" s="2"/>
      <c r="Q269" s="2"/>
      <c r="R269" s="2"/>
      <c r="S269" s="2"/>
    </row>
    <row r="270" spans="1:22">
      <c r="A270" s="7" t="s">
        <v>387</v>
      </c>
      <c r="B270" s="7">
        <v>94.88</v>
      </c>
      <c r="C270" s="7">
        <v>94.05</v>
      </c>
      <c r="D270" s="7">
        <v>97.88</v>
      </c>
      <c r="E270" s="7">
        <v>93.17</v>
      </c>
      <c r="F270" s="7">
        <v>48.66</v>
      </c>
      <c r="G270" s="7">
        <v>43.29</v>
      </c>
      <c r="H270" s="2">
        <v>50.8</v>
      </c>
      <c r="I270" s="2">
        <v>65.23</v>
      </c>
      <c r="J270" s="2">
        <v>56.99</v>
      </c>
      <c r="K270" s="2">
        <v>39.68</v>
      </c>
      <c r="L270" s="2"/>
      <c r="M270" s="2"/>
      <c r="N270" s="2"/>
      <c r="O270" s="2"/>
      <c r="P270" s="2"/>
      <c r="Q270" s="2"/>
      <c r="R270" s="2"/>
      <c r="S270" s="2"/>
    </row>
    <row r="271" spans="1:22">
      <c r="A271" s="7" t="s">
        <v>386</v>
      </c>
      <c r="B271" s="32">
        <f>B326</f>
        <v>196.26626999999999</v>
      </c>
      <c r="C271" s="32">
        <f t="shared" ref="C271:K272" si="116">C326</f>
        <v>169.862493</v>
      </c>
      <c r="D271" s="32">
        <f t="shared" si="116"/>
        <v>213.31031999999999</v>
      </c>
      <c r="E271" s="32">
        <f t="shared" si="116"/>
        <v>391.89433600000001</v>
      </c>
      <c r="F271" s="32">
        <f t="shared" si="116"/>
        <v>-52.482618000000002</v>
      </c>
      <c r="G271" s="32">
        <f t="shared" si="116"/>
        <v>120.790128</v>
      </c>
      <c r="H271" s="91">
        <f t="shared" si="116"/>
        <v>394.11017299999997</v>
      </c>
      <c r="I271" s="91">
        <f t="shared" si="116"/>
        <v>456.96939500000002</v>
      </c>
      <c r="J271" s="91">
        <f t="shared" si="116"/>
        <v>449.56332200000003</v>
      </c>
      <c r="K271" s="91">
        <f t="shared" si="116"/>
        <v>-465.777402</v>
      </c>
      <c r="L271" s="2"/>
      <c r="M271" s="2"/>
      <c r="N271" s="2"/>
      <c r="O271" s="2"/>
      <c r="P271" s="2"/>
      <c r="Q271" s="2"/>
      <c r="R271" s="2"/>
      <c r="S271" s="2"/>
    </row>
    <row r="272" spans="1:22">
      <c r="B272" s="32"/>
      <c r="C272" s="32"/>
      <c r="D272" s="32"/>
      <c r="E272" s="32"/>
      <c r="F272" s="32"/>
      <c r="G272" s="32"/>
      <c r="H272" s="91"/>
      <c r="I272" s="91"/>
      <c r="J272" s="91"/>
      <c r="K272" s="91"/>
      <c r="L272" s="2"/>
      <c r="M272" s="2"/>
      <c r="N272" s="2"/>
      <c r="O272" s="2"/>
      <c r="P272" s="2"/>
      <c r="Q272" s="2"/>
      <c r="R272" s="2"/>
      <c r="S272" s="2"/>
    </row>
    <row r="273" spans="1:23">
      <c r="H273" s="2"/>
      <c r="I273" s="2"/>
      <c r="J273" s="2"/>
      <c r="K273" s="2"/>
      <c r="L273" s="2"/>
      <c r="M273" s="2"/>
      <c r="N273" s="2"/>
      <c r="O273" s="2"/>
      <c r="P273" s="2"/>
      <c r="Q273" s="2"/>
      <c r="R273" s="2"/>
      <c r="S273" s="2"/>
    </row>
    <row r="274" spans="1:23">
      <c r="H274" s="2"/>
      <c r="I274" s="2"/>
      <c r="J274" s="2"/>
      <c r="K274" s="2"/>
      <c r="L274" s="2"/>
      <c r="M274" s="2"/>
      <c r="N274" s="2"/>
      <c r="O274" s="2"/>
      <c r="P274" s="2"/>
      <c r="Q274" s="2"/>
      <c r="R274" s="2"/>
      <c r="S274" s="2"/>
    </row>
    <row r="275" spans="1:23">
      <c r="H275" s="2"/>
      <c r="I275" s="2"/>
      <c r="J275" s="2"/>
      <c r="K275" s="2"/>
      <c r="L275" s="2"/>
      <c r="M275" s="2"/>
      <c r="N275" s="2"/>
      <c r="O275" s="2"/>
      <c r="P275" s="2"/>
      <c r="Q275" s="2"/>
      <c r="R275" s="2"/>
      <c r="S275" s="2"/>
    </row>
    <row r="276" spans="1:23">
      <c r="H276" s="2"/>
      <c r="I276" s="2"/>
      <c r="J276" s="2"/>
      <c r="K276" s="2"/>
      <c r="L276" s="2"/>
      <c r="M276" s="2"/>
      <c r="N276" s="2"/>
      <c r="O276" s="2"/>
      <c r="P276" s="2"/>
      <c r="Q276" s="2"/>
      <c r="R276" s="2"/>
      <c r="S276" s="2"/>
    </row>
    <row r="277" spans="1:23">
      <c r="H277" s="2"/>
      <c r="I277" s="2"/>
      <c r="J277" s="2"/>
      <c r="K277" s="2"/>
      <c r="L277" s="2"/>
      <c r="M277" s="2"/>
      <c r="N277" s="2"/>
      <c r="O277" s="2"/>
      <c r="P277" s="2"/>
      <c r="Q277" s="2"/>
      <c r="R277" s="2"/>
      <c r="S277" s="2"/>
    </row>
    <row r="278" spans="1:23">
      <c r="H278" s="2"/>
      <c r="I278" s="2"/>
      <c r="J278" s="2"/>
      <c r="K278" s="2"/>
      <c r="L278" s="2"/>
      <c r="M278" s="2"/>
      <c r="N278" s="2"/>
      <c r="O278" s="2"/>
      <c r="P278" s="2"/>
      <c r="Q278" s="2"/>
      <c r="R278" s="2"/>
      <c r="S278" s="2"/>
    </row>
    <row r="280" spans="1:23">
      <c r="A280" s="53" t="s">
        <v>301</v>
      </c>
      <c r="W280" s="53" t="s">
        <v>302</v>
      </c>
    </row>
    <row r="283" spans="1:23">
      <c r="A283" s="7" t="s">
        <v>281</v>
      </c>
    </row>
    <row r="284" spans="1:23">
      <c r="A284" s="7" t="s">
        <v>292</v>
      </c>
    </row>
    <row r="286" spans="1:23">
      <c r="A286" s="14" t="s">
        <v>360</v>
      </c>
    </row>
    <row r="287" spans="1:23">
      <c r="A287" s="76" t="s">
        <v>361</v>
      </c>
      <c r="L287" s="77" t="s">
        <v>203</v>
      </c>
    </row>
    <row r="288" spans="1:23">
      <c r="A288" s="78" t="s">
        <v>362</v>
      </c>
      <c r="B288" s="79"/>
      <c r="C288" s="79">
        <f>C301/B301-1</f>
        <v>-1.4581074090929014E-2</v>
      </c>
      <c r="D288" s="79">
        <f t="shared" ref="D288:K288" si="117">D301/C301-1</f>
        <v>0.13502587977374514</v>
      </c>
      <c r="E288" s="79">
        <f t="shared" si="117"/>
        <v>1.2487527794226465</v>
      </c>
      <c r="F288" s="79">
        <f t="shared" si="117"/>
        <v>0.18275443126698288</v>
      </c>
      <c r="G288" s="79">
        <f t="shared" si="117"/>
        <v>-0.21328212867451757</v>
      </c>
      <c r="H288" s="79">
        <f t="shared" si="117"/>
        <v>0.13470138134582155</v>
      </c>
      <c r="I288" s="79">
        <f t="shared" si="117"/>
        <v>9.0315451758198328E-2</v>
      </c>
      <c r="J288" s="79">
        <f t="shared" si="117"/>
        <v>8.7959826897216598E-2</v>
      </c>
      <c r="K288" s="79">
        <f t="shared" si="117"/>
        <v>-0.32094934642292428</v>
      </c>
      <c r="L288" s="92">
        <f>AVERAGE(C288:K288)</f>
        <v>0.14785524458624891</v>
      </c>
    </row>
    <row r="289" spans="1:23">
      <c r="A289" s="78" t="s">
        <v>363</v>
      </c>
      <c r="B289" s="79">
        <f>B302/B301</f>
        <v>0.37871843393442212</v>
      </c>
      <c r="C289" s="79">
        <f t="shared" ref="C289:K289" si="118">C302/C301</f>
        <v>0.59809775879872673</v>
      </c>
      <c r="D289" s="79">
        <f t="shared" si="118"/>
        <v>0.55725630192232956</v>
      </c>
      <c r="E289" s="79">
        <f t="shared" si="118"/>
        <v>0.42382371758689041</v>
      </c>
      <c r="F289" s="79">
        <f t="shared" si="118"/>
        <v>0.53644130643462395</v>
      </c>
      <c r="G289" s="79">
        <f t="shared" si="118"/>
        <v>0.68221016457470107</v>
      </c>
      <c r="H289" s="79">
        <f t="shared" si="118"/>
        <v>0.53163310412155529</v>
      </c>
      <c r="I289" s="79">
        <f t="shared" si="118"/>
        <v>0.51334550108737054</v>
      </c>
      <c r="J289" s="79">
        <f t="shared" si="118"/>
        <v>0.59555232857960194</v>
      </c>
      <c r="K289" s="79">
        <f t="shared" si="118"/>
        <v>0.85476834142376834</v>
      </c>
      <c r="L289" s="92">
        <f>AVERAGE(B289:K289)</f>
        <v>0.56718469584639908</v>
      </c>
    </row>
    <row r="290" spans="1:23">
      <c r="A290" s="78" t="s">
        <v>364</v>
      </c>
      <c r="B290" s="79">
        <f>B307/B306</f>
        <v>8.1083989003364096E-2</v>
      </c>
      <c r="C290" s="79">
        <f t="shared" ref="C290:K290" si="119">C307/C306</f>
        <v>0.18740428492927019</v>
      </c>
      <c r="D290" s="79">
        <f t="shared" si="119"/>
        <v>0.16100383348633493</v>
      </c>
      <c r="E290" s="79">
        <f t="shared" si="119"/>
        <v>5.4707783851488903E-2</v>
      </c>
      <c r="F290" s="79">
        <f t="shared" si="119"/>
        <v>6.8637613586393031E-2</v>
      </c>
      <c r="G290" s="79">
        <f t="shared" si="119"/>
        <v>8.8064180984272197E-2</v>
      </c>
      <c r="H290" s="79">
        <f t="shared" si="119"/>
        <v>5.9455836157450717E-2</v>
      </c>
      <c r="I290" s="79">
        <f t="shared" si="119"/>
        <v>4.8774059048305965E-2</v>
      </c>
      <c r="J290" s="79">
        <f t="shared" si="119"/>
        <v>9.1691191406733707E-2</v>
      </c>
      <c r="K290" s="79">
        <f t="shared" si="119"/>
        <v>0.37682981226629358</v>
      </c>
      <c r="L290" s="92">
        <f>AVERAGE(B290:K290)</f>
        <v>0.12176525847199075</v>
      </c>
    </row>
    <row r="291" spans="1:23">
      <c r="A291" s="78" t="s">
        <v>365</v>
      </c>
      <c r="B291" s="79">
        <f>B321/B310</f>
        <v>0.9264565154206319</v>
      </c>
      <c r="C291" s="79">
        <f t="shared" ref="C291:J291" si="120">C321/C310</f>
        <v>1.4689899465098422</v>
      </c>
      <c r="D291" s="79">
        <f t="shared" si="120"/>
        <v>1.3345770257935152</v>
      </c>
      <c r="E291" s="79">
        <f t="shared" si="120"/>
        <v>0.66696462108090526</v>
      </c>
      <c r="F291" s="79">
        <f t="shared" si="120"/>
        <v>0.15812183021805565</v>
      </c>
      <c r="G291" s="79">
        <f t="shared" si="120"/>
        <v>0.51660240426366588</v>
      </c>
      <c r="H291" s="79">
        <f t="shared" si="120"/>
        <v>0.69211857951687605</v>
      </c>
      <c r="I291" s="79">
        <f t="shared" si="120"/>
        <v>0.71369976041703009</v>
      </c>
      <c r="J291" s="79">
        <f t="shared" si="120"/>
        <v>0.77409418279661946</v>
      </c>
      <c r="K291" s="79">
        <f>0.5*K321/K310</f>
        <v>-1.9576823755244219</v>
      </c>
      <c r="L291" s="80">
        <f>AVERAGE(B291:K291)</f>
        <v>0.52939424904927201</v>
      </c>
    </row>
    <row r="292" spans="1:23">
      <c r="A292" s="78" t="s">
        <v>366</v>
      </c>
      <c r="B292" s="79">
        <f>B322/B321</f>
        <v>0.53970779672695468</v>
      </c>
      <c r="C292" s="79">
        <f t="shared" ref="C292:K292" si="121">C322/C321</f>
        <v>0.49419937739137731</v>
      </c>
      <c r="D292" s="79">
        <f t="shared" si="121"/>
        <v>0.45844104495135179</v>
      </c>
      <c r="E292" s="79">
        <f t="shared" si="121"/>
        <v>0.39620029005299479</v>
      </c>
      <c r="F292" s="79">
        <f t="shared" si="121"/>
        <v>1.3637925645701323</v>
      </c>
      <c r="G292" s="79">
        <f t="shared" si="121"/>
        <v>0.51470556489821462</v>
      </c>
      <c r="H292" s="79">
        <f t="shared" si="121"/>
        <v>0.31478835277436884</v>
      </c>
      <c r="I292" s="79">
        <f t="shared" si="121"/>
        <v>0.32753768310344494</v>
      </c>
      <c r="J292" s="79">
        <f t="shared" si="121"/>
        <v>0.30419345564870182</v>
      </c>
      <c r="K292" s="79">
        <f t="shared" si="121"/>
        <v>0.12125062425342464</v>
      </c>
      <c r="L292" s="80">
        <f>AVERAGE(H292:J292)</f>
        <v>0.31550649717550522</v>
      </c>
    </row>
    <row r="293" spans="1:23">
      <c r="A293" s="78" t="s">
        <v>367</v>
      </c>
      <c r="B293" s="79">
        <f>B305/B302</f>
        <v>0.18485611635366514</v>
      </c>
      <c r="C293" s="79">
        <f t="shared" ref="C293:K293" si="122">C305/C302</f>
        <v>0.12652950137271071</v>
      </c>
      <c r="D293" s="79">
        <f t="shared" si="122"/>
        <v>0.13535172900299927</v>
      </c>
      <c r="E293" s="79">
        <f t="shared" si="122"/>
        <v>0.38477215865074815</v>
      </c>
      <c r="F293" s="79">
        <f t="shared" si="122"/>
        <v>0.49145476979946306</v>
      </c>
      <c r="G293" s="79">
        <f t="shared" si="122"/>
        <v>0.52996445475276754</v>
      </c>
      <c r="H293" s="79">
        <f t="shared" si="122"/>
        <v>0.5082121178249549</v>
      </c>
      <c r="I293" s="79">
        <f t="shared" si="122"/>
        <v>0.43334271921205908</v>
      </c>
      <c r="J293" s="79">
        <f t="shared" si="122"/>
        <v>0.46861243458273705</v>
      </c>
      <c r="K293" s="79">
        <f t="shared" si="122"/>
        <v>0.5129492943421381</v>
      </c>
      <c r="L293" s="80">
        <f>AVERAGE(F293:K293)</f>
        <v>0.49075596508568659</v>
      </c>
    </row>
    <row r="294" spans="1:23">
      <c r="A294" s="78" t="s">
        <v>371</v>
      </c>
      <c r="B294" s="79">
        <f>B314/(B391+B382)</f>
        <v>1.9151550516274801E-3</v>
      </c>
      <c r="C294" s="79">
        <f>C314/(C391+C382)</f>
        <v>1.5621261330564895E-3</v>
      </c>
      <c r="D294" s="79">
        <f>D314/(D391+D382)</f>
        <v>2.6420516808108485E-3</v>
      </c>
      <c r="E294" s="79"/>
      <c r="F294" s="79"/>
      <c r="G294" s="79"/>
      <c r="H294" s="79"/>
      <c r="I294" s="79"/>
      <c r="J294" s="79"/>
      <c r="K294" s="79"/>
      <c r="L294" s="80">
        <f>K314/(J390+J382)</f>
        <v>5.1369354735153486E-2</v>
      </c>
    </row>
    <row r="295" spans="1:23">
      <c r="A295" s="78" t="s">
        <v>373</v>
      </c>
      <c r="B295" s="79"/>
      <c r="C295" s="79"/>
      <c r="D295" s="79"/>
      <c r="E295" s="79"/>
      <c r="F295" s="79"/>
      <c r="G295" s="79">
        <f>G305/G363</f>
        <v>6.3697135268397626E-2</v>
      </c>
      <c r="H295" s="79">
        <f t="shared" ref="H295:K295" si="123">H305/H363</f>
        <v>5.9134532123552234E-2</v>
      </c>
      <c r="I295" s="79">
        <f t="shared" si="123"/>
        <v>4.9637844068532375E-2</v>
      </c>
      <c r="J295" s="79">
        <f t="shared" si="123"/>
        <v>6.6388697654914147E-2</v>
      </c>
      <c r="K295" s="79">
        <f t="shared" si="123"/>
        <v>7.9172759826079298E-2</v>
      </c>
      <c r="L295" s="80">
        <f>AVERAGE(G295:K295)</f>
        <v>6.3606193788295129E-2</v>
      </c>
    </row>
    <row r="296" spans="1:23">
      <c r="A296" s="15" t="s">
        <v>372</v>
      </c>
      <c r="B296" s="15"/>
      <c r="C296" s="15"/>
      <c r="D296" s="15"/>
      <c r="E296" s="15"/>
      <c r="F296" s="15"/>
      <c r="G296" s="15"/>
      <c r="H296" s="15"/>
      <c r="I296" s="15"/>
      <c r="J296" s="15"/>
      <c r="K296" s="15"/>
      <c r="L296" s="15"/>
      <c r="M296" s="15"/>
      <c r="N296" s="15"/>
      <c r="O296" s="15"/>
      <c r="P296" s="15"/>
      <c r="Q296" s="15"/>
      <c r="R296" s="15"/>
      <c r="S296" s="15"/>
      <c r="T296" s="15"/>
      <c r="U296" s="15"/>
      <c r="V296" s="15"/>
    </row>
    <row r="297" spans="1:23">
      <c r="A297" s="15"/>
      <c r="B297" s="15"/>
      <c r="C297" s="15"/>
      <c r="D297" s="15"/>
      <c r="E297" s="15"/>
      <c r="F297" s="15"/>
      <c r="G297" s="15"/>
      <c r="H297" s="15"/>
      <c r="I297" s="15"/>
      <c r="J297" s="15"/>
      <c r="K297" s="15"/>
      <c r="L297" s="15"/>
      <c r="M297" s="15"/>
      <c r="N297" s="15"/>
      <c r="O297" s="15"/>
      <c r="P297" s="15"/>
      <c r="Q297" s="15"/>
      <c r="R297" s="15"/>
      <c r="S297" s="15"/>
      <c r="T297" s="15"/>
      <c r="U297" s="15"/>
      <c r="V297" s="15"/>
    </row>
    <row r="298" spans="1:23">
      <c r="A298" s="15" t="s">
        <v>47</v>
      </c>
      <c r="B298" s="15"/>
      <c r="C298" s="15"/>
      <c r="D298" s="15"/>
      <c r="E298" s="15"/>
      <c r="F298" s="15"/>
      <c r="G298" s="15"/>
      <c r="H298" s="15"/>
      <c r="I298" s="15"/>
      <c r="J298" s="15"/>
      <c r="K298" s="15"/>
      <c r="L298" s="15" t="s">
        <v>0</v>
      </c>
      <c r="M298" s="15" t="s">
        <v>0</v>
      </c>
      <c r="N298" s="15" t="s">
        <v>0</v>
      </c>
      <c r="O298" s="15" t="s">
        <v>0</v>
      </c>
      <c r="P298" s="15" t="s">
        <v>0</v>
      </c>
      <c r="Q298" s="15" t="s">
        <v>0</v>
      </c>
      <c r="R298" s="15" t="s">
        <v>0</v>
      </c>
      <c r="S298" s="15" t="s">
        <v>0</v>
      </c>
      <c r="T298" s="15" t="s">
        <v>0</v>
      </c>
      <c r="U298" s="15" t="s">
        <v>0</v>
      </c>
      <c r="V298" s="15" t="s">
        <v>0</v>
      </c>
    </row>
    <row r="299" spans="1:23">
      <c r="A299" s="15"/>
      <c r="B299" s="15" t="s">
        <v>57</v>
      </c>
      <c r="C299" s="15" t="s">
        <v>56</v>
      </c>
      <c r="D299" s="15" t="s">
        <v>55</v>
      </c>
      <c r="E299" s="15" t="s">
        <v>54</v>
      </c>
      <c r="F299" s="15" t="s">
        <v>53</v>
      </c>
      <c r="G299" s="15" t="s">
        <v>52</v>
      </c>
      <c r="H299" s="15" t="s">
        <v>51</v>
      </c>
      <c r="I299" s="15" t="s">
        <v>50</v>
      </c>
      <c r="J299" s="15" t="s">
        <v>49</v>
      </c>
      <c r="K299" s="15" t="s">
        <v>48</v>
      </c>
      <c r="L299" s="15" t="s">
        <v>219</v>
      </c>
      <c r="M299" s="15" t="s">
        <v>220</v>
      </c>
      <c r="N299" s="15" t="s">
        <v>221</v>
      </c>
      <c r="O299" s="15" t="s">
        <v>222</v>
      </c>
      <c r="P299" s="15" t="s">
        <v>223</v>
      </c>
      <c r="Q299" s="15" t="s">
        <v>224</v>
      </c>
      <c r="R299" s="15" t="s">
        <v>225</v>
      </c>
      <c r="S299" s="15" t="s">
        <v>226</v>
      </c>
      <c r="T299" s="15" t="s">
        <v>227</v>
      </c>
      <c r="U299" s="15" t="s">
        <v>228</v>
      </c>
      <c r="V299" s="15" t="s">
        <v>229</v>
      </c>
    </row>
    <row r="300" spans="1:23">
      <c r="A300" s="15"/>
      <c r="B300" s="15"/>
      <c r="C300" s="15"/>
      <c r="D300" s="15"/>
      <c r="E300" s="15"/>
      <c r="F300" s="15"/>
      <c r="G300" s="15"/>
      <c r="H300" s="15"/>
      <c r="I300" s="15"/>
      <c r="J300" s="15"/>
      <c r="K300" s="15"/>
      <c r="L300" s="15"/>
      <c r="M300" s="15"/>
      <c r="N300" s="15"/>
      <c r="O300" s="15"/>
      <c r="P300" s="15"/>
      <c r="Q300" s="15"/>
      <c r="R300" s="15"/>
      <c r="S300" s="15"/>
      <c r="T300" s="15"/>
      <c r="U300" s="15"/>
      <c r="V300" s="15"/>
    </row>
    <row r="301" spans="1:23">
      <c r="A301" s="21" t="s">
        <v>58</v>
      </c>
      <c r="B301" s="30">
        <v>710.36810700000001</v>
      </c>
      <c r="C301" s="30">
        <v>700.010177</v>
      </c>
      <c r="D301" s="30">
        <v>794.52966700000002</v>
      </c>
      <c r="E301" s="30">
        <v>1786.700797</v>
      </c>
      <c r="F301" s="30">
        <v>2113.2282850000001</v>
      </c>
      <c r="G301" s="30">
        <v>1662.5144580000001</v>
      </c>
      <c r="H301" s="30">
        <v>1886.4574520000001</v>
      </c>
      <c r="I301" s="30">
        <v>2056.833709</v>
      </c>
      <c r="J301" s="30">
        <v>2237.752446</v>
      </c>
      <c r="K301" s="30">
        <v>1519.5472609999999</v>
      </c>
      <c r="L301" s="7">
        <f t="shared" ref="L301:V301" si="124">K301*(1+L15)</f>
        <v>2127.3661653999998</v>
      </c>
      <c r="M301" s="7">
        <f t="shared" si="124"/>
        <v>2446.4710902099996</v>
      </c>
      <c r="N301" s="7">
        <f t="shared" si="124"/>
        <v>2691.1181992309998</v>
      </c>
      <c r="O301" s="7">
        <f t="shared" si="124"/>
        <v>2906.4076551694802</v>
      </c>
      <c r="P301" s="7">
        <f t="shared" si="124"/>
        <v>3051.7280379279546</v>
      </c>
      <c r="Q301" s="7">
        <f t="shared" si="124"/>
        <v>3204.3144398243526</v>
      </c>
      <c r="R301" s="7">
        <f t="shared" si="124"/>
        <v>3364.5301618155704</v>
      </c>
      <c r="S301" s="7">
        <f t="shared" si="124"/>
        <v>3499.1113682881933</v>
      </c>
      <c r="T301" s="7">
        <f t="shared" si="124"/>
        <v>3639.0758230197212</v>
      </c>
      <c r="U301" s="7">
        <f t="shared" si="124"/>
        <v>3748.2480977103128</v>
      </c>
      <c r="V301" s="7">
        <f t="shared" si="124"/>
        <v>3837.4564024358183</v>
      </c>
    </row>
    <row r="302" spans="1:23">
      <c r="A302" s="20" t="s">
        <v>59</v>
      </c>
      <c r="B302" s="28">
        <v>269.02949699999999</v>
      </c>
      <c r="C302" s="28">
        <v>418.67451799999998</v>
      </c>
      <c r="D302" s="28">
        <v>442.756664</v>
      </c>
      <c r="E302" s="28">
        <v>757.246174</v>
      </c>
      <c r="F302" s="28">
        <v>1133.622942</v>
      </c>
      <c r="G302" s="28">
        <v>1134.184262</v>
      </c>
      <c r="H302" s="28">
        <v>1002.903231</v>
      </c>
      <c r="I302" s="28">
        <v>1055.8663309999999</v>
      </c>
      <c r="J302" s="28">
        <v>1332.69868</v>
      </c>
      <c r="K302" s="28">
        <v>1298.8608919999999</v>
      </c>
      <c r="L302" s="7">
        <f>L301*$L$289</f>
        <v>1206.6095314763193</v>
      </c>
      <c r="M302" s="7">
        <f t="shared" ref="M302:V302" si="125">M301*$L$289</f>
        <v>1387.600961197767</v>
      </c>
      <c r="N302" s="7">
        <f t="shared" si="125"/>
        <v>1526.3610573175438</v>
      </c>
      <c r="O302" s="7">
        <f t="shared" si="125"/>
        <v>1648.4699419029475</v>
      </c>
      <c r="P302" s="7">
        <f t="shared" si="125"/>
        <v>1730.8934389980952</v>
      </c>
      <c r="Q302" s="7">
        <f t="shared" si="125"/>
        <v>1817.438110948</v>
      </c>
      <c r="R302" s="7">
        <f t="shared" si="125"/>
        <v>1908.3100164954001</v>
      </c>
      <c r="S302" s="7">
        <f t="shared" si="125"/>
        <v>1984.6424171552162</v>
      </c>
      <c r="T302" s="7">
        <f t="shared" si="125"/>
        <v>2064.0281138414248</v>
      </c>
      <c r="U302" s="7">
        <f t="shared" si="125"/>
        <v>2125.9489572566677</v>
      </c>
      <c r="V302" s="7">
        <f t="shared" si="125"/>
        <v>2176.5465424393765</v>
      </c>
    </row>
    <row r="303" spans="1:23">
      <c r="A303" s="65" t="s">
        <v>60</v>
      </c>
      <c r="B303" s="71">
        <v>219.29774900000001</v>
      </c>
      <c r="C303" s="71">
        <v>365.69984099999999</v>
      </c>
      <c r="D303" s="71">
        <v>382.82878399999998</v>
      </c>
      <c r="E303" s="71">
        <v>465.87892900000003</v>
      </c>
      <c r="F303" s="71">
        <v>576.49854000000005</v>
      </c>
      <c r="G303" s="71">
        <v>533.10691799999995</v>
      </c>
      <c r="H303" s="71">
        <v>493.21565600000002</v>
      </c>
      <c r="I303" s="71">
        <v>598.31434300000001</v>
      </c>
      <c r="J303" s="71">
        <v>708.17950800000006</v>
      </c>
      <c r="K303" s="71">
        <v>632.61111400000004</v>
      </c>
      <c r="L303" s="7">
        <f>L302-L305</f>
        <v>540.35975347631927</v>
      </c>
      <c r="M303" s="7">
        <f t="shared" ref="M303:V303" si="126">M302-M305</f>
        <v>721.351183197767</v>
      </c>
      <c r="N303" s="7">
        <f t="shared" si="126"/>
        <v>860.11127931754379</v>
      </c>
      <c r="O303" s="7">
        <f t="shared" si="126"/>
        <v>982.22016390294755</v>
      </c>
      <c r="P303" s="7">
        <f t="shared" si="126"/>
        <v>1064.6436609980951</v>
      </c>
      <c r="Q303" s="7">
        <f t="shared" si="126"/>
        <v>1151.1883329480002</v>
      </c>
      <c r="R303" s="7">
        <f t="shared" si="126"/>
        <v>1242.0602384954</v>
      </c>
      <c r="S303" s="7">
        <f t="shared" si="126"/>
        <v>1318.3926391552163</v>
      </c>
      <c r="T303" s="7">
        <f t="shared" si="126"/>
        <v>1397.7783358414249</v>
      </c>
      <c r="U303" s="7">
        <f t="shared" si="126"/>
        <v>1459.6991792566678</v>
      </c>
      <c r="V303" s="7">
        <f t="shared" si="126"/>
        <v>1510.2967644393766</v>
      </c>
      <c r="W303" s="32"/>
    </row>
    <row r="304" spans="1:23">
      <c r="A304" s="26" t="s">
        <v>61</v>
      </c>
      <c r="B304" s="28">
        <v>49.731748000000003</v>
      </c>
      <c r="C304" s="28">
        <v>52.974677999999997</v>
      </c>
      <c r="D304" s="28">
        <v>59.927880000000002</v>
      </c>
      <c r="E304" s="28">
        <v>291.36724500000003</v>
      </c>
      <c r="F304" s="28">
        <v>557.12440200000003</v>
      </c>
      <c r="G304" s="28">
        <v>601.07734400000004</v>
      </c>
      <c r="H304" s="28">
        <v>509.68757499999998</v>
      </c>
      <c r="I304" s="28">
        <v>457.551987</v>
      </c>
      <c r="J304" s="28">
        <v>624.51917300000002</v>
      </c>
      <c r="K304" s="28">
        <v>666.24977799999999</v>
      </c>
      <c r="L304" s="7">
        <f>L305</f>
        <v>666.24977799999999</v>
      </c>
      <c r="M304" s="7">
        <f t="shared" ref="M304:V304" si="127">M305</f>
        <v>666.24977799999999</v>
      </c>
      <c r="N304" s="7">
        <f t="shared" si="127"/>
        <v>666.24977799999999</v>
      </c>
      <c r="O304" s="7">
        <f t="shared" si="127"/>
        <v>666.24977799999999</v>
      </c>
      <c r="P304" s="7">
        <f t="shared" si="127"/>
        <v>666.24977799999999</v>
      </c>
      <c r="Q304" s="7">
        <f t="shared" si="127"/>
        <v>666.24977799999999</v>
      </c>
      <c r="R304" s="7">
        <f t="shared" si="127"/>
        <v>666.24977799999999</v>
      </c>
      <c r="S304" s="7">
        <f t="shared" si="127"/>
        <v>666.24977799999999</v>
      </c>
      <c r="T304" s="7">
        <f t="shared" si="127"/>
        <v>666.24977799999999</v>
      </c>
      <c r="U304" s="7">
        <f t="shared" si="127"/>
        <v>666.24977799999999</v>
      </c>
      <c r="V304" s="7">
        <f t="shared" si="127"/>
        <v>666.24977799999999</v>
      </c>
    </row>
    <row r="305" spans="1:22">
      <c r="A305" s="72" t="s">
        <v>340</v>
      </c>
      <c r="B305" s="71">
        <v>49.731748000000003</v>
      </c>
      <c r="C305" s="71">
        <v>52.974677999999997</v>
      </c>
      <c r="D305" s="71">
        <v>59.927880000000002</v>
      </c>
      <c r="E305" s="71">
        <v>291.36724500000003</v>
      </c>
      <c r="F305" s="71">
        <v>557.12440200000003</v>
      </c>
      <c r="G305" s="71">
        <v>601.07734400000004</v>
      </c>
      <c r="H305" s="71">
        <v>509.68757499999998</v>
      </c>
      <c r="I305" s="71">
        <v>457.551987</v>
      </c>
      <c r="J305" s="71">
        <v>624.51917300000002</v>
      </c>
      <c r="K305" s="71">
        <v>666.24977799999999</v>
      </c>
      <c r="L305" s="71">
        <v>666.24977799999999</v>
      </c>
      <c r="M305" s="71">
        <v>666.24977799999999</v>
      </c>
      <c r="N305" s="71">
        <v>666.24977799999999</v>
      </c>
      <c r="O305" s="71">
        <v>666.24977799999999</v>
      </c>
      <c r="P305" s="71">
        <v>666.24977799999999</v>
      </c>
      <c r="Q305" s="71">
        <v>666.24977799999999</v>
      </c>
      <c r="R305" s="71">
        <v>666.24977799999999</v>
      </c>
      <c r="S305" s="71">
        <v>666.24977799999999</v>
      </c>
      <c r="T305" s="71">
        <v>666.24977799999999</v>
      </c>
      <c r="U305" s="71">
        <v>666.24977799999999</v>
      </c>
      <c r="V305" s="71">
        <v>666.24977799999999</v>
      </c>
    </row>
    <row r="306" spans="1:22">
      <c r="A306" s="16" t="s">
        <v>62</v>
      </c>
      <c r="B306" s="28">
        <v>441.33861000000002</v>
      </c>
      <c r="C306" s="28">
        <v>281.33565900000002</v>
      </c>
      <c r="D306" s="28">
        <v>351.77300300000002</v>
      </c>
      <c r="E306" s="28">
        <v>1029.4546230000001</v>
      </c>
      <c r="F306" s="28">
        <v>979.60534299999995</v>
      </c>
      <c r="G306" s="28">
        <v>528.330196</v>
      </c>
      <c r="H306" s="28">
        <v>883.55422099999998</v>
      </c>
      <c r="I306" s="28">
        <v>1000.9673780000001</v>
      </c>
      <c r="J306" s="28">
        <v>905.053765</v>
      </c>
      <c r="K306" s="28">
        <v>220.68636900000001</v>
      </c>
      <c r="L306" s="7">
        <f>L301-L302</f>
        <v>920.75663392368051</v>
      </c>
      <c r="M306" s="7">
        <f t="shared" ref="M306:V306" si="128">M301-M302</f>
        <v>1058.8701290122326</v>
      </c>
      <c r="N306" s="7">
        <f t="shared" si="128"/>
        <v>1164.7571419134561</v>
      </c>
      <c r="O306" s="7">
        <f t="shared" si="128"/>
        <v>1257.9377132665327</v>
      </c>
      <c r="P306" s="7">
        <f t="shared" si="128"/>
        <v>1320.8345989298593</v>
      </c>
      <c r="Q306" s="7">
        <f t="shared" si="128"/>
        <v>1386.8763288763525</v>
      </c>
      <c r="R306" s="7">
        <f t="shared" si="128"/>
        <v>1456.2201453201703</v>
      </c>
      <c r="S306" s="7">
        <f t="shared" si="128"/>
        <v>1514.4689511329771</v>
      </c>
      <c r="T306" s="7">
        <f t="shared" si="128"/>
        <v>1575.0477091782964</v>
      </c>
      <c r="U306" s="7">
        <f t="shared" si="128"/>
        <v>1622.2991404536451</v>
      </c>
      <c r="V306" s="7">
        <f t="shared" si="128"/>
        <v>1660.9098599964418</v>
      </c>
    </row>
    <row r="307" spans="1:22">
      <c r="A307" s="18" t="s">
        <v>63</v>
      </c>
      <c r="B307" s="30">
        <v>35.785494999999997</v>
      </c>
      <c r="C307" s="30">
        <v>52.723508000000002</v>
      </c>
      <c r="D307" s="30">
        <v>56.636802000000003</v>
      </c>
      <c r="E307" s="30">
        <v>56.319181</v>
      </c>
      <c r="F307" s="30">
        <v>67.237773000000004</v>
      </c>
      <c r="G307" s="30">
        <v>46.526966000000002</v>
      </c>
      <c r="H307" s="30">
        <v>52.532454999999999</v>
      </c>
      <c r="I307" s="30">
        <v>48.821241999999998</v>
      </c>
      <c r="J307" s="30">
        <v>82.985457999999994</v>
      </c>
      <c r="K307" s="30">
        <v>83.161203</v>
      </c>
      <c r="L307" s="7">
        <f>L306*$L$290</f>
        <v>112.11616951951713</v>
      </c>
      <c r="M307" s="7">
        <f t="shared" ref="M307:V307" si="129">M306*$L$290</f>
        <v>128.9335949474447</v>
      </c>
      <c r="N307" s="7">
        <f t="shared" si="129"/>
        <v>141.82695444218919</v>
      </c>
      <c r="O307" s="7">
        <f t="shared" si="129"/>
        <v>153.17311079756433</v>
      </c>
      <c r="P307" s="7">
        <f t="shared" si="129"/>
        <v>160.83176633744256</v>
      </c>
      <c r="Q307" s="7">
        <f t="shared" si="129"/>
        <v>168.87335465431471</v>
      </c>
      <c r="R307" s="7">
        <f t="shared" si="129"/>
        <v>177.31702238703048</v>
      </c>
      <c r="S307" s="7">
        <f t="shared" si="129"/>
        <v>184.40970328251169</v>
      </c>
      <c r="T307" s="7">
        <f t="shared" si="129"/>
        <v>191.78609141381219</v>
      </c>
      <c r="U307" s="7">
        <f t="shared" si="129"/>
        <v>197.53967415622654</v>
      </c>
      <c r="V307" s="7">
        <f t="shared" si="129"/>
        <v>202.24111840114472</v>
      </c>
    </row>
    <row r="308" spans="1:22">
      <c r="A308" s="64" t="s">
        <v>64</v>
      </c>
      <c r="B308" s="70">
        <v>35.785494999999997</v>
      </c>
      <c r="C308" s="70">
        <v>52.723508000000002</v>
      </c>
      <c r="D308" s="70">
        <v>56.636802000000003</v>
      </c>
      <c r="E308" s="70">
        <v>56.319181</v>
      </c>
      <c r="F308" s="70">
        <v>67.237773000000004</v>
      </c>
      <c r="G308" s="70">
        <v>46.526966000000002</v>
      </c>
      <c r="H308" s="70">
        <v>52.532454999999999</v>
      </c>
      <c r="I308" s="70">
        <v>48.821241999999998</v>
      </c>
      <c r="J308" s="70">
        <v>82.985457999999994</v>
      </c>
      <c r="K308" s="70">
        <v>83.161203</v>
      </c>
      <c r="L308" s="7">
        <f>L307</f>
        <v>112.11616951951713</v>
      </c>
      <c r="M308" s="7">
        <f t="shared" ref="M308:V308" si="130">M307</f>
        <v>128.9335949474447</v>
      </c>
      <c r="N308" s="7">
        <f t="shared" si="130"/>
        <v>141.82695444218919</v>
      </c>
      <c r="O308" s="7">
        <f t="shared" si="130"/>
        <v>153.17311079756433</v>
      </c>
      <c r="P308" s="7">
        <f t="shared" si="130"/>
        <v>160.83176633744256</v>
      </c>
      <c r="Q308" s="7">
        <f t="shared" si="130"/>
        <v>168.87335465431471</v>
      </c>
      <c r="R308" s="7">
        <f t="shared" si="130"/>
        <v>177.31702238703048</v>
      </c>
      <c r="S308" s="7">
        <f t="shared" si="130"/>
        <v>184.40970328251169</v>
      </c>
      <c r="T308" s="7">
        <f t="shared" si="130"/>
        <v>191.78609141381219</v>
      </c>
      <c r="U308" s="7">
        <f t="shared" si="130"/>
        <v>197.53967415622654</v>
      </c>
      <c r="V308" s="7">
        <f t="shared" si="130"/>
        <v>202.24111840114472</v>
      </c>
    </row>
    <row r="309" spans="1:22">
      <c r="A309" s="67" t="s">
        <v>341</v>
      </c>
      <c r="B309" s="27">
        <v>-54.689700000000002</v>
      </c>
      <c r="C309" s="71">
        <v>0</v>
      </c>
      <c r="D309" s="71">
        <v>0</v>
      </c>
      <c r="E309" s="71">
        <v>0</v>
      </c>
      <c r="F309" s="71">
        <v>0</v>
      </c>
      <c r="G309" s="71">
        <v>0</v>
      </c>
      <c r="H309" s="71">
        <v>0</v>
      </c>
      <c r="I309" s="71">
        <v>0</v>
      </c>
      <c r="J309" s="27">
        <v>-10.9146</v>
      </c>
      <c r="K309" s="71">
        <v>0</v>
      </c>
      <c r="L309" s="32">
        <f>K309</f>
        <v>0</v>
      </c>
      <c r="M309" s="32">
        <f t="shared" ref="M309:V309" si="131">L309</f>
        <v>0</v>
      </c>
      <c r="N309" s="32">
        <f t="shared" si="131"/>
        <v>0</v>
      </c>
      <c r="O309" s="32">
        <f t="shared" si="131"/>
        <v>0</v>
      </c>
      <c r="P309" s="32">
        <f t="shared" si="131"/>
        <v>0</v>
      </c>
      <c r="Q309" s="32">
        <f t="shared" si="131"/>
        <v>0</v>
      </c>
      <c r="R309" s="32">
        <f t="shared" si="131"/>
        <v>0</v>
      </c>
      <c r="S309" s="32">
        <f t="shared" si="131"/>
        <v>0</v>
      </c>
      <c r="T309" s="32">
        <f t="shared" si="131"/>
        <v>0</v>
      </c>
      <c r="U309" s="32">
        <f t="shared" si="131"/>
        <v>0</v>
      </c>
      <c r="V309" s="32">
        <f t="shared" si="131"/>
        <v>0</v>
      </c>
    </row>
    <row r="310" spans="1:22">
      <c r="A310" s="16" t="s">
        <v>65</v>
      </c>
      <c r="B310" s="28">
        <v>460.24281000000002</v>
      </c>
      <c r="C310" s="28">
        <v>228.61215000000001</v>
      </c>
      <c r="D310" s="28">
        <v>295.13619999999997</v>
      </c>
      <c r="E310" s="28">
        <v>973.13544000000002</v>
      </c>
      <c r="F310" s="28">
        <v>912.36757</v>
      </c>
      <c r="G310" s="28">
        <v>481.80322999999999</v>
      </c>
      <c r="H310" s="28">
        <v>831.02176999999995</v>
      </c>
      <c r="I310" s="28">
        <v>952.14613999999995</v>
      </c>
      <c r="J310" s="28">
        <v>832.98290999999995</v>
      </c>
      <c r="K310" s="85">
        <v>137.52517</v>
      </c>
      <c r="L310" s="7">
        <f>L306-L307</f>
        <v>808.64046440416337</v>
      </c>
      <c r="M310" s="7">
        <f t="shared" ref="M310:V310" si="132">M306-M307</f>
        <v>929.93653406478791</v>
      </c>
      <c r="N310" s="7">
        <f t="shared" si="132"/>
        <v>1022.9301874712669</v>
      </c>
      <c r="O310" s="7">
        <f t="shared" si="132"/>
        <v>1104.7646024689684</v>
      </c>
      <c r="P310" s="7">
        <f t="shared" si="132"/>
        <v>1160.0028325924168</v>
      </c>
      <c r="Q310" s="7">
        <f t="shared" si="132"/>
        <v>1218.0029742220379</v>
      </c>
      <c r="R310" s="7">
        <f t="shared" si="132"/>
        <v>1278.9031229331399</v>
      </c>
      <c r="S310" s="7">
        <f t="shared" si="132"/>
        <v>1330.0592478504655</v>
      </c>
      <c r="T310" s="7">
        <f t="shared" si="132"/>
        <v>1383.2616177644841</v>
      </c>
      <c r="U310" s="7">
        <f t="shared" si="132"/>
        <v>1424.7594662974186</v>
      </c>
      <c r="V310" s="7">
        <f t="shared" si="132"/>
        <v>1458.668741595297</v>
      </c>
    </row>
    <row r="311" spans="1:22">
      <c r="A311" s="18" t="s">
        <v>66</v>
      </c>
      <c r="B311" s="30">
        <v>1.6235759999999999</v>
      </c>
      <c r="C311" s="30">
        <v>134.51415800000001</v>
      </c>
      <c r="D311" s="30">
        <v>110.63058100000001</v>
      </c>
      <c r="E311" s="30">
        <v>13.165288</v>
      </c>
      <c r="F311" s="30">
        <v>6.0249350000000002</v>
      </c>
      <c r="G311" s="30">
        <v>71.114108000000002</v>
      </c>
      <c r="H311" s="30">
        <v>7.8171819999999999</v>
      </c>
      <c r="I311" s="30">
        <v>13.625968</v>
      </c>
      <c r="J311" s="30">
        <v>152.21435199999999</v>
      </c>
      <c r="K311" s="30">
        <v>135.715262</v>
      </c>
      <c r="L311" s="32">
        <f>AVERAGE($D$311:$K$311)</f>
        <v>63.788459499999995</v>
      </c>
      <c r="M311" s="32">
        <f t="shared" ref="M311:V311" si="133">AVERAGE($D$311:$K$311)</f>
        <v>63.788459499999995</v>
      </c>
      <c r="N311" s="32">
        <f t="shared" si="133"/>
        <v>63.788459499999995</v>
      </c>
      <c r="O311" s="32">
        <f t="shared" si="133"/>
        <v>63.788459499999995</v>
      </c>
      <c r="P311" s="32">
        <f t="shared" si="133"/>
        <v>63.788459499999995</v>
      </c>
      <c r="Q311" s="32">
        <f t="shared" si="133"/>
        <v>63.788459499999995</v>
      </c>
      <c r="R311" s="32">
        <f t="shared" si="133"/>
        <v>63.788459499999995</v>
      </c>
      <c r="S311" s="32">
        <f t="shared" si="133"/>
        <v>63.788459499999995</v>
      </c>
      <c r="T311" s="32">
        <f t="shared" si="133"/>
        <v>63.788459499999995</v>
      </c>
      <c r="U311" s="32">
        <f t="shared" si="133"/>
        <v>63.788459499999995</v>
      </c>
      <c r="V311" s="32">
        <f t="shared" si="133"/>
        <v>63.788459499999995</v>
      </c>
    </row>
    <row r="312" spans="1:22">
      <c r="A312" s="64" t="s">
        <v>67</v>
      </c>
      <c r="B312" s="70">
        <v>6.7395259999999997</v>
      </c>
      <c r="C312" s="70">
        <v>5.1074479999999998</v>
      </c>
      <c r="D312" s="70">
        <v>4.0490409999999999</v>
      </c>
      <c r="E312" s="70">
        <v>4.1306580000000004</v>
      </c>
      <c r="F312" s="70">
        <v>9.0727150000000005</v>
      </c>
      <c r="G312" s="70">
        <v>14.577678000000001</v>
      </c>
      <c r="H312" s="70">
        <v>22.824031999999999</v>
      </c>
      <c r="I312" s="70">
        <v>25.988977999999999</v>
      </c>
      <c r="J312" s="70">
        <v>35.027431999999997</v>
      </c>
      <c r="K312" s="70">
        <v>20.049852000000001</v>
      </c>
      <c r="L312" s="7" t="e">
        <f>NA()</f>
        <v>#N/A</v>
      </c>
      <c r="M312" s="7" t="e">
        <f>NA()</f>
        <v>#N/A</v>
      </c>
      <c r="N312" s="7" t="e">
        <f>NA()</f>
        <v>#N/A</v>
      </c>
      <c r="O312" s="7" t="e">
        <f>NA()</f>
        <v>#N/A</v>
      </c>
      <c r="P312" s="7" t="e">
        <f>NA()</f>
        <v>#N/A</v>
      </c>
      <c r="Q312" s="7" t="e">
        <f>NA()</f>
        <v>#N/A</v>
      </c>
      <c r="R312" s="7" t="e">
        <f>NA()</f>
        <v>#N/A</v>
      </c>
      <c r="S312" s="7" t="e">
        <f>NA()</f>
        <v>#N/A</v>
      </c>
      <c r="T312" s="7" t="e">
        <f>NA()</f>
        <v>#N/A</v>
      </c>
      <c r="U312" s="7" t="e">
        <f>NA()</f>
        <v>#N/A</v>
      </c>
      <c r="V312" s="7" t="e">
        <f>NA()</f>
        <v>#N/A</v>
      </c>
    </row>
    <row r="313" spans="1:22">
      <c r="A313" s="65" t="s">
        <v>1</v>
      </c>
      <c r="B313" s="27">
        <v>-5.1159499999999998</v>
      </c>
      <c r="C313" s="71">
        <v>129.40671</v>
      </c>
      <c r="D313" s="71">
        <v>106.58154</v>
      </c>
      <c r="E313" s="71">
        <v>9.0346299999999999</v>
      </c>
      <c r="F313" s="27">
        <v>-3.0477799999999999</v>
      </c>
      <c r="G313" s="71">
        <v>56.536430000000003</v>
      </c>
      <c r="H313" s="27">
        <v>-15.00685</v>
      </c>
      <c r="I313" s="27">
        <v>-12.363009999999999</v>
      </c>
      <c r="J313" s="71">
        <v>117.18692</v>
      </c>
      <c r="K313" s="71">
        <v>115.66540999999999</v>
      </c>
      <c r="L313" s="7" t="e">
        <f>NA()</f>
        <v>#N/A</v>
      </c>
      <c r="M313" s="7" t="e">
        <f>NA()</f>
        <v>#N/A</v>
      </c>
      <c r="N313" s="7" t="e">
        <f>NA()</f>
        <v>#N/A</v>
      </c>
      <c r="O313" s="7" t="e">
        <f>NA()</f>
        <v>#N/A</v>
      </c>
      <c r="P313" s="7" t="e">
        <f>NA()</f>
        <v>#N/A</v>
      </c>
      <c r="Q313" s="7" t="e">
        <f>NA()</f>
        <v>#N/A</v>
      </c>
      <c r="R313" s="7" t="e">
        <f>NA()</f>
        <v>#N/A</v>
      </c>
      <c r="S313" s="7" t="e">
        <f>NA()</f>
        <v>#N/A</v>
      </c>
      <c r="T313" s="7" t="e">
        <f>NA()</f>
        <v>#N/A</v>
      </c>
      <c r="U313" s="7" t="e">
        <f>NA()</f>
        <v>#N/A</v>
      </c>
      <c r="V313" s="7" t="e">
        <f>NA()</f>
        <v>#N/A</v>
      </c>
    </row>
    <row r="314" spans="1:22">
      <c r="A314" s="20" t="s">
        <v>4</v>
      </c>
      <c r="B314" s="28">
        <v>3.2645940000000002</v>
      </c>
      <c r="C314" s="28">
        <v>4.312398</v>
      </c>
      <c r="D314" s="28">
        <v>11.884791</v>
      </c>
      <c r="E314" s="28">
        <v>136.88641999999999</v>
      </c>
      <c r="F314" s="28">
        <v>242.03679399999999</v>
      </c>
      <c r="G314" s="28">
        <v>264.59488199999998</v>
      </c>
      <c r="H314" s="28">
        <v>263.67334199999999</v>
      </c>
      <c r="I314" s="28">
        <v>286.22563000000002</v>
      </c>
      <c r="J314" s="28">
        <v>344.52275500000002</v>
      </c>
      <c r="K314" s="28">
        <v>277.29600799999997</v>
      </c>
      <c r="L314" s="4">
        <f>(L390+L382)*$L$294</f>
        <v>308.19027229346875</v>
      </c>
      <c r="M314" s="4">
        <f>(M390+M382)*$L$294</f>
        <v>354.41881313748911</v>
      </c>
      <c r="N314" s="4">
        <f>(N390+N382)*$L$294</f>
        <v>389.86069445123803</v>
      </c>
      <c r="O314" s="4">
        <f t="shared" ref="O314:V314" si="134">(O390+O382)*$L$294</f>
        <v>421.04955000733713</v>
      </c>
      <c r="P314" s="4">
        <f t="shared" si="134"/>
        <v>442.10202750770401</v>
      </c>
      <c r="Q314" s="4">
        <f t="shared" si="134"/>
        <v>464.2071288830893</v>
      </c>
      <c r="R314" s="4">
        <f t="shared" si="134"/>
        <v>487.41748532724381</v>
      </c>
      <c r="S314" s="4">
        <f t="shared" si="134"/>
        <v>506.91418474033355</v>
      </c>
      <c r="T314" s="4">
        <f t="shared" si="134"/>
        <v>527.19075212994687</v>
      </c>
      <c r="U314" s="4">
        <f t="shared" si="134"/>
        <v>543.00647469384535</v>
      </c>
      <c r="V314" s="4">
        <f t="shared" si="134"/>
        <v>555.93002879155881</v>
      </c>
    </row>
    <row r="315" spans="1:22">
      <c r="A315" s="65" t="s">
        <v>68</v>
      </c>
      <c r="B315" s="71">
        <v>3.2645940000000002</v>
      </c>
      <c r="C315" s="71">
        <v>4.312398</v>
      </c>
      <c r="D315" s="71">
        <v>11.884791</v>
      </c>
      <c r="E315" s="71">
        <v>136.88641999999999</v>
      </c>
      <c r="F315" s="71">
        <v>242.03679399999999</v>
      </c>
      <c r="G315" s="71">
        <v>264.59488199999998</v>
      </c>
      <c r="H315" s="71">
        <v>263.67334199999999</v>
      </c>
      <c r="I315" s="71">
        <v>286.22563000000002</v>
      </c>
      <c r="J315" s="71">
        <v>344.52275500000002</v>
      </c>
      <c r="K315" s="71">
        <v>277.29600799999997</v>
      </c>
      <c r="L315" s="4">
        <f>L314</f>
        <v>308.19027229346875</v>
      </c>
      <c r="M315" s="4">
        <f t="shared" ref="M315:V315" si="135">M314</f>
        <v>354.41881313748911</v>
      </c>
      <c r="N315" s="4">
        <f t="shared" si="135"/>
        <v>389.86069445123803</v>
      </c>
      <c r="O315" s="4">
        <f t="shared" si="135"/>
        <v>421.04955000733713</v>
      </c>
      <c r="P315" s="4">
        <f t="shared" si="135"/>
        <v>442.10202750770401</v>
      </c>
      <c r="Q315" s="4">
        <f t="shared" si="135"/>
        <v>464.2071288830893</v>
      </c>
      <c r="R315" s="4">
        <f t="shared" si="135"/>
        <v>487.41748532724381</v>
      </c>
      <c r="S315" s="4">
        <f t="shared" si="135"/>
        <v>506.91418474033355</v>
      </c>
      <c r="T315" s="4">
        <f t="shared" si="135"/>
        <v>527.19075212994687</v>
      </c>
      <c r="U315" s="4">
        <f t="shared" si="135"/>
        <v>543.00647469384535</v>
      </c>
      <c r="V315" s="4">
        <f t="shared" si="135"/>
        <v>555.93002879155881</v>
      </c>
    </row>
    <row r="316" spans="1:22">
      <c r="A316" s="20" t="s">
        <v>69</v>
      </c>
      <c r="B316" s="28">
        <v>32.206848999999998</v>
      </c>
      <c r="C316" s="28">
        <v>22.984964999999999</v>
      </c>
      <c r="D316" s="28">
        <v>0</v>
      </c>
      <c r="E316" s="28">
        <v>200.36740399999999</v>
      </c>
      <c r="F316" s="28">
        <v>532.09047899999996</v>
      </c>
      <c r="G316" s="28">
        <v>39.421743999999997</v>
      </c>
      <c r="H316" s="28">
        <v>0</v>
      </c>
      <c r="I316" s="28">
        <v>0</v>
      </c>
      <c r="J316" s="28">
        <v>-4.1327249999999998</v>
      </c>
      <c r="K316" s="28">
        <v>534.405621</v>
      </c>
      <c r="L316" s="32">
        <f>AVERAGE(D316:K316)</f>
        <v>162.76906537499997</v>
      </c>
      <c r="M316" s="32">
        <f t="shared" ref="M316:V316" si="136">AVERAGE(E316:L316)</f>
        <v>183.11519854687498</v>
      </c>
      <c r="N316" s="32">
        <f t="shared" si="136"/>
        <v>180.95867286523435</v>
      </c>
      <c r="O316" s="32">
        <f t="shared" si="136"/>
        <v>137.06719709838865</v>
      </c>
      <c r="P316" s="32">
        <f t="shared" si="136"/>
        <v>149.27287873568724</v>
      </c>
      <c r="Q316" s="32">
        <f t="shared" si="136"/>
        <v>167.93198857764816</v>
      </c>
      <c r="R316" s="32">
        <f t="shared" si="136"/>
        <v>188.92348714985417</v>
      </c>
      <c r="S316" s="32">
        <f t="shared" si="136"/>
        <v>213.05551366858595</v>
      </c>
      <c r="T316" s="32">
        <f t="shared" si="136"/>
        <v>172.88675025215915</v>
      </c>
      <c r="U316" s="32">
        <f t="shared" si="136"/>
        <v>174.15146086180405</v>
      </c>
      <c r="V316" s="32">
        <f t="shared" si="136"/>
        <v>173.03099365117021</v>
      </c>
    </row>
    <row r="317" spans="1:22">
      <c r="A317" s="22" t="s">
        <v>342</v>
      </c>
      <c r="B317" s="30">
        <v>32.206848999999998</v>
      </c>
      <c r="C317" s="30">
        <v>22.984964999999999</v>
      </c>
      <c r="D317" s="30">
        <v>0</v>
      </c>
      <c r="E317" s="30">
        <v>200.36740399999999</v>
      </c>
      <c r="F317" s="30">
        <v>532.09047899999996</v>
      </c>
      <c r="G317" s="30">
        <v>0</v>
      </c>
      <c r="H317" s="30">
        <v>0</v>
      </c>
      <c r="I317" s="30">
        <v>0</v>
      </c>
      <c r="J317" s="30">
        <v>8.439565</v>
      </c>
      <c r="K317" s="30">
        <v>543.562636</v>
      </c>
      <c r="L317" s="7" t="e">
        <f>NA()</f>
        <v>#N/A</v>
      </c>
      <c r="M317" s="7" t="e">
        <f>NA()</f>
        <v>#N/A</v>
      </c>
      <c r="N317" s="7" t="e">
        <f>NA()</f>
        <v>#N/A</v>
      </c>
      <c r="O317" s="7" t="e">
        <f>NA()</f>
        <v>#N/A</v>
      </c>
      <c r="P317" s="7" t="e">
        <f>NA()</f>
        <v>#N/A</v>
      </c>
      <c r="Q317" s="7" t="e">
        <f>NA()</f>
        <v>#N/A</v>
      </c>
      <c r="R317" s="7" t="e">
        <f>NA()</f>
        <v>#N/A</v>
      </c>
      <c r="S317" s="7" t="e">
        <f>NA()</f>
        <v>#N/A</v>
      </c>
      <c r="T317" s="7" t="e">
        <f>NA()</f>
        <v>#N/A</v>
      </c>
      <c r="U317" s="7" t="e">
        <f>NA()</f>
        <v>#N/A</v>
      </c>
      <c r="V317" s="7" t="e">
        <f>NA()</f>
        <v>#N/A</v>
      </c>
    </row>
    <row r="318" spans="1:22">
      <c r="A318" s="73" t="s">
        <v>343</v>
      </c>
      <c r="B318" s="70">
        <v>32.206848999999998</v>
      </c>
      <c r="C318" s="70">
        <v>22.984964999999999</v>
      </c>
      <c r="D318" s="70">
        <v>0</v>
      </c>
      <c r="E318" s="70">
        <v>200.36740399999999</v>
      </c>
      <c r="F318" s="70">
        <v>532.09047899999996</v>
      </c>
      <c r="G318" s="70">
        <v>0</v>
      </c>
      <c r="H318" s="70">
        <v>0</v>
      </c>
      <c r="I318" s="70">
        <v>0</v>
      </c>
      <c r="J318" s="70">
        <v>8.439565</v>
      </c>
      <c r="K318" s="70">
        <v>543.562636</v>
      </c>
      <c r="L318" s="7" t="e">
        <f>NA()</f>
        <v>#N/A</v>
      </c>
      <c r="M318" s="7" t="e">
        <f>NA()</f>
        <v>#N/A</v>
      </c>
      <c r="N318" s="7" t="e">
        <f>NA()</f>
        <v>#N/A</v>
      </c>
      <c r="O318" s="7" t="e">
        <f>NA()</f>
        <v>#N/A</v>
      </c>
      <c r="P318" s="7" t="e">
        <f>NA()</f>
        <v>#N/A</v>
      </c>
      <c r="Q318" s="7" t="e">
        <f>NA()</f>
        <v>#N/A</v>
      </c>
      <c r="R318" s="7" t="e">
        <f>NA()</f>
        <v>#N/A</v>
      </c>
      <c r="S318" s="7" t="e">
        <f>NA()</f>
        <v>#N/A</v>
      </c>
      <c r="T318" s="7" t="e">
        <f>NA()</f>
        <v>#N/A</v>
      </c>
      <c r="U318" s="7" t="e">
        <f>NA()</f>
        <v>#N/A</v>
      </c>
      <c r="V318" s="7" t="e">
        <f>NA()</f>
        <v>#N/A</v>
      </c>
    </row>
    <row r="319" spans="1:22">
      <c r="A319" s="65" t="s">
        <v>70</v>
      </c>
      <c r="B319" s="71">
        <v>0</v>
      </c>
      <c r="C319" s="71">
        <v>0</v>
      </c>
      <c r="D319" s="71">
        <v>0</v>
      </c>
      <c r="E319" s="71">
        <v>0</v>
      </c>
      <c r="F319" s="71">
        <v>0</v>
      </c>
      <c r="G319" s="71">
        <v>39.421743999999997</v>
      </c>
      <c r="H319" s="71">
        <v>0</v>
      </c>
      <c r="I319" s="71">
        <v>0</v>
      </c>
      <c r="J319" s="71">
        <v>0</v>
      </c>
      <c r="K319" s="71">
        <v>0</v>
      </c>
      <c r="L319" s="7" t="e">
        <f>NA()</f>
        <v>#N/A</v>
      </c>
      <c r="M319" s="7" t="e">
        <f>NA()</f>
        <v>#N/A</v>
      </c>
      <c r="N319" s="7" t="e">
        <f>NA()</f>
        <v>#N/A</v>
      </c>
      <c r="O319" s="7" t="e">
        <f>NA()</f>
        <v>#N/A</v>
      </c>
      <c r="P319" s="7" t="e">
        <f>NA()</f>
        <v>#N/A</v>
      </c>
      <c r="Q319" s="7" t="e">
        <f>NA()</f>
        <v>#N/A</v>
      </c>
      <c r="R319" s="7" t="e">
        <f>NA()</f>
        <v>#N/A</v>
      </c>
      <c r="S319" s="7" t="e">
        <f>NA()</f>
        <v>#N/A</v>
      </c>
      <c r="T319" s="7" t="e">
        <f>NA()</f>
        <v>#N/A</v>
      </c>
      <c r="U319" s="7" t="e">
        <f>NA()</f>
        <v>#N/A</v>
      </c>
      <c r="V319" s="7" t="e">
        <f>NA()</f>
        <v>#N/A</v>
      </c>
    </row>
    <row r="320" spans="1:22">
      <c r="A320" s="64" t="s">
        <v>71</v>
      </c>
      <c r="B320" s="62" t="s">
        <v>2</v>
      </c>
      <c r="C320" s="62" t="s">
        <v>2</v>
      </c>
      <c r="D320" s="86">
        <f>D310+D311-D314</f>
        <v>393.88198999999997</v>
      </c>
      <c r="E320" s="62" t="s">
        <v>2</v>
      </c>
      <c r="F320" s="62" t="s">
        <v>2</v>
      </c>
      <c r="G320" s="62" t="s">
        <v>2</v>
      </c>
      <c r="H320" s="62" t="s">
        <v>2</v>
      </c>
      <c r="I320" s="62" t="s">
        <v>2</v>
      </c>
      <c r="J320" s="29">
        <v>-12.572290000000001</v>
      </c>
      <c r="K320" s="29">
        <v>-9.1570140000000002</v>
      </c>
      <c r="L320" s="7" t="e">
        <f>NA()</f>
        <v>#N/A</v>
      </c>
      <c r="M320" s="7" t="e">
        <f>NA()</f>
        <v>#N/A</v>
      </c>
      <c r="N320" s="7" t="e">
        <f>NA()</f>
        <v>#N/A</v>
      </c>
      <c r="O320" s="7" t="e">
        <f>NA()</f>
        <v>#N/A</v>
      </c>
      <c r="P320" s="7" t="e">
        <f>NA()</f>
        <v>#N/A</v>
      </c>
      <c r="Q320" s="7" t="e">
        <f>NA()</f>
        <v>#N/A</v>
      </c>
      <c r="R320" s="7" t="e">
        <f>NA()</f>
        <v>#N/A</v>
      </c>
      <c r="S320" s="7" t="e">
        <f>NA()</f>
        <v>#N/A</v>
      </c>
      <c r="T320" s="7" t="e">
        <f>NA()</f>
        <v>#N/A</v>
      </c>
      <c r="U320" s="7" t="e">
        <f>NA()</f>
        <v>#N/A</v>
      </c>
      <c r="V320" s="7" t="e">
        <f>NA()</f>
        <v>#N/A</v>
      </c>
    </row>
    <row r="321" spans="1:22">
      <c r="A321" s="21" t="s">
        <v>72</v>
      </c>
      <c r="B321" s="30">
        <v>426.39494999999999</v>
      </c>
      <c r="C321" s="30">
        <v>335.82895000000002</v>
      </c>
      <c r="D321" s="30">
        <v>393.88199200000003</v>
      </c>
      <c r="E321" s="30">
        <v>649.04691000000003</v>
      </c>
      <c r="F321" s="30">
        <v>144.26523</v>
      </c>
      <c r="G321" s="30">
        <v>248.90070700000001</v>
      </c>
      <c r="H321" s="30">
        <v>575.16560700000002</v>
      </c>
      <c r="I321" s="30">
        <v>679.54647199999999</v>
      </c>
      <c r="J321" s="30">
        <v>644.80722500000002</v>
      </c>
      <c r="K321" s="30">
        <v>-538.46120299999995</v>
      </c>
      <c r="L321" s="32">
        <f>L310+L311-L314-L316</f>
        <v>401.46958623569469</v>
      </c>
      <c r="M321" s="32">
        <f t="shared" ref="M321:V321" si="137">M310+M311-M314</f>
        <v>639.30618042729884</v>
      </c>
      <c r="N321" s="32">
        <f t="shared" si="137"/>
        <v>696.8579525200289</v>
      </c>
      <c r="O321" s="32">
        <f t="shared" si="137"/>
        <v>747.50351196163138</v>
      </c>
      <c r="P321" s="32">
        <f t="shared" si="137"/>
        <v>781.68926458471287</v>
      </c>
      <c r="Q321" s="32">
        <f t="shared" si="137"/>
        <v>817.58430483894858</v>
      </c>
      <c r="R321" s="32">
        <f t="shared" si="137"/>
        <v>855.27409710589609</v>
      </c>
      <c r="S321" s="32">
        <f t="shared" si="137"/>
        <v>886.93352261013194</v>
      </c>
      <c r="T321" s="32">
        <f t="shared" si="137"/>
        <v>919.85932513453724</v>
      </c>
      <c r="U321" s="32">
        <f t="shared" si="137"/>
        <v>945.54145110357331</v>
      </c>
      <c r="V321" s="32">
        <f t="shared" si="137"/>
        <v>966.52717230373821</v>
      </c>
    </row>
    <row r="322" spans="1:22">
      <c r="A322" s="20" t="s">
        <v>73</v>
      </c>
      <c r="B322" s="28">
        <v>230.12867900000001</v>
      </c>
      <c r="C322" s="28">
        <v>165.96645799999999</v>
      </c>
      <c r="D322" s="28">
        <v>180.57167200000001</v>
      </c>
      <c r="E322" s="28">
        <v>257.15257400000002</v>
      </c>
      <c r="F322" s="28">
        <v>196.747848</v>
      </c>
      <c r="G322" s="28">
        <v>128.110579</v>
      </c>
      <c r="H322" s="28">
        <v>181.05543399999999</v>
      </c>
      <c r="I322" s="28">
        <v>222.577077</v>
      </c>
      <c r="J322" s="28">
        <v>196.14613800000001</v>
      </c>
      <c r="K322" s="28">
        <v>-65.288757000000004</v>
      </c>
      <c r="L322" s="7">
        <f>L321*$L$292</f>
        <v>126.66626287572346</v>
      </c>
      <c r="M322" s="7">
        <f t="shared" ref="M322:V322" si="138">M321*$L$292</f>
        <v>201.7052536092686</v>
      </c>
      <c r="N322" s="7">
        <f t="shared" si="138"/>
        <v>219.86321162848884</v>
      </c>
      <c r="O322" s="7">
        <f t="shared" si="138"/>
        <v>235.84221468540267</v>
      </c>
      <c r="P322" s="7">
        <f t="shared" si="138"/>
        <v>246.62804174881947</v>
      </c>
      <c r="Q322" s="7">
        <f t="shared" si="138"/>
        <v>257.95316016540716</v>
      </c>
      <c r="R322" s="7">
        <f t="shared" si="138"/>
        <v>269.84453450282416</v>
      </c>
      <c r="S322" s="7">
        <f t="shared" si="138"/>
        <v>279.83328894625447</v>
      </c>
      <c r="T322" s="7">
        <f t="shared" si="138"/>
        <v>290.22159356742202</v>
      </c>
      <c r="U322" s="7">
        <f t="shared" si="138"/>
        <v>298.32447117193266</v>
      </c>
      <c r="V322" s="7">
        <f t="shared" si="138"/>
        <v>304.94560255849842</v>
      </c>
    </row>
    <row r="323" spans="1:22">
      <c r="A323" s="65" t="s">
        <v>74</v>
      </c>
      <c r="B323" s="71">
        <v>209.11818600000001</v>
      </c>
      <c r="C323" s="71">
        <v>185.90453500000001</v>
      </c>
      <c r="D323" s="71">
        <v>199.62238400000001</v>
      </c>
      <c r="E323" s="71">
        <v>146.22172800000001</v>
      </c>
      <c r="F323" s="71">
        <v>18.761116999999999</v>
      </c>
      <c r="G323" s="71">
        <v>6.2981170000000004</v>
      </c>
      <c r="H323" s="71">
        <v>24.195170000000001</v>
      </c>
      <c r="I323" s="71">
        <v>52.276617000000002</v>
      </c>
      <c r="J323" s="71">
        <v>71.480885000000001</v>
      </c>
      <c r="K323" s="27">
        <v>-1.804095</v>
      </c>
      <c r="L323" s="7" t="e">
        <f>NA()</f>
        <v>#N/A</v>
      </c>
      <c r="M323" s="7" t="e">
        <f>NA()</f>
        <v>#N/A</v>
      </c>
      <c r="N323" s="7" t="e">
        <f>NA()</f>
        <v>#N/A</v>
      </c>
      <c r="O323" s="7" t="e">
        <f>NA()</f>
        <v>#N/A</v>
      </c>
      <c r="P323" s="7" t="e">
        <f>NA()</f>
        <v>#N/A</v>
      </c>
      <c r="Q323" s="7" t="e">
        <f>NA()</f>
        <v>#N/A</v>
      </c>
      <c r="R323" s="7" t="e">
        <f>NA()</f>
        <v>#N/A</v>
      </c>
      <c r="S323" s="7" t="e">
        <f>NA()</f>
        <v>#N/A</v>
      </c>
      <c r="T323" s="7" t="e">
        <f>NA()</f>
        <v>#N/A</v>
      </c>
      <c r="U323" s="7" t="e">
        <f>NA()</f>
        <v>#N/A</v>
      </c>
      <c r="V323" s="7" t="e">
        <f>NA()</f>
        <v>#N/A</v>
      </c>
    </row>
    <row r="324" spans="1:22">
      <c r="A324" s="64" t="s">
        <v>75</v>
      </c>
      <c r="B324" s="70">
        <v>21.010493</v>
      </c>
      <c r="C324" s="29">
        <v>-19.938078000000001</v>
      </c>
      <c r="D324" s="29">
        <v>-19.050712000000001</v>
      </c>
      <c r="E324" s="70">
        <v>110.930846</v>
      </c>
      <c r="F324" s="70">
        <v>177.98673099999999</v>
      </c>
      <c r="G324" s="70">
        <v>121.812462</v>
      </c>
      <c r="H324" s="70">
        <v>156.860264</v>
      </c>
      <c r="I324" s="70">
        <v>170.30045899999999</v>
      </c>
      <c r="J324" s="70">
        <v>124.66525300000001</v>
      </c>
      <c r="K324" s="29">
        <v>-63.484662</v>
      </c>
      <c r="L324" s="7" t="e">
        <f>NA()</f>
        <v>#N/A</v>
      </c>
      <c r="M324" s="7" t="e">
        <f>NA()</f>
        <v>#N/A</v>
      </c>
      <c r="N324" s="7" t="e">
        <f>NA()</f>
        <v>#N/A</v>
      </c>
      <c r="O324" s="7" t="e">
        <f>NA()</f>
        <v>#N/A</v>
      </c>
      <c r="P324" s="7" t="e">
        <f>NA()</f>
        <v>#N/A</v>
      </c>
      <c r="Q324" s="7" t="e">
        <f>NA()</f>
        <v>#N/A</v>
      </c>
      <c r="R324" s="7" t="e">
        <f>NA()</f>
        <v>#N/A</v>
      </c>
      <c r="S324" s="7" t="e">
        <f>NA()</f>
        <v>#N/A</v>
      </c>
      <c r="T324" s="7" t="e">
        <f>NA()</f>
        <v>#N/A</v>
      </c>
      <c r="U324" s="7" t="e">
        <f>NA()</f>
        <v>#N/A</v>
      </c>
      <c r="V324" s="7" t="e">
        <f>NA()</f>
        <v>#N/A</v>
      </c>
    </row>
    <row r="325" spans="1:22">
      <c r="A325" s="67" t="s">
        <v>344</v>
      </c>
      <c r="B325" s="71">
        <v>0</v>
      </c>
      <c r="C325" s="66" t="s">
        <v>2</v>
      </c>
      <c r="D325" s="66" t="s">
        <v>2</v>
      </c>
      <c r="E325" s="71">
        <v>0</v>
      </c>
      <c r="F325" s="71">
        <v>0</v>
      </c>
      <c r="G325" s="71">
        <v>0</v>
      </c>
      <c r="H325" s="71">
        <v>0</v>
      </c>
      <c r="I325" s="66" t="s">
        <v>2</v>
      </c>
      <c r="J325" s="71">
        <v>0.90223500000000001</v>
      </c>
      <c r="K325" s="71">
        <v>7.3950440000000004</v>
      </c>
      <c r="L325" s="7" t="e">
        <f>NA()</f>
        <v>#N/A</v>
      </c>
      <c r="M325" s="7" t="e">
        <f>NA()</f>
        <v>#N/A</v>
      </c>
      <c r="N325" s="7" t="e">
        <f>NA()</f>
        <v>#N/A</v>
      </c>
      <c r="O325" s="7" t="e">
        <f>NA()</f>
        <v>#N/A</v>
      </c>
      <c r="P325" s="7" t="e">
        <f>NA()</f>
        <v>#N/A</v>
      </c>
      <c r="Q325" s="7" t="e">
        <f>NA()</f>
        <v>#N/A</v>
      </c>
      <c r="R325" s="7" t="e">
        <f>NA()</f>
        <v>#N/A</v>
      </c>
      <c r="S325" s="7" t="e">
        <f>NA()</f>
        <v>#N/A</v>
      </c>
      <c r="T325" s="7" t="e">
        <f>NA()</f>
        <v>#N/A</v>
      </c>
      <c r="U325" s="7" t="e">
        <f>NA()</f>
        <v>#N/A</v>
      </c>
      <c r="V325" s="7" t="e">
        <f>NA()</f>
        <v>#N/A</v>
      </c>
    </row>
    <row r="326" spans="1:22">
      <c r="A326" s="62" t="s">
        <v>76</v>
      </c>
      <c r="B326" s="70">
        <v>196.26626999999999</v>
      </c>
      <c r="C326" s="70">
        <v>169.862493</v>
      </c>
      <c r="D326" s="70">
        <v>213.31031999999999</v>
      </c>
      <c r="E326" s="70">
        <v>391.89433600000001</v>
      </c>
      <c r="F326" s="29">
        <v>-52.482618000000002</v>
      </c>
      <c r="G326" s="70">
        <v>120.790128</v>
      </c>
      <c r="H326" s="70">
        <v>394.11017299999997</v>
      </c>
      <c r="I326" s="70">
        <v>456.96939500000002</v>
      </c>
      <c r="J326" s="70">
        <v>449.56332200000003</v>
      </c>
      <c r="K326" s="29">
        <v>-465.777402</v>
      </c>
      <c r="L326" s="32">
        <f>L327</f>
        <v>274.80332335997122</v>
      </c>
      <c r="M326" s="32">
        <f t="shared" ref="M326:V326" si="139">M327</f>
        <v>437.60092681803025</v>
      </c>
      <c r="N326" s="32">
        <f t="shared" si="139"/>
        <v>476.99474089154006</v>
      </c>
      <c r="O326" s="32">
        <f t="shared" si="139"/>
        <v>511.66129727622871</v>
      </c>
      <c r="P326" s="32">
        <f t="shared" si="139"/>
        <v>535.06122283589343</v>
      </c>
      <c r="Q326" s="32">
        <f t="shared" si="139"/>
        <v>559.63114467354148</v>
      </c>
      <c r="R326" s="32">
        <f t="shared" si="139"/>
        <v>585.42956260307187</v>
      </c>
      <c r="S326" s="32">
        <f t="shared" si="139"/>
        <v>607.10023366387748</v>
      </c>
      <c r="T326" s="32">
        <f t="shared" si="139"/>
        <v>629.63773156711522</v>
      </c>
      <c r="U326" s="32">
        <f t="shared" si="139"/>
        <v>647.21697993164071</v>
      </c>
      <c r="V326" s="32">
        <f t="shared" si="139"/>
        <v>661.58156974523979</v>
      </c>
    </row>
    <row r="327" spans="1:22">
      <c r="A327" s="21" t="s">
        <v>3</v>
      </c>
      <c r="B327" s="30">
        <v>196.26626999999999</v>
      </c>
      <c r="C327" s="30">
        <v>169.862493</v>
      </c>
      <c r="D327" s="30">
        <v>213.31031999999999</v>
      </c>
      <c r="E327" s="30">
        <v>391.89433600000001</v>
      </c>
      <c r="F327" s="30">
        <v>-52.482618000000002</v>
      </c>
      <c r="G327" s="30">
        <v>120.790128</v>
      </c>
      <c r="H327" s="30">
        <v>394.11017299999997</v>
      </c>
      <c r="I327" s="30">
        <v>456.96939500000002</v>
      </c>
      <c r="J327" s="30">
        <v>449.56332200000003</v>
      </c>
      <c r="K327" s="30">
        <v>-465.777402</v>
      </c>
      <c r="L327" s="7">
        <f>L321-L322</f>
        <v>274.80332335997122</v>
      </c>
      <c r="M327" s="7">
        <f t="shared" ref="M327:V327" si="140">M321-M322</f>
        <v>437.60092681803025</v>
      </c>
      <c r="N327" s="7">
        <f t="shared" si="140"/>
        <v>476.99474089154006</v>
      </c>
      <c r="O327" s="7">
        <f t="shared" si="140"/>
        <v>511.66129727622871</v>
      </c>
      <c r="P327" s="7">
        <f t="shared" si="140"/>
        <v>535.06122283589343</v>
      </c>
      <c r="Q327" s="7">
        <f t="shared" si="140"/>
        <v>559.63114467354148</v>
      </c>
      <c r="R327" s="7">
        <f t="shared" si="140"/>
        <v>585.42956260307187</v>
      </c>
      <c r="S327" s="7">
        <f t="shared" si="140"/>
        <v>607.10023366387748</v>
      </c>
      <c r="T327" s="7">
        <f t="shared" si="140"/>
        <v>629.63773156711522</v>
      </c>
      <c r="U327" s="7">
        <f t="shared" si="140"/>
        <v>647.21697993164071</v>
      </c>
      <c r="V327" s="7">
        <f t="shared" si="140"/>
        <v>661.58156974523979</v>
      </c>
    </row>
    <row r="328" spans="1:22">
      <c r="A328" s="63" t="s">
        <v>77</v>
      </c>
      <c r="B328" s="70">
        <v>196.26626999999999</v>
      </c>
      <c r="C328" s="70">
        <v>169.862493</v>
      </c>
      <c r="D328" s="70">
        <v>213.31031999999999</v>
      </c>
      <c r="E328" s="70">
        <v>391.89433600000001</v>
      </c>
      <c r="F328" s="29">
        <v>-52.482618000000002</v>
      </c>
      <c r="G328" s="70">
        <v>120.790128</v>
      </c>
      <c r="H328" s="70">
        <v>394.11017299999997</v>
      </c>
      <c r="I328" s="70">
        <v>456.96939500000002</v>
      </c>
      <c r="J328" s="70">
        <v>449.56332200000003</v>
      </c>
      <c r="K328" s="29">
        <v>-465.777402</v>
      </c>
      <c r="L328" s="7">
        <f>L327</f>
        <v>274.80332335997122</v>
      </c>
      <c r="M328" s="7">
        <f t="shared" ref="M328:V328" si="141">M327</f>
        <v>437.60092681803025</v>
      </c>
      <c r="N328" s="7">
        <f t="shared" si="141"/>
        <v>476.99474089154006</v>
      </c>
      <c r="O328" s="7">
        <f t="shared" si="141"/>
        <v>511.66129727622871</v>
      </c>
      <c r="P328" s="7">
        <f t="shared" si="141"/>
        <v>535.06122283589343</v>
      </c>
      <c r="Q328" s="7">
        <f t="shared" si="141"/>
        <v>559.63114467354148</v>
      </c>
      <c r="R328" s="7">
        <f t="shared" si="141"/>
        <v>585.42956260307187</v>
      </c>
      <c r="S328" s="7">
        <f t="shared" si="141"/>
        <v>607.10023366387748</v>
      </c>
      <c r="T328" s="7">
        <f t="shared" si="141"/>
        <v>629.63773156711522</v>
      </c>
      <c r="U328" s="7">
        <f t="shared" si="141"/>
        <v>647.21697993164071</v>
      </c>
      <c r="V328" s="7">
        <f t="shared" si="141"/>
        <v>661.58156974523979</v>
      </c>
    </row>
    <row r="329" spans="1:22">
      <c r="A329" s="21" t="s">
        <v>78</v>
      </c>
      <c r="B329" s="21"/>
      <c r="C329" s="21"/>
      <c r="D329" s="21"/>
      <c r="E329" s="21"/>
      <c r="F329" s="21"/>
      <c r="G329" s="21"/>
      <c r="H329" s="21"/>
      <c r="I329" s="21"/>
      <c r="J329" s="21"/>
      <c r="K329" s="21"/>
    </row>
    <row r="330" spans="1:22">
      <c r="A330" s="20" t="s">
        <v>79</v>
      </c>
      <c r="B330" s="23">
        <v>0.16081000000000001</v>
      </c>
      <c r="C330" s="23">
        <v>0.135659</v>
      </c>
      <c r="D330" s="23">
        <v>0.15459000000000001</v>
      </c>
      <c r="E330" s="23">
        <v>0.34896100000000002</v>
      </c>
      <c r="F330" s="23">
        <v>0.20475299999999999</v>
      </c>
      <c r="G330" s="23">
        <v>9.4758999999999996E-2</v>
      </c>
      <c r="H330" s="23">
        <v>0.25126199999999999</v>
      </c>
      <c r="I330" s="23">
        <v>0.291215</v>
      </c>
      <c r="J330" s="23">
        <v>0.28429399999999999</v>
      </c>
      <c r="K330" s="23">
        <v>-4.7525999999999999E-2</v>
      </c>
    </row>
    <row r="331" spans="1:22">
      <c r="A331" s="65" t="s">
        <v>80</v>
      </c>
      <c r="B331" s="68">
        <v>1354.046859</v>
      </c>
      <c r="C331" s="68">
        <v>1365.273635</v>
      </c>
      <c r="D331" s="68">
        <v>1374.426477</v>
      </c>
      <c r="E331" s="68">
        <v>1520.489149</v>
      </c>
      <c r="F331" s="68">
        <v>1562.7634</v>
      </c>
      <c r="G331" s="68">
        <v>1562.7634</v>
      </c>
      <c r="H331" s="68">
        <v>1563.3545790000001</v>
      </c>
      <c r="I331" s="68">
        <v>1563.726705</v>
      </c>
      <c r="J331" s="68">
        <v>1564.444</v>
      </c>
      <c r="K331" s="68">
        <v>1929.3461150000001</v>
      </c>
    </row>
    <row r="332" spans="1:22">
      <c r="A332" s="64" t="s">
        <v>81</v>
      </c>
      <c r="B332" s="69">
        <v>1360.027636</v>
      </c>
      <c r="C332" s="69">
        <v>1369.8818799999999</v>
      </c>
      <c r="D332" s="69">
        <v>1378.71272</v>
      </c>
      <c r="E332" s="69">
        <v>1562.7634</v>
      </c>
      <c r="F332" s="69">
        <v>1562.7634</v>
      </c>
      <c r="G332" s="69">
        <v>1562.7634</v>
      </c>
      <c r="H332" s="69">
        <v>1563.726705</v>
      </c>
      <c r="I332" s="69">
        <v>1563.726705</v>
      </c>
      <c r="J332" s="69">
        <v>1564.8718610000001</v>
      </c>
      <c r="K332" s="69">
        <v>2077.8506640000001</v>
      </c>
    </row>
    <row r="333" spans="1:22">
      <c r="A333" s="18" t="s">
        <v>82</v>
      </c>
      <c r="B333" s="24">
        <v>0.14419999999999999</v>
      </c>
      <c r="C333" s="24">
        <v>0.124</v>
      </c>
      <c r="D333" s="24">
        <v>0.15459999999999999</v>
      </c>
      <c r="E333" s="24">
        <v>0.25700000000000001</v>
      </c>
      <c r="F333" s="24">
        <v>-3.3599999999999998E-2</v>
      </c>
      <c r="G333" s="24">
        <v>7.7200000000000005E-2</v>
      </c>
      <c r="H333" s="24">
        <v>0.25130000000000002</v>
      </c>
      <c r="I333" s="24">
        <v>0.29120000000000001</v>
      </c>
      <c r="J333" s="24">
        <v>0.28610000000000002</v>
      </c>
      <c r="K333" s="24">
        <v>-0.2414</v>
      </c>
    </row>
    <row r="334" spans="1:22">
      <c r="A334" s="64" t="s">
        <v>83</v>
      </c>
      <c r="B334" s="69">
        <v>1360.6767299999999</v>
      </c>
      <c r="C334" s="69">
        <v>1370.7337030000001</v>
      </c>
      <c r="D334" s="69">
        <v>1379.845875</v>
      </c>
      <c r="E334" s="69">
        <v>1524.960159</v>
      </c>
      <c r="F334" s="69">
        <v>1562.7634</v>
      </c>
      <c r="G334" s="69">
        <v>1565.91578</v>
      </c>
      <c r="H334" s="69">
        <v>1568.5214960000001</v>
      </c>
      <c r="I334" s="69">
        <v>1569.180196</v>
      </c>
      <c r="J334" s="69">
        <v>1571.1560079999999</v>
      </c>
      <c r="K334" s="69">
        <v>1929.3461150000001</v>
      </c>
    </row>
    <row r="335" spans="1:22">
      <c r="A335" s="65" t="s">
        <v>81</v>
      </c>
      <c r="B335" s="68">
        <v>1360.027636</v>
      </c>
      <c r="C335" s="68">
        <v>1369.8818799999999</v>
      </c>
      <c r="D335" s="68">
        <v>1378.71272</v>
      </c>
      <c r="E335" s="68">
        <v>1562.7634</v>
      </c>
      <c r="F335" s="68">
        <v>1562.7634</v>
      </c>
      <c r="G335" s="68">
        <v>1562.7634</v>
      </c>
      <c r="H335" s="68">
        <v>1563.726705</v>
      </c>
      <c r="I335" s="68">
        <v>1563.726705</v>
      </c>
      <c r="J335" s="68">
        <v>1564.8718610000001</v>
      </c>
      <c r="K335" s="68">
        <v>2077.8506640000001</v>
      </c>
    </row>
    <row r="336" spans="1:22">
      <c r="A336" s="63" t="s">
        <v>84</v>
      </c>
      <c r="B336" s="69">
        <v>69.049000000000007</v>
      </c>
      <c r="C336" s="69">
        <v>69.209000000000003</v>
      </c>
      <c r="D336" s="69">
        <v>71.948999999999998</v>
      </c>
      <c r="E336" s="69">
        <v>78.248999999999995</v>
      </c>
      <c r="F336" s="69">
        <v>87.376000000000005</v>
      </c>
      <c r="G336" s="69">
        <v>92.543000000000006</v>
      </c>
      <c r="H336" s="69">
        <v>86.587999999999994</v>
      </c>
      <c r="I336" s="69">
        <v>84.933000000000007</v>
      </c>
      <c r="J336" s="69">
        <v>87.424999999999997</v>
      </c>
      <c r="K336" s="69">
        <v>85.325000000000003</v>
      </c>
    </row>
    <row r="337" spans="1:22">
      <c r="A337" s="18" t="s">
        <v>345</v>
      </c>
      <c r="B337" s="24">
        <v>3.7636999999999997E-2</v>
      </c>
      <c r="C337" s="24">
        <v>3.7564E-2</v>
      </c>
      <c r="D337" s="24">
        <v>4.2550999999999999E-2</v>
      </c>
      <c r="E337" s="24">
        <v>0.123552</v>
      </c>
      <c r="F337" s="24">
        <v>0.136601</v>
      </c>
      <c r="G337" s="24">
        <v>4.5019000000000003E-2</v>
      </c>
      <c r="H337" s="24">
        <v>0.117101</v>
      </c>
      <c r="I337" s="24">
        <v>0.145034</v>
      </c>
      <c r="J337" s="24">
        <v>0.13766999999999999</v>
      </c>
      <c r="K337" s="24">
        <v>6.4780000000000003E-3</v>
      </c>
    </row>
    <row r="338" spans="1:22">
      <c r="A338" s="64" t="s">
        <v>346</v>
      </c>
      <c r="B338" s="70">
        <v>25.956251999999999</v>
      </c>
      <c r="C338" s="70">
        <v>30.196512999999999</v>
      </c>
      <c r="D338" s="70">
        <v>27.417031000000001</v>
      </c>
      <c r="E338" s="70">
        <v>47.943983000000003</v>
      </c>
      <c r="F338" s="62" t="s">
        <v>2</v>
      </c>
      <c r="G338" s="70">
        <v>58.239694</v>
      </c>
      <c r="H338" s="70">
        <v>46.450372000000002</v>
      </c>
      <c r="I338" s="70">
        <v>49.635288000000003</v>
      </c>
      <c r="J338" s="70">
        <v>47.901916</v>
      </c>
      <c r="K338" s="62" t="s">
        <v>2</v>
      </c>
    </row>
    <row r="339" spans="1:22">
      <c r="A339" s="21" t="s">
        <v>5</v>
      </c>
      <c r="B339" s="21"/>
      <c r="C339" s="21"/>
      <c r="D339" s="21"/>
      <c r="E339" s="21"/>
      <c r="F339" s="21"/>
      <c r="G339" s="21"/>
      <c r="H339" s="21"/>
      <c r="I339" s="21"/>
      <c r="J339" s="21"/>
      <c r="K339" s="21"/>
    </row>
    <row r="340" spans="1:22">
      <c r="A340" s="20" t="s">
        <v>5</v>
      </c>
      <c r="B340" s="28">
        <v>509.97456</v>
      </c>
      <c r="C340" s="28">
        <v>281.58683000000002</v>
      </c>
      <c r="D340" s="28">
        <v>355.06407999999999</v>
      </c>
      <c r="E340" s="28">
        <v>1264.5026800000001</v>
      </c>
      <c r="F340" s="28">
        <v>1469.49197</v>
      </c>
      <c r="G340" s="28">
        <v>1082.88057</v>
      </c>
      <c r="H340" s="28">
        <v>1340.7093500000001</v>
      </c>
      <c r="I340" s="28">
        <v>1409.69813</v>
      </c>
      <c r="J340" s="28">
        <v>1457.50208</v>
      </c>
      <c r="K340" s="28">
        <v>803.77494999999999</v>
      </c>
      <c r="L340" s="32">
        <f>SUM(L341:L342)</f>
        <v>1474.8902424041635</v>
      </c>
      <c r="M340" s="32">
        <f t="shared" ref="M340:V340" si="142">SUM(M341:M342)</f>
        <v>1596.1863120647879</v>
      </c>
      <c r="N340" s="32">
        <f t="shared" si="142"/>
        <v>1689.1799654712668</v>
      </c>
      <c r="O340" s="32">
        <f t="shared" si="142"/>
        <v>1771.0143804689683</v>
      </c>
      <c r="P340" s="32">
        <f t="shared" si="142"/>
        <v>1826.2526105924167</v>
      </c>
      <c r="Q340" s="32">
        <f t="shared" si="142"/>
        <v>1884.252752222038</v>
      </c>
      <c r="R340" s="32">
        <f t="shared" si="142"/>
        <v>1945.1529009331398</v>
      </c>
      <c r="S340" s="32">
        <f t="shared" si="142"/>
        <v>1996.3090258504653</v>
      </c>
      <c r="T340" s="32">
        <f t="shared" si="142"/>
        <v>2049.511395764484</v>
      </c>
      <c r="U340" s="32">
        <f t="shared" si="142"/>
        <v>2091.0092442974187</v>
      </c>
      <c r="V340" s="32">
        <f t="shared" si="142"/>
        <v>2124.9185195952969</v>
      </c>
    </row>
    <row r="341" spans="1:22">
      <c r="A341" s="65" t="s">
        <v>6</v>
      </c>
      <c r="B341" s="71">
        <v>460.24281000000002</v>
      </c>
      <c r="C341" s="71">
        <v>228.61215000000001</v>
      </c>
      <c r="D341" s="71">
        <v>295.13619999999997</v>
      </c>
      <c r="E341" s="71">
        <v>973.13544000000002</v>
      </c>
      <c r="F341" s="71">
        <v>912.36757</v>
      </c>
      <c r="G341" s="71">
        <v>481.80322999999999</v>
      </c>
      <c r="H341" s="71">
        <v>831.02176999999995</v>
      </c>
      <c r="I341" s="71">
        <v>952.14613999999995</v>
      </c>
      <c r="J341" s="71">
        <v>832.98290999999995</v>
      </c>
      <c r="K341" s="71">
        <v>137.52517</v>
      </c>
      <c r="L341" s="7">
        <f>L310</f>
        <v>808.64046440416337</v>
      </c>
      <c r="M341" s="7">
        <f t="shared" ref="M341:V341" si="143">M310</f>
        <v>929.93653406478791</v>
      </c>
      <c r="N341" s="7">
        <f t="shared" si="143"/>
        <v>1022.9301874712669</v>
      </c>
      <c r="O341" s="7">
        <f t="shared" si="143"/>
        <v>1104.7646024689684</v>
      </c>
      <c r="P341" s="7">
        <f t="shared" si="143"/>
        <v>1160.0028325924168</v>
      </c>
      <c r="Q341" s="7">
        <f t="shared" si="143"/>
        <v>1218.0029742220379</v>
      </c>
      <c r="R341" s="7">
        <f t="shared" si="143"/>
        <v>1278.9031229331399</v>
      </c>
      <c r="S341" s="7">
        <f t="shared" si="143"/>
        <v>1330.0592478504655</v>
      </c>
      <c r="T341" s="7">
        <f t="shared" si="143"/>
        <v>1383.2616177644841</v>
      </c>
      <c r="U341" s="7">
        <f t="shared" si="143"/>
        <v>1424.7594662974186</v>
      </c>
      <c r="V341" s="7">
        <f t="shared" si="143"/>
        <v>1458.668741595297</v>
      </c>
    </row>
    <row r="342" spans="1:22">
      <c r="A342" s="64" t="s">
        <v>61</v>
      </c>
      <c r="B342" s="70">
        <v>49.731748000000003</v>
      </c>
      <c r="C342" s="70">
        <v>52.974677999999997</v>
      </c>
      <c r="D342" s="70">
        <v>59.927880000000002</v>
      </c>
      <c r="E342" s="70">
        <v>291.36724500000003</v>
      </c>
      <c r="F342" s="70">
        <v>557.12440200000003</v>
      </c>
      <c r="G342" s="70">
        <v>601.07734400000004</v>
      </c>
      <c r="H342" s="70">
        <v>509.68757499999998</v>
      </c>
      <c r="I342" s="70">
        <v>457.551987</v>
      </c>
      <c r="J342" s="70">
        <v>624.51917300000002</v>
      </c>
      <c r="K342" s="70">
        <v>666.24977799999999</v>
      </c>
      <c r="L342" s="7">
        <f>L304</f>
        <v>666.24977799999999</v>
      </c>
      <c r="M342" s="7">
        <f t="shared" ref="M342:V342" si="144">M304</f>
        <v>666.24977799999999</v>
      </c>
      <c r="N342" s="7">
        <f t="shared" si="144"/>
        <v>666.24977799999999</v>
      </c>
      <c r="O342" s="7">
        <f t="shared" si="144"/>
        <v>666.24977799999999</v>
      </c>
      <c r="P342" s="7">
        <f t="shared" si="144"/>
        <v>666.24977799999999</v>
      </c>
      <c r="Q342" s="7">
        <f t="shared" si="144"/>
        <v>666.24977799999999</v>
      </c>
      <c r="R342" s="7">
        <f t="shared" si="144"/>
        <v>666.24977799999999</v>
      </c>
      <c r="S342" s="7">
        <f t="shared" si="144"/>
        <v>666.24977799999999</v>
      </c>
      <c r="T342" s="7">
        <f t="shared" si="144"/>
        <v>666.24977799999999</v>
      </c>
      <c r="U342" s="7">
        <f t="shared" si="144"/>
        <v>666.24977799999999</v>
      </c>
      <c r="V342" s="7">
        <f t="shared" si="144"/>
        <v>666.24977799999999</v>
      </c>
    </row>
    <row r="343" spans="1:22">
      <c r="A343" s="25" t="s">
        <v>347</v>
      </c>
    </row>
    <row r="344" spans="1:22">
      <c r="C344" s="4">
        <f>C375-B375</f>
        <v>65.778050000000007</v>
      </c>
      <c r="D344" s="4">
        <f t="shared" ref="D344:K344" si="145">D375-C375</f>
        <v>275.83109999999999</v>
      </c>
      <c r="E344" s="4">
        <f t="shared" si="145"/>
        <v>1260.4604300000001</v>
      </c>
      <c r="F344" s="4">
        <f t="shared" si="145"/>
        <v>27.725400000000036</v>
      </c>
      <c r="G344" s="4">
        <f t="shared" si="145"/>
        <v>240.75546000000008</v>
      </c>
      <c r="H344" s="4">
        <f t="shared" si="145"/>
        <v>41.72515999999996</v>
      </c>
      <c r="I344" s="4">
        <f t="shared" si="145"/>
        <v>1207.2871799999998</v>
      </c>
      <c r="J344" s="4">
        <f t="shared" si="145"/>
        <v>931.58639999999968</v>
      </c>
      <c r="K344" s="4">
        <f t="shared" si="145"/>
        <v>-725.07840999999962</v>
      </c>
      <c r="L344" s="7">
        <f>AVERAGE(C344:K344)</f>
        <v>369.56341888888892</v>
      </c>
    </row>
    <row r="345" spans="1:22">
      <c r="A345" s="15" t="s">
        <v>372</v>
      </c>
      <c r="B345" s="15"/>
      <c r="C345" s="15"/>
      <c r="D345" s="15"/>
      <c r="E345" s="15"/>
      <c r="F345" s="15"/>
      <c r="G345" s="15"/>
      <c r="H345" s="15"/>
      <c r="I345" s="15"/>
      <c r="J345" s="15"/>
      <c r="K345" s="15"/>
      <c r="L345" s="15"/>
      <c r="M345" s="15"/>
      <c r="N345" s="15"/>
      <c r="O345" s="15"/>
      <c r="P345" s="15"/>
      <c r="Q345" s="15"/>
      <c r="R345" s="15"/>
      <c r="S345" s="15"/>
      <c r="T345" s="15"/>
      <c r="U345" s="15"/>
      <c r="V345" s="15"/>
    </row>
    <row r="346" spans="1:22">
      <c r="A346" s="15"/>
      <c r="B346" s="15"/>
      <c r="C346" s="15"/>
      <c r="D346" s="15"/>
      <c r="E346" s="15"/>
      <c r="F346" s="15"/>
      <c r="G346" s="15"/>
      <c r="H346" s="15"/>
      <c r="I346" s="15"/>
      <c r="J346" s="15"/>
      <c r="K346" s="15"/>
      <c r="L346" s="15"/>
      <c r="M346" s="15"/>
      <c r="N346" s="15"/>
      <c r="O346" s="15"/>
      <c r="P346" s="15"/>
      <c r="Q346" s="15"/>
      <c r="R346" s="15"/>
      <c r="S346" s="15"/>
      <c r="T346" s="15"/>
      <c r="U346" s="15"/>
      <c r="V346" s="15"/>
    </row>
    <row r="347" spans="1:22">
      <c r="A347" s="15" t="s">
        <v>47</v>
      </c>
      <c r="B347" s="15"/>
      <c r="C347" s="15"/>
      <c r="D347" s="15"/>
      <c r="E347" s="15"/>
      <c r="F347" s="15"/>
      <c r="G347" s="15"/>
      <c r="H347" s="15"/>
      <c r="I347" s="15"/>
      <c r="J347" s="15"/>
      <c r="K347" s="15"/>
      <c r="L347" s="15" t="s">
        <v>0</v>
      </c>
      <c r="M347" s="15" t="s">
        <v>0</v>
      </c>
      <c r="N347" s="15" t="s">
        <v>0</v>
      </c>
      <c r="O347" s="15" t="s">
        <v>0</v>
      </c>
      <c r="P347" s="15" t="s">
        <v>0</v>
      </c>
      <c r="Q347" s="15" t="s">
        <v>0</v>
      </c>
      <c r="R347" s="15" t="s">
        <v>0</v>
      </c>
      <c r="S347" s="15" t="s">
        <v>0</v>
      </c>
      <c r="T347" s="15" t="s">
        <v>0</v>
      </c>
      <c r="U347" s="15" t="s">
        <v>0</v>
      </c>
      <c r="V347" s="15" t="s">
        <v>0</v>
      </c>
    </row>
    <row r="348" spans="1:22">
      <c r="A348" s="15"/>
      <c r="B348" s="15" t="s">
        <v>57</v>
      </c>
      <c r="C348" s="15" t="s">
        <v>56</v>
      </c>
      <c r="D348" s="15" t="s">
        <v>55</v>
      </c>
      <c r="E348" s="15" t="s">
        <v>54</v>
      </c>
      <c r="F348" s="15" t="s">
        <v>53</v>
      </c>
      <c r="G348" s="15" t="s">
        <v>52</v>
      </c>
      <c r="H348" s="15" t="s">
        <v>51</v>
      </c>
      <c r="I348" s="15" t="s">
        <v>50</v>
      </c>
      <c r="J348" s="15" t="s">
        <v>49</v>
      </c>
      <c r="K348" s="15" t="s">
        <v>48</v>
      </c>
      <c r="L348" s="15" t="s">
        <v>219</v>
      </c>
      <c r="M348" s="15" t="s">
        <v>220</v>
      </c>
      <c r="N348" s="15" t="s">
        <v>221</v>
      </c>
      <c r="O348" s="15" t="s">
        <v>222</v>
      </c>
      <c r="P348" s="15" t="s">
        <v>223</v>
      </c>
      <c r="Q348" s="15" t="s">
        <v>224</v>
      </c>
      <c r="R348" s="15" t="s">
        <v>225</v>
      </c>
      <c r="S348" s="15" t="s">
        <v>226</v>
      </c>
      <c r="T348" s="15" t="s">
        <v>227</v>
      </c>
      <c r="U348" s="15" t="s">
        <v>228</v>
      </c>
      <c r="V348" s="15" t="s">
        <v>229</v>
      </c>
    </row>
    <row r="349" spans="1:22">
      <c r="A349" s="16" t="s">
        <v>85</v>
      </c>
      <c r="B349" s="16"/>
      <c r="C349" s="16"/>
      <c r="D349" s="16"/>
      <c r="E349" s="16"/>
      <c r="F349" s="16"/>
      <c r="G349" s="16"/>
      <c r="H349" s="16"/>
      <c r="I349" s="16"/>
      <c r="J349" s="16"/>
      <c r="K349" s="16"/>
    </row>
    <row r="350" spans="1:22">
      <c r="A350" s="18" t="s">
        <v>86</v>
      </c>
      <c r="B350" s="19">
        <v>1021.715763</v>
      </c>
      <c r="C350" s="19">
        <v>470.30822599999999</v>
      </c>
      <c r="D350" s="19">
        <v>234.34974600000001</v>
      </c>
      <c r="E350" s="19">
        <v>1173.2950450000001</v>
      </c>
      <c r="F350" s="19">
        <v>1251.431517</v>
      </c>
      <c r="G350" s="19">
        <v>1191.4763150000001</v>
      </c>
      <c r="H350" s="19">
        <v>1298.0195610000001</v>
      </c>
      <c r="I350" s="19">
        <v>853.06392000000005</v>
      </c>
      <c r="J350" s="19">
        <v>563.67024700000002</v>
      </c>
      <c r="K350" s="19">
        <v>700.89030000000002</v>
      </c>
      <c r="L350" s="7">
        <f>L351</f>
        <v>2703.6876543590938</v>
      </c>
      <c r="M350" s="7">
        <f t="shared" ref="M350:V350" si="146">M351</f>
        <v>3740.944692080122</v>
      </c>
      <c r="N350" s="7">
        <f t="shared" si="146"/>
        <v>4527.769006607582</v>
      </c>
      <c r="O350" s="7">
        <f t="shared" si="146"/>
        <v>5226.3750520354988</v>
      </c>
      <c r="P350" s="7">
        <f t="shared" si="146"/>
        <v>5682.1554375063997</v>
      </c>
      <c r="Q350" s="7">
        <f t="shared" si="146"/>
        <v>6178.0022865780011</v>
      </c>
      <c r="R350" s="7">
        <f t="shared" si="146"/>
        <v>6715.9189224303545</v>
      </c>
      <c r="S350" s="7">
        <f t="shared" si="146"/>
        <v>7172.0754201166174</v>
      </c>
      <c r="T350" s="7">
        <f t="shared" si="146"/>
        <v>7660.3001331720679</v>
      </c>
      <c r="U350" s="7">
        <f t="shared" si="146"/>
        <v>8045.6662093198702</v>
      </c>
      <c r="V350" s="7">
        <f t="shared" si="146"/>
        <v>8365.9762959910313</v>
      </c>
    </row>
    <row r="351" spans="1:22">
      <c r="A351" s="64" t="s">
        <v>87</v>
      </c>
      <c r="B351" s="74">
        <v>1021.715763</v>
      </c>
      <c r="C351" s="74">
        <v>470.30822599999999</v>
      </c>
      <c r="D351" s="74">
        <v>234.34974600000001</v>
      </c>
      <c r="E351" s="74">
        <v>1173.2950450000001</v>
      </c>
      <c r="F351" s="74">
        <v>1251.431517</v>
      </c>
      <c r="G351" s="74">
        <v>1191.4763150000001</v>
      </c>
      <c r="H351" s="74">
        <v>1298.0195610000001</v>
      </c>
      <c r="I351" s="74">
        <v>853.06392000000005</v>
      </c>
      <c r="J351" s="74">
        <v>563.67024700000002</v>
      </c>
      <c r="K351" s="74">
        <v>700.89030000000002</v>
      </c>
      <c r="L351" s="7">
        <f>K351+L231</f>
        <v>2703.6876543590938</v>
      </c>
      <c r="M351" s="7">
        <f>L351+M231</f>
        <v>3740.944692080122</v>
      </c>
      <c r="N351" s="7">
        <f t="shared" ref="N351:V351" si="147">M351+N231</f>
        <v>4527.769006607582</v>
      </c>
      <c r="O351" s="7">
        <f t="shared" si="147"/>
        <v>5226.3750520354988</v>
      </c>
      <c r="P351" s="7">
        <f t="shared" si="147"/>
        <v>5682.1554375063997</v>
      </c>
      <c r="Q351" s="7">
        <f t="shared" si="147"/>
        <v>6178.0022865780011</v>
      </c>
      <c r="R351" s="7">
        <f t="shared" si="147"/>
        <v>6715.9189224303545</v>
      </c>
      <c r="S351" s="7">
        <f t="shared" si="147"/>
        <v>7172.0754201166174</v>
      </c>
      <c r="T351" s="7">
        <f t="shared" si="147"/>
        <v>7660.3001331720679</v>
      </c>
      <c r="U351" s="7">
        <f t="shared" si="147"/>
        <v>8045.6662093198702</v>
      </c>
      <c r="V351" s="7">
        <f t="shared" si="147"/>
        <v>8365.9762959910313</v>
      </c>
    </row>
    <row r="352" spans="1:22">
      <c r="A352" s="18" t="s">
        <v>88</v>
      </c>
      <c r="B352" s="19">
        <v>99.739563000000004</v>
      </c>
      <c r="C352" s="19">
        <v>213.47620900000001</v>
      </c>
      <c r="D352" s="19">
        <v>360.382272</v>
      </c>
      <c r="E352" s="19">
        <v>289.69022999999999</v>
      </c>
      <c r="F352" s="19">
        <v>111.43426599999999</v>
      </c>
      <c r="G352" s="19">
        <v>210.899047</v>
      </c>
      <c r="H352" s="19">
        <v>199.852969</v>
      </c>
      <c r="I352" s="19">
        <v>324.86505699999998</v>
      </c>
      <c r="J352" s="19">
        <v>387.06451399999997</v>
      </c>
      <c r="K352" s="19">
        <v>219.589192</v>
      </c>
      <c r="L352" s="7">
        <f t="shared" ref="L352:L361" si="148">K352/K$301*L$301</f>
        <v>307.42486880000001</v>
      </c>
      <c r="M352" s="7">
        <f t="shared" ref="M352:V352" si="149">L352/L$301*M$301</f>
        <v>353.53859911999996</v>
      </c>
      <c r="N352" s="7">
        <f t="shared" si="149"/>
        <v>388.89245903199998</v>
      </c>
      <c r="O352" s="7">
        <f t="shared" si="149"/>
        <v>420.00385575456005</v>
      </c>
      <c r="P352" s="7">
        <f t="shared" si="149"/>
        <v>441.0040485422881</v>
      </c>
      <c r="Q352" s="7">
        <f t="shared" si="149"/>
        <v>463.05425096940257</v>
      </c>
      <c r="R352" s="7">
        <f t="shared" si="149"/>
        <v>486.20696351787274</v>
      </c>
      <c r="S352" s="7">
        <f t="shared" si="149"/>
        <v>505.65524205858765</v>
      </c>
      <c r="T352" s="7">
        <f t="shared" si="149"/>
        <v>525.8814517409312</v>
      </c>
      <c r="U352" s="7">
        <f t="shared" si="149"/>
        <v>541.65789529315907</v>
      </c>
      <c r="V352" s="7">
        <f t="shared" si="149"/>
        <v>554.54935320113623</v>
      </c>
    </row>
    <row r="353" spans="1:23">
      <c r="A353" s="26" t="s">
        <v>89</v>
      </c>
      <c r="B353" s="17">
        <v>48.123292999999997</v>
      </c>
      <c r="C353" s="17">
        <v>99.491427000000002</v>
      </c>
      <c r="D353" s="17">
        <v>118.220533</v>
      </c>
      <c r="E353" s="17">
        <v>154.76507599999999</v>
      </c>
      <c r="F353" s="17">
        <v>75.440862999999993</v>
      </c>
      <c r="G353" s="17">
        <v>162.010772</v>
      </c>
      <c r="H353" s="17">
        <v>152.83001999999999</v>
      </c>
      <c r="I353" s="17">
        <v>215.017045</v>
      </c>
      <c r="J353" s="17">
        <v>208.19688500000001</v>
      </c>
      <c r="K353" s="17">
        <v>136.40380999999999</v>
      </c>
      <c r="L353" s="7">
        <f t="shared" si="148"/>
        <v>190.96533399999996</v>
      </c>
      <c r="M353" s="7">
        <f t="shared" ref="M353:V353" si="150">L353/L$301*M$301</f>
        <v>219.61013409999995</v>
      </c>
      <c r="N353" s="7">
        <f t="shared" si="150"/>
        <v>241.57114750999997</v>
      </c>
      <c r="O353" s="7">
        <f t="shared" si="150"/>
        <v>260.89683931079998</v>
      </c>
      <c r="P353" s="7">
        <f t="shared" si="150"/>
        <v>273.94168127633998</v>
      </c>
      <c r="Q353" s="7">
        <f t="shared" si="150"/>
        <v>287.63876534015702</v>
      </c>
      <c r="R353" s="7">
        <f t="shared" si="150"/>
        <v>302.02070360716488</v>
      </c>
      <c r="S353" s="7">
        <f t="shared" si="150"/>
        <v>314.10153175145149</v>
      </c>
      <c r="T353" s="7">
        <f t="shared" si="150"/>
        <v>326.66559302150955</v>
      </c>
      <c r="U353" s="7">
        <f t="shared" si="150"/>
        <v>336.46556081215482</v>
      </c>
      <c r="V353" s="7">
        <f t="shared" si="150"/>
        <v>344.47344115948414</v>
      </c>
    </row>
    <row r="354" spans="1:23">
      <c r="A354" s="72" t="s">
        <v>90</v>
      </c>
      <c r="B354" s="75">
        <v>48.123292999999997</v>
      </c>
      <c r="C354" s="75">
        <v>99.491427000000002</v>
      </c>
      <c r="D354" s="75">
        <v>118.220533</v>
      </c>
      <c r="E354" s="75">
        <v>154.76507599999999</v>
      </c>
      <c r="F354" s="75">
        <v>75.440862999999993</v>
      </c>
      <c r="G354" s="75">
        <v>162.010772</v>
      </c>
      <c r="H354" s="75">
        <v>152.83001999999999</v>
      </c>
      <c r="I354" s="75">
        <v>215.017045</v>
      </c>
      <c r="J354" s="75">
        <v>208.19688500000001</v>
      </c>
      <c r="K354" s="75">
        <v>136.40380999999999</v>
      </c>
      <c r="L354" s="7">
        <f t="shared" si="148"/>
        <v>190.96533399999996</v>
      </c>
      <c r="M354" s="7">
        <f t="shared" ref="M354:V354" si="151">L354/L$301*M$301</f>
        <v>219.61013409999995</v>
      </c>
      <c r="N354" s="7">
        <f t="shared" si="151"/>
        <v>241.57114750999997</v>
      </c>
      <c r="O354" s="7">
        <f t="shared" si="151"/>
        <v>260.89683931079998</v>
      </c>
      <c r="P354" s="7">
        <f t="shared" si="151"/>
        <v>273.94168127633998</v>
      </c>
      <c r="Q354" s="7">
        <f t="shared" si="151"/>
        <v>287.63876534015702</v>
      </c>
      <c r="R354" s="7">
        <f t="shared" si="151"/>
        <v>302.02070360716488</v>
      </c>
      <c r="S354" s="7">
        <f t="shared" si="151"/>
        <v>314.10153175145149</v>
      </c>
      <c r="T354" s="7">
        <f t="shared" si="151"/>
        <v>326.66559302150955</v>
      </c>
      <c r="U354" s="7">
        <f t="shared" si="151"/>
        <v>336.46556081215482</v>
      </c>
      <c r="V354" s="7">
        <f t="shared" si="151"/>
        <v>344.47344115948414</v>
      </c>
    </row>
    <row r="355" spans="1:23">
      <c r="A355" s="64" t="s">
        <v>348</v>
      </c>
      <c r="B355" s="74">
        <v>51.61627</v>
      </c>
      <c r="C355" s="74">
        <v>113.984781</v>
      </c>
      <c r="D355" s="74">
        <v>242.16173900000001</v>
      </c>
      <c r="E355" s="74">
        <v>134.92515399999999</v>
      </c>
      <c r="F355" s="74">
        <v>35.993403000000001</v>
      </c>
      <c r="G355" s="74">
        <v>48.888275</v>
      </c>
      <c r="H355" s="74">
        <v>47.022950000000002</v>
      </c>
      <c r="I355" s="74">
        <v>109.848011</v>
      </c>
      <c r="J355" s="74">
        <v>178.86762899999999</v>
      </c>
      <c r="K355" s="74">
        <v>83.185382000000004</v>
      </c>
      <c r="L355" s="7">
        <f t="shared" si="148"/>
        <v>116.4595348</v>
      </c>
      <c r="M355" s="7">
        <f t="shared" ref="M355:V355" si="152">L355/L$301*M$301</f>
        <v>133.92846501999998</v>
      </c>
      <c r="N355" s="7">
        <f t="shared" si="152"/>
        <v>147.32131152199997</v>
      </c>
      <c r="O355" s="7">
        <f t="shared" si="152"/>
        <v>159.10701644375999</v>
      </c>
      <c r="P355" s="7">
        <f t="shared" si="152"/>
        <v>167.06236726594798</v>
      </c>
      <c r="Q355" s="7">
        <f t="shared" si="152"/>
        <v>175.41548562924538</v>
      </c>
      <c r="R355" s="7">
        <f t="shared" si="152"/>
        <v>184.18625991070766</v>
      </c>
      <c r="S355" s="7">
        <f t="shared" si="152"/>
        <v>191.55371030713599</v>
      </c>
      <c r="T355" s="7">
        <f t="shared" si="152"/>
        <v>199.21585871942142</v>
      </c>
      <c r="U355" s="7">
        <f t="shared" si="152"/>
        <v>205.19233448100408</v>
      </c>
      <c r="V355" s="7">
        <f t="shared" si="152"/>
        <v>210.07591204165197</v>
      </c>
    </row>
    <row r="356" spans="1:23">
      <c r="A356" s="18" t="s">
        <v>91</v>
      </c>
      <c r="B356" s="19">
        <v>58.390557999999999</v>
      </c>
      <c r="C356" s="19">
        <v>105.062608</v>
      </c>
      <c r="D356" s="19">
        <v>147.15698900000001</v>
      </c>
      <c r="E356" s="19">
        <v>195.746319</v>
      </c>
      <c r="F356" s="19">
        <v>188.009072</v>
      </c>
      <c r="G356" s="19">
        <v>147.516918</v>
      </c>
      <c r="H356" s="19">
        <v>121.483091</v>
      </c>
      <c r="I356" s="19">
        <v>128.44886399999999</v>
      </c>
      <c r="J356" s="19">
        <v>148.001992</v>
      </c>
      <c r="K356" s="19">
        <v>165.604873</v>
      </c>
      <c r="L356" s="7">
        <f t="shared" si="148"/>
        <v>231.84682219999999</v>
      </c>
      <c r="M356" s="7">
        <f t="shared" ref="M356:V356" si="153">L356/L$301*M$301</f>
        <v>266.62384552999998</v>
      </c>
      <c r="N356" s="7">
        <f t="shared" si="153"/>
        <v>293.28623008300002</v>
      </c>
      <c r="O356" s="7">
        <f t="shared" si="153"/>
        <v>316.74912848964004</v>
      </c>
      <c r="P356" s="7">
        <f t="shared" si="153"/>
        <v>332.58658491412211</v>
      </c>
      <c r="Q356" s="7">
        <f t="shared" si="153"/>
        <v>349.21591415982829</v>
      </c>
      <c r="R356" s="7">
        <f t="shared" si="153"/>
        <v>366.67670986781974</v>
      </c>
      <c r="S356" s="7">
        <f t="shared" si="153"/>
        <v>381.34377826253257</v>
      </c>
      <c r="T356" s="7">
        <f t="shared" si="153"/>
        <v>396.59752939303394</v>
      </c>
      <c r="U356" s="7">
        <f t="shared" si="153"/>
        <v>408.49545527482496</v>
      </c>
      <c r="V356" s="7">
        <f t="shared" si="153"/>
        <v>418.21764711036582</v>
      </c>
    </row>
    <row r="357" spans="1:23">
      <c r="A357" s="64" t="s">
        <v>92</v>
      </c>
      <c r="B357" s="74">
        <v>4.4557159999999998</v>
      </c>
      <c r="C357" s="74">
        <v>0</v>
      </c>
      <c r="D357" s="74">
        <v>0</v>
      </c>
      <c r="E357" s="74">
        <v>0</v>
      </c>
      <c r="F357" s="74">
        <v>0</v>
      </c>
      <c r="G357" s="74">
        <v>0</v>
      </c>
      <c r="H357" s="74">
        <v>0</v>
      </c>
      <c r="I357" s="74">
        <v>0</v>
      </c>
      <c r="J357" s="74">
        <v>0</v>
      </c>
      <c r="K357" s="74">
        <v>0</v>
      </c>
      <c r="L357" s="7">
        <f t="shared" si="148"/>
        <v>0</v>
      </c>
      <c r="M357" s="7">
        <f t="shared" ref="M357:V357" si="154">L357/L$301*M$301</f>
        <v>0</v>
      </c>
      <c r="N357" s="7">
        <f t="shared" si="154"/>
        <v>0</v>
      </c>
      <c r="O357" s="7">
        <f t="shared" si="154"/>
        <v>0</v>
      </c>
      <c r="P357" s="7">
        <f t="shared" si="154"/>
        <v>0</v>
      </c>
      <c r="Q357" s="7">
        <f t="shared" si="154"/>
        <v>0</v>
      </c>
      <c r="R357" s="7">
        <f t="shared" si="154"/>
        <v>0</v>
      </c>
      <c r="S357" s="7">
        <f t="shared" si="154"/>
        <v>0</v>
      </c>
      <c r="T357" s="7">
        <f t="shared" si="154"/>
        <v>0</v>
      </c>
      <c r="U357" s="7">
        <f t="shared" si="154"/>
        <v>0</v>
      </c>
      <c r="V357" s="7">
        <f t="shared" si="154"/>
        <v>0</v>
      </c>
    </row>
    <row r="358" spans="1:23">
      <c r="A358" s="65" t="s">
        <v>93</v>
      </c>
      <c r="B358" s="75">
        <v>0</v>
      </c>
      <c r="C358" s="75">
        <v>6.8349070000000003</v>
      </c>
      <c r="D358" s="75">
        <v>4.5034369999999999</v>
      </c>
      <c r="E358" s="75">
        <v>0</v>
      </c>
      <c r="F358" s="75">
        <v>0</v>
      </c>
      <c r="G358" s="75">
        <v>21.215302000000001</v>
      </c>
      <c r="H358" s="75">
        <v>15.957297000000001</v>
      </c>
      <c r="I358" s="75">
        <v>18.482955</v>
      </c>
      <c r="J358" s="75">
        <v>9.5582899999999995</v>
      </c>
      <c r="K358" s="75">
        <v>22.545195</v>
      </c>
      <c r="L358" s="7">
        <f>K358/K$301*L$301</f>
        <v>31.563272999999999</v>
      </c>
      <c r="M358" s="7">
        <f t="shared" ref="M358:V358" si="155">L358/L$301*M$301</f>
        <v>36.297763949999997</v>
      </c>
      <c r="N358" s="7">
        <f t="shared" si="155"/>
        <v>39.927540345000004</v>
      </c>
      <c r="O358" s="7">
        <f t="shared" si="155"/>
        <v>43.12174357260001</v>
      </c>
      <c r="P358" s="7">
        <f t="shared" si="155"/>
        <v>45.27783075123002</v>
      </c>
      <c r="Q358" s="7">
        <f t="shared" si="155"/>
        <v>47.541722288791526</v>
      </c>
      <c r="R358" s="7">
        <f t="shared" si="155"/>
        <v>49.918808403231104</v>
      </c>
      <c r="S358" s="7">
        <f t="shared" si="155"/>
        <v>51.915560739360345</v>
      </c>
      <c r="T358" s="7">
        <f t="shared" si="155"/>
        <v>53.992183168934766</v>
      </c>
      <c r="U358" s="7">
        <f t="shared" si="155"/>
        <v>55.61194866400281</v>
      </c>
      <c r="V358" s="7">
        <f t="shared" si="155"/>
        <v>56.935513042206082</v>
      </c>
    </row>
    <row r="359" spans="1:23">
      <c r="A359" s="64" t="s">
        <v>94</v>
      </c>
      <c r="B359" s="74">
        <v>53.934842000000003</v>
      </c>
      <c r="C359" s="74">
        <v>98.227701999999994</v>
      </c>
      <c r="D359" s="74">
        <v>142.65355199999999</v>
      </c>
      <c r="E359" s="74">
        <v>195.746319</v>
      </c>
      <c r="F359" s="74">
        <v>188.009072</v>
      </c>
      <c r="G359" s="74">
        <v>126.301616</v>
      </c>
      <c r="H359" s="74">
        <v>105.525794</v>
      </c>
      <c r="I359" s="74">
        <v>109.965909</v>
      </c>
      <c r="J359" s="74">
        <v>138.443702</v>
      </c>
      <c r="K359" s="74">
        <v>143.05967699999999</v>
      </c>
      <c r="L359" s="7">
        <f t="shared" si="148"/>
        <v>200.28354779999998</v>
      </c>
      <c r="M359" s="7">
        <f t="shared" ref="M359:V359" si="156">L359/L$301*M$301</f>
        <v>230.32607996999997</v>
      </c>
      <c r="N359" s="7">
        <f t="shared" si="156"/>
        <v>253.35868796700001</v>
      </c>
      <c r="O359" s="7">
        <f t="shared" si="156"/>
        <v>273.62738300436001</v>
      </c>
      <c r="P359" s="7">
        <f t="shared" si="156"/>
        <v>287.30875215457803</v>
      </c>
      <c r="Q359" s="7">
        <f t="shared" si="156"/>
        <v>301.67418976230698</v>
      </c>
      <c r="R359" s="7">
        <f t="shared" si="156"/>
        <v>316.75789925042233</v>
      </c>
      <c r="S359" s="7">
        <f t="shared" si="156"/>
        <v>329.4282152204392</v>
      </c>
      <c r="T359" s="7">
        <f t="shared" si="156"/>
        <v>342.60534382925681</v>
      </c>
      <c r="U359" s="7">
        <f t="shared" si="156"/>
        <v>352.88350414413452</v>
      </c>
      <c r="V359" s="7">
        <f t="shared" si="156"/>
        <v>361.28213154276494</v>
      </c>
    </row>
    <row r="360" spans="1:23">
      <c r="A360" s="18" t="s">
        <v>95</v>
      </c>
      <c r="B360" s="19">
        <v>83.495902999999998</v>
      </c>
      <c r="C360" s="19">
        <v>86.133692999999994</v>
      </c>
      <c r="D360" s="19">
        <v>47.519142000000002</v>
      </c>
      <c r="E360" s="19">
        <v>30.029938000000001</v>
      </c>
      <c r="F360" s="19">
        <v>18.659886</v>
      </c>
      <c r="G360" s="19">
        <v>16.242232000000001</v>
      </c>
      <c r="H360" s="19">
        <v>26.569071999999998</v>
      </c>
      <c r="I360" s="19">
        <v>17.474432</v>
      </c>
      <c r="J360" s="19">
        <v>28.262322999999999</v>
      </c>
      <c r="K360" s="19">
        <v>38.823301000000001</v>
      </c>
      <c r="L360" s="7">
        <f t="shared" si="148"/>
        <v>54.352621400000004</v>
      </c>
      <c r="M360" s="7">
        <f t="shared" ref="M360:V360" si="157">L360/L$301*M$301</f>
        <v>62.505514609999999</v>
      </c>
      <c r="N360" s="7">
        <f t="shared" si="157"/>
        <v>68.756066071000006</v>
      </c>
      <c r="O360" s="7">
        <f t="shared" si="157"/>
        <v>74.256551356680021</v>
      </c>
      <c r="P360" s="7">
        <f t="shared" si="157"/>
        <v>77.969378924514032</v>
      </c>
      <c r="Q360" s="7">
        <f t="shared" si="157"/>
        <v>81.867847870739737</v>
      </c>
      <c r="R360" s="7">
        <f t="shared" si="157"/>
        <v>85.961240264276739</v>
      </c>
      <c r="S360" s="7">
        <f t="shared" si="157"/>
        <v>89.399689874847809</v>
      </c>
      <c r="T360" s="7">
        <f t="shared" si="157"/>
        <v>92.975677469841727</v>
      </c>
      <c r="U360" s="7">
        <f t="shared" si="157"/>
        <v>95.764947793936969</v>
      </c>
      <c r="V360" s="7">
        <f t="shared" si="157"/>
        <v>98.044153551432672</v>
      </c>
    </row>
    <row r="361" spans="1:23">
      <c r="A361" s="64" t="s">
        <v>349</v>
      </c>
      <c r="B361" s="74">
        <v>83.495902999999998</v>
      </c>
      <c r="C361" s="74">
        <v>86.133692999999994</v>
      </c>
      <c r="D361" s="74">
        <v>47.519142000000002</v>
      </c>
      <c r="E361" s="74">
        <v>30.029938000000001</v>
      </c>
      <c r="F361" s="74">
        <v>18.659886</v>
      </c>
      <c r="G361" s="74">
        <v>16.242232000000001</v>
      </c>
      <c r="H361" s="74">
        <v>26.569071999999998</v>
      </c>
      <c r="I361" s="74">
        <v>17.474432</v>
      </c>
      <c r="J361" s="74">
        <v>28.262322999999999</v>
      </c>
      <c r="K361" s="74">
        <v>38.823301000000001</v>
      </c>
      <c r="L361" s="7">
        <f t="shared" si="148"/>
        <v>54.352621400000004</v>
      </c>
      <c r="M361" s="7">
        <f t="shared" ref="M361:V361" si="158">L361/L$301*M$301</f>
        <v>62.505514609999999</v>
      </c>
      <c r="N361" s="7">
        <f t="shared" si="158"/>
        <v>68.756066071000006</v>
      </c>
      <c r="O361" s="7">
        <f t="shared" si="158"/>
        <v>74.256551356680021</v>
      </c>
      <c r="P361" s="7">
        <f t="shared" si="158"/>
        <v>77.969378924514032</v>
      </c>
      <c r="Q361" s="7">
        <f t="shared" si="158"/>
        <v>81.867847870739737</v>
      </c>
      <c r="R361" s="7">
        <f t="shared" si="158"/>
        <v>85.961240264276739</v>
      </c>
      <c r="S361" s="7">
        <f t="shared" si="158"/>
        <v>89.399689874847809</v>
      </c>
      <c r="T361" s="7">
        <f t="shared" si="158"/>
        <v>92.975677469841727</v>
      </c>
      <c r="U361" s="7">
        <f t="shared" si="158"/>
        <v>95.764947793936969</v>
      </c>
      <c r="V361" s="7">
        <f t="shared" si="158"/>
        <v>98.044153551432672</v>
      </c>
    </row>
    <row r="362" spans="1:23">
      <c r="A362" s="67" t="s">
        <v>8</v>
      </c>
      <c r="B362" s="75">
        <v>1263.3417870000001</v>
      </c>
      <c r="C362" s="75">
        <v>874.98073599999998</v>
      </c>
      <c r="D362" s="75">
        <v>789.40814799999998</v>
      </c>
      <c r="E362" s="75">
        <v>1688.761532</v>
      </c>
      <c r="F362" s="75">
        <v>1569.5347400000001</v>
      </c>
      <c r="G362" s="75">
        <v>1566.1345120000001</v>
      </c>
      <c r="H362" s="75">
        <v>1645.9246949999999</v>
      </c>
      <c r="I362" s="75">
        <v>1323.852273</v>
      </c>
      <c r="J362" s="75">
        <v>1126.9990749999999</v>
      </c>
      <c r="K362" s="75">
        <v>1124.907665</v>
      </c>
      <c r="L362" s="4">
        <f>L350+L352+L356+L360</f>
        <v>3297.311966759094</v>
      </c>
      <c r="M362" s="4">
        <f t="shared" ref="M362:U362" si="159">M350+M352+M356+M360</f>
        <v>4423.6126513401223</v>
      </c>
      <c r="N362" s="4">
        <f t="shared" si="159"/>
        <v>5278.7037617935821</v>
      </c>
      <c r="O362" s="4">
        <f t="shared" si="159"/>
        <v>6037.3845876363785</v>
      </c>
      <c r="P362" s="4">
        <f t="shared" si="159"/>
        <v>6533.7154498873233</v>
      </c>
      <c r="Q362" s="4">
        <f t="shared" si="159"/>
        <v>7072.1402995779717</v>
      </c>
      <c r="R362" s="4">
        <f t="shared" si="159"/>
        <v>7654.7638360803248</v>
      </c>
      <c r="S362" s="4">
        <f t="shared" si="159"/>
        <v>8148.4741303125847</v>
      </c>
      <c r="T362" s="4">
        <f t="shared" si="159"/>
        <v>8675.7547917758748</v>
      </c>
      <c r="U362" s="4">
        <f t="shared" si="159"/>
        <v>9091.5845076817932</v>
      </c>
      <c r="V362" s="4">
        <f>V350+V352+V356+V360</f>
        <v>9436.7874498539677</v>
      </c>
    </row>
    <row r="363" spans="1:23">
      <c r="A363" s="20" t="s">
        <v>96</v>
      </c>
      <c r="B363" s="17">
        <v>3751.5977370000001</v>
      </c>
      <c r="C363" s="17">
        <v>5293.3115010000001</v>
      </c>
      <c r="D363" s="17">
        <v>7576.856871</v>
      </c>
      <c r="E363" s="17">
        <v>8865.6565040000005</v>
      </c>
      <c r="F363" s="17">
        <v>9830.6384440000002</v>
      </c>
      <c r="G363" s="17">
        <v>9436.4894349999995</v>
      </c>
      <c r="H363" s="17">
        <v>8619.119095</v>
      </c>
      <c r="I363" s="17">
        <v>9217.8053980000004</v>
      </c>
      <c r="J363" s="17">
        <v>9407.010456</v>
      </c>
      <c r="K363" s="17">
        <v>8415.1389880000006</v>
      </c>
      <c r="L363" s="4">
        <f>K363</f>
        <v>8415.1389880000006</v>
      </c>
      <c r="M363" s="4">
        <f t="shared" ref="M363:V363" si="160">L363</f>
        <v>8415.1389880000006</v>
      </c>
      <c r="N363" s="4">
        <f t="shared" si="160"/>
        <v>8415.1389880000006</v>
      </c>
      <c r="O363" s="4">
        <f t="shared" si="160"/>
        <v>8415.1389880000006</v>
      </c>
      <c r="P363" s="4">
        <f t="shared" si="160"/>
        <v>8415.1389880000006</v>
      </c>
      <c r="Q363" s="4">
        <f t="shared" si="160"/>
        <v>8415.1389880000006</v>
      </c>
      <c r="R363" s="4">
        <f t="shared" si="160"/>
        <v>8415.1389880000006</v>
      </c>
      <c r="S363" s="4">
        <f t="shared" si="160"/>
        <v>8415.1389880000006</v>
      </c>
      <c r="T363" s="4">
        <f t="shared" si="160"/>
        <v>8415.1389880000006</v>
      </c>
      <c r="U363" s="4">
        <f t="shared" si="160"/>
        <v>8415.1389880000006</v>
      </c>
      <c r="V363" s="4">
        <f t="shared" si="160"/>
        <v>8415.1389880000006</v>
      </c>
    </row>
    <row r="364" spans="1:23">
      <c r="A364" s="22" t="s">
        <v>97</v>
      </c>
      <c r="B364" s="19">
        <v>4881.6465079999998</v>
      </c>
      <c r="C364" s="19">
        <v>6444.9884419999998</v>
      </c>
      <c r="D364" s="19">
        <v>9089.2270719999997</v>
      </c>
      <c r="E364" s="19">
        <v>10827.791287</v>
      </c>
      <c r="F364" s="19">
        <v>12598.099099999999</v>
      </c>
      <c r="G364" s="19">
        <v>12820.232012</v>
      </c>
      <c r="H364" s="19">
        <v>12238.295722999999</v>
      </c>
      <c r="I364" s="19">
        <v>13701.943182000001</v>
      </c>
      <c r="J364" s="19">
        <v>14486.380255</v>
      </c>
      <c r="K364" s="19">
        <v>13603.795762</v>
      </c>
      <c r="L364" s="7" t="e">
        <f>NA()</f>
        <v>#N/A</v>
      </c>
      <c r="M364" s="7" t="e">
        <f>NA()</f>
        <v>#N/A</v>
      </c>
      <c r="N364" s="7" t="e">
        <f>NA()</f>
        <v>#N/A</v>
      </c>
      <c r="O364" s="7" t="e">
        <f>NA()</f>
        <v>#N/A</v>
      </c>
      <c r="P364" s="7" t="e">
        <f>NA()</f>
        <v>#N/A</v>
      </c>
      <c r="Q364" s="7" t="e">
        <f>NA()</f>
        <v>#N/A</v>
      </c>
      <c r="R364" s="7" t="e">
        <f>NA()</f>
        <v>#N/A</v>
      </c>
      <c r="S364" s="7" t="e">
        <f>NA()</f>
        <v>#N/A</v>
      </c>
      <c r="T364" s="7" t="e">
        <f>NA()</f>
        <v>#N/A</v>
      </c>
      <c r="U364" s="7" t="e">
        <f>NA()</f>
        <v>#N/A</v>
      </c>
      <c r="V364" s="7" t="e">
        <f>NA()</f>
        <v>#N/A</v>
      </c>
    </row>
    <row r="365" spans="1:23">
      <c r="A365" s="73" t="s">
        <v>98</v>
      </c>
      <c r="B365" s="62" t="s">
        <v>2</v>
      </c>
      <c r="C365" s="62" t="s">
        <v>2</v>
      </c>
      <c r="D365" s="62" t="s">
        <v>2</v>
      </c>
      <c r="E365" s="62" t="s">
        <v>2</v>
      </c>
      <c r="F365" s="74">
        <v>116.114356</v>
      </c>
      <c r="G365" s="74">
        <v>505.51719400000002</v>
      </c>
      <c r="H365" s="74">
        <v>515.79236700000001</v>
      </c>
      <c r="I365" s="74">
        <v>657.11505699999998</v>
      </c>
      <c r="J365" s="74">
        <v>1083.621879</v>
      </c>
      <c r="K365" s="74">
        <v>1042.3158169999999</v>
      </c>
      <c r="L365" s="7" t="e">
        <f>NA()</f>
        <v>#N/A</v>
      </c>
      <c r="M365" s="7" t="e">
        <f>NA()</f>
        <v>#N/A</v>
      </c>
      <c r="N365" s="7" t="e">
        <f>NA()</f>
        <v>#N/A</v>
      </c>
      <c r="O365" s="7" t="e">
        <f>NA()</f>
        <v>#N/A</v>
      </c>
      <c r="P365" s="7" t="e">
        <f>NA()</f>
        <v>#N/A</v>
      </c>
      <c r="Q365" s="7" t="e">
        <f>NA()</f>
        <v>#N/A</v>
      </c>
      <c r="R365" s="7" t="e">
        <f>NA()</f>
        <v>#N/A</v>
      </c>
      <c r="S365" s="7" t="e">
        <f>NA()</f>
        <v>#N/A</v>
      </c>
      <c r="T365" s="7" t="e">
        <f>NA()</f>
        <v>#N/A</v>
      </c>
      <c r="U365" s="7" t="e">
        <f>NA()</f>
        <v>#N/A</v>
      </c>
      <c r="V365" s="7" t="e">
        <f>NA()</f>
        <v>#N/A</v>
      </c>
    </row>
    <row r="366" spans="1:23">
      <c r="A366" s="72" t="s">
        <v>99</v>
      </c>
      <c r="B366" s="75">
        <v>4881.6465079999998</v>
      </c>
      <c r="C366" s="75">
        <v>6444.9884419999998</v>
      </c>
      <c r="D366" s="75">
        <v>9089.2270719999997</v>
      </c>
      <c r="E366" s="75">
        <v>10827.791287</v>
      </c>
      <c r="F366" s="75">
        <v>12481.984743000001</v>
      </c>
      <c r="G366" s="75">
        <v>12314.714818</v>
      </c>
      <c r="H366" s="75">
        <v>11722.503355999999</v>
      </c>
      <c r="I366" s="75">
        <v>13044.828125</v>
      </c>
      <c r="J366" s="75">
        <v>13402.758374999999</v>
      </c>
      <c r="K366" s="75">
        <v>12561.479945999999</v>
      </c>
      <c r="L366" s="7" t="e">
        <f>NA()</f>
        <v>#N/A</v>
      </c>
      <c r="M366" s="7" t="e">
        <f>NA()</f>
        <v>#N/A</v>
      </c>
      <c r="N366" s="7" t="e">
        <f>NA()</f>
        <v>#N/A</v>
      </c>
      <c r="O366" s="7" t="e">
        <f>NA()</f>
        <v>#N/A</v>
      </c>
      <c r="P366" s="7" t="e">
        <f>NA()</f>
        <v>#N/A</v>
      </c>
      <c r="Q366" s="7" t="e">
        <f>NA()</f>
        <v>#N/A</v>
      </c>
      <c r="R366" s="7" t="e">
        <f>NA()</f>
        <v>#N/A</v>
      </c>
      <c r="S366" s="7" t="e">
        <f>NA()</f>
        <v>#N/A</v>
      </c>
      <c r="T366" s="7" t="e">
        <f>NA()</f>
        <v>#N/A</v>
      </c>
      <c r="U366" s="7" t="e">
        <f>NA()</f>
        <v>#N/A</v>
      </c>
      <c r="V366" s="7" t="e">
        <f>NA()</f>
        <v>#N/A</v>
      </c>
    </row>
    <row r="367" spans="1:23">
      <c r="A367" s="26" t="s">
        <v>9</v>
      </c>
      <c r="B367" s="17">
        <v>1130.048771</v>
      </c>
      <c r="C367" s="17">
        <v>1151.6769409999999</v>
      </c>
      <c r="D367" s="17">
        <v>1512.370201</v>
      </c>
      <c r="E367" s="17">
        <v>1962.134783</v>
      </c>
      <c r="F367" s="17">
        <v>2767.4606560000002</v>
      </c>
      <c r="G367" s="17">
        <v>3383.742577</v>
      </c>
      <c r="H367" s="17">
        <v>3619.176629</v>
      </c>
      <c r="I367" s="17">
        <v>4484.1377839999996</v>
      </c>
      <c r="J367" s="17">
        <v>5079.3697990000001</v>
      </c>
      <c r="K367" s="17">
        <v>5188.656774</v>
      </c>
      <c r="L367" s="7" t="e">
        <f>NA()</f>
        <v>#N/A</v>
      </c>
      <c r="M367" s="7" t="e">
        <f>NA()</f>
        <v>#N/A</v>
      </c>
      <c r="N367" s="7" t="e">
        <f>NA()</f>
        <v>#N/A</v>
      </c>
      <c r="O367" s="7" t="e">
        <f>NA()</f>
        <v>#N/A</v>
      </c>
      <c r="P367" s="7" t="e">
        <f>NA()</f>
        <v>#N/A</v>
      </c>
      <c r="Q367" s="7" t="e">
        <f>NA()</f>
        <v>#N/A</v>
      </c>
      <c r="R367" s="7" t="e">
        <f>NA()</f>
        <v>#N/A</v>
      </c>
      <c r="S367" s="7" t="e">
        <f>NA()</f>
        <v>#N/A</v>
      </c>
      <c r="T367" s="7" t="e">
        <f>NA()</f>
        <v>#N/A</v>
      </c>
      <c r="U367" s="7" t="e">
        <f>NA()</f>
        <v>#N/A</v>
      </c>
      <c r="V367" s="7" t="e">
        <f>NA()</f>
        <v>#N/A</v>
      </c>
      <c r="W367" s="98"/>
    </row>
    <row r="368" spans="1:23">
      <c r="A368" s="72" t="s">
        <v>98</v>
      </c>
      <c r="B368" s="66" t="s">
        <v>2</v>
      </c>
      <c r="C368" s="66" t="s">
        <v>2</v>
      </c>
      <c r="D368" s="66" t="s">
        <v>2</v>
      </c>
      <c r="E368" s="66" t="s">
        <v>2</v>
      </c>
      <c r="F368" s="75">
        <v>79.492818</v>
      </c>
      <c r="G368" s="75">
        <v>247.72269</v>
      </c>
      <c r="H368" s="75">
        <v>252.798057</v>
      </c>
      <c r="I368" s="75">
        <v>303.75142</v>
      </c>
      <c r="J368" s="75">
        <v>388.97787899999997</v>
      </c>
      <c r="K368" s="75">
        <v>429.41748200000001</v>
      </c>
      <c r="L368" s="7" t="e">
        <f>NA()</f>
        <v>#N/A</v>
      </c>
      <c r="M368" s="7" t="e">
        <f>NA()</f>
        <v>#N/A</v>
      </c>
      <c r="N368" s="7" t="e">
        <f>NA()</f>
        <v>#N/A</v>
      </c>
      <c r="O368" s="7" t="e">
        <f>NA()</f>
        <v>#N/A</v>
      </c>
      <c r="P368" s="7" t="e">
        <f>NA()</f>
        <v>#N/A</v>
      </c>
      <c r="Q368" s="7" t="e">
        <f>NA()</f>
        <v>#N/A</v>
      </c>
      <c r="R368" s="7" t="e">
        <f>NA()</f>
        <v>#N/A</v>
      </c>
      <c r="S368" s="7" t="e">
        <f>NA()</f>
        <v>#N/A</v>
      </c>
      <c r="T368" s="7" t="e">
        <f>NA()</f>
        <v>#N/A</v>
      </c>
      <c r="U368" s="7" t="e">
        <f>NA()</f>
        <v>#N/A</v>
      </c>
      <c r="V368" s="7" t="e">
        <f>NA()</f>
        <v>#N/A</v>
      </c>
    </row>
    <row r="369" spans="1:22">
      <c r="A369" s="73" t="s">
        <v>99</v>
      </c>
      <c r="B369" s="74">
        <v>1130.048771</v>
      </c>
      <c r="C369" s="74">
        <v>1151.6769409999999</v>
      </c>
      <c r="D369" s="74">
        <v>1512.370201</v>
      </c>
      <c r="E369" s="74">
        <v>1962.134783</v>
      </c>
      <c r="F369" s="74">
        <v>2687.9678370000001</v>
      </c>
      <c r="G369" s="74">
        <v>3136.0198869999999</v>
      </c>
      <c r="H369" s="74">
        <v>3366.3785720000001</v>
      </c>
      <c r="I369" s="74">
        <v>4180.386364</v>
      </c>
      <c r="J369" s="74">
        <v>4690.39192</v>
      </c>
      <c r="K369" s="74">
        <v>4759.2392920000002</v>
      </c>
      <c r="L369" s="7" t="e">
        <f>NA()</f>
        <v>#N/A</v>
      </c>
      <c r="M369" s="7" t="e">
        <f>NA()</f>
        <v>#N/A</v>
      </c>
      <c r="N369" s="7" t="e">
        <f>NA()</f>
        <v>#N/A</v>
      </c>
      <c r="O369" s="7" t="e">
        <f>NA()</f>
        <v>#N/A</v>
      </c>
      <c r="P369" s="7" t="e">
        <f>NA()</f>
        <v>#N/A</v>
      </c>
      <c r="Q369" s="7" t="e">
        <f>NA()</f>
        <v>#N/A</v>
      </c>
      <c r="R369" s="7" t="e">
        <f>NA()</f>
        <v>#N/A</v>
      </c>
      <c r="S369" s="7" t="e">
        <f>NA()</f>
        <v>#N/A</v>
      </c>
      <c r="T369" s="7" t="e">
        <f>NA()</f>
        <v>#N/A</v>
      </c>
      <c r="U369" s="7" t="e">
        <f>NA()</f>
        <v>#N/A</v>
      </c>
      <c r="V369" s="7" t="e">
        <f>NA()</f>
        <v>#N/A</v>
      </c>
    </row>
    <row r="370" spans="1:22">
      <c r="A370" s="18" t="s">
        <v>100</v>
      </c>
      <c r="B370" s="19">
        <v>3.896801</v>
      </c>
      <c r="C370" s="19">
        <v>4.1417840000000004</v>
      </c>
      <c r="D370" s="19">
        <v>5.3171629999999999</v>
      </c>
      <c r="E370" s="19">
        <v>112.82092</v>
      </c>
      <c r="F370" s="19">
        <v>143.117312</v>
      </c>
      <c r="G370" s="19">
        <v>62.396078000000003</v>
      </c>
      <c r="H370" s="19">
        <v>66.540944999999994</v>
      </c>
      <c r="I370" s="19">
        <v>90.008522999999997</v>
      </c>
      <c r="J370" s="19">
        <v>174.09773100000001</v>
      </c>
      <c r="K370" s="19">
        <v>174.612843</v>
      </c>
      <c r="L370" s="7">
        <f>K370/K$301*L$301</f>
        <v>244.45798019999998</v>
      </c>
      <c r="M370" s="7">
        <f>L370/L$301*M$301</f>
        <v>281.12667722999998</v>
      </c>
      <c r="N370" s="7">
        <f t="shared" ref="N370:V370" si="161">M370/M$301*N$301</f>
        <v>309.239344953</v>
      </c>
      <c r="O370" s="7">
        <f t="shared" si="161"/>
        <v>333.97849254924006</v>
      </c>
      <c r="P370" s="7">
        <f t="shared" si="161"/>
        <v>350.67741717670208</v>
      </c>
      <c r="Q370" s="7">
        <f t="shared" si="161"/>
        <v>368.21128803553722</v>
      </c>
      <c r="R370" s="7">
        <f t="shared" si="161"/>
        <v>386.62185243731409</v>
      </c>
      <c r="S370" s="7">
        <f t="shared" si="161"/>
        <v>402.08672653480664</v>
      </c>
      <c r="T370" s="7">
        <f t="shared" si="161"/>
        <v>418.17019559619894</v>
      </c>
      <c r="U370" s="7">
        <f t="shared" si="161"/>
        <v>430.71530146408486</v>
      </c>
      <c r="V370" s="7">
        <f t="shared" si="161"/>
        <v>440.96632563893013</v>
      </c>
    </row>
    <row r="371" spans="1:22">
      <c r="A371" s="64" t="s">
        <v>350</v>
      </c>
      <c r="B371" s="74">
        <v>0</v>
      </c>
      <c r="C371" s="74">
        <v>4.1417840000000004</v>
      </c>
      <c r="D371" s="74">
        <v>5.3171629999999999</v>
      </c>
      <c r="E371" s="62" t="s">
        <v>2</v>
      </c>
      <c r="F371" s="74">
        <v>0</v>
      </c>
      <c r="G371" s="74">
        <v>0</v>
      </c>
      <c r="H371" s="74">
        <v>0</v>
      </c>
      <c r="I371" s="74">
        <v>5.6221589999999999</v>
      </c>
      <c r="J371" s="74">
        <v>77.449320999999998</v>
      </c>
      <c r="K371" s="74">
        <v>77.151557999999994</v>
      </c>
      <c r="L371" s="7">
        <f t="shared" ref="L371:L377" si="162">K371/K$301*L$301</f>
        <v>108.01218119999997</v>
      </c>
      <c r="M371" s="7">
        <f t="shared" ref="M371:V371" si="163">L371/L$301*M$301</f>
        <v>124.21400837999997</v>
      </c>
      <c r="N371" s="7">
        <f t="shared" si="163"/>
        <v>136.63540921799998</v>
      </c>
      <c r="O371" s="7">
        <f t="shared" si="163"/>
        <v>147.56624195544001</v>
      </c>
      <c r="P371" s="7">
        <f t="shared" si="163"/>
        <v>154.94455405321202</v>
      </c>
      <c r="Q371" s="7">
        <f t="shared" si="163"/>
        <v>162.69178175587263</v>
      </c>
      <c r="R371" s="7">
        <f t="shared" si="163"/>
        <v>170.82637084366627</v>
      </c>
      <c r="S371" s="7">
        <f t="shared" si="163"/>
        <v>177.65942567741291</v>
      </c>
      <c r="T371" s="7">
        <f t="shared" si="163"/>
        <v>184.76580270450944</v>
      </c>
      <c r="U371" s="7">
        <f t="shared" si="163"/>
        <v>190.30877678564474</v>
      </c>
      <c r="V371" s="7">
        <f t="shared" si="163"/>
        <v>194.83812567314308</v>
      </c>
    </row>
    <row r="372" spans="1:22">
      <c r="A372" s="65" t="s">
        <v>101</v>
      </c>
      <c r="B372" s="75">
        <v>2.8287E-2</v>
      </c>
      <c r="C372" s="75">
        <v>0</v>
      </c>
      <c r="D372" s="75">
        <v>0</v>
      </c>
      <c r="E372" s="75">
        <v>0</v>
      </c>
      <c r="F372" s="75">
        <v>0</v>
      </c>
      <c r="G372" s="75">
        <v>0</v>
      </c>
      <c r="H372" s="75">
        <v>0</v>
      </c>
      <c r="I372" s="75">
        <v>0</v>
      </c>
      <c r="J372" s="75">
        <v>0</v>
      </c>
      <c r="K372" s="75">
        <v>0</v>
      </c>
      <c r="L372" s="7">
        <f t="shared" si="162"/>
        <v>0</v>
      </c>
      <c r="M372" s="7">
        <f t="shared" ref="M372:V372" si="164">L372/L$301*M$301</f>
        <v>0</v>
      </c>
      <c r="N372" s="7">
        <f t="shared" si="164"/>
        <v>0</v>
      </c>
      <c r="O372" s="7">
        <f t="shared" si="164"/>
        <v>0</v>
      </c>
      <c r="P372" s="7">
        <f t="shared" si="164"/>
        <v>0</v>
      </c>
      <c r="Q372" s="7">
        <f t="shared" si="164"/>
        <v>0</v>
      </c>
      <c r="R372" s="7">
        <f t="shared" si="164"/>
        <v>0</v>
      </c>
      <c r="S372" s="7">
        <f t="shared" si="164"/>
        <v>0</v>
      </c>
      <c r="T372" s="7">
        <f t="shared" si="164"/>
        <v>0</v>
      </c>
      <c r="U372" s="7">
        <f t="shared" si="164"/>
        <v>0</v>
      </c>
      <c r="V372" s="7">
        <f t="shared" si="164"/>
        <v>0</v>
      </c>
    </row>
    <row r="373" spans="1:22">
      <c r="A373" s="64" t="s">
        <v>102</v>
      </c>
      <c r="B373" s="74">
        <v>3.8685130000000001</v>
      </c>
      <c r="C373" s="62" t="s">
        <v>2</v>
      </c>
      <c r="D373" s="62" t="s">
        <v>2</v>
      </c>
      <c r="E373" s="74">
        <v>112.82092</v>
      </c>
      <c r="F373" s="74">
        <v>143.117312</v>
      </c>
      <c r="G373" s="74">
        <v>62.396078000000003</v>
      </c>
      <c r="H373" s="74">
        <v>66.540944999999994</v>
      </c>
      <c r="I373" s="74">
        <v>84.386364</v>
      </c>
      <c r="J373" s="74">
        <v>96.648409999999998</v>
      </c>
      <c r="K373" s="74">
        <v>97.461284000000006</v>
      </c>
      <c r="L373" s="7">
        <f t="shared" si="162"/>
        <v>136.44579760000002</v>
      </c>
      <c r="M373" s="7">
        <f t="shared" ref="M373:V373" si="165">L373/L$301*M$301</f>
        <v>156.91266723999999</v>
      </c>
      <c r="N373" s="7">
        <f t="shared" si="165"/>
        <v>172.60393396400002</v>
      </c>
      <c r="O373" s="7">
        <f t="shared" si="165"/>
        <v>186.41224868112005</v>
      </c>
      <c r="P373" s="7">
        <f t="shared" si="165"/>
        <v>195.73286111517606</v>
      </c>
      <c r="Q373" s="7">
        <f t="shared" si="165"/>
        <v>205.51950417093488</v>
      </c>
      <c r="R373" s="7">
        <f t="shared" si="165"/>
        <v>215.79547937948163</v>
      </c>
      <c r="S373" s="7">
        <f t="shared" si="165"/>
        <v>224.42729855466092</v>
      </c>
      <c r="T373" s="7">
        <f t="shared" si="165"/>
        <v>233.40439049684736</v>
      </c>
      <c r="U373" s="7">
        <f t="shared" si="165"/>
        <v>240.40652221175279</v>
      </c>
      <c r="V373" s="7">
        <f t="shared" si="165"/>
        <v>246.12819744039251</v>
      </c>
    </row>
    <row r="374" spans="1:22">
      <c r="A374" s="67" t="s">
        <v>351</v>
      </c>
      <c r="B374" s="75">
        <v>213.40518900000001</v>
      </c>
      <c r="C374" s="75">
        <v>273.534964</v>
      </c>
      <c r="D374" s="75">
        <v>370.395127</v>
      </c>
      <c r="E374" s="75">
        <v>509.44216999999998</v>
      </c>
      <c r="F374" s="75">
        <v>713.258195</v>
      </c>
      <c r="G374" s="75">
        <v>719.23076900000001</v>
      </c>
      <c r="H374" s="75">
        <v>867.02039300000001</v>
      </c>
      <c r="I374" s="75">
        <v>1080.914773</v>
      </c>
      <c r="J374" s="75">
        <v>1294.1475210000001</v>
      </c>
      <c r="K374" s="75">
        <v>1387.9660469999999</v>
      </c>
      <c r="L374" s="7">
        <f t="shared" si="162"/>
        <v>1943.1524657999998</v>
      </c>
      <c r="M374" s="7">
        <f t="shared" ref="M374:V374" si="166">L374/L$301*M$301</f>
        <v>2234.6253356699995</v>
      </c>
      <c r="N374" s="7">
        <f t="shared" si="166"/>
        <v>2458.0878692369997</v>
      </c>
      <c r="O374" s="7">
        <f t="shared" si="166"/>
        <v>2654.7348987759601</v>
      </c>
      <c r="P374" s="7">
        <f t="shared" si="166"/>
        <v>2787.4716437147586</v>
      </c>
      <c r="Q374" s="7">
        <f t="shared" si="166"/>
        <v>2926.8452259004966</v>
      </c>
      <c r="R374" s="7">
        <f t="shared" si="166"/>
        <v>3073.1874871955215</v>
      </c>
      <c r="S374" s="7">
        <f t="shared" si="166"/>
        <v>3196.1149866833421</v>
      </c>
      <c r="T374" s="7">
        <f t="shared" si="166"/>
        <v>3323.9595861506759</v>
      </c>
      <c r="U374" s="7">
        <f t="shared" si="166"/>
        <v>3423.6783737351961</v>
      </c>
      <c r="V374" s="7">
        <f t="shared" si="166"/>
        <v>3505.1619190300939</v>
      </c>
    </row>
    <row r="375" spans="1:22">
      <c r="A375" s="20" t="s">
        <v>103</v>
      </c>
      <c r="B375" s="17">
        <v>329.63324</v>
      </c>
      <c r="C375" s="17">
        <v>395.41129000000001</v>
      </c>
      <c r="D375" s="17">
        <v>671.24239</v>
      </c>
      <c r="E375" s="17">
        <v>1931.70282</v>
      </c>
      <c r="F375" s="17">
        <v>1959.42822</v>
      </c>
      <c r="G375" s="17">
        <v>2200.1836800000001</v>
      </c>
      <c r="H375" s="17">
        <v>2241.9088400000001</v>
      </c>
      <c r="I375" s="17">
        <v>3449.1960199999999</v>
      </c>
      <c r="J375" s="17">
        <v>4380.7824199999995</v>
      </c>
      <c r="K375" s="17">
        <v>3655.7040099999999</v>
      </c>
      <c r="L375" s="4">
        <f>K375+$L$344</f>
        <v>4025.2674288888888</v>
      </c>
      <c r="M375" s="4">
        <f t="shared" ref="M375:V375" si="167">L375+$L$344</f>
        <v>4394.8308477777773</v>
      </c>
      <c r="N375" s="4">
        <f t="shared" si="167"/>
        <v>4764.3942666666662</v>
      </c>
      <c r="O375" s="4">
        <f t="shared" si="167"/>
        <v>5133.9576855555551</v>
      </c>
      <c r="P375" s="4">
        <f t="shared" si="167"/>
        <v>5503.5211044444441</v>
      </c>
      <c r="Q375" s="4">
        <f t="shared" si="167"/>
        <v>5873.084523333333</v>
      </c>
      <c r="R375" s="4">
        <f t="shared" si="167"/>
        <v>6242.6479422222219</v>
      </c>
      <c r="S375" s="4">
        <f t="shared" si="167"/>
        <v>6612.2113611111108</v>
      </c>
      <c r="T375" s="4">
        <f t="shared" si="167"/>
        <v>6981.7747799999997</v>
      </c>
      <c r="U375" s="4">
        <f t="shared" si="167"/>
        <v>7351.3381988888887</v>
      </c>
      <c r="V375" s="4">
        <f t="shared" si="167"/>
        <v>7720.9016177777776</v>
      </c>
    </row>
    <row r="376" spans="1:22">
      <c r="A376" s="65" t="s">
        <v>104</v>
      </c>
      <c r="B376" s="75">
        <v>329.633242</v>
      </c>
      <c r="C376" s="75">
        <v>395.41128900000001</v>
      </c>
      <c r="D376" s="75">
        <v>671.24238500000001</v>
      </c>
      <c r="E376" s="75">
        <v>1931.7028170000001</v>
      </c>
      <c r="F376" s="75">
        <v>1952.6506770000001</v>
      </c>
      <c r="G376" s="75">
        <v>2197.3871009999998</v>
      </c>
      <c r="H376" s="75">
        <v>2238.6230260000002</v>
      </c>
      <c r="I376" s="75">
        <v>3447.974432</v>
      </c>
      <c r="J376" s="75">
        <v>4379.2175829999996</v>
      </c>
      <c r="K376" s="75">
        <v>3654.3756880000001</v>
      </c>
      <c r="L376" s="7">
        <f t="shared" si="162"/>
        <v>5116.1259631999992</v>
      </c>
      <c r="M376" s="7">
        <f t="shared" ref="M376:V376" si="168">L376/L$301*M$301</f>
        <v>5883.544857679999</v>
      </c>
      <c r="N376" s="7">
        <f t="shared" si="168"/>
        <v>6471.8993434479999</v>
      </c>
      <c r="O376" s="7">
        <f t="shared" si="168"/>
        <v>6989.6512909238409</v>
      </c>
      <c r="P376" s="7">
        <f t="shared" si="168"/>
        <v>7339.1338554700333</v>
      </c>
      <c r="Q376" s="7">
        <f t="shared" si="168"/>
        <v>7706.0905482435355</v>
      </c>
      <c r="R376" s="7">
        <f t="shared" si="168"/>
        <v>8091.3950756557133</v>
      </c>
      <c r="S376" s="7">
        <f t="shared" si="168"/>
        <v>8415.050878681941</v>
      </c>
      <c r="T376" s="7">
        <f t="shared" si="168"/>
        <v>8751.652913829219</v>
      </c>
      <c r="U376" s="7">
        <f t="shared" si="168"/>
        <v>9014.2025012440954</v>
      </c>
      <c r="V376" s="7">
        <f t="shared" si="168"/>
        <v>9228.7405207737047</v>
      </c>
    </row>
    <row r="377" spans="1:22">
      <c r="A377" s="64" t="s">
        <v>105</v>
      </c>
      <c r="B377" s="74">
        <v>0</v>
      </c>
      <c r="C377" s="74">
        <v>0</v>
      </c>
      <c r="D377" s="74">
        <v>0</v>
      </c>
      <c r="E377" s="74">
        <v>0</v>
      </c>
      <c r="F377" s="74">
        <v>6.7775410000000003</v>
      </c>
      <c r="G377" s="74">
        <v>2.7965749999999998</v>
      </c>
      <c r="H377" s="74">
        <v>3.2858149999999999</v>
      </c>
      <c r="I377" s="74">
        <v>1.2215910000000001</v>
      </c>
      <c r="J377" s="74">
        <v>1.5648340000000001</v>
      </c>
      <c r="K377" s="74">
        <v>1.328322</v>
      </c>
      <c r="L377" s="7">
        <f t="shared" si="162"/>
        <v>1.8596507999999998</v>
      </c>
      <c r="M377" s="7">
        <f t="shared" ref="M377:V377" si="169">L377/L$301*M$301</f>
        <v>2.1385984199999997</v>
      </c>
      <c r="N377" s="7">
        <f t="shared" si="169"/>
        <v>2.3524582619999999</v>
      </c>
      <c r="O377" s="7">
        <f t="shared" si="169"/>
        <v>2.5406549229600004</v>
      </c>
      <c r="P377" s="7">
        <f t="shared" si="169"/>
        <v>2.6676876691080005</v>
      </c>
      <c r="Q377" s="7">
        <f t="shared" si="169"/>
        <v>2.8010720525634007</v>
      </c>
      <c r="R377" s="7">
        <f t="shared" si="169"/>
        <v>2.9411256551915712</v>
      </c>
      <c r="S377" s="7">
        <f t="shared" si="169"/>
        <v>3.0587706813992339</v>
      </c>
      <c r="T377" s="7">
        <f t="shared" si="169"/>
        <v>3.1811215086552034</v>
      </c>
      <c r="U377" s="7">
        <f t="shared" si="169"/>
        <v>3.2765551539148596</v>
      </c>
      <c r="V377" s="7">
        <f t="shared" si="169"/>
        <v>3.3545371665780332</v>
      </c>
    </row>
    <row r="378" spans="1:22">
      <c r="A378" s="64" t="s">
        <v>369</v>
      </c>
      <c r="B378" s="74">
        <f t="shared" ref="B378:J378" si="170">B363+B370+B374+B375</f>
        <v>4298.5329670000001</v>
      </c>
      <c r="C378" s="74">
        <f t="shared" si="170"/>
        <v>5966.3995390000009</v>
      </c>
      <c r="D378" s="74">
        <f t="shared" si="170"/>
        <v>8623.8115509999989</v>
      </c>
      <c r="E378" s="74">
        <f t="shared" si="170"/>
        <v>11419.622414000001</v>
      </c>
      <c r="F378" s="74">
        <f t="shared" si="170"/>
        <v>12646.442171000001</v>
      </c>
      <c r="G378" s="74">
        <f t="shared" si="170"/>
        <v>12418.299961999999</v>
      </c>
      <c r="H378" s="74">
        <f t="shared" si="170"/>
        <v>11794.589273000001</v>
      </c>
      <c r="I378" s="74">
        <f t="shared" si="170"/>
        <v>13837.924714000001</v>
      </c>
      <c r="J378" s="74">
        <f t="shared" si="170"/>
        <v>15256.038128</v>
      </c>
      <c r="K378" s="74">
        <f>K363+K370+K374+K375</f>
        <v>13633.421888000001</v>
      </c>
      <c r="L378" s="74">
        <f>L363+L370+L374+L375</f>
        <v>14628.01686288889</v>
      </c>
      <c r="M378" s="74">
        <f t="shared" ref="M378:V378" si="171">M363+M370+M374+M375</f>
        <v>15325.721848677778</v>
      </c>
      <c r="N378" s="74">
        <f t="shared" si="171"/>
        <v>15946.860468856667</v>
      </c>
      <c r="O378" s="74">
        <f t="shared" si="171"/>
        <v>16537.810064880756</v>
      </c>
      <c r="P378" s="74">
        <f t="shared" si="171"/>
        <v>17056.809153335904</v>
      </c>
      <c r="Q378" s="74">
        <f t="shared" si="171"/>
        <v>17583.280025269371</v>
      </c>
      <c r="R378" s="74">
        <f t="shared" si="171"/>
        <v>18117.596269855057</v>
      </c>
      <c r="S378" s="74">
        <f t="shared" si="171"/>
        <v>18625.552062329261</v>
      </c>
      <c r="T378" s="74">
        <f t="shared" si="171"/>
        <v>19139.043549746875</v>
      </c>
      <c r="U378" s="74">
        <f t="shared" si="171"/>
        <v>19620.87086208817</v>
      </c>
      <c r="V378" s="74">
        <f t="shared" si="171"/>
        <v>20082.168850446804</v>
      </c>
    </row>
    <row r="379" spans="1:22">
      <c r="A379" s="67" t="s">
        <v>10</v>
      </c>
      <c r="B379" s="75">
        <v>5561.8747560000002</v>
      </c>
      <c r="C379" s="75">
        <v>6841.3802740000001</v>
      </c>
      <c r="D379" s="75">
        <v>9413.2196949999998</v>
      </c>
      <c r="E379" s="75">
        <v>13108.383943000001</v>
      </c>
      <c r="F379" s="75">
        <v>14215.976909000001</v>
      </c>
      <c r="G379" s="75">
        <v>13984.43447</v>
      </c>
      <c r="H379" s="75">
        <v>13440.513967999999</v>
      </c>
      <c r="I379" s="75">
        <v>15161.776989</v>
      </c>
      <c r="J379" s="75">
        <v>16383.037200000001</v>
      </c>
      <c r="K379" s="75">
        <v>14758.329554</v>
      </c>
      <c r="L379" s="4">
        <f>L375+L370+L363+L362+L374</f>
        <v>17925.328829647984</v>
      </c>
      <c r="M379" s="4">
        <f t="shared" ref="M379:U379" si="172">M375+M370+M363+M362+M374</f>
        <v>19749.3345000179</v>
      </c>
      <c r="N379" s="4">
        <f t="shared" si="172"/>
        <v>21225.564230650249</v>
      </c>
      <c r="O379" s="4">
        <f t="shared" si="172"/>
        <v>22575.194652517137</v>
      </c>
      <c r="P379" s="4">
        <f t="shared" si="172"/>
        <v>23590.524603223228</v>
      </c>
      <c r="Q379" s="4">
        <f t="shared" si="172"/>
        <v>24655.420324847339</v>
      </c>
      <c r="R379" s="4">
        <f t="shared" si="172"/>
        <v>25772.360105935382</v>
      </c>
      <c r="S379" s="4">
        <f t="shared" si="172"/>
        <v>26774.026192641846</v>
      </c>
      <c r="T379" s="4">
        <f t="shared" si="172"/>
        <v>27814.79834152275</v>
      </c>
      <c r="U379" s="4">
        <f t="shared" si="172"/>
        <v>28712.455369769959</v>
      </c>
      <c r="V379" s="101">
        <f>V375+V370+V363+V362+V374</f>
        <v>29518.956300300772</v>
      </c>
    </row>
    <row r="380" spans="1:22">
      <c r="A380" s="16" t="s">
        <v>106</v>
      </c>
      <c r="B380" s="16"/>
      <c r="C380" s="16"/>
      <c r="D380" s="16"/>
      <c r="E380" s="16"/>
      <c r="F380" s="16"/>
      <c r="G380" s="16"/>
      <c r="H380" s="16"/>
      <c r="I380" s="16"/>
      <c r="J380" s="16"/>
      <c r="K380" s="16"/>
    </row>
    <row r="381" spans="1:22">
      <c r="A381" s="18" t="s">
        <v>107</v>
      </c>
      <c r="B381" s="21"/>
      <c r="C381" s="21"/>
      <c r="D381" s="21"/>
      <c r="E381" s="21"/>
      <c r="F381" s="21"/>
      <c r="G381" s="21"/>
      <c r="H381" s="21"/>
      <c r="I381" s="21"/>
      <c r="J381" s="21"/>
      <c r="K381" s="21"/>
    </row>
    <row r="382" spans="1:22" s="109" customFormat="1">
      <c r="A382" s="110" t="s">
        <v>108</v>
      </c>
      <c r="B382" s="111">
        <v>0</v>
      </c>
      <c r="C382" s="111">
        <v>0</v>
      </c>
      <c r="D382" s="111">
        <v>0</v>
      </c>
      <c r="E382" s="111">
        <v>125.115171</v>
      </c>
      <c r="F382" s="111">
        <v>399.10933999999997</v>
      </c>
      <c r="G382" s="111">
        <v>436.23118399999998</v>
      </c>
      <c r="H382" s="111">
        <v>427.19427200000001</v>
      </c>
      <c r="I382" s="111">
        <v>506.73153400000001</v>
      </c>
      <c r="J382" s="111">
        <v>931.09467199999995</v>
      </c>
      <c r="K382" s="111">
        <v>940.03239799999994</v>
      </c>
      <c r="L382" s="109">
        <f>K382/K$301*L$301</f>
        <v>1316.0453571999999</v>
      </c>
      <c r="M382" s="109">
        <f t="shared" ref="M382:V382" si="173">L382/L$301*M$301</f>
        <v>1513.4521607799998</v>
      </c>
      <c r="N382" s="109">
        <f t="shared" si="173"/>
        <v>1664.7973768579998</v>
      </c>
      <c r="O382" s="109">
        <f t="shared" si="173"/>
        <v>1797.9811670066401</v>
      </c>
      <c r="P382" s="109">
        <f t="shared" si="173"/>
        <v>1887.8802253569722</v>
      </c>
      <c r="Q382" s="109">
        <f t="shared" si="173"/>
        <v>1982.274236624821</v>
      </c>
      <c r="R382" s="109">
        <f t="shared" si="173"/>
        <v>2081.3879484560625</v>
      </c>
      <c r="S382" s="109">
        <f t="shared" si="173"/>
        <v>2164.6434663943051</v>
      </c>
      <c r="T382" s="109">
        <f t="shared" si="173"/>
        <v>2251.2292050500773</v>
      </c>
      <c r="U382" s="109">
        <f t="shared" si="173"/>
        <v>2318.7660812015797</v>
      </c>
      <c r="V382" s="109">
        <f t="shared" si="173"/>
        <v>2373.9527139341776</v>
      </c>
    </row>
    <row r="383" spans="1:22">
      <c r="A383" s="65" t="s">
        <v>11</v>
      </c>
      <c r="B383" s="71">
        <v>405.72181</v>
      </c>
      <c r="C383" s="71">
        <v>377.78559000000001</v>
      </c>
      <c r="D383" s="71">
        <v>311.69731200000001</v>
      </c>
      <c r="E383" s="71">
        <v>382.06757499999998</v>
      </c>
      <c r="F383" s="71">
        <v>288.30320899999998</v>
      </c>
      <c r="G383" s="71">
        <v>216.71178</v>
      </c>
      <c r="H383" s="71">
        <v>248.23882900000001</v>
      </c>
      <c r="I383" s="71">
        <v>456.72727300000003</v>
      </c>
      <c r="J383" s="71">
        <v>479.439505</v>
      </c>
      <c r="K383" s="71">
        <v>242.51798099999999</v>
      </c>
      <c r="L383" s="7">
        <f t="shared" ref="L383:L387" si="174">K383/K$301*L$301</f>
        <v>339.52517339999997</v>
      </c>
      <c r="M383" s="7">
        <f t="shared" ref="M383:V383" si="175">L383/L$301*M$301</f>
        <v>390.45394940999995</v>
      </c>
      <c r="N383" s="7">
        <f t="shared" si="175"/>
        <v>429.49934435099999</v>
      </c>
      <c r="O383" s="7">
        <f t="shared" si="175"/>
        <v>463.85929189908006</v>
      </c>
      <c r="P383" s="7">
        <f t="shared" si="175"/>
        <v>487.05225649403411</v>
      </c>
      <c r="Q383" s="7">
        <f t="shared" si="175"/>
        <v>511.40486931873585</v>
      </c>
      <c r="R383" s="7">
        <f t="shared" si="175"/>
        <v>536.97511278467266</v>
      </c>
      <c r="S383" s="7">
        <f t="shared" si="175"/>
        <v>558.45411729605962</v>
      </c>
      <c r="T383" s="7">
        <f t="shared" si="175"/>
        <v>580.79228198790202</v>
      </c>
      <c r="U383" s="7">
        <f t="shared" si="175"/>
        <v>598.21605044753903</v>
      </c>
      <c r="V383" s="7">
        <f t="shared" si="175"/>
        <v>612.45359244819053</v>
      </c>
    </row>
    <row r="384" spans="1:22">
      <c r="A384" s="64" t="s">
        <v>109</v>
      </c>
      <c r="B384" s="70">
        <v>104.28014</v>
      </c>
      <c r="C384" s="70">
        <v>72.557310999999999</v>
      </c>
      <c r="D384" s="70">
        <v>137.52081799999999</v>
      </c>
      <c r="E384" s="70">
        <v>72.216043999999997</v>
      </c>
      <c r="F384" s="70">
        <v>76.496460999999996</v>
      </c>
      <c r="G384" s="70">
        <v>77.893936999999994</v>
      </c>
      <c r="H384" s="70">
        <v>82.412581000000003</v>
      </c>
      <c r="I384" s="70">
        <v>97.205966000000004</v>
      </c>
      <c r="J384" s="70">
        <v>143.20079699999999</v>
      </c>
      <c r="K384" s="70">
        <v>63.948681000000001</v>
      </c>
      <c r="L384" s="7">
        <f t="shared" si="174"/>
        <v>89.528153399999994</v>
      </c>
      <c r="M384" s="7">
        <f t="shared" ref="M384:V384" si="176">L384/L$301*M$301</f>
        <v>102.95737640999998</v>
      </c>
      <c r="N384" s="7">
        <f t="shared" si="176"/>
        <v>113.253114051</v>
      </c>
      <c r="O384" s="7">
        <f t="shared" si="176"/>
        <v>122.31336317508001</v>
      </c>
      <c r="P384" s="7">
        <f t="shared" si="176"/>
        <v>128.42903133383402</v>
      </c>
      <c r="Q384" s="7">
        <f t="shared" si="176"/>
        <v>134.85048290052575</v>
      </c>
      <c r="R384" s="7">
        <f t="shared" si="176"/>
        <v>141.59300704555204</v>
      </c>
      <c r="S384" s="7">
        <f t="shared" si="176"/>
        <v>147.25672732737414</v>
      </c>
      <c r="T384" s="7">
        <f t="shared" si="176"/>
        <v>153.14699642046912</v>
      </c>
      <c r="U384" s="7">
        <f t="shared" si="176"/>
        <v>157.74140631308322</v>
      </c>
      <c r="V384" s="7">
        <f t="shared" si="176"/>
        <v>161.49565178333458</v>
      </c>
    </row>
    <row r="385" spans="1:22">
      <c r="A385" s="22" t="s">
        <v>110</v>
      </c>
      <c r="B385" s="30">
        <v>5.4194300000000002</v>
      </c>
      <c r="C385" s="30">
        <v>10.098247000000001</v>
      </c>
      <c r="D385" s="30">
        <v>19.349466</v>
      </c>
      <c r="E385" s="30">
        <v>18.443209</v>
      </c>
      <c r="F385" s="30">
        <v>28.612466000000001</v>
      </c>
      <c r="G385" s="30">
        <v>31.263638</v>
      </c>
      <c r="H385" s="30">
        <v>43.504443000000002</v>
      </c>
      <c r="I385" s="30">
        <v>34.467329999999997</v>
      </c>
      <c r="J385" s="30">
        <v>40.576143000000002</v>
      </c>
      <c r="K385" s="30">
        <v>9.8425449999999994</v>
      </c>
      <c r="L385" s="7">
        <f t="shared" si="174"/>
        <v>13.779562999999998</v>
      </c>
      <c r="M385" s="7">
        <f t="shared" ref="M385:V385" si="177">L385/L$301*M$301</f>
        <v>15.846497449999996</v>
      </c>
      <c r="N385" s="7">
        <f t="shared" si="177"/>
        <v>17.431147194999998</v>
      </c>
      <c r="O385" s="7">
        <f t="shared" si="177"/>
        <v>18.8256389706</v>
      </c>
      <c r="P385" s="7">
        <f t="shared" si="177"/>
        <v>19.766920919130001</v>
      </c>
      <c r="Q385" s="7">
        <f t="shared" si="177"/>
        <v>20.755266965086502</v>
      </c>
      <c r="R385" s="7">
        <f t="shared" si="177"/>
        <v>21.793030313340829</v>
      </c>
      <c r="S385" s="7">
        <f t="shared" si="177"/>
        <v>22.664751525874461</v>
      </c>
      <c r="T385" s="7">
        <f t="shared" si="177"/>
        <v>23.57134158690944</v>
      </c>
      <c r="U385" s="7">
        <f t="shared" si="177"/>
        <v>24.278481834516725</v>
      </c>
      <c r="V385" s="7">
        <f t="shared" si="177"/>
        <v>24.856309702178223</v>
      </c>
    </row>
    <row r="386" spans="1:22">
      <c r="A386" s="73" t="s">
        <v>111</v>
      </c>
      <c r="B386" s="70">
        <v>5.4194300000000002</v>
      </c>
      <c r="C386" s="70">
        <v>5.8293200000000001</v>
      </c>
      <c r="D386" s="70">
        <v>7.8075219999999996</v>
      </c>
      <c r="E386" s="70">
        <v>8.4597060000000006</v>
      </c>
      <c r="F386" s="70">
        <v>8.39255</v>
      </c>
      <c r="G386" s="70">
        <v>8.1231869999999997</v>
      </c>
      <c r="H386" s="70">
        <v>8.8320650000000001</v>
      </c>
      <c r="I386" s="70">
        <v>10.752841</v>
      </c>
      <c r="J386" s="70">
        <v>15.343908000000001</v>
      </c>
      <c r="K386" s="70">
        <v>9.8425449999999994</v>
      </c>
      <c r="L386" s="7">
        <f t="shared" si="174"/>
        <v>13.779562999999998</v>
      </c>
      <c r="M386" s="7">
        <f t="shared" ref="M386:V386" si="178">L386/L$301*M$301</f>
        <v>15.846497449999996</v>
      </c>
      <c r="N386" s="7">
        <f t="shared" si="178"/>
        <v>17.431147194999998</v>
      </c>
      <c r="O386" s="7">
        <f t="shared" si="178"/>
        <v>18.8256389706</v>
      </c>
      <c r="P386" s="7">
        <f t="shared" si="178"/>
        <v>19.766920919130001</v>
      </c>
      <c r="Q386" s="7">
        <f t="shared" si="178"/>
        <v>20.755266965086502</v>
      </c>
      <c r="R386" s="7">
        <f t="shared" si="178"/>
        <v>21.793030313340829</v>
      </c>
      <c r="S386" s="7">
        <f t="shared" si="178"/>
        <v>22.664751525874461</v>
      </c>
      <c r="T386" s="7">
        <f t="shared" si="178"/>
        <v>23.57134158690944</v>
      </c>
      <c r="U386" s="7">
        <f t="shared" si="178"/>
        <v>24.278481834516725</v>
      </c>
      <c r="V386" s="7">
        <f t="shared" si="178"/>
        <v>24.856309702178223</v>
      </c>
    </row>
    <row r="387" spans="1:22">
      <c r="A387" s="72" t="s">
        <v>112</v>
      </c>
      <c r="B387" s="71">
        <v>0</v>
      </c>
      <c r="C387" s="71">
        <v>4.2689269999999997</v>
      </c>
      <c r="D387" s="71">
        <v>11.541944000000001</v>
      </c>
      <c r="E387" s="71">
        <v>9.9835030000000007</v>
      </c>
      <c r="F387" s="71">
        <v>20.219916000000001</v>
      </c>
      <c r="G387" s="71">
        <v>23.140450000000001</v>
      </c>
      <c r="H387" s="71">
        <v>34.672376999999997</v>
      </c>
      <c r="I387" s="71">
        <v>23.714489</v>
      </c>
      <c r="J387" s="71">
        <v>25.232236</v>
      </c>
      <c r="K387" s="71">
        <v>0</v>
      </c>
      <c r="L387" s="7">
        <f t="shared" si="174"/>
        <v>0</v>
      </c>
      <c r="M387" s="7">
        <f t="shared" ref="M387:V387" si="179">L387/L$301*M$301</f>
        <v>0</v>
      </c>
      <c r="N387" s="7">
        <f t="shared" si="179"/>
        <v>0</v>
      </c>
      <c r="O387" s="7">
        <f t="shared" si="179"/>
        <v>0</v>
      </c>
      <c r="P387" s="7">
        <f t="shared" si="179"/>
        <v>0</v>
      </c>
      <c r="Q387" s="7">
        <f t="shared" si="179"/>
        <v>0</v>
      </c>
      <c r="R387" s="7">
        <f t="shared" si="179"/>
        <v>0</v>
      </c>
      <c r="S387" s="7">
        <f t="shared" si="179"/>
        <v>0</v>
      </c>
      <c r="T387" s="7">
        <f t="shared" si="179"/>
        <v>0</v>
      </c>
      <c r="U387" s="7">
        <f t="shared" si="179"/>
        <v>0</v>
      </c>
      <c r="V387" s="7">
        <f t="shared" si="179"/>
        <v>0</v>
      </c>
    </row>
    <row r="388" spans="1:22">
      <c r="A388" s="64" t="s">
        <v>12</v>
      </c>
      <c r="B388" s="70">
        <v>515.421381</v>
      </c>
      <c r="C388" s="70">
        <v>460.441148</v>
      </c>
      <c r="D388" s="70">
        <v>468.56759599999998</v>
      </c>
      <c r="E388" s="70">
        <v>597.84199899999999</v>
      </c>
      <c r="F388" s="70">
        <v>792.52147600000001</v>
      </c>
      <c r="G388" s="70">
        <v>762.10053900000003</v>
      </c>
      <c r="H388" s="70">
        <v>801.35012500000005</v>
      </c>
      <c r="I388" s="70">
        <v>1095.132102</v>
      </c>
      <c r="J388" s="70">
        <v>1594.311117</v>
      </c>
      <c r="K388" s="70">
        <v>1256.341606</v>
      </c>
      <c r="L388" s="7">
        <f>SUM(L382:L385)</f>
        <v>1758.8782470000001</v>
      </c>
      <c r="M388" s="7">
        <f t="shared" ref="M388:V388" si="180">SUM(M382:M385)</f>
        <v>2022.7099840499998</v>
      </c>
      <c r="N388" s="7">
        <f t="shared" si="180"/>
        <v>2224.9809824549998</v>
      </c>
      <c r="O388" s="7">
        <f t="shared" si="180"/>
        <v>2402.9794610514</v>
      </c>
      <c r="P388" s="7">
        <f t="shared" si="180"/>
        <v>2523.12843410397</v>
      </c>
      <c r="Q388" s="7">
        <f t="shared" si="180"/>
        <v>2649.2848558091687</v>
      </c>
      <c r="R388" s="7">
        <f t="shared" si="180"/>
        <v>2781.7490985996278</v>
      </c>
      <c r="S388" s="7">
        <f t="shared" si="180"/>
        <v>2893.019062543613</v>
      </c>
      <c r="T388" s="7">
        <f t="shared" si="180"/>
        <v>3008.739825045358</v>
      </c>
      <c r="U388" s="7">
        <f t="shared" si="180"/>
        <v>3099.0020197967187</v>
      </c>
      <c r="V388" s="7">
        <f t="shared" si="180"/>
        <v>3172.7582678678814</v>
      </c>
    </row>
    <row r="389" spans="1:22">
      <c r="A389" s="18" t="s">
        <v>113</v>
      </c>
      <c r="B389" s="21"/>
      <c r="C389" s="21"/>
      <c r="D389" s="21"/>
      <c r="E389" s="21"/>
      <c r="F389" s="21"/>
      <c r="G389" s="21"/>
      <c r="H389" s="21"/>
      <c r="I389" s="21"/>
      <c r="J389" s="21"/>
      <c r="K389" s="21"/>
    </row>
    <row r="390" spans="1:22" s="109" customFormat="1">
      <c r="A390" s="109" t="s">
        <v>13</v>
      </c>
      <c r="B390" s="109">
        <v>1704.6108079999999</v>
      </c>
      <c r="C390" s="109">
        <v>2760.5952609999999</v>
      </c>
      <c r="D390" s="109">
        <v>4498.3188959999998</v>
      </c>
      <c r="E390" s="109">
        <v>5277.2982220000004</v>
      </c>
      <c r="F390" s="109">
        <v>5514.7797399999999</v>
      </c>
      <c r="G390" s="109">
        <v>5191.1421069999997</v>
      </c>
      <c r="H390" s="109">
        <v>4378.6690529999996</v>
      </c>
      <c r="I390" s="109">
        <v>4358.004261</v>
      </c>
      <c r="J390" s="109">
        <v>4466.9876949999998</v>
      </c>
      <c r="K390" s="109">
        <v>3345.322361</v>
      </c>
      <c r="L390" s="109">
        <f>K390/K$301*L$301</f>
        <v>4683.451305399999</v>
      </c>
      <c r="M390" s="109">
        <f t="shared" ref="M390:V390" si="181">L390/L$301*M$301</f>
        <v>5385.9690012099991</v>
      </c>
      <c r="N390" s="109">
        <f t="shared" si="181"/>
        <v>5924.5659013309996</v>
      </c>
      <c r="O390" s="109">
        <f t="shared" si="181"/>
        <v>6398.53117343748</v>
      </c>
      <c r="P390" s="109">
        <f t="shared" si="181"/>
        <v>6718.4577321093548</v>
      </c>
      <c r="Q390" s="109">
        <f t="shared" si="181"/>
        <v>7054.380618714823</v>
      </c>
      <c r="R390" s="109">
        <f t="shared" si="181"/>
        <v>7407.099649650565</v>
      </c>
      <c r="S390" s="109">
        <f t="shared" si="181"/>
        <v>7703.3836356365873</v>
      </c>
      <c r="T390" s="109">
        <f t="shared" si="181"/>
        <v>8011.5189810620514</v>
      </c>
      <c r="U390" s="109">
        <f t="shared" si="181"/>
        <v>8251.8645504939122</v>
      </c>
      <c r="V390" s="109">
        <f t="shared" si="181"/>
        <v>8448.2589267956682</v>
      </c>
    </row>
    <row r="391" spans="1:22">
      <c r="A391" s="72" t="s">
        <v>114</v>
      </c>
      <c r="B391" s="75">
        <v>1704.6108079999999</v>
      </c>
      <c r="C391" s="75">
        <v>2760.5952609999999</v>
      </c>
      <c r="D391" s="75">
        <v>4498.3188959999998</v>
      </c>
      <c r="E391" s="75">
        <v>5266.7623880000001</v>
      </c>
      <c r="F391" s="75">
        <v>5414.5776919999998</v>
      </c>
      <c r="G391" s="75">
        <v>5006.8471209999998</v>
      </c>
      <c r="H391" s="75">
        <v>4210.9020010000004</v>
      </c>
      <c r="I391" s="75">
        <v>4175.223011</v>
      </c>
      <c r="J391" s="75">
        <v>3922.227754</v>
      </c>
      <c r="K391" s="75">
        <v>2884.2156420000001</v>
      </c>
      <c r="L391" s="7">
        <f>K391</f>
        <v>2884.2156420000001</v>
      </c>
      <c r="M391" s="7">
        <f t="shared" ref="M391:V391" si="182">L391</f>
        <v>2884.2156420000001</v>
      </c>
      <c r="N391" s="7">
        <f t="shared" si="182"/>
        <v>2884.2156420000001</v>
      </c>
      <c r="O391" s="7">
        <f t="shared" si="182"/>
        <v>2884.2156420000001</v>
      </c>
      <c r="P391" s="7">
        <f t="shared" si="182"/>
        <v>2884.2156420000001</v>
      </c>
      <c r="Q391" s="7">
        <f t="shared" si="182"/>
        <v>2884.2156420000001</v>
      </c>
      <c r="R391" s="7">
        <f t="shared" si="182"/>
        <v>2884.2156420000001</v>
      </c>
      <c r="S391" s="7">
        <f t="shared" si="182"/>
        <v>2884.2156420000001</v>
      </c>
      <c r="T391" s="7">
        <f t="shared" si="182"/>
        <v>2884.2156420000001</v>
      </c>
      <c r="U391" s="7">
        <f t="shared" si="182"/>
        <v>2884.2156420000001</v>
      </c>
      <c r="V391" s="7">
        <f t="shared" si="182"/>
        <v>2884.2156420000001</v>
      </c>
    </row>
    <row r="392" spans="1:22">
      <c r="A392" s="73" t="s">
        <v>115</v>
      </c>
      <c r="B392" s="74">
        <v>0</v>
      </c>
      <c r="C392" s="74">
        <v>0</v>
      </c>
      <c r="D392" s="74">
        <v>0</v>
      </c>
      <c r="E392" s="74">
        <v>10.535833999999999</v>
      </c>
      <c r="F392" s="74">
        <v>100.202048</v>
      </c>
      <c r="G392" s="74">
        <v>184.29498699999999</v>
      </c>
      <c r="H392" s="74">
        <v>167.76705200000001</v>
      </c>
      <c r="I392" s="74">
        <v>182.78125</v>
      </c>
      <c r="J392" s="74">
        <v>544.75994000000003</v>
      </c>
      <c r="K392" s="74">
        <v>461.106719</v>
      </c>
      <c r="L392" s="7">
        <f>K392</f>
        <v>461.106719</v>
      </c>
      <c r="M392" s="7">
        <f t="shared" ref="M392:V392" si="183">L392</f>
        <v>461.106719</v>
      </c>
      <c r="N392" s="7">
        <f t="shared" si="183"/>
        <v>461.106719</v>
      </c>
      <c r="O392" s="7">
        <f t="shared" si="183"/>
        <v>461.106719</v>
      </c>
      <c r="P392" s="7">
        <f t="shared" si="183"/>
        <v>461.106719</v>
      </c>
      <c r="Q392" s="7">
        <f t="shared" si="183"/>
        <v>461.106719</v>
      </c>
      <c r="R392" s="7">
        <f t="shared" si="183"/>
        <v>461.106719</v>
      </c>
      <c r="S392" s="7">
        <f t="shared" si="183"/>
        <v>461.106719</v>
      </c>
      <c r="T392" s="7">
        <f t="shared" si="183"/>
        <v>461.106719</v>
      </c>
      <c r="U392" s="7">
        <f t="shared" si="183"/>
        <v>461.106719</v>
      </c>
      <c r="V392" s="7">
        <f t="shared" si="183"/>
        <v>461.106719</v>
      </c>
    </row>
    <row r="393" spans="1:22">
      <c r="A393" s="65" t="s">
        <v>116</v>
      </c>
      <c r="B393" s="75">
        <v>207.20737399999999</v>
      </c>
      <c r="C393" s="75">
        <v>290.91119200000003</v>
      </c>
      <c r="D393" s="75">
        <v>298.58268600000002</v>
      </c>
      <c r="E393" s="75">
        <v>495.694996</v>
      </c>
      <c r="F393" s="75">
        <v>542.59363599999995</v>
      </c>
      <c r="G393" s="75">
        <v>530.72641899999996</v>
      </c>
      <c r="H393" s="75">
        <v>747.58038699999997</v>
      </c>
      <c r="I393" s="75">
        <v>809.22443199999998</v>
      </c>
      <c r="J393" s="75">
        <v>979.29440199999999</v>
      </c>
      <c r="K393" s="75">
        <v>1100.9136269999999</v>
      </c>
      <c r="L393" s="7">
        <f>K393/K$301*L$301</f>
        <v>1541.2790777999996</v>
      </c>
      <c r="M393" s="7">
        <f t="shared" ref="M393:V393" si="184">L393/L$301*M$301</f>
        <v>1772.4709394699996</v>
      </c>
      <c r="N393" s="7">
        <f t="shared" si="184"/>
        <v>1949.7180334169996</v>
      </c>
      <c r="O393" s="7">
        <f t="shared" si="184"/>
        <v>2105.69547609036</v>
      </c>
      <c r="P393" s="7">
        <f t="shared" si="184"/>
        <v>2210.9802498948784</v>
      </c>
      <c r="Q393" s="7">
        <f t="shared" si="184"/>
        <v>2321.5292623896225</v>
      </c>
      <c r="R393" s="7">
        <f t="shared" si="184"/>
        <v>2437.6057255091041</v>
      </c>
      <c r="S393" s="7">
        <f t="shared" si="184"/>
        <v>2535.1099545294683</v>
      </c>
      <c r="T393" s="7">
        <f t="shared" si="184"/>
        <v>2636.514352710647</v>
      </c>
      <c r="U393" s="7">
        <f t="shared" si="184"/>
        <v>2715.6097832919663</v>
      </c>
      <c r="V393" s="7">
        <f t="shared" si="184"/>
        <v>2780.2412961343152</v>
      </c>
    </row>
    <row r="394" spans="1:22">
      <c r="A394" s="64" t="s">
        <v>117</v>
      </c>
      <c r="B394" s="74">
        <v>186.789895</v>
      </c>
      <c r="C394" s="74">
        <v>234.36717400000001</v>
      </c>
      <c r="D394" s="74">
        <v>299.92175700000001</v>
      </c>
      <c r="E394" s="74">
        <v>570.85232499999995</v>
      </c>
      <c r="F394" s="74">
        <v>867.51700900000003</v>
      </c>
      <c r="G394" s="74">
        <v>947.45753300000001</v>
      </c>
      <c r="H394" s="74">
        <v>1168.171067</v>
      </c>
      <c r="I394" s="74">
        <v>1528.660511</v>
      </c>
      <c r="J394" s="74">
        <v>1847.256562</v>
      </c>
      <c r="K394" s="74">
        <v>1812.989049</v>
      </c>
      <c r="L394" s="7">
        <f>K394/K$301*L$301</f>
        <v>2538.1846685999999</v>
      </c>
      <c r="M394" s="7">
        <f t="shared" ref="M394:V394" si="185">L394/L$301*M$301</f>
        <v>2918.9123688899995</v>
      </c>
      <c r="N394" s="7">
        <f t="shared" si="185"/>
        <v>3210.803605779</v>
      </c>
      <c r="O394" s="7">
        <f t="shared" si="185"/>
        <v>3467.6678942413205</v>
      </c>
      <c r="P394" s="7">
        <f t="shared" si="185"/>
        <v>3641.051288953387</v>
      </c>
      <c r="Q394" s="7">
        <f t="shared" si="185"/>
        <v>3823.1038534010568</v>
      </c>
      <c r="R394" s="7">
        <f t="shared" si="185"/>
        <v>4014.2590460711094</v>
      </c>
      <c r="S394" s="7">
        <f t="shared" si="185"/>
        <v>4174.8294079139541</v>
      </c>
      <c r="T394" s="7">
        <f t="shared" si="185"/>
        <v>4341.8225842305128</v>
      </c>
      <c r="U394" s="7">
        <f t="shared" si="185"/>
        <v>4472.0772617574276</v>
      </c>
      <c r="V394" s="7">
        <f t="shared" si="185"/>
        <v>4578.5127005872546</v>
      </c>
    </row>
    <row r="395" spans="1:22">
      <c r="A395" s="22" t="s">
        <v>118</v>
      </c>
      <c r="B395" s="19">
        <v>4.7785799999999998</v>
      </c>
      <c r="C395" s="19">
        <v>4.7688300000000003</v>
      </c>
      <c r="D395" s="19">
        <v>23.928909999999998</v>
      </c>
      <c r="E395" s="19">
        <v>25.710270000000001</v>
      </c>
      <c r="F395" s="19">
        <v>25.661470000000001</v>
      </c>
      <c r="G395" s="19">
        <v>27.229659999999999</v>
      </c>
      <c r="H395" s="19">
        <v>31.690850000000001</v>
      </c>
      <c r="I395" s="19">
        <v>33.230110000000003</v>
      </c>
      <c r="J395" s="19">
        <v>14.69664</v>
      </c>
      <c r="K395" s="19">
        <v>24.076979999999999</v>
      </c>
      <c r="L395" s="7">
        <f>K395/K$301*L$301</f>
        <v>33.707771999999999</v>
      </c>
      <c r="M395" s="7">
        <f t="shared" ref="M395:V395" si="186">L395/L$301*M$301</f>
        <v>38.763937799999994</v>
      </c>
      <c r="N395" s="7">
        <f t="shared" si="186"/>
        <v>42.640331579999994</v>
      </c>
      <c r="O395" s="7">
        <f t="shared" si="186"/>
        <v>46.051558106400002</v>
      </c>
      <c r="P395" s="7">
        <f t="shared" si="186"/>
        <v>48.354136011720009</v>
      </c>
      <c r="Q395" s="7">
        <f t="shared" si="186"/>
        <v>50.771842812306012</v>
      </c>
      <c r="R395" s="7">
        <f t="shared" si="186"/>
        <v>53.31043495292132</v>
      </c>
      <c r="S395" s="7">
        <f t="shared" si="186"/>
        <v>55.442852351038169</v>
      </c>
      <c r="T395" s="7">
        <f t="shared" si="186"/>
        <v>57.660566445079702</v>
      </c>
      <c r="U395" s="7">
        <f t="shared" si="186"/>
        <v>59.390383438432089</v>
      </c>
      <c r="V395" s="7">
        <f t="shared" si="186"/>
        <v>60.803874564266778</v>
      </c>
    </row>
    <row r="396" spans="1:22">
      <c r="A396" s="73" t="s">
        <v>119</v>
      </c>
      <c r="B396" s="74">
        <v>4.7785799999999998</v>
      </c>
      <c r="C396" s="74">
        <v>4.7688309999999996</v>
      </c>
      <c r="D396" s="74">
        <v>23.928910999999999</v>
      </c>
      <c r="E396" s="74">
        <v>25.710270999999999</v>
      </c>
      <c r="F396" s="74">
        <v>11.071403999999999</v>
      </c>
      <c r="G396" s="74">
        <v>27.229664</v>
      </c>
      <c r="H396" s="74">
        <v>31.690852</v>
      </c>
      <c r="I396" s="74">
        <v>33.230114</v>
      </c>
      <c r="J396" s="74">
        <v>14.696636</v>
      </c>
      <c r="K396" s="74">
        <v>24.076978</v>
      </c>
      <c r="L396" s="7">
        <f>K396/K$301*L$301</f>
        <v>33.707769199999994</v>
      </c>
      <c r="M396" s="7">
        <f t="shared" ref="M396:V396" si="187">L396/L$301*M$301</f>
        <v>38.763934579999997</v>
      </c>
      <c r="N396" s="7">
        <f t="shared" si="187"/>
        <v>42.640328038</v>
      </c>
      <c r="O396" s="7">
        <f t="shared" si="187"/>
        <v>46.051554281040005</v>
      </c>
      <c r="P396" s="7">
        <f t="shared" si="187"/>
        <v>48.354131995092011</v>
      </c>
      <c r="Q396" s="7">
        <f t="shared" si="187"/>
        <v>50.771838594846614</v>
      </c>
      <c r="R396" s="7">
        <f t="shared" si="187"/>
        <v>53.310430524588945</v>
      </c>
      <c r="S396" s="7">
        <f t="shared" si="187"/>
        <v>55.442847745572507</v>
      </c>
      <c r="T396" s="7">
        <f t="shared" si="187"/>
        <v>57.660561655395412</v>
      </c>
      <c r="U396" s="7">
        <f t="shared" si="187"/>
        <v>59.390378505057271</v>
      </c>
      <c r="V396" s="7">
        <f t="shared" si="187"/>
        <v>60.803869513477636</v>
      </c>
    </row>
    <row r="397" spans="1:22">
      <c r="A397" s="72" t="s">
        <v>120</v>
      </c>
      <c r="B397" s="75">
        <v>0</v>
      </c>
      <c r="C397" s="66" t="s">
        <v>2</v>
      </c>
      <c r="D397" s="66" t="s">
        <v>2</v>
      </c>
      <c r="E397" s="66" t="s">
        <v>2</v>
      </c>
      <c r="F397" s="75">
        <v>14.590063000000001</v>
      </c>
      <c r="G397" s="66" t="s">
        <v>2</v>
      </c>
      <c r="H397" s="66" t="s">
        <v>2</v>
      </c>
      <c r="I397" s="66" t="s">
        <v>2</v>
      </c>
      <c r="J397" s="66" t="s">
        <v>2</v>
      </c>
      <c r="K397" s="66">
        <v>0</v>
      </c>
      <c r="L397" s="7">
        <f>K397/K$301*L$301</f>
        <v>0</v>
      </c>
      <c r="M397" s="7">
        <f t="shared" ref="M397:V397" si="188">L397/L$301*M$301</f>
        <v>0</v>
      </c>
      <c r="N397" s="7">
        <f t="shared" si="188"/>
        <v>0</v>
      </c>
      <c r="O397" s="7">
        <f t="shared" si="188"/>
        <v>0</v>
      </c>
      <c r="P397" s="7">
        <f t="shared" si="188"/>
        <v>0</v>
      </c>
      <c r="Q397" s="7">
        <f t="shared" si="188"/>
        <v>0</v>
      </c>
      <c r="R397" s="7">
        <f t="shared" si="188"/>
        <v>0</v>
      </c>
      <c r="S397" s="7">
        <f t="shared" si="188"/>
        <v>0</v>
      </c>
      <c r="T397" s="7">
        <f t="shared" si="188"/>
        <v>0</v>
      </c>
      <c r="U397" s="7">
        <f t="shared" si="188"/>
        <v>0</v>
      </c>
      <c r="V397" s="7">
        <f t="shared" si="188"/>
        <v>0</v>
      </c>
    </row>
    <row r="398" spans="1:22">
      <c r="A398" s="72" t="s">
        <v>368</v>
      </c>
      <c r="B398" s="4">
        <f t="shared" ref="B398:J398" si="189">B390+B393+B394+B395</f>
        <v>2103.386657</v>
      </c>
      <c r="C398" s="4">
        <f t="shared" si="189"/>
        <v>3290.6424569999999</v>
      </c>
      <c r="D398" s="4">
        <f t="shared" si="189"/>
        <v>5120.7522489999992</v>
      </c>
      <c r="E398" s="4">
        <f t="shared" si="189"/>
        <v>6369.5558129999999</v>
      </c>
      <c r="F398" s="4">
        <f t="shared" si="189"/>
        <v>6950.5518549999997</v>
      </c>
      <c r="G398" s="4">
        <f t="shared" si="189"/>
        <v>6696.555718999999</v>
      </c>
      <c r="H398" s="4">
        <f t="shared" si="189"/>
        <v>6326.1113569999998</v>
      </c>
      <c r="I398" s="4">
        <f t="shared" si="189"/>
        <v>6729.1193140000005</v>
      </c>
      <c r="J398" s="4">
        <f t="shared" si="189"/>
        <v>7308.2352989999999</v>
      </c>
      <c r="K398" s="4">
        <f>K390+K393+K394+K395</f>
        <v>6283.302017</v>
      </c>
      <c r="L398" s="4">
        <f>L390+L393+L394+L395</f>
        <v>8796.6228237999985</v>
      </c>
      <c r="M398" s="4">
        <f t="shared" ref="M398:V398" si="190">M390+M393+M394+M395</f>
        <v>10116.116247369999</v>
      </c>
      <c r="N398" s="4">
        <f t="shared" si="190"/>
        <v>11127.727872107</v>
      </c>
      <c r="O398" s="4">
        <f t="shared" si="190"/>
        <v>12017.946101875559</v>
      </c>
      <c r="P398" s="4">
        <f t="shared" si="190"/>
        <v>12618.843406969341</v>
      </c>
      <c r="Q398" s="4">
        <f t="shared" si="190"/>
        <v>13249.785577317809</v>
      </c>
      <c r="R398" s="4">
        <f t="shared" si="190"/>
        <v>13912.2748561837</v>
      </c>
      <c r="S398" s="4">
        <f t="shared" si="190"/>
        <v>14468.765850431048</v>
      </c>
      <c r="T398" s="4">
        <f t="shared" si="190"/>
        <v>15047.516484448292</v>
      </c>
      <c r="U398" s="4">
        <f t="shared" si="190"/>
        <v>15498.941978981738</v>
      </c>
      <c r="V398" s="4">
        <f t="shared" si="190"/>
        <v>15867.816798081503</v>
      </c>
    </row>
    <row r="399" spans="1:22">
      <c r="A399" s="64" t="s">
        <v>14</v>
      </c>
      <c r="B399" s="74">
        <v>2618.8080369999998</v>
      </c>
      <c r="C399" s="74">
        <v>3751.0836060000001</v>
      </c>
      <c r="D399" s="74">
        <v>5589.3198460000003</v>
      </c>
      <c r="E399" s="74">
        <v>6967.3978129999996</v>
      </c>
      <c r="F399" s="74">
        <v>7743.0733280000004</v>
      </c>
      <c r="G399" s="74">
        <v>7458.6562629999999</v>
      </c>
      <c r="H399" s="74">
        <v>7127.4614840000004</v>
      </c>
      <c r="I399" s="74">
        <v>7824.2514199999996</v>
      </c>
      <c r="J399" s="74">
        <v>8902.5464119999997</v>
      </c>
      <c r="K399" s="74">
        <v>7539.6436210000002</v>
      </c>
      <c r="L399" s="4">
        <f>L395+L394+L393+L390+L388</f>
        <v>10555.501070799999</v>
      </c>
      <c r="M399" s="4">
        <f t="shared" ref="M399:V399" si="191">M395+M394+M393+M390+M388</f>
        <v>12138.826231419998</v>
      </c>
      <c r="N399" s="4">
        <f t="shared" si="191"/>
        <v>13352.708854561999</v>
      </c>
      <c r="O399" s="4">
        <f t="shared" si="191"/>
        <v>14420.925562926961</v>
      </c>
      <c r="P399" s="4">
        <f t="shared" si="191"/>
        <v>15141.971841073309</v>
      </c>
      <c r="Q399" s="4">
        <f t="shared" si="191"/>
        <v>15899.070433126977</v>
      </c>
      <c r="R399" s="4">
        <f t="shared" si="191"/>
        <v>16694.023954783326</v>
      </c>
      <c r="S399" s="4">
        <f t="shared" si="191"/>
        <v>17361.784912974661</v>
      </c>
      <c r="T399" s="4">
        <f t="shared" si="191"/>
        <v>18056.256309493649</v>
      </c>
      <c r="U399" s="4">
        <f t="shared" si="191"/>
        <v>18597.943998778457</v>
      </c>
      <c r="V399" s="7">
        <f t="shared" si="191"/>
        <v>19040.575065949386</v>
      </c>
    </row>
    <row r="400" spans="1:22">
      <c r="A400" s="18" t="s">
        <v>121</v>
      </c>
      <c r="B400" s="21"/>
      <c r="C400" s="21"/>
      <c r="D400" s="21"/>
      <c r="E400" s="21"/>
      <c r="F400" s="21"/>
      <c r="G400" s="21"/>
      <c r="H400" s="21"/>
      <c r="I400" s="21"/>
      <c r="J400" s="21"/>
      <c r="K400" s="21"/>
    </row>
    <row r="401" spans="1:22">
      <c r="A401" s="7" t="s">
        <v>122</v>
      </c>
      <c r="B401" s="7">
        <v>2943.0667189999999</v>
      </c>
      <c r="C401" s="7">
        <v>3090.2966670000001</v>
      </c>
      <c r="D401" s="7">
        <v>3823.8998489999999</v>
      </c>
      <c r="E401" s="7">
        <v>6140.9861309999997</v>
      </c>
      <c r="F401" s="7">
        <v>6472.9035809999996</v>
      </c>
      <c r="G401" s="7">
        <v>6525.7782070000003</v>
      </c>
      <c r="H401" s="7">
        <v>6313.0524839999998</v>
      </c>
      <c r="I401" s="7">
        <v>7337.525568</v>
      </c>
      <c r="J401" s="7">
        <v>7480.4907890000004</v>
      </c>
      <c r="K401" s="7">
        <v>7218.6859329999997</v>
      </c>
      <c r="L401" s="4">
        <f>L408</f>
        <v>7369.8277608479839</v>
      </c>
      <c r="M401" s="4">
        <f t="shared" ref="M401:V401" si="192">M408</f>
        <v>7610.5082705979003</v>
      </c>
      <c r="N401" s="4">
        <f t="shared" si="192"/>
        <v>7872.8553780882476</v>
      </c>
      <c r="O401" s="4">
        <f t="shared" si="192"/>
        <v>8154.269091590173</v>
      </c>
      <c r="P401" s="4">
        <f t="shared" si="192"/>
        <v>8448.5527641499139</v>
      </c>
      <c r="Q401" s="4">
        <f t="shared" si="192"/>
        <v>8756.3498937203622</v>
      </c>
      <c r="R401" s="4">
        <f t="shared" si="192"/>
        <v>9078.3361531520513</v>
      </c>
      <c r="S401" s="4">
        <f t="shared" si="192"/>
        <v>9412.241281667184</v>
      </c>
      <c r="T401" s="4">
        <f t="shared" si="192"/>
        <v>9758.5420340290966</v>
      </c>
      <c r="U401" s="4">
        <f t="shared" si="192"/>
        <v>10114.511372991501</v>
      </c>
      <c r="V401" s="4">
        <f t="shared" si="192"/>
        <v>10478.381236351383</v>
      </c>
    </row>
    <row r="402" spans="1:22">
      <c r="A402" s="7" t="s">
        <v>123</v>
      </c>
      <c r="B402" s="7">
        <v>1642.1108079999999</v>
      </c>
      <c r="C402" s="7">
        <v>1688.6842610000001</v>
      </c>
      <c r="D402" s="7">
        <v>2036.5025430000001</v>
      </c>
      <c r="E402" s="7">
        <v>3845.9583309999998</v>
      </c>
      <c r="F402" s="7">
        <v>4325.9432340000003</v>
      </c>
      <c r="G402" s="7">
        <v>4346.5543429999998</v>
      </c>
      <c r="H402" s="7">
        <v>4030.4839229999998</v>
      </c>
      <c r="I402" s="7">
        <v>4477.901989</v>
      </c>
      <c r="J402" s="7">
        <v>4493.0507150000003</v>
      </c>
      <c r="K402" s="7">
        <v>4998.5356060000004</v>
      </c>
      <c r="L402" s="82">
        <f>K402</f>
        <v>4998.5356060000004</v>
      </c>
      <c r="M402" s="82">
        <f t="shared" ref="M402:V402" si="193">L402</f>
        <v>4998.5356060000004</v>
      </c>
      <c r="N402" s="82">
        <f t="shared" si="193"/>
        <v>4998.5356060000004</v>
      </c>
      <c r="O402" s="82">
        <f t="shared" si="193"/>
        <v>4998.5356060000004</v>
      </c>
      <c r="P402" s="82">
        <f t="shared" si="193"/>
        <v>4998.5356060000004</v>
      </c>
      <c r="Q402" s="82">
        <f t="shared" si="193"/>
        <v>4998.5356060000004</v>
      </c>
      <c r="R402" s="82">
        <f t="shared" si="193"/>
        <v>4998.5356060000004</v>
      </c>
      <c r="S402" s="82">
        <f t="shared" si="193"/>
        <v>4998.5356060000004</v>
      </c>
      <c r="T402" s="82">
        <f t="shared" si="193"/>
        <v>4998.5356060000004</v>
      </c>
      <c r="U402" s="82">
        <f t="shared" si="193"/>
        <v>4998.5356060000004</v>
      </c>
      <c r="V402" s="82">
        <f t="shared" si="193"/>
        <v>4998.5356060000004</v>
      </c>
    </row>
    <row r="403" spans="1:22">
      <c r="A403" s="7" t="s">
        <v>124</v>
      </c>
      <c r="B403" s="7">
        <v>1288.3183770000001</v>
      </c>
      <c r="C403" s="7">
        <v>1390.352533</v>
      </c>
      <c r="D403" s="7">
        <v>1783.5142229999999</v>
      </c>
      <c r="E403" s="7">
        <v>2307.7191910000001</v>
      </c>
      <c r="F403" s="7">
        <v>2164.7927979999999</v>
      </c>
      <c r="G403" s="7">
        <v>2194.0961189999998</v>
      </c>
      <c r="H403" s="7">
        <v>2290.794605</v>
      </c>
      <c r="I403" s="7">
        <v>2867.362216</v>
      </c>
      <c r="J403" s="7">
        <v>2989.885483</v>
      </c>
      <c r="K403" s="7">
        <v>2219.1952310000001</v>
      </c>
      <c r="L403" s="4">
        <f>K403+L327+L446+L449</f>
        <v>2370.3370588479843</v>
      </c>
      <c r="M403" s="4">
        <f t="shared" ref="M403:V403" si="194">L403+M327+M446+M449</f>
        <v>2611.0175685979007</v>
      </c>
      <c r="N403" s="4">
        <f t="shared" si="194"/>
        <v>2873.3646760882475</v>
      </c>
      <c r="O403" s="4">
        <f t="shared" si="194"/>
        <v>3154.778389590173</v>
      </c>
      <c r="P403" s="4">
        <f t="shared" si="194"/>
        <v>3449.0620621499143</v>
      </c>
      <c r="Q403" s="4">
        <f t="shared" si="194"/>
        <v>3756.8591917203617</v>
      </c>
      <c r="R403" s="4">
        <f t="shared" si="194"/>
        <v>4078.8454511520513</v>
      </c>
      <c r="S403" s="4">
        <f t="shared" si="194"/>
        <v>4412.750579667184</v>
      </c>
      <c r="T403" s="4">
        <f t="shared" si="194"/>
        <v>4759.0513320290975</v>
      </c>
      <c r="U403" s="4">
        <f t="shared" si="194"/>
        <v>5115.0206709915001</v>
      </c>
      <c r="V403" s="4">
        <f t="shared" si="194"/>
        <v>5478.8905343513825</v>
      </c>
    </row>
    <row r="404" spans="1:22">
      <c r="A404" s="7" t="s">
        <v>352</v>
      </c>
      <c r="B404" s="7">
        <v>0.41552899999999998</v>
      </c>
      <c r="C404" s="7">
        <v>-0.96513199999999999</v>
      </c>
      <c r="D404" s="7">
        <v>-6.0492929999999996</v>
      </c>
      <c r="E404" s="7">
        <v>-17.746684999999999</v>
      </c>
      <c r="F404" s="7">
        <v>-25.759053999999999</v>
      </c>
      <c r="G404" s="7">
        <v>-24.368181</v>
      </c>
      <c r="H404" s="7">
        <v>-21.935690000000001</v>
      </c>
      <c r="I404" s="7">
        <v>-27.21875</v>
      </c>
      <c r="J404" s="7">
        <v>-30.225477999999999</v>
      </c>
      <c r="K404" s="7">
        <v>-28.937989999999999</v>
      </c>
      <c r="L404" s="102">
        <v>-28.937989999999999</v>
      </c>
      <c r="M404" s="102">
        <v>-28.937989999999999</v>
      </c>
      <c r="N404" s="102">
        <v>-28.937989999999999</v>
      </c>
      <c r="O404" s="102">
        <v>-28.937989999999999</v>
      </c>
      <c r="P404" s="102">
        <v>-28.937989999999999</v>
      </c>
      <c r="Q404" s="102">
        <v>-28.937989999999999</v>
      </c>
      <c r="R404" s="102">
        <v>-28.937989999999999</v>
      </c>
      <c r="S404" s="102">
        <v>-28.937989999999999</v>
      </c>
      <c r="T404" s="102">
        <v>-28.937989999999999</v>
      </c>
      <c r="U404" s="102">
        <v>-28.937989999999999</v>
      </c>
      <c r="V404" s="102">
        <v>-28.937989999999999</v>
      </c>
    </row>
    <row r="405" spans="1:22">
      <c r="A405" s="7" t="s">
        <v>125</v>
      </c>
      <c r="B405" s="7">
        <v>17.68533</v>
      </c>
      <c r="C405" s="7">
        <v>12.225004999999999</v>
      </c>
      <c r="D405" s="7">
        <v>9.9323759999999996</v>
      </c>
      <c r="E405" s="7">
        <v>5.055294</v>
      </c>
      <c r="F405" s="7">
        <v>7.9266030000000001</v>
      </c>
      <c r="G405" s="7">
        <v>9.4959260000000008</v>
      </c>
      <c r="H405" s="7">
        <v>13.709645999999999</v>
      </c>
      <c r="I405" s="7">
        <v>19.480114</v>
      </c>
      <c r="J405" s="7">
        <v>27.780069999999998</v>
      </c>
      <c r="K405" s="7">
        <v>29.893086</v>
      </c>
      <c r="L405" s="83">
        <f>K405</f>
        <v>29.893086</v>
      </c>
      <c r="M405" s="83">
        <f>L405</f>
        <v>29.893086</v>
      </c>
      <c r="N405" s="83">
        <f t="shared" ref="N405:V405" si="195">M405</f>
        <v>29.893086</v>
      </c>
      <c r="O405" s="83">
        <f t="shared" si="195"/>
        <v>29.893086</v>
      </c>
      <c r="P405" s="83">
        <f t="shared" si="195"/>
        <v>29.893086</v>
      </c>
      <c r="Q405" s="83">
        <f t="shared" si="195"/>
        <v>29.893086</v>
      </c>
      <c r="R405" s="83">
        <f t="shared" si="195"/>
        <v>29.893086</v>
      </c>
      <c r="S405" s="83">
        <f t="shared" si="195"/>
        <v>29.893086</v>
      </c>
      <c r="T405" s="83">
        <f t="shared" si="195"/>
        <v>29.893086</v>
      </c>
      <c r="U405" s="83">
        <f t="shared" si="195"/>
        <v>29.893086</v>
      </c>
      <c r="V405" s="83">
        <f t="shared" si="195"/>
        <v>29.893086</v>
      </c>
    </row>
    <row r="406" spans="1:22">
      <c r="A406" s="7" t="s">
        <v>353</v>
      </c>
      <c r="B406" s="7">
        <v>-5.4633240000000001</v>
      </c>
      <c r="C406" s="7">
        <v>0</v>
      </c>
      <c r="D406" s="7">
        <v>0</v>
      </c>
      <c r="E406" s="7">
        <v>0</v>
      </c>
      <c r="F406" s="7">
        <v>0</v>
      </c>
      <c r="G406" s="7">
        <v>0</v>
      </c>
      <c r="H406" s="7">
        <v>0</v>
      </c>
      <c r="I406" s="7">
        <v>0</v>
      </c>
      <c r="J406" s="7">
        <v>0</v>
      </c>
      <c r="K406" s="7">
        <v>0</v>
      </c>
      <c r="L406" s="4">
        <f>K406</f>
        <v>0</v>
      </c>
      <c r="M406" s="4">
        <f t="shared" ref="M406:V406" si="196">L406</f>
        <v>0</v>
      </c>
      <c r="N406" s="4">
        <f t="shared" si="196"/>
        <v>0</v>
      </c>
      <c r="O406" s="4">
        <f t="shared" si="196"/>
        <v>0</v>
      </c>
      <c r="P406" s="4">
        <f t="shared" si="196"/>
        <v>0</v>
      </c>
      <c r="Q406" s="4">
        <f t="shared" si="196"/>
        <v>0</v>
      </c>
      <c r="R406" s="4">
        <f t="shared" si="196"/>
        <v>0</v>
      </c>
      <c r="S406" s="4">
        <f t="shared" si="196"/>
        <v>0</v>
      </c>
      <c r="T406" s="4">
        <f t="shared" si="196"/>
        <v>0</v>
      </c>
      <c r="U406" s="4">
        <f t="shared" si="196"/>
        <v>0</v>
      </c>
      <c r="V406" s="7">
        <f t="shared" si="196"/>
        <v>0</v>
      </c>
    </row>
    <row r="407" spans="1:22">
      <c r="A407" s="64" t="s">
        <v>126</v>
      </c>
      <c r="B407" s="74">
        <v>2943.0667189999999</v>
      </c>
      <c r="C407" s="74">
        <v>3090.2966670000001</v>
      </c>
      <c r="D407" s="74">
        <v>3823.8998489999999</v>
      </c>
      <c r="E407" s="74">
        <v>6140.9861309999997</v>
      </c>
      <c r="F407" s="74">
        <v>6472.9035809999996</v>
      </c>
      <c r="G407" s="74">
        <v>6525.7782070000003</v>
      </c>
      <c r="H407" s="74">
        <v>6313.0524839999998</v>
      </c>
      <c r="I407" s="74">
        <v>7337.525568</v>
      </c>
      <c r="J407" s="74">
        <v>7480.4907890000004</v>
      </c>
      <c r="K407" s="74">
        <v>7218.6859329999997</v>
      </c>
      <c r="L407" s="4">
        <f>SUM(L402:L406)</f>
        <v>7369.8277608479839</v>
      </c>
      <c r="M407" s="4">
        <f t="shared" ref="M407:V407" si="197">SUM(M402:M406)</f>
        <v>7610.5082705979003</v>
      </c>
      <c r="N407" s="4">
        <f t="shared" si="197"/>
        <v>7872.8553780882476</v>
      </c>
      <c r="O407" s="4">
        <f t="shared" si="197"/>
        <v>8154.269091590173</v>
      </c>
      <c r="P407" s="4">
        <f t="shared" si="197"/>
        <v>8448.5527641499139</v>
      </c>
      <c r="Q407" s="4">
        <f t="shared" si="197"/>
        <v>8756.3498937203622</v>
      </c>
      <c r="R407" s="4">
        <f t="shared" si="197"/>
        <v>9078.3361531520513</v>
      </c>
      <c r="S407" s="4">
        <f t="shared" si="197"/>
        <v>9412.241281667184</v>
      </c>
      <c r="T407" s="4">
        <f t="shared" si="197"/>
        <v>9758.5420340290966</v>
      </c>
      <c r="U407" s="4">
        <f t="shared" si="197"/>
        <v>10114.511372991501</v>
      </c>
      <c r="V407" s="7">
        <f t="shared" si="197"/>
        <v>10478.381236351383</v>
      </c>
    </row>
    <row r="408" spans="1:22">
      <c r="A408" s="65" t="s">
        <v>15</v>
      </c>
      <c r="B408" s="75">
        <v>2943.0667189999999</v>
      </c>
      <c r="C408" s="75">
        <v>3090.2966670000001</v>
      </c>
      <c r="D408" s="75">
        <v>3823.8998489999999</v>
      </c>
      <c r="E408" s="75">
        <v>6140.9861309999997</v>
      </c>
      <c r="F408" s="75">
        <v>6472.9035809999996</v>
      </c>
      <c r="G408" s="75">
        <v>6525.7782070000003</v>
      </c>
      <c r="H408" s="75">
        <v>6313.0524839999998</v>
      </c>
      <c r="I408" s="75">
        <v>7337.525568</v>
      </c>
      <c r="J408" s="75">
        <v>7480.4907890000004</v>
      </c>
      <c r="K408" s="75">
        <v>7218.6859329999997</v>
      </c>
      <c r="L408" s="4">
        <f>L407</f>
        <v>7369.8277608479839</v>
      </c>
      <c r="M408" s="4">
        <f t="shared" ref="M408:V408" si="198">M407</f>
        <v>7610.5082705979003</v>
      </c>
      <c r="N408" s="4">
        <f t="shared" si="198"/>
        <v>7872.8553780882476</v>
      </c>
      <c r="O408" s="4">
        <f t="shared" si="198"/>
        <v>8154.269091590173</v>
      </c>
      <c r="P408" s="4">
        <f t="shared" si="198"/>
        <v>8448.5527641499139</v>
      </c>
      <c r="Q408" s="4">
        <f t="shared" si="198"/>
        <v>8756.3498937203622</v>
      </c>
      <c r="R408" s="4">
        <f t="shared" si="198"/>
        <v>9078.3361531520513</v>
      </c>
      <c r="S408" s="4">
        <f t="shared" si="198"/>
        <v>9412.241281667184</v>
      </c>
      <c r="T408" s="4">
        <f t="shared" si="198"/>
        <v>9758.5420340290966</v>
      </c>
      <c r="U408" s="4">
        <f t="shared" si="198"/>
        <v>10114.511372991501</v>
      </c>
      <c r="V408" s="4">
        <f t="shared" si="198"/>
        <v>10478.381236351383</v>
      </c>
    </row>
    <row r="409" spans="1:22">
      <c r="A409" s="63" t="s">
        <v>127</v>
      </c>
      <c r="B409" s="74">
        <v>5561.8747560000002</v>
      </c>
      <c r="C409" s="74">
        <v>6841.3802740000001</v>
      </c>
      <c r="D409" s="74">
        <v>9413.2196949999998</v>
      </c>
      <c r="E409" s="74">
        <v>13108.383943000001</v>
      </c>
      <c r="F409" s="74">
        <v>14215.976909000001</v>
      </c>
      <c r="G409" s="74">
        <v>13984.43447</v>
      </c>
      <c r="H409" s="74">
        <v>13440.513967999999</v>
      </c>
      <c r="I409" s="74">
        <v>15161.776989</v>
      </c>
      <c r="J409" s="74">
        <v>16383.037200000001</v>
      </c>
      <c r="K409" s="74">
        <v>14758.329554</v>
      </c>
      <c r="L409" s="4">
        <f>SUM(L407,L399)</f>
        <v>17925.328831647981</v>
      </c>
      <c r="M409" s="4">
        <f t="shared" ref="M409:V409" si="199">SUM(M407,M399)</f>
        <v>19749.334502017897</v>
      </c>
      <c r="N409" s="4">
        <f t="shared" si="199"/>
        <v>21225.564232650246</v>
      </c>
      <c r="O409" s="4">
        <f t="shared" si="199"/>
        <v>22575.194654517134</v>
      </c>
      <c r="P409" s="4">
        <f t="shared" si="199"/>
        <v>23590.524605223225</v>
      </c>
      <c r="Q409" s="4">
        <f t="shared" si="199"/>
        <v>24655.420326847339</v>
      </c>
      <c r="R409" s="4">
        <f t="shared" si="199"/>
        <v>25772.360107935376</v>
      </c>
      <c r="S409" s="4">
        <f t="shared" si="199"/>
        <v>26774.026194641847</v>
      </c>
      <c r="T409" s="4">
        <f t="shared" si="199"/>
        <v>27814.798343522743</v>
      </c>
      <c r="U409" s="4">
        <f t="shared" si="199"/>
        <v>28712.45537176996</v>
      </c>
      <c r="V409" s="4">
        <f t="shared" si="199"/>
        <v>29518.956302300769</v>
      </c>
    </row>
    <row r="410" spans="1:22">
      <c r="A410" s="21" t="s">
        <v>78</v>
      </c>
      <c r="B410" s="21"/>
      <c r="C410" s="21"/>
      <c r="D410" s="21"/>
      <c r="E410" s="21"/>
      <c r="F410" s="21"/>
      <c r="G410" s="21"/>
      <c r="H410" s="21"/>
      <c r="I410" s="21"/>
      <c r="J410" s="21"/>
      <c r="K410" s="21"/>
    </row>
    <row r="411" spans="1:22">
      <c r="A411" s="63" t="s">
        <v>128</v>
      </c>
      <c r="B411" s="69">
        <v>2.16398</v>
      </c>
      <c r="C411" s="69">
        <v>2.25589</v>
      </c>
      <c r="D411" s="69">
        <v>2.7735300000000001</v>
      </c>
      <c r="E411" s="69">
        <v>3.92957</v>
      </c>
      <c r="F411" s="69">
        <v>4.1419600000000001</v>
      </c>
      <c r="G411" s="69">
        <v>4.1757900000000001</v>
      </c>
      <c r="H411" s="69">
        <v>4.0371800000000002</v>
      </c>
      <c r="I411" s="69">
        <v>4.6923300000000001</v>
      </c>
      <c r="J411" s="69">
        <v>4.7802600000000002</v>
      </c>
      <c r="K411" s="69">
        <v>3.47411</v>
      </c>
    </row>
    <row r="412" spans="1:22">
      <c r="A412" s="67" t="s">
        <v>129</v>
      </c>
      <c r="B412" s="68">
        <v>2.1639759999999999</v>
      </c>
      <c r="C412" s="68">
        <v>2.2558850000000001</v>
      </c>
      <c r="D412" s="68">
        <v>2.7735289999999999</v>
      </c>
      <c r="E412" s="68">
        <v>3.9295689999999999</v>
      </c>
      <c r="F412" s="68">
        <v>4.1419600000000001</v>
      </c>
      <c r="G412" s="68">
        <v>4.1757939999999998</v>
      </c>
      <c r="H412" s="68">
        <v>4.0371839999999999</v>
      </c>
      <c r="I412" s="68">
        <v>4.6923320000000004</v>
      </c>
      <c r="J412" s="68">
        <v>4.7802579999999999</v>
      </c>
      <c r="K412" s="68">
        <v>3.4741119999999999</v>
      </c>
    </row>
    <row r="413" spans="1:22">
      <c r="A413" s="25" t="s">
        <v>347</v>
      </c>
    </row>
    <row r="414" spans="1:22">
      <c r="L414" s="87"/>
    </row>
    <row r="416" spans="1:22">
      <c r="A416" s="15" t="s">
        <v>372</v>
      </c>
      <c r="B416" s="15"/>
      <c r="C416" s="15"/>
      <c r="D416" s="15"/>
      <c r="E416" s="15"/>
      <c r="F416" s="15"/>
      <c r="G416" s="15"/>
      <c r="H416" s="15"/>
      <c r="I416" s="15"/>
      <c r="J416" s="15"/>
      <c r="K416" s="15"/>
      <c r="L416" s="15"/>
      <c r="M416" s="15"/>
      <c r="N416" s="15"/>
      <c r="O416" s="15"/>
      <c r="P416" s="15"/>
      <c r="Q416" s="15"/>
      <c r="R416" s="15"/>
      <c r="S416" s="15"/>
      <c r="T416" s="15"/>
      <c r="U416" s="15"/>
      <c r="V416" s="15"/>
    </row>
    <row r="417" spans="1:22">
      <c r="A417" s="15"/>
      <c r="B417" s="15"/>
      <c r="C417" s="15"/>
      <c r="D417" s="15"/>
      <c r="E417" s="15"/>
      <c r="F417" s="15"/>
      <c r="G417" s="15"/>
      <c r="H417" s="15"/>
      <c r="I417" s="15"/>
      <c r="J417" s="15"/>
      <c r="K417" s="15"/>
      <c r="L417" s="15"/>
      <c r="M417" s="15"/>
      <c r="N417" s="15"/>
      <c r="O417" s="15"/>
      <c r="P417" s="15"/>
      <c r="Q417" s="15"/>
      <c r="R417" s="15"/>
      <c r="S417" s="15"/>
      <c r="T417" s="15"/>
      <c r="U417" s="15"/>
      <c r="V417" s="15"/>
    </row>
    <row r="418" spans="1:22">
      <c r="A418" s="15" t="s">
        <v>47</v>
      </c>
      <c r="B418" s="15"/>
      <c r="C418" s="15"/>
      <c r="D418" s="15"/>
      <c r="E418" s="15"/>
      <c r="F418" s="15"/>
      <c r="G418" s="15"/>
      <c r="H418" s="15"/>
      <c r="I418" s="15"/>
      <c r="J418" s="15"/>
      <c r="K418" s="15"/>
      <c r="L418" s="15" t="s">
        <v>0</v>
      </c>
      <c r="M418" s="15" t="s">
        <v>0</v>
      </c>
      <c r="N418" s="15" t="s">
        <v>0</v>
      </c>
      <c r="O418" s="15" t="s">
        <v>0</v>
      </c>
      <c r="P418" s="15" t="s">
        <v>0</v>
      </c>
      <c r="Q418" s="15" t="s">
        <v>0</v>
      </c>
      <c r="R418" s="15" t="s">
        <v>0</v>
      </c>
      <c r="S418" s="15" t="s">
        <v>0</v>
      </c>
      <c r="T418" s="15" t="s">
        <v>0</v>
      </c>
      <c r="U418" s="15" t="s">
        <v>0</v>
      </c>
      <c r="V418" s="15" t="s">
        <v>0</v>
      </c>
    </row>
    <row r="419" spans="1:22">
      <c r="A419" s="15"/>
      <c r="B419" s="15" t="s">
        <v>57</v>
      </c>
      <c r="C419" s="15" t="s">
        <v>56</v>
      </c>
      <c r="D419" s="15" t="s">
        <v>55</v>
      </c>
      <c r="E419" s="15" t="s">
        <v>54</v>
      </c>
      <c r="F419" s="15" t="s">
        <v>53</v>
      </c>
      <c r="G419" s="15" t="s">
        <v>52</v>
      </c>
      <c r="H419" s="15" t="s">
        <v>51</v>
      </c>
      <c r="I419" s="15" t="s">
        <v>50</v>
      </c>
      <c r="J419" s="15" t="s">
        <v>49</v>
      </c>
      <c r="K419" s="15" t="s">
        <v>48</v>
      </c>
      <c r="L419" s="15" t="s">
        <v>219</v>
      </c>
      <c r="M419" s="15" t="s">
        <v>220</v>
      </c>
      <c r="N419" s="15" t="s">
        <v>221</v>
      </c>
      <c r="O419" s="15" t="s">
        <v>222</v>
      </c>
      <c r="P419" s="15" t="s">
        <v>223</v>
      </c>
      <c r="Q419" s="15" t="s">
        <v>224</v>
      </c>
      <c r="R419" s="15" t="s">
        <v>225</v>
      </c>
      <c r="S419" s="15" t="s">
        <v>226</v>
      </c>
      <c r="T419" s="15" t="s">
        <v>227</v>
      </c>
      <c r="U419" s="15" t="s">
        <v>228</v>
      </c>
      <c r="V419" s="15" t="s">
        <v>229</v>
      </c>
    </row>
    <row r="420" spans="1:22">
      <c r="A420" s="15"/>
      <c r="B420" s="15"/>
      <c r="C420" s="15"/>
      <c r="D420" s="15"/>
      <c r="E420" s="15"/>
      <c r="F420" s="15"/>
      <c r="G420" s="15"/>
      <c r="H420" s="15"/>
      <c r="I420" s="15"/>
      <c r="J420" s="15"/>
      <c r="K420" s="15"/>
      <c r="L420" s="15"/>
      <c r="M420" s="15"/>
      <c r="N420" s="15"/>
      <c r="O420" s="15"/>
      <c r="P420" s="15"/>
      <c r="Q420" s="15"/>
      <c r="R420" s="15"/>
      <c r="S420" s="15"/>
      <c r="T420" s="15"/>
      <c r="U420" s="15"/>
      <c r="V420" s="15"/>
    </row>
    <row r="421" spans="1:22">
      <c r="A421" s="21" t="s">
        <v>130</v>
      </c>
      <c r="B421" s="21"/>
      <c r="C421" s="21"/>
      <c r="D421" s="21"/>
      <c r="E421" s="21"/>
      <c r="F421" s="21"/>
      <c r="G421" s="21"/>
      <c r="H421" s="21"/>
      <c r="I421" s="21"/>
      <c r="J421" s="21"/>
      <c r="K421" s="21"/>
    </row>
    <row r="422" spans="1:22">
      <c r="A422" s="63" t="s">
        <v>131</v>
      </c>
      <c r="B422" s="70">
        <v>196.26626999999999</v>
      </c>
      <c r="C422" s="70">
        <v>169.862493</v>
      </c>
      <c r="D422" s="70">
        <v>213.31031999999999</v>
      </c>
      <c r="E422" s="70">
        <v>391.89433600000001</v>
      </c>
      <c r="F422" s="29">
        <v>-52.482618000000002</v>
      </c>
      <c r="G422" s="70">
        <v>120.790128</v>
      </c>
      <c r="H422" s="70">
        <v>394.11017299999997</v>
      </c>
      <c r="I422" s="70">
        <v>456.96939500000002</v>
      </c>
      <c r="J422" s="70">
        <v>449.56332200000003</v>
      </c>
      <c r="K422" s="29">
        <v>-465.777402</v>
      </c>
      <c r="L422" s="7">
        <f>L327</f>
        <v>274.80332335997122</v>
      </c>
      <c r="M422" s="7">
        <f t="shared" ref="M422:V422" si="200">M327</f>
        <v>437.60092681803025</v>
      </c>
      <c r="N422" s="7">
        <f t="shared" si="200"/>
        <v>476.99474089154006</v>
      </c>
      <c r="O422" s="7">
        <f t="shared" si="200"/>
        <v>511.66129727622871</v>
      </c>
      <c r="P422" s="7">
        <f t="shared" si="200"/>
        <v>535.06122283589343</v>
      </c>
      <c r="Q422" s="7">
        <f t="shared" si="200"/>
        <v>559.63114467354148</v>
      </c>
      <c r="R422" s="7">
        <f t="shared" si="200"/>
        <v>585.42956260307187</v>
      </c>
      <c r="S422" s="7">
        <f t="shared" si="200"/>
        <v>607.10023366387748</v>
      </c>
      <c r="T422" s="7">
        <f t="shared" si="200"/>
        <v>629.63773156711522</v>
      </c>
      <c r="U422" s="7">
        <f t="shared" si="200"/>
        <v>647.21697993164071</v>
      </c>
      <c r="V422" s="7">
        <f t="shared" si="200"/>
        <v>661.58156974523979</v>
      </c>
    </row>
    <row r="423" spans="1:22">
      <c r="A423" s="18" t="s">
        <v>132</v>
      </c>
      <c r="B423" s="30">
        <v>49.731748000000003</v>
      </c>
      <c r="C423" s="30">
        <v>52.974677999999997</v>
      </c>
      <c r="D423" s="30">
        <v>59.927880000000002</v>
      </c>
      <c r="E423" s="30">
        <v>291.36724500000003</v>
      </c>
      <c r="F423" s="30">
        <v>557.12440200000003</v>
      </c>
      <c r="G423" s="30">
        <v>601.07734400000004</v>
      </c>
      <c r="H423" s="30">
        <v>509.68757499999998</v>
      </c>
      <c r="I423" s="30">
        <v>457.551987</v>
      </c>
      <c r="J423" s="30">
        <v>618.16755499999999</v>
      </c>
      <c r="K423" s="30">
        <v>634.86405300000001</v>
      </c>
      <c r="L423" s="7">
        <f>L304</f>
        <v>666.24977799999999</v>
      </c>
      <c r="M423" s="7">
        <f t="shared" ref="M423:V423" si="201">M304</f>
        <v>666.24977799999999</v>
      </c>
      <c r="N423" s="7">
        <f t="shared" si="201"/>
        <v>666.24977799999999</v>
      </c>
      <c r="O423" s="7">
        <f t="shared" si="201"/>
        <v>666.24977799999999</v>
      </c>
      <c r="P423" s="7">
        <f t="shared" si="201"/>
        <v>666.24977799999999</v>
      </c>
      <c r="Q423" s="7">
        <f t="shared" si="201"/>
        <v>666.24977799999999</v>
      </c>
      <c r="R423" s="7">
        <f t="shared" si="201"/>
        <v>666.24977799999999</v>
      </c>
      <c r="S423" s="7">
        <f t="shared" si="201"/>
        <v>666.24977799999999</v>
      </c>
      <c r="T423" s="7">
        <f t="shared" si="201"/>
        <v>666.24977799999999</v>
      </c>
      <c r="U423" s="7">
        <f t="shared" si="201"/>
        <v>666.24977799999999</v>
      </c>
      <c r="V423" s="7">
        <f t="shared" si="201"/>
        <v>666.24977799999999</v>
      </c>
    </row>
    <row r="424" spans="1:22">
      <c r="A424" s="64" t="s">
        <v>133</v>
      </c>
      <c r="B424" s="70">
        <v>49.731748000000003</v>
      </c>
      <c r="C424" s="70">
        <v>52.974677999999997</v>
      </c>
      <c r="D424" s="70">
        <v>59.927880000000002</v>
      </c>
      <c r="E424" s="70">
        <v>291.36724500000003</v>
      </c>
      <c r="F424" s="70">
        <v>557.12440200000003</v>
      </c>
      <c r="G424" s="70">
        <v>601.07734400000004</v>
      </c>
      <c r="H424" s="70">
        <v>509.68757499999998</v>
      </c>
      <c r="I424" s="70">
        <v>457.551987</v>
      </c>
      <c r="J424" s="70">
        <v>618.16755499999999</v>
      </c>
      <c r="K424" s="70">
        <v>634.86405300000001</v>
      </c>
      <c r="L424" s="7" t="e">
        <f>NA()</f>
        <v>#N/A</v>
      </c>
      <c r="M424" s="7" t="e">
        <f>NA()</f>
        <v>#N/A</v>
      </c>
      <c r="N424" s="7" t="e">
        <f>NA()</f>
        <v>#N/A</v>
      </c>
      <c r="O424" s="7" t="e">
        <f>NA()</f>
        <v>#N/A</v>
      </c>
      <c r="P424" s="7" t="e">
        <f>NA()</f>
        <v>#N/A</v>
      </c>
      <c r="Q424" s="7" t="e">
        <f>NA()</f>
        <v>#N/A</v>
      </c>
      <c r="R424" s="7" t="e">
        <f>NA()</f>
        <v>#N/A</v>
      </c>
      <c r="S424" s="7" t="e">
        <f>NA()</f>
        <v>#N/A</v>
      </c>
      <c r="T424" s="7" t="e">
        <f>NA()</f>
        <v>#N/A</v>
      </c>
      <c r="U424" s="7" t="e">
        <f>NA()</f>
        <v>#N/A</v>
      </c>
      <c r="V424" s="7" t="e">
        <f>NA()</f>
        <v>#N/A</v>
      </c>
    </row>
    <row r="425" spans="1:22">
      <c r="A425" s="67" t="s">
        <v>134</v>
      </c>
      <c r="B425" s="71">
        <v>113.416534</v>
      </c>
      <c r="C425" s="71">
        <v>34.740693</v>
      </c>
      <c r="D425" s="71">
        <v>109.168572</v>
      </c>
      <c r="E425" s="71">
        <v>416.135738</v>
      </c>
      <c r="F425" s="71">
        <v>577.38342299999999</v>
      </c>
      <c r="G425" s="71">
        <v>52.869473999999997</v>
      </c>
      <c r="H425" s="71">
        <v>49.672764999999998</v>
      </c>
      <c r="I425" s="71">
        <v>16.727768000000001</v>
      </c>
      <c r="J425" s="71">
        <v>28.422554999999999</v>
      </c>
      <c r="K425" s="71">
        <v>598.98552299999994</v>
      </c>
      <c r="L425" s="7" t="e">
        <f>NA()</f>
        <v>#N/A</v>
      </c>
      <c r="M425" s="7" t="e">
        <f>NA()</f>
        <v>#N/A</v>
      </c>
      <c r="N425" s="7" t="e">
        <f>NA()</f>
        <v>#N/A</v>
      </c>
      <c r="O425" s="7" t="e">
        <f>NA()</f>
        <v>#N/A</v>
      </c>
      <c r="P425" s="7" t="e">
        <f>NA()</f>
        <v>#N/A</v>
      </c>
      <c r="Q425" s="7" t="e">
        <f>NA()</f>
        <v>#N/A</v>
      </c>
      <c r="R425" s="7" t="e">
        <f>NA()</f>
        <v>#N/A</v>
      </c>
      <c r="S425" s="7" t="e">
        <f>NA()</f>
        <v>#N/A</v>
      </c>
      <c r="T425" s="7" t="e">
        <f>NA()</f>
        <v>#N/A</v>
      </c>
      <c r="U425" s="7" t="e">
        <f>NA()</f>
        <v>#N/A</v>
      </c>
      <c r="V425" s="7" t="e">
        <f>NA()</f>
        <v>#N/A</v>
      </c>
    </row>
    <row r="426" spans="1:22">
      <c r="A426" s="63" t="s">
        <v>135</v>
      </c>
      <c r="B426" s="70">
        <v>359.41455200000001</v>
      </c>
      <c r="C426" s="70">
        <v>257.57786299999998</v>
      </c>
      <c r="D426" s="70">
        <v>382.40677099999999</v>
      </c>
      <c r="E426" s="70">
        <v>1099.3973189999999</v>
      </c>
      <c r="F426" s="70">
        <v>1082.0252069999999</v>
      </c>
      <c r="G426" s="70">
        <v>774.73694599999999</v>
      </c>
      <c r="H426" s="70">
        <v>953.47051299999998</v>
      </c>
      <c r="I426" s="70">
        <v>931.24914999999999</v>
      </c>
      <c r="J426" s="70">
        <v>1096.1534320000001</v>
      </c>
      <c r="K426" s="70">
        <v>768.07217500000002</v>
      </c>
      <c r="L426" s="7" t="e">
        <f>NA()</f>
        <v>#N/A</v>
      </c>
      <c r="M426" s="7" t="e">
        <f>NA()</f>
        <v>#N/A</v>
      </c>
      <c r="N426" s="7" t="e">
        <f>NA()</f>
        <v>#N/A</v>
      </c>
      <c r="O426" s="7" t="e">
        <f>NA()</f>
        <v>#N/A</v>
      </c>
      <c r="P426" s="7" t="e">
        <f>NA()</f>
        <v>#N/A</v>
      </c>
      <c r="Q426" s="7" t="e">
        <f>NA()</f>
        <v>#N/A</v>
      </c>
      <c r="R426" s="7" t="e">
        <f>NA()</f>
        <v>#N/A</v>
      </c>
      <c r="S426" s="7" t="e">
        <f>NA()</f>
        <v>#N/A</v>
      </c>
      <c r="T426" s="7" t="e">
        <f>NA()</f>
        <v>#N/A</v>
      </c>
      <c r="U426" s="7" t="e">
        <f>NA()</f>
        <v>#N/A</v>
      </c>
      <c r="V426" s="7" t="e">
        <f>NA()</f>
        <v>#N/A</v>
      </c>
    </row>
    <row r="427" spans="1:22">
      <c r="A427" s="18" t="s">
        <v>136</v>
      </c>
      <c r="B427" s="30">
        <v>14.921366000000001</v>
      </c>
      <c r="C427" s="30">
        <v>-68.015904000000006</v>
      </c>
      <c r="D427" s="30">
        <v>-2.0727359999999999</v>
      </c>
      <c r="E427" s="30">
        <v>1.5610619999999999</v>
      </c>
      <c r="F427" s="30">
        <v>187.64714699999999</v>
      </c>
      <c r="G427" s="30">
        <v>-28.007921</v>
      </c>
      <c r="H427" s="30">
        <v>147.06921700000001</v>
      </c>
      <c r="I427" s="30">
        <v>213.35336699999999</v>
      </c>
      <c r="J427" s="30">
        <v>-10.246912999999999</v>
      </c>
      <c r="K427" s="30">
        <v>-178.226235</v>
      </c>
      <c r="L427" s="4">
        <f>-L222</f>
        <v>1132.1085977999996</v>
      </c>
      <c r="M427" s="4">
        <f t="shared" ref="M427:V427" si="202">-M222</f>
        <v>594.35701437</v>
      </c>
      <c r="N427" s="4">
        <f t="shared" si="202"/>
        <v>455.67371101700041</v>
      </c>
      <c r="O427" s="4">
        <f t="shared" si="202"/>
        <v>400.99286569495882</v>
      </c>
      <c r="P427" s="4">
        <f t="shared" si="202"/>
        <v>270.67018434410113</v>
      </c>
      <c r="Q427" s="4">
        <f t="shared" si="202"/>
        <v>284.20369356130288</v>
      </c>
      <c r="R427" s="4">
        <f t="shared" si="202"/>
        <v>298.41387823936793</v>
      </c>
      <c r="S427" s="4">
        <f t="shared" si="202"/>
        <v>250.66765772106919</v>
      </c>
      <c r="T427" s="4">
        <f t="shared" si="202"/>
        <v>260.69436402991391</v>
      </c>
      <c r="U427" s="4">
        <f t="shared" si="202"/>
        <v>203.34160394333026</v>
      </c>
      <c r="V427" s="4">
        <f t="shared" si="202"/>
        <v>166.15720263556</v>
      </c>
    </row>
    <row r="428" spans="1:22">
      <c r="A428" s="64" t="s">
        <v>137</v>
      </c>
      <c r="B428" s="29">
        <v>-6.2025350000000001</v>
      </c>
      <c r="C428" s="29">
        <v>-56.107542000000002</v>
      </c>
      <c r="D428" s="29">
        <v>-7.8658190000000001</v>
      </c>
      <c r="E428" s="29">
        <v>-18.401008999999998</v>
      </c>
      <c r="F428" s="70">
        <v>107.959711</v>
      </c>
      <c r="G428" s="29">
        <v>-102.443265</v>
      </c>
      <c r="H428" s="29">
        <v>-5.3723559999999999</v>
      </c>
      <c r="I428" s="29">
        <v>-107.645662</v>
      </c>
      <c r="J428" s="29">
        <v>-91.629356999999999</v>
      </c>
      <c r="K428" s="70">
        <v>158.06598700000001</v>
      </c>
      <c r="L428" s="7" t="e">
        <f>NA()</f>
        <v>#N/A</v>
      </c>
      <c r="M428" s="7" t="e">
        <f>NA()</f>
        <v>#N/A</v>
      </c>
      <c r="N428" s="7" t="e">
        <f>NA()</f>
        <v>#N/A</v>
      </c>
      <c r="O428" s="7" t="e">
        <f>NA()</f>
        <v>#N/A</v>
      </c>
      <c r="P428" s="7" t="e">
        <f>NA()</f>
        <v>#N/A</v>
      </c>
      <c r="Q428" s="7" t="e">
        <f>NA()</f>
        <v>#N/A</v>
      </c>
      <c r="R428" s="7" t="e">
        <f>NA()</f>
        <v>#N/A</v>
      </c>
      <c r="S428" s="7" t="e">
        <f>NA()</f>
        <v>#N/A</v>
      </c>
      <c r="T428" s="7" t="e">
        <f>NA()</f>
        <v>#N/A</v>
      </c>
      <c r="U428" s="7" t="e">
        <f>NA()</f>
        <v>#N/A</v>
      </c>
      <c r="V428" s="7" t="e">
        <f>NA()</f>
        <v>#N/A</v>
      </c>
    </row>
    <row r="429" spans="1:22">
      <c r="A429" s="65" t="s">
        <v>91</v>
      </c>
      <c r="B429" s="71">
        <v>4.7495999999999997E-2</v>
      </c>
      <c r="C429" s="27">
        <v>-5.5141499999999999</v>
      </c>
      <c r="D429" s="27">
        <v>-16.066552999999999</v>
      </c>
      <c r="E429" s="27">
        <v>-62.000914999999999</v>
      </c>
      <c r="F429" s="71">
        <v>17.624362000000001</v>
      </c>
      <c r="G429" s="71">
        <v>20.164196</v>
      </c>
      <c r="H429" s="71">
        <v>0.51531800000000005</v>
      </c>
      <c r="I429" s="71">
        <v>10.447823</v>
      </c>
      <c r="J429" s="27">
        <v>-19.584395000000001</v>
      </c>
      <c r="K429" s="27">
        <v>-34.500039000000001</v>
      </c>
      <c r="L429" s="7" t="e">
        <f>NA()</f>
        <v>#N/A</v>
      </c>
      <c r="M429" s="7" t="e">
        <f>NA()</f>
        <v>#N/A</v>
      </c>
      <c r="N429" s="7" t="e">
        <f>NA()</f>
        <v>#N/A</v>
      </c>
      <c r="O429" s="7" t="e">
        <f>NA()</f>
        <v>#N/A</v>
      </c>
      <c r="P429" s="7" t="e">
        <f>NA()</f>
        <v>#N/A</v>
      </c>
      <c r="Q429" s="7" t="e">
        <f>NA()</f>
        <v>#N/A</v>
      </c>
      <c r="R429" s="7" t="e">
        <f>NA()</f>
        <v>#N/A</v>
      </c>
      <c r="S429" s="7" t="e">
        <f>NA()</f>
        <v>#N/A</v>
      </c>
      <c r="T429" s="7" t="e">
        <f>NA()</f>
        <v>#N/A</v>
      </c>
      <c r="U429" s="7" t="e">
        <f>NA()</f>
        <v>#N/A</v>
      </c>
      <c r="V429" s="7" t="e">
        <f>NA()</f>
        <v>#N/A</v>
      </c>
    </row>
    <row r="430" spans="1:22">
      <c r="A430" s="64" t="s">
        <v>11</v>
      </c>
      <c r="B430" s="70">
        <v>19.532314</v>
      </c>
      <c r="C430" s="29">
        <v>-2.9570449999999999</v>
      </c>
      <c r="D430" s="70">
        <v>8.1634060000000002</v>
      </c>
      <c r="E430" s="70">
        <v>63.90925</v>
      </c>
      <c r="F430" s="29">
        <v>-0.221221</v>
      </c>
      <c r="G430" s="29">
        <v>-6.3411619999999997</v>
      </c>
      <c r="H430" s="70">
        <v>55.64002</v>
      </c>
      <c r="I430" s="70">
        <v>198.20060799999999</v>
      </c>
      <c r="J430" s="29">
        <v>-81.684628000000004</v>
      </c>
      <c r="K430" s="29">
        <v>-187.66069100000001</v>
      </c>
      <c r="L430" s="7" t="e">
        <f>NA()</f>
        <v>#N/A</v>
      </c>
      <c r="M430" s="7" t="e">
        <f>NA()</f>
        <v>#N/A</v>
      </c>
      <c r="N430" s="7" t="e">
        <f>NA()</f>
        <v>#N/A</v>
      </c>
      <c r="O430" s="7" t="e">
        <f>NA()</f>
        <v>#N/A</v>
      </c>
      <c r="P430" s="7" t="e">
        <f>NA()</f>
        <v>#N/A</v>
      </c>
      <c r="Q430" s="7" t="e">
        <f>NA()</f>
        <v>#N/A</v>
      </c>
      <c r="R430" s="7" t="e">
        <f>NA()</f>
        <v>#N/A</v>
      </c>
      <c r="S430" s="7" t="e">
        <f>NA()</f>
        <v>#N/A</v>
      </c>
      <c r="T430" s="7" t="e">
        <f>NA()</f>
        <v>#N/A</v>
      </c>
      <c r="U430" s="7" t="e">
        <f>NA()</f>
        <v>#N/A</v>
      </c>
      <c r="V430" s="7" t="e">
        <f>NA()</f>
        <v>#N/A</v>
      </c>
    </row>
    <row r="431" spans="1:22">
      <c r="A431" s="65" t="s">
        <v>354</v>
      </c>
      <c r="B431" s="66" t="s">
        <v>2</v>
      </c>
      <c r="C431" s="66" t="s">
        <v>2</v>
      </c>
      <c r="D431" s="66" t="s">
        <v>2</v>
      </c>
      <c r="E431" s="71">
        <v>54.775869999999998</v>
      </c>
      <c r="F431" s="71">
        <v>78.004293000000004</v>
      </c>
      <c r="G431" s="71">
        <v>72.338213999999994</v>
      </c>
      <c r="H431" s="71">
        <v>102.20522</v>
      </c>
      <c r="I431" s="71">
        <v>105.919313</v>
      </c>
      <c r="J431" s="71">
        <v>168.61142799999999</v>
      </c>
      <c r="K431" s="27">
        <v>-96.417376000000004</v>
      </c>
      <c r="L431" s="7" t="e">
        <f>NA()</f>
        <v>#N/A</v>
      </c>
      <c r="M431" s="7" t="e">
        <f>NA()</f>
        <v>#N/A</v>
      </c>
      <c r="N431" s="7" t="e">
        <f>NA()</f>
        <v>#N/A</v>
      </c>
      <c r="O431" s="7" t="e">
        <f>NA()</f>
        <v>#N/A</v>
      </c>
      <c r="P431" s="7" t="e">
        <f>NA()</f>
        <v>#N/A</v>
      </c>
      <c r="Q431" s="7" t="e">
        <f>NA()</f>
        <v>#N/A</v>
      </c>
      <c r="R431" s="7" t="e">
        <f>NA()</f>
        <v>#N/A</v>
      </c>
      <c r="S431" s="7" t="e">
        <f>NA()</f>
        <v>#N/A</v>
      </c>
      <c r="T431" s="7" t="e">
        <f>NA()</f>
        <v>#N/A</v>
      </c>
      <c r="U431" s="7" t="e">
        <f>NA()</f>
        <v>#N/A</v>
      </c>
      <c r="V431" s="7" t="e">
        <f>NA()</f>
        <v>#N/A</v>
      </c>
    </row>
    <row r="432" spans="1:22">
      <c r="A432" s="64" t="s">
        <v>138</v>
      </c>
      <c r="B432" s="70">
        <v>1.5440910000000001</v>
      </c>
      <c r="C432" s="29">
        <v>-3.4371670000000001</v>
      </c>
      <c r="D432" s="70">
        <v>13.696230999999999</v>
      </c>
      <c r="E432" s="29">
        <v>-36.722133999999997</v>
      </c>
      <c r="F432" s="29">
        <v>-15.719998</v>
      </c>
      <c r="G432" s="29">
        <v>-11.725904</v>
      </c>
      <c r="H432" s="29">
        <v>-5.918984</v>
      </c>
      <c r="I432" s="70">
        <v>6.4312839999999998</v>
      </c>
      <c r="J432" s="70">
        <v>14.040039999999999</v>
      </c>
      <c r="K432" s="29">
        <v>-17.714116000000001</v>
      </c>
      <c r="L432" s="7" t="e">
        <f>NA()</f>
        <v>#N/A</v>
      </c>
      <c r="M432" s="7" t="e">
        <f>NA()</f>
        <v>#N/A</v>
      </c>
      <c r="N432" s="7" t="e">
        <f>NA()</f>
        <v>#N/A</v>
      </c>
      <c r="O432" s="7" t="e">
        <f>NA()</f>
        <v>#N/A</v>
      </c>
      <c r="P432" s="7" t="e">
        <f>NA()</f>
        <v>#N/A</v>
      </c>
      <c r="Q432" s="7" t="e">
        <f>NA()</f>
        <v>#N/A</v>
      </c>
      <c r="R432" s="7" t="e">
        <f>NA()</f>
        <v>#N/A</v>
      </c>
      <c r="S432" s="7" t="e">
        <f>NA()</f>
        <v>#N/A</v>
      </c>
      <c r="T432" s="7" t="e">
        <f>NA()</f>
        <v>#N/A</v>
      </c>
      <c r="U432" s="7" t="e">
        <f>NA()</f>
        <v>#N/A</v>
      </c>
      <c r="V432" s="7" t="e">
        <f>NA()</f>
        <v>#N/A</v>
      </c>
    </row>
    <row r="433" spans="1:22">
      <c r="A433" s="67" t="s">
        <v>139</v>
      </c>
      <c r="B433" s="71">
        <v>374.33591799999999</v>
      </c>
      <c r="C433" s="71">
        <v>189.561959</v>
      </c>
      <c r="D433" s="71">
        <v>380.33403600000003</v>
      </c>
      <c r="E433" s="71">
        <v>1100.9583809999999</v>
      </c>
      <c r="F433" s="71">
        <v>1269.672354</v>
      </c>
      <c r="G433" s="71">
        <v>746.72902499999998</v>
      </c>
      <c r="H433" s="71">
        <v>1100.53973</v>
      </c>
      <c r="I433" s="71">
        <v>1144.602517</v>
      </c>
      <c r="J433" s="71">
        <v>1085.9065189999999</v>
      </c>
      <c r="K433" s="71">
        <v>589.84594000000004</v>
      </c>
      <c r="L433" s="32">
        <f>L422+L423+L427</f>
        <v>2073.1616991599708</v>
      </c>
      <c r="M433" s="32">
        <f>M422+M423+M427</f>
        <v>1698.2077191880303</v>
      </c>
      <c r="N433" s="32">
        <f t="shared" ref="N433:V433" si="203">N422+N423+N427</f>
        <v>1598.9182299085405</v>
      </c>
      <c r="O433" s="32">
        <f t="shared" si="203"/>
        <v>1578.9039409711877</v>
      </c>
      <c r="P433" s="32">
        <f t="shared" si="203"/>
        <v>1471.9811851799946</v>
      </c>
      <c r="Q433" s="32">
        <f t="shared" si="203"/>
        <v>1510.0846162348444</v>
      </c>
      <c r="R433" s="32">
        <f t="shared" si="203"/>
        <v>1550.0932188424399</v>
      </c>
      <c r="S433" s="32">
        <f t="shared" si="203"/>
        <v>1524.0176693849467</v>
      </c>
      <c r="T433" s="32">
        <f t="shared" si="203"/>
        <v>1556.581873597029</v>
      </c>
      <c r="U433" s="32">
        <f t="shared" si="203"/>
        <v>1516.8083618749708</v>
      </c>
      <c r="V433" s="32">
        <f t="shared" si="203"/>
        <v>1493.9885503807998</v>
      </c>
    </row>
    <row r="434" spans="1:22">
      <c r="A434" s="16" t="s">
        <v>140</v>
      </c>
      <c r="B434" s="16"/>
      <c r="C434" s="16"/>
      <c r="D434" s="16"/>
      <c r="E434" s="16"/>
      <c r="F434" s="16"/>
      <c r="G434" s="16"/>
      <c r="H434" s="16"/>
      <c r="I434" s="16"/>
      <c r="J434" s="16"/>
      <c r="K434" s="16"/>
    </row>
    <row r="435" spans="1:22">
      <c r="A435" s="18" t="s">
        <v>18</v>
      </c>
      <c r="B435" s="30">
        <v>-1158.2368739999999</v>
      </c>
      <c r="C435" s="30">
        <v>-1678.1748480000001</v>
      </c>
      <c r="D435" s="30">
        <v>-1712.6530680000001</v>
      </c>
      <c r="E435" s="30">
        <v>-1915.959425</v>
      </c>
      <c r="F435" s="30">
        <v>-700.344831</v>
      </c>
      <c r="G435" s="30">
        <v>-303.05885999999998</v>
      </c>
      <c r="H435" s="30">
        <v>-345.70156900000001</v>
      </c>
      <c r="I435" s="30">
        <v>-1083.2602260000001</v>
      </c>
      <c r="J435" s="30">
        <v>-1167.8069929999999</v>
      </c>
      <c r="K435" s="30">
        <v>-569.48233200000004</v>
      </c>
      <c r="L435" s="4">
        <f>-L223</f>
        <v>-1660.8447528888887</v>
      </c>
      <c r="M435" s="4">
        <f t="shared" ref="M435:V435" si="204">-M223</f>
        <v>-1363.9547637888886</v>
      </c>
      <c r="N435" s="4">
        <f t="shared" si="204"/>
        <v>-1287.3883981788881</v>
      </c>
      <c r="O435" s="4">
        <f t="shared" si="204"/>
        <v>-1257.1993740240891</v>
      </c>
      <c r="P435" s="4">
        <f t="shared" si="204"/>
        <v>-1185.2488664551479</v>
      </c>
      <c r="Q435" s="4">
        <f t="shared" si="204"/>
        <v>-1192.7206499334666</v>
      </c>
      <c r="R435" s="4">
        <f t="shared" si="204"/>
        <v>-1200.5660225856868</v>
      </c>
      <c r="S435" s="4">
        <f t="shared" si="204"/>
        <v>-1174.2055704742038</v>
      </c>
      <c r="T435" s="4">
        <f t="shared" si="204"/>
        <v>-1179.7412654176137</v>
      </c>
      <c r="U435" s="4">
        <f t="shared" si="204"/>
        <v>-1148.0770903412945</v>
      </c>
      <c r="V435" s="4">
        <f t="shared" si="204"/>
        <v>-1127.5477663586339</v>
      </c>
    </row>
    <row r="436" spans="1:22">
      <c r="A436" s="64" t="s">
        <v>141</v>
      </c>
      <c r="B436" s="29">
        <v>-131.49587099999999</v>
      </c>
      <c r="C436" s="29">
        <v>-10.048736999999999</v>
      </c>
      <c r="D436" s="29">
        <v>-12.504849</v>
      </c>
      <c r="E436" s="29">
        <v>-126.922027</v>
      </c>
      <c r="F436" s="29">
        <v>-369.46392800000001</v>
      </c>
      <c r="G436" s="29">
        <v>-110.874832</v>
      </c>
      <c r="H436" s="29">
        <v>-140.49793099999999</v>
      </c>
      <c r="I436" s="29">
        <v>-215.911416</v>
      </c>
      <c r="J436" s="29">
        <v>-231.48870500000001</v>
      </c>
      <c r="K436" s="29">
        <v>-326.83888300000001</v>
      </c>
      <c r="L436" s="7" t="e">
        <f>NA()</f>
        <v>#N/A</v>
      </c>
      <c r="M436" s="7" t="e">
        <f>NA()</f>
        <v>#N/A</v>
      </c>
      <c r="N436" s="7" t="e">
        <f>NA()</f>
        <v>#N/A</v>
      </c>
      <c r="O436" s="7" t="e">
        <f>NA()</f>
        <v>#N/A</v>
      </c>
      <c r="P436" s="7" t="e">
        <f>NA()</f>
        <v>#N/A</v>
      </c>
      <c r="Q436" s="7" t="e">
        <f>NA()</f>
        <v>#N/A</v>
      </c>
      <c r="R436" s="7" t="e">
        <f>NA()</f>
        <v>#N/A</v>
      </c>
      <c r="S436" s="7" t="e">
        <f>NA()</f>
        <v>#N/A</v>
      </c>
      <c r="T436" s="7" t="e">
        <f>NA()</f>
        <v>#N/A</v>
      </c>
      <c r="U436" s="7" t="e">
        <f>NA()</f>
        <v>#N/A</v>
      </c>
      <c r="V436" s="7" t="e">
        <f>NA()</f>
        <v>#N/A</v>
      </c>
    </row>
    <row r="437" spans="1:22">
      <c r="A437" s="65" t="s">
        <v>142</v>
      </c>
      <c r="B437" s="27">
        <v>-1026.7410030000001</v>
      </c>
      <c r="C437" s="27">
        <v>-1668.126111</v>
      </c>
      <c r="D437" s="27">
        <v>-1700.1482189999999</v>
      </c>
      <c r="E437" s="27">
        <v>-1789.0373979999999</v>
      </c>
      <c r="F437" s="27">
        <v>-330.88090199999999</v>
      </c>
      <c r="G437" s="27">
        <v>-192.18402800000001</v>
      </c>
      <c r="H437" s="27">
        <v>-205.20363800000001</v>
      </c>
      <c r="I437" s="27">
        <v>-867.34880999999996</v>
      </c>
      <c r="J437" s="27">
        <v>-936.31828800000005</v>
      </c>
      <c r="K437" s="27">
        <v>-242.64344800000001</v>
      </c>
      <c r="L437" s="7" t="e">
        <f>NA()</f>
        <v>#N/A</v>
      </c>
      <c r="M437" s="7" t="e">
        <f>NA()</f>
        <v>#N/A</v>
      </c>
      <c r="N437" s="7" t="e">
        <f>NA()</f>
        <v>#N/A</v>
      </c>
      <c r="O437" s="7" t="e">
        <f>NA()</f>
        <v>#N/A</v>
      </c>
      <c r="P437" s="7" t="e">
        <f>NA()</f>
        <v>#N/A</v>
      </c>
      <c r="Q437" s="7" t="e">
        <f>NA()</f>
        <v>#N/A</v>
      </c>
      <c r="R437" s="7" t="e">
        <f>NA()</f>
        <v>#N/A</v>
      </c>
      <c r="S437" s="7" t="e">
        <f>NA()</f>
        <v>#N/A</v>
      </c>
      <c r="T437" s="7" t="e">
        <f>NA()</f>
        <v>#N/A</v>
      </c>
      <c r="U437" s="7" t="e">
        <f>NA()</f>
        <v>#N/A</v>
      </c>
      <c r="V437" s="7" t="e">
        <f>NA()</f>
        <v>#N/A</v>
      </c>
    </row>
    <row r="438" spans="1:22">
      <c r="A438" s="63" t="s">
        <v>143</v>
      </c>
      <c r="B438" s="70">
        <v>0</v>
      </c>
      <c r="C438" s="29">
        <v>-9.6603890000000003</v>
      </c>
      <c r="D438" s="70">
        <v>0</v>
      </c>
      <c r="E438" s="62" t="s">
        <v>2</v>
      </c>
      <c r="F438" s="62" t="s">
        <v>2</v>
      </c>
      <c r="G438" s="62" t="s">
        <v>2</v>
      </c>
      <c r="H438" s="62" t="s">
        <v>2</v>
      </c>
      <c r="I438" s="62" t="s">
        <v>2</v>
      </c>
      <c r="J438" s="70">
        <v>0</v>
      </c>
      <c r="K438" s="70">
        <v>0</v>
      </c>
      <c r="L438" s="7" t="e">
        <f>NA()</f>
        <v>#N/A</v>
      </c>
      <c r="M438" s="7" t="e">
        <f>NA()</f>
        <v>#N/A</v>
      </c>
      <c r="N438" s="7" t="e">
        <f>NA()</f>
        <v>#N/A</v>
      </c>
      <c r="O438" s="7" t="e">
        <f>NA()</f>
        <v>#N/A</v>
      </c>
      <c r="P438" s="7" t="e">
        <f>NA()</f>
        <v>#N/A</v>
      </c>
      <c r="Q438" s="7" t="e">
        <f>NA()</f>
        <v>#N/A</v>
      </c>
      <c r="R438" s="7" t="e">
        <f>NA()</f>
        <v>#N/A</v>
      </c>
      <c r="S438" s="7" t="e">
        <f>NA()</f>
        <v>#N/A</v>
      </c>
      <c r="T438" s="7" t="e">
        <f>NA()</f>
        <v>#N/A</v>
      </c>
      <c r="U438" s="7" t="e">
        <f>NA()</f>
        <v>#N/A</v>
      </c>
      <c r="V438" s="7" t="e">
        <f>NA()</f>
        <v>#N/A</v>
      </c>
    </row>
    <row r="439" spans="1:22">
      <c r="A439" s="18" t="s">
        <v>144</v>
      </c>
      <c r="B439" s="30">
        <v>0</v>
      </c>
      <c r="C439" s="30">
        <v>-6.2222569999999999</v>
      </c>
      <c r="D439" s="30">
        <v>-2.1359859999999999</v>
      </c>
      <c r="E439" s="30">
        <v>0</v>
      </c>
      <c r="F439" s="30">
        <v>0</v>
      </c>
      <c r="G439" s="30">
        <v>0</v>
      </c>
      <c r="H439" s="30">
        <v>0</v>
      </c>
      <c r="I439" s="30">
        <v>0</v>
      </c>
      <c r="J439" s="30">
        <v>0</v>
      </c>
      <c r="K439" s="30">
        <v>0</v>
      </c>
      <c r="L439" s="7" t="e">
        <f>NA()</f>
        <v>#N/A</v>
      </c>
      <c r="M439" s="7" t="e">
        <f>NA()</f>
        <v>#N/A</v>
      </c>
      <c r="N439" s="7" t="e">
        <f>NA()</f>
        <v>#N/A</v>
      </c>
      <c r="O439" s="7" t="e">
        <f>NA()</f>
        <v>#N/A</v>
      </c>
      <c r="P439" s="7" t="e">
        <f>NA()</f>
        <v>#N/A</v>
      </c>
      <c r="Q439" s="7" t="e">
        <f>NA()</f>
        <v>#N/A</v>
      </c>
      <c r="R439" s="7" t="e">
        <f>NA()</f>
        <v>#N/A</v>
      </c>
      <c r="S439" s="7" t="e">
        <f>NA()</f>
        <v>#N/A</v>
      </c>
      <c r="T439" s="7" t="e">
        <f>NA()</f>
        <v>#N/A</v>
      </c>
      <c r="U439" s="7" t="e">
        <f>NA()</f>
        <v>#N/A</v>
      </c>
      <c r="V439" s="7" t="e">
        <f>NA()</f>
        <v>#N/A</v>
      </c>
    </row>
    <row r="440" spans="1:22">
      <c r="A440" s="64" t="s">
        <v>16</v>
      </c>
      <c r="B440" s="70">
        <v>0</v>
      </c>
      <c r="C440" s="70">
        <v>46.754353000000002</v>
      </c>
      <c r="D440" s="70">
        <v>26.708117000000001</v>
      </c>
      <c r="E440" s="70">
        <v>0</v>
      </c>
      <c r="F440" s="62" t="s">
        <v>2</v>
      </c>
      <c r="G440" s="70">
        <v>0</v>
      </c>
      <c r="H440" s="70">
        <v>0</v>
      </c>
      <c r="I440" s="70">
        <v>0</v>
      </c>
      <c r="J440" s="70">
        <v>0</v>
      </c>
      <c r="K440" s="70">
        <v>0</v>
      </c>
      <c r="L440" s="7" t="e">
        <f>NA()</f>
        <v>#N/A</v>
      </c>
      <c r="M440" s="7" t="e">
        <f>NA()</f>
        <v>#N/A</v>
      </c>
      <c r="N440" s="7" t="e">
        <f>NA()</f>
        <v>#N/A</v>
      </c>
      <c r="O440" s="7" t="e">
        <f>NA()</f>
        <v>#N/A</v>
      </c>
      <c r="P440" s="7" t="e">
        <f>NA()</f>
        <v>#N/A</v>
      </c>
      <c r="Q440" s="7" t="e">
        <f>NA()</f>
        <v>#N/A</v>
      </c>
      <c r="R440" s="7" t="e">
        <f>NA()</f>
        <v>#N/A</v>
      </c>
      <c r="S440" s="7" t="e">
        <f>NA()</f>
        <v>#N/A</v>
      </c>
      <c r="T440" s="7" t="e">
        <f>NA()</f>
        <v>#N/A</v>
      </c>
      <c r="U440" s="7" t="e">
        <f>NA()</f>
        <v>#N/A</v>
      </c>
      <c r="V440" s="7" t="e">
        <f>NA()</f>
        <v>#N/A</v>
      </c>
    </row>
    <row r="441" spans="1:22">
      <c r="A441" s="65" t="s">
        <v>145</v>
      </c>
      <c r="B441" s="71">
        <v>0</v>
      </c>
      <c r="C441" s="71">
        <v>40.532096000000003</v>
      </c>
      <c r="D441" s="71">
        <v>24.572130999999999</v>
      </c>
      <c r="E441" s="71">
        <v>0</v>
      </c>
      <c r="F441" s="71">
        <v>0</v>
      </c>
      <c r="G441" s="71">
        <v>0</v>
      </c>
      <c r="H441" s="71">
        <v>0</v>
      </c>
      <c r="I441" s="71">
        <v>0</v>
      </c>
      <c r="J441" s="71">
        <v>0</v>
      </c>
      <c r="K441" s="71">
        <v>0</v>
      </c>
      <c r="L441" s="7" t="e">
        <f>NA()</f>
        <v>#N/A</v>
      </c>
      <c r="M441" s="7" t="e">
        <f>NA()</f>
        <v>#N/A</v>
      </c>
      <c r="N441" s="7" t="e">
        <f>NA()</f>
        <v>#N/A</v>
      </c>
      <c r="O441" s="7" t="e">
        <f>NA()</f>
        <v>#N/A</v>
      </c>
      <c r="P441" s="7" t="e">
        <f>NA()</f>
        <v>#N/A</v>
      </c>
      <c r="Q441" s="7" t="e">
        <f>NA()</f>
        <v>#N/A</v>
      </c>
      <c r="R441" s="7" t="e">
        <f>NA()</f>
        <v>#N/A</v>
      </c>
      <c r="S441" s="7" t="e">
        <f>NA()</f>
        <v>#N/A</v>
      </c>
      <c r="T441" s="7" t="e">
        <f>NA()</f>
        <v>#N/A</v>
      </c>
      <c r="U441" s="7" t="e">
        <f>NA()</f>
        <v>#N/A</v>
      </c>
      <c r="V441" s="7" t="e">
        <f>NA()</f>
        <v>#N/A</v>
      </c>
    </row>
    <row r="442" spans="1:22">
      <c r="A442" s="20" t="s">
        <v>134</v>
      </c>
      <c r="B442" s="28">
        <v>-118.12441200000001</v>
      </c>
      <c r="C442" s="28">
        <v>0</v>
      </c>
      <c r="D442" s="28">
        <v>0</v>
      </c>
      <c r="E442" s="28">
        <v>-14.971553</v>
      </c>
      <c r="F442" s="28">
        <v>-13.487800999999999</v>
      </c>
      <c r="G442" s="28">
        <v>-4.6812139999999998</v>
      </c>
      <c r="H442" s="28">
        <v>-3.0527709999999999</v>
      </c>
      <c r="I442" s="28">
        <v>-2.9022480000000002</v>
      </c>
      <c r="J442" s="28">
        <v>-2.5181990000000001</v>
      </c>
      <c r="K442" s="28">
        <v>-1.7256560000000001</v>
      </c>
      <c r="L442" s="7" t="e">
        <f>NA()</f>
        <v>#N/A</v>
      </c>
      <c r="M442" s="7" t="e">
        <f>NA()</f>
        <v>#N/A</v>
      </c>
      <c r="N442" s="7" t="e">
        <f>NA()</f>
        <v>#N/A</v>
      </c>
      <c r="O442" s="7" t="e">
        <f>NA()</f>
        <v>#N/A</v>
      </c>
      <c r="P442" s="7" t="e">
        <f>NA()</f>
        <v>#N/A</v>
      </c>
      <c r="Q442" s="7" t="e">
        <f>NA()</f>
        <v>#N/A</v>
      </c>
      <c r="R442" s="7" t="e">
        <f>NA()</f>
        <v>#N/A</v>
      </c>
      <c r="S442" s="7" t="e">
        <f>NA()</f>
        <v>#N/A</v>
      </c>
      <c r="T442" s="7" t="e">
        <f>NA()</f>
        <v>#N/A</v>
      </c>
      <c r="U442" s="7" t="e">
        <f>NA()</f>
        <v>#N/A</v>
      </c>
      <c r="V442" s="7" t="e">
        <f>NA()</f>
        <v>#N/A</v>
      </c>
    </row>
    <row r="443" spans="1:22">
      <c r="A443" s="65" t="s">
        <v>146</v>
      </c>
      <c r="B443" s="27">
        <v>-118.12441200000001</v>
      </c>
      <c r="C443" s="71">
        <v>0</v>
      </c>
      <c r="D443" s="71">
        <v>0</v>
      </c>
      <c r="E443" s="27">
        <v>-14.971553</v>
      </c>
      <c r="F443" s="27">
        <v>-13.487800999999999</v>
      </c>
      <c r="G443" s="27">
        <v>-4.6812139999999998</v>
      </c>
      <c r="H443" s="27">
        <v>-3.0527709999999999</v>
      </c>
      <c r="I443" s="27">
        <v>-2.9022480000000002</v>
      </c>
      <c r="J443" s="27">
        <v>-2.5181990000000001</v>
      </c>
      <c r="K443" s="27">
        <v>-1.7256560000000001</v>
      </c>
      <c r="L443" s="7" t="e">
        <f>NA()</f>
        <v>#N/A</v>
      </c>
      <c r="M443" s="7" t="e">
        <f>NA()</f>
        <v>#N/A</v>
      </c>
      <c r="N443" s="7" t="e">
        <f>NA()</f>
        <v>#N/A</v>
      </c>
      <c r="O443" s="7" t="e">
        <f>NA()</f>
        <v>#N/A</v>
      </c>
      <c r="P443" s="7" t="e">
        <f>NA()</f>
        <v>#N/A</v>
      </c>
      <c r="Q443" s="7" t="e">
        <f>NA()</f>
        <v>#N/A</v>
      </c>
      <c r="R443" s="7" t="e">
        <f>NA()</f>
        <v>#N/A</v>
      </c>
      <c r="S443" s="7" t="e">
        <f>NA()</f>
        <v>#N/A</v>
      </c>
      <c r="T443" s="7" t="e">
        <f>NA()</f>
        <v>#N/A</v>
      </c>
      <c r="U443" s="7" t="e">
        <f>NA()</f>
        <v>#N/A</v>
      </c>
      <c r="V443" s="7" t="e">
        <f>NA()</f>
        <v>#N/A</v>
      </c>
    </row>
    <row r="444" spans="1:22">
      <c r="A444" s="63" t="s">
        <v>148</v>
      </c>
      <c r="B444" s="29">
        <v>-1276.3612860000001</v>
      </c>
      <c r="C444" s="29">
        <v>-1694.0574939999999</v>
      </c>
      <c r="D444" s="29">
        <v>-1714.7890540000001</v>
      </c>
      <c r="E444" s="29">
        <v>-1930.930979</v>
      </c>
      <c r="F444" s="29">
        <v>-713.83263099999999</v>
      </c>
      <c r="G444" s="29">
        <v>-307.74007499999999</v>
      </c>
      <c r="H444" s="29">
        <v>-348.75434000000001</v>
      </c>
      <c r="I444" s="29">
        <v>-1086.162474</v>
      </c>
      <c r="J444" s="29">
        <v>-1170.325192</v>
      </c>
      <c r="K444" s="29">
        <v>-571.207987</v>
      </c>
      <c r="L444" s="4">
        <f>L435</f>
        <v>-1660.8447528888887</v>
      </c>
      <c r="M444" s="4">
        <f t="shared" ref="M444:V444" si="205">M435</f>
        <v>-1363.9547637888886</v>
      </c>
      <c r="N444" s="4">
        <f t="shared" si="205"/>
        <v>-1287.3883981788881</v>
      </c>
      <c r="O444" s="4">
        <f t="shared" si="205"/>
        <v>-1257.1993740240891</v>
      </c>
      <c r="P444" s="4">
        <f t="shared" si="205"/>
        <v>-1185.2488664551479</v>
      </c>
      <c r="Q444" s="4">
        <f t="shared" si="205"/>
        <v>-1192.7206499334666</v>
      </c>
      <c r="R444" s="4">
        <f t="shared" si="205"/>
        <v>-1200.5660225856868</v>
      </c>
      <c r="S444" s="4">
        <f t="shared" si="205"/>
        <v>-1174.2055704742038</v>
      </c>
      <c r="T444" s="4">
        <f t="shared" si="205"/>
        <v>-1179.7412654176137</v>
      </c>
      <c r="U444" s="4">
        <f t="shared" si="205"/>
        <v>-1148.0770903412945</v>
      </c>
      <c r="V444" s="4">
        <f t="shared" si="205"/>
        <v>-1127.5477663586339</v>
      </c>
    </row>
    <row r="445" spans="1:22">
      <c r="A445" s="21" t="s">
        <v>149</v>
      </c>
      <c r="B445" s="21"/>
      <c r="C445" s="21"/>
      <c r="D445" s="21"/>
      <c r="E445" s="21"/>
      <c r="F445" s="21"/>
      <c r="G445" s="21"/>
      <c r="H445" s="21"/>
      <c r="I445" s="21"/>
      <c r="J445" s="21"/>
      <c r="K445" s="21"/>
      <c r="L445" s="32"/>
    </row>
    <row r="446" spans="1:22">
      <c r="A446" s="20" t="s">
        <v>355</v>
      </c>
      <c r="B446" s="28">
        <v>-35.595512999999997</v>
      </c>
      <c r="C446" s="28">
        <v>-30.611841999999999</v>
      </c>
      <c r="D446" s="28">
        <v>-32.440024000000001</v>
      </c>
      <c r="E446" s="28">
        <v>-40.022888000000002</v>
      </c>
      <c r="F446" s="28">
        <v>-365.26073500000001</v>
      </c>
      <c r="G446" s="28">
        <v>-102.41501700000001</v>
      </c>
      <c r="H446" s="28">
        <v>-129.17397600000001</v>
      </c>
      <c r="I446" s="28">
        <v>-153.04501099999999</v>
      </c>
      <c r="J446" s="28">
        <v>-296.06252899999998</v>
      </c>
      <c r="K446" s="28">
        <v>-99.705999000000006</v>
      </c>
      <c r="L446" s="7">
        <f>L447</f>
        <v>-123.66149551198706</v>
      </c>
      <c r="M446" s="7">
        <f t="shared" ref="M446:V446" si="206">M447</f>
        <v>-196.92041706811361</v>
      </c>
      <c r="N446" s="7">
        <f t="shared" si="206"/>
        <v>-214.64763340119302</v>
      </c>
      <c r="O446" s="7">
        <f t="shared" si="206"/>
        <v>-230.24758377430294</v>
      </c>
      <c r="P446" s="7">
        <f t="shared" si="206"/>
        <v>-240.77755027615206</v>
      </c>
      <c r="Q446" s="7">
        <f t="shared" si="206"/>
        <v>-251.83401510309366</v>
      </c>
      <c r="R446" s="7">
        <f t="shared" si="206"/>
        <v>-263.44330317138235</v>
      </c>
      <c r="S446" s="7">
        <f t="shared" si="206"/>
        <v>-273.19510514874486</v>
      </c>
      <c r="T446" s="7">
        <f t="shared" si="206"/>
        <v>-283.33697920520189</v>
      </c>
      <c r="U446" s="7">
        <f t="shared" si="206"/>
        <v>-291.24764096923832</v>
      </c>
      <c r="V446" s="7">
        <f t="shared" si="206"/>
        <v>-297.7117063853579</v>
      </c>
    </row>
    <row r="447" spans="1:22">
      <c r="A447" s="65" t="s">
        <v>356</v>
      </c>
      <c r="B447" s="27">
        <v>-35.595512999999997</v>
      </c>
      <c r="C447" s="27">
        <v>-30.611841999999999</v>
      </c>
      <c r="D447" s="27">
        <v>-32.440024000000001</v>
      </c>
      <c r="E447" s="27">
        <v>-40.022888000000002</v>
      </c>
      <c r="F447" s="27">
        <v>-365.26073500000001</v>
      </c>
      <c r="G447" s="27">
        <v>-102.41501700000001</v>
      </c>
      <c r="H447" s="27">
        <v>-129.17397600000001</v>
      </c>
      <c r="I447" s="27">
        <v>-153.04501099999999</v>
      </c>
      <c r="J447" s="27">
        <v>-296.06252899999998</v>
      </c>
      <c r="K447" s="27">
        <v>-99.705999000000006</v>
      </c>
      <c r="L447" s="7">
        <f t="shared" ref="L447:V447" si="207">-0.45*L327</f>
        <v>-123.66149551198706</v>
      </c>
      <c r="M447" s="7">
        <f t="shared" si="207"/>
        <v>-196.92041706811361</v>
      </c>
      <c r="N447" s="7">
        <f t="shared" si="207"/>
        <v>-214.64763340119302</v>
      </c>
      <c r="O447" s="7">
        <f t="shared" si="207"/>
        <v>-230.24758377430294</v>
      </c>
      <c r="P447" s="7">
        <f t="shared" si="207"/>
        <v>-240.77755027615206</v>
      </c>
      <c r="Q447" s="7">
        <f t="shared" si="207"/>
        <v>-251.83401510309366</v>
      </c>
      <c r="R447" s="7">
        <f t="shared" si="207"/>
        <v>-263.44330317138235</v>
      </c>
      <c r="S447" s="7">
        <f t="shared" si="207"/>
        <v>-273.19510514874486</v>
      </c>
      <c r="T447" s="7">
        <f t="shared" si="207"/>
        <v>-283.33697920520189</v>
      </c>
      <c r="U447" s="7">
        <f t="shared" si="207"/>
        <v>-291.24764096923832</v>
      </c>
      <c r="V447" s="7">
        <f t="shared" si="207"/>
        <v>-297.7117063853579</v>
      </c>
    </row>
    <row r="448" spans="1:22">
      <c r="A448" s="20" t="s">
        <v>150</v>
      </c>
      <c r="B448" s="28">
        <v>6.1337149999999996</v>
      </c>
      <c r="C448" s="28">
        <v>5.6493960000000003</v>
      </c>
      <c r="D448" s="28">
        <v>33.482095000000001</v>
      </c>
      <c r="E448" s="28">
        <v>1427.0384610000001</v>
      </c>
      <c r="F448" s="28">
        <v>-11.41952</v>
      </c>
      <c r="G448" s="28">
        <v>-6.3519240000000003</v>
      </c>
      <c r="H448" s="28">
        <v>0</v>
      </c>
      <c r="I448" s="28">
        <v>-11.034433999999999</v>
      </c>
      <c r="J448" s="28">
        <v>0</v>
      </c>
      <c r="K448" s="28">
        <v>1010.7098130000001</v>
      </c>
      <c r="L448" s="32">
        <f>L450+L449</f>
        <v>0</v>
      </c>
      <c r="M448" s="32">
        <f t="shared" ref="M448:V448" si="208">M450+M449</f>
        <v>0</v>
      </c>
      <c r="N448" s="32">
        <f t="shared" si="208"/>
        <v>0</v>
      </c>
      <c r="O448" s="32">
        <f t="shared" si="208"/>
        <v>0</v>
      </c>
      <c r="P448" s="32">
        <f t="shared" si="208"/>
        <v>0</v>
      </c>
      <c r="Q448" s="32">
        <f t="shared" si="208"/>
        <v>0</v>
      </c>
      <c r="R448" s="32">
        <f t="shared" si="208"/>
        <v>0</v>
      </c>
      <c r="S448" s="32">
        <f t="shared" si="208"/>
        <v>0</v>
      </c>
      <c r="T448" s="32">
        <f t="shared" si="208"/>
        <v>0</v>
      </c>
      <c r="U448" s="32">
        <f t="shared" si="208"/>
        <v>0</v>
      </c>
      <c r="V448" s="32">
        <f t="shared" si="208"/>
        <v>0</v>
      </c>
    </row>
    <row r="449" spans="1:23">
      <c r="A449" s="65" t="s">
        <v>357</v>
      </c>
      <c r="B449" s="71">
        <v>0</v>
      </c>
      <c r="C449" s="71">
        <v>0</v>
      </c>
      <c r="D449" s="71">
        <v>0</v>
      </c>
      <c r="E449" s="27">
        <v>-16.591418999999998</v>
      </c>
      <c r="F449" s="27">
        <v>-11.41952</v>
      </c>
      <c r="G449" s="27">
        <v>-6.3519240000000003</v>
      </c>
      <c r="H449" s="71">
        <v>0</v>
      </c>
      <c r="I449" s="27">
        <v>-11.034433999999999</v>
      </c>
      <c r="J449" s="71">
        <v>0</v>
      </c>
      <c r="K449" s="27">
        <v>-4.2458679999999998</v>
      </c>
      <c r="L449" s="71">
        <v>0</v>
      </c>
      <c r="M449" s="71">
        <v>0</v>
      </c>
      <c r="N449" s="71">
        <v>0</v>
      </c>
      <c r="O449" s="71">
        <v>0</v>
      </c>
      <c r="P449" s="71">
        <v>0</v>
      </c>
      <c r="Q449" s="71">
        <v>0</v>
      </c>
      <c r="R449" s="71">
        <v>0</v>
      </c>
      <c r="S449" s="71">
        <v>0</v>
      </c>
      <c r="T449" s="71">
        <v>0</v>
      </c>
      <c r="U449" s="71">
        <v>0</v>
      </c>
      <c r="V449" s="71">
        <v>0</v>
      </c>
    </row>
    <row r="450" spans="1:23">
      <c r="A450" s="26" t="s">
        <v>151</v>
      </c>
      <c r="B450" s="28">
        <v>6.1337149999999996</v>
      </c>
      <c r="C450" s="28">
        <v>5.6493960000000003</v>
      </c>
      <c r="D450" s="28">
        <v>33.482095000000001</v>
      </c>
      <c r="E450" s="28">
        <v>1443.62988</v>
      </c>
      <c r="F450" s="28">
        <v>0</v>
      </c>
      <c r="G450" s="28">
        <v>0</v>
      </c>
      <c r="H450" s="28">
        <v>0</v>
      </c>
      <c r="I450" s="28">
        <v>0</v>
      </c>
      <c r="J450" s="28">
        <v>0</v>
      </c>
      <c r="K450" s="28">
        <v>1014.955681</v>
      </c>
      <c r="L450" s="28">
        <v>0</v>
      </c>
      <c r="M450" s="28">
        <v>0</v>
      </c>
      <c r="N450" s="28">
        <v>0</v>
      </c>
      <c r="O450" s="28">
        <v>0</v>
      </c>
      <c r="P450" s="28">
        <v>0</v>
      </c>
      <c r="Q450" s="28">
        <v>0</v>
      </c>
      <c r="R450" s="28">
        <v>0</v>
      </c>
      <c r="S450" s="28">
        <v>0</v>
      </c>
      <c r="T450" s="28">
        <v>0</v>
      </c>
      <c r="U450" s="28">
        <v>0</v>
      </c>
      <c r="V450" s="28">
        <v>0</v>
      </c>
    </row>
    <row r="451" spans="1:23">
      <c r="A451" s="72" t="s">
        <v>152</v>
      </c>
      <c r="B451" s="71">
        <v>0</v>
      </c>
      <c r="C451" s="71">
        <v>0</v>
      </c>
      <c r="D451" s="71">
        <v>32.426544999999997</v>
      </c>
      <c r="E451" s="71">
        <v>1443.62988</v>
      </c>
      <c r="F451" s="71">
        <v>0</v>
      </c>
      <c r="G451" s="71">
        <v>0</v>
      </c>
      <c r="H451" s="71">
        <v>0</v>
      </c>
      <c r="I451" s="71">
        <v>0</v>
      </c>
      <c r="J451" s="71">
        <v>0</v>
      </c>
      <c r="K451" s="71">
        <v>1014.955681</v>
      </c>
      <c r="L451" s="71" t="e">
        <f>NA()</f>
        <v>#N/A</v>
      </c>
      <c r="M451" s="71" t="e">
        <f>NA()</f>
        <v>#N/A</v>
      </c>
      <c r="N451" s="71" t="e">
        <f>NA()</f>
        <v>#N/A</v>
      </c>
      <c r="O451" s="71" t="e">
        <f>NA()</f>
        <v>#N/A</v>
      </c>
      <c r="P451" s="71" t="e">
        <f>NA()</f>
        <v>#N/A</v>
      </c>
      <c r="Q451" s="71" t="e">
        <f>NA()</f>
        <v>#N/A</v>
      </c>
      <c r="R451" s="71" t="e">
        <f>NA()</f>
        <v>#N/A</v>
      </c>
      <c r="S451" s="71" t="e">
        <f>NA()</f>
        <v>#N/A</v>
      </c>
      <c r="T451" s="71" t="e">
        <f>NA()</f>
        <v>#N/A</v>
      </c>
      <c r="U451" s="71" t="e">
        <f>NA()</f>
        <v>#N/A</v>
      </c>
      <c r="V451" s="71" t="e">
        <f>NA()</f>
        <v>#N/A</v>
      </c>
    </row>
    <row r="452" spans="1:23">
      <c r="A452" s="73" t="s">
        <v>153</v>
      </c>
      <c r="B452" s="70">
        <v>6.1337149999999996</v>
      </c>
      <c r="C452" s="70">
        <v>5.6493960000000003</v>
      </c>
      <c r="D452" s="70">
        <v>1.05555</v>
      </c>
      <c r="E452" s="70">
        <v>0</v>
      </c>
      <c r="F452" s="70">
        <v>0</v>
      </c>
      <c r="G452" s="70">
        <v>0</v>
      </c>
      <c r="H452" s="70">
        <v>0</v>
      </c>
      <c r="I452" s="70">
        <v>0</v>
      </c>
      <c r="J452" s="70">
        <v>0</v>
      </c>
      <c r="K452" s="70">
        <v>0</v>
      </c>
      <c r="L452" s="71" t="e">
        <f>NA()</f>
        <v>#N/A</v>
      </c>
      <c r="M452" s="71" t="e">
        <f>NA()</f>
        <v>#N/A</v>
      </c>
      <c r="N452" s="71" t="e">
        <f>NA()</f>
        <v>#N/A</v>
      </c>
      <c r="O452" s="71" t="e">
        <f>NA()</f>
        <v>#N/A</v>
      </c>
      <c r="P452" s="71" t="e">
        <f>NA()</f>
        <v>#N/A</v>
      </c>
      <c r="Q452" s="71" t="e">
        <f>NA()</f>
        <v>#N/A</v>
      </c>
      <c r="R452" s="71" t="e">
        <f>NA()</f>
        <v>#N/A</v>
      </c>
      <c r="S452" s="71" t="e">
        <f>NA()</f>
        <v>#N/A</v>
      </c>
      <c r="T452" s="71" t="e">
        <f>NA()</f>
        <v>#N/A</v>
      </c>
      <c r="U452" s="71" t="e">
        <f>NA()</f>
        <v>#N/A</v>
      </c>
      <c r="V452" s="71" t="e">
        <f>NA()</f>
        <v>#N/A</v>
      </c>
    </row>
    <row r="453" spans="1:23">
      <c r="A453" s="18" t="s">
        <v>154</v>
      </c>
      <c r="B453" s="30">
        <v>686.38768600000003</v>
      </c>
      <c r="C453" s="30">
        <v>958.64488700000004</v>
      </c>
      <c r="D453" s="30">
        <v>1044.52295</v>
      </c>
      <c r="E453" s="30">
        <v>259.11083600000001</v>
      </c>
      <c r="F453" s="30">
        <v>-247.889814</v>
      </c>
      <c r="G453" s="30">
        <v>-391.16119800000001</v>
      </c>
      <c r="H453" s="30">
        <v>-412.09151800000001</v>
      </c>
      <c r="I453" s="30">
        <v>-447.50059499999998</v>
      </c>
      <c r="J453" s="30">
        <v>123.463712</v>
      </c>
      <c r="K453" s="30">
        <v>-671.67222900000002</v>
      </c>
      <c r="L453" s="4">
        <f>(L382-K382)+(L390-K390)</f>
        <v>1714.1419035999988</v>
      </c>
      <c r="M453" s="4">
        <f t="shared" ref="M453:V453" si="209">(M382-L382)+(M390-L390)</f>
        <v>899.92449938999994</v>
      </c>
      <c r="N453" s="4">
        <f t="shared" si="209"/>
        <v>689.94211619900057</v>
      </c>
      <c r="O453" s="4">
        <f t="shared" si="209"/>
        <v>607.14906225512073</v>
      </c>
      <c r="P453" s="4">
        <f t="shared" si="209"/>
        <v>409.82561702220687</v>
      </c>
      <c r="Q453" s="4">
        <f t="shared" si="209"/>
        <v>430.31689787331698</v>
      </c>
      <c r="R453" s="4">
        <f t="shared" si="209"/>
        <v>451.83274276698353</v>
      </c>
      <c r="S453" s="4">
        <f t="shared" si="209"/>
        <v>379.53950392426486</v>
      </c>
      <c r="T453" s="4">
        <f t="shared" si="209"/>
        <v>394.72108408123631</v>
      </c>
      <c r="U453" s="4">
        <f t="shared" si="209"/>
        <v>307.88244558336328</v>
      </c>
      <c r="V453" s="4">
        <f t="shared" si="209"/>
        <v>251.58100903435388</v>
      </c>
    </row>
    <row r="454" spans="1:23">
      <c r="A454" s="26" t="s">
        <v>155</v>
      </c>
      <c r="B454" s="28">
        <v>686.38768600000003</v>
      </c>
      <c r="C454" s="28">
        <v>958.64488700000004</v>
      </c>
      <c r="D454" s="28">
        <v>1044.52295</v>
      </c>
      <c r="E454" s="28">
        <v>0</v>
      </c>
      <c r="F454" s="28">
        <v>0</v>
      </c>
      <c r="G454" s="28">
        <v>0</v>
      </c>
      <c r="H454" s="28">
        <v>0</v>
      </c>
      <c r="I454" s="28">
        <v>0</v>
      </c>
      <c r="J454" s="28">
        <v>123.463712</v>
      </c>
      <c r="K454" s="28">
        <v>-671.67222900000002</v>
      </c>
      <c r="L454" s="4" t="e">
        <f>NA()</f>
        <v>#N/A</v>
      </c>
      <c r="M454" s="4" t="e">
        <f>NA()</f>
        <v>#N/A</v>
      </c>
      <c r="N454" s="4" t="e">
        <f>NA()</f>
        <v>#N/A</v>
      </c>
      <c r="O454" s="4" t="e">
        <f>NA()</f>
        <v>#N/A</v>
      </c>
      <c r="P454" s="4" t="e">
        <f>NA()</f>
        <v>#N/A</v>
      </c>
      <c r="Q454" s="4" t="e">
        <f>NA()</f>
        <v>#N/A</v>
      </c>
      <c r="R454" s="4" t="e">
        <f>NA()</f>
        <v>#N/A</v>
      </c>
      <c r="S454" s="4" t="e">
        <f>NA()</f>
        <v>#N/A</v>
      </c>
      <c r="T454" s="4" t="e">
        <f>NA()</f>
        <v>#N/A</v>
      </c>
      <c r="U454" s="4" t="e">
        <f>NA()</f>
        <v>#N/A</v>
      </c>
      <c r="V454" s="4" t="e">
        <f>NA()</f>
        <v>#N/A</v>
      </c>
    </row>
    <row r="455" spans="1:23">
      <c r="A455" s="72" t="s">
        <v>156</v>
      </c>
      <c r="B455" s="71">
        <v>686.38768600000003</v>
      </c>
      <c r="C455" s="71">
        <v>968.36806899999999</v>
      </c>
      <c r="D455" s="71">
        <v>1044.52295</v>
      </c>
      <c r="E455" s="71">
        <v>0</v>
      </c>
      <c r="F455" s="71">
        <v>0</v>
      </c>
      <c r="G455" s="71">
        <v>0</v>
      </c>
      <c r="H455" s="71">
        <v>0</v>
      </c>
      <c r="I455" s="71">
        <v>0</v>
      </c>
      <c r="J455" s="71">
        <v>1654.8166570000001</v>
      </c>
      <c r="K455" s="71">
        <v>399.45731899999998</v>
      </c>
      <c r="L455" s="71" t="e">
        <f>NA()</f>
        <v>#N/A</v>
      </c>
      <c r="M455" s="71" t="e">
        <f>NA()</f>
        <v>#N/A</v>
      </c>
      <c r="N455" s="71" t="e">
        <f>NA()</f>
        <v>#N/A</v>
      </c>
      <c r="O455" s="71" t="e">
        <f>NA()</f>
        <v>#N/A</v>
      </c>
      <c r="P455" s="71" t="e">
        <f>NA()</f>
        <v>#N/A</v>
      </c>
      <c r="Q455" s="71" t="e">
        <f>NA()</f>
        <v>#N/A</v>
      </c>
      <c r="R455" s="71" t="e">
        <f>NA()</f>
        <v>#N/A</v>
      </c>
      <c r="S455" s="71" t="e">
        <f>NA()</f>
        <v>#N/A</v>
      </c>
      <c r="T455" s="71" t="e">
        <f>NA()</f>
        <v>#N/A</v>
      </c>
      <c r="U455" s="71" t="e">
        <f>NA()</f>
        <v>#N/A</v>
      </c>
      <c r="V455" s="71" t="e">
        <f>NA()</f>
        <v>#N/A</v>
      </c>
      <c r="W455" s="7" t="s">
        <v>232</v>
      </c>
    </row>
    <row r="456" spans="1:23">
      <c r="A456" s="73" t="s">
        <v>157</v>
      </c>
      <c r="B456" s="70">
        <v>0</v>
      </c>
      <c r="C456" s="29">
        <v>-9.7231819999999995</v>
      </c>
      <c r="D456" s="70">
        <v>0</v>
      </c>
      <c r="E456" s="70">
        <v>0</v>
      </c>
      <c r="F456" s="70">
        <v>0</v>
      </c>
      <c r="G456" s="70">
        <v>0</v>
      </c>
      <c r="H456" s="70">
        <v>0</v>
      </c>
      <c r="I456" s="70">
        <v>0</v>
      </c>
      <c r="J456" s="29">
        <v>-1531.3529450000001</v>
      </c>
      <c r="K456" s="29">
        <v>-1071.1295480000001</v>
      </c>
      <c r="L456" s="71" t="e">
        <f>NA()</f>
        <v>#N/A</v>
      </c>
      <c r="M456" s="71" t="e">
        <f>NA()</f>
        <v>#N/A</v>
      </c>
      <c r="N456" s="71" t="e">
        <f>NA()</f>
        <v>#N/A</v>
      </c>
      <c r="O456" s="71" t="e">
        <f>NA()</f>
        <v>#N/A</v>
      </c>
      <c r="P456" s="71" t="e">
        <f>NA()</f>
        <v>#N/A</v>
      </c>
      <c r="Q456" s="71" t="e">
        <f>NA()</f>
        <v>#N/A</v>
      </c>
      <c r="R456" s="71" t="e">
        <f>NA()</f>
        <v>#N/A</v>
      </c>
      <c r="S456" s="71" t="e">
        <f>NA()</f>
        <v>#N/A</v>
      </c>
      <c r="T456" s="71" t="e">
        <f>NA()</f>
        <v>#N/A</v>
      </c>
      <c r="U456" s="71" t="e">
        <f>NA()</f>
        <v>#N/A</v>
      </c>
      <c r="V456" s="71" t="e">
        <f>NA()</f>
        <v>#N/A</v>
      </c>
      <c r="W456" s="6" t="s">
        <v>231</v>
      </c>
    </row>
    <row r="457" spans="1:23">
      <c r="A457" s="65" t="s">
        <v>358</v>
      </c>
      <c r="B457" s="66" t="s">
        <v>2</v>
      </c>
      <c r="C457" s="66" t="s">
        <v>2</v>
      </c>
      <c r="D457" s="66" t="s">
        <v>2</v>
      </c>
      <c r="E457" s="71">
        <v>259.11083600000001</v>
      </c>
      <c r="F457" s="27">
        <v>-247.889814</v>
      </c>
      <c r="G457" s="27">
        <v>-391.16119800000001</v>
      </c>
      <c r="H457" s="27">
        <v>-412.09151800000001</v>
      </c>
      <c r="I457" s="27">
        <v>-447.50059499999998</v>
      </c>
      <c r="J457" s="66" t="s">
        <v>2</v>
      </c>
      <c r="K457" s="66" t="s">
        <v>2</v>
      </c>
      <c r="L457" s="71" t="e">
        <f>NA()</f>
        <v>#N/A</v>
      </c>
      <c r="M457" s="71" t="e">
        <f>NA()</f>
        <v>#N/A</v>
      </c>
      <c r="N457" s="71" t="e">
        <f>NA()</f>
        <v>#N/A</v>
      </c>
      <c r="O457" s="71" t="e">
        <f>NA()</f>
        <v>#N/A</v>
      </c>
      <c r="P457" s="71" t="e">
        <f>NA()</f>
        <v>#N/A</v>
      </c>
      <c r="Q457" s="71" t="e">
        <f>NA()</f>
        <v>#N/A</v>
      </c>
      <c r="R457" s="71" t="e">
        <f>NA()</f>
        <v>#N/A</v>
      </c>
      <c r="S457" s="71" t="e">
        <f>NA()</f>
        <v>#N/A</v>
      </c>
      <c r="T457" s="71" t="e">
        <f>NA()</f>
        <v>#N/A</v>
      </c>
      <c r="U457" s="71" t="e">
        <f>NA()</f>
        <v>#N/A</v>
      </c>
      <c r="V457" s="71" t="e">
        <f>NA()</f>
        <v>#N/A</v>
      </c>
      <c r="W457" s="6" t="s">
        <v>241</v>
      </c>
    </row>
    <row r="458" spans="1:23">
      <c r="A458" s="63" t="s">
        <v>359</v>
      </c>
      <c r="B458" s="62">
        <v>0</v>
      </c>
      <c r="C458" s="62">
        <v>0</v>
      </c>
      <c r="D458" s="62">
        <v>0</v>
      </c>
      <c r="E458" s="62">
        <v>0</v>
      </c>
      <c r="F458" s="62">
        <v>0</v>
      </c>
      <c r="G458" s="62">
        <v>0</v>
      </c>
      <c r="H458" s="62">
        <v>0</v>
      </c>
      <c r="I458" s="62">
        <v>0</v>
      </c>
      <c r="J458" s="29">
        <v>-34.482061999999999</v>
      </c>
      <c r="K458" s="29">
        <v>-46.187434000000003</v>
      </c>
      <c r="L458" s="71" t="e">
        <f>NA()</f>
        <v>#N/A</v>
      </c>
      <c r="M458" s="71" t="e">
        <f>NA()</f>
        <v>#N/A</v>
      </c>
      <c r="N458" s="71" t="e">
        <f>NA()</f>
        <v>#N/A</v>
      </c>
      <c r="O458" s="71" t="e">
        <f>NA()</f>
        <v>#N/A</v>
      </c>
      <c r="P458" s="71" t="e">
        <f>NA()</f>
        <v>#N/A</v>
      </c>
      <c r="Q458" s="71" t="e">
        <f>NA()</f>
        <v>#N/A</v>
      </c>
      <c r="R458" s="71" t="e">
        <f>NA()</f>
        <v>#N/A</v>
      </c>
      <c r="S458" s="71" t="e">
        <f>NA()</f>
        <v>#N/A</v>
      </c>
      <c r="T458" s="71" t="e">
        <f>NA()</f>
        <v>#N/A</v>
      </c>
      <c r="U458" s="71" t="e">
        <f>NA()</f>
        <v>#N/A</v>
      </c>
      <c r="V458" s="71" t="e">
        <f>NA()</f>
        <v>#N/A</v>
      </c>
    </row>
    <row r="459" spans="1:23">
      <c r="A459" s="18" t="s">
        <v>134</v>
      </c>
      <c r="B459" s="30">
        <v>35.609082999999998</v>
      </c>
      <c r="C459" s="30">
        <v>30.614740000000001</v>
      </c>
      <c r="D459" s="30">
        <v>0</v>
      </c>
      <c r="E459" s="30">
        <v>16.529287</v>
      </c>
      <c r="F459" s="30">
        <v>2.5147200000000001</v>
      </c>
      <c r="G459" s="30">
        <v>-3.2674340000000002</v>
      </c>
      <c r="H459" s="30">
        <v>-11.570525</v>
      </c>
      <c r="I459" s="30">
        <v>-2.2500119999999999</v>
      </c>
      <c r="J459" s="30">
        <v>-2.5181990000000001</v>
      </c>
      <c r="K459" s="30">
        <v>-1.7256560000000001</v>
      </c>
      <c r="L459" s="71" t="e">
        <f>NA()</f>
        <v>#N/A</v>
      </c>
      <c r="M459" s="71" t="e">
        <f>NA()</f>
        <v>#N/A</v>
      </c>
      <c r="N459" s="71" t="e">
        <f>NA()</f>
        <v>#N/A</v>
      </c>
      <c r="O459" s="71" t="e">
        <f>NA()</f>
        <v>#N/A</v>
      </c>
      <c r="P459" s="71" t="e">
        <f>NA()</f>
        <v>#N/A</v>
      </c>
      <c r="Q459" s="71" t="e">
        <f>NA()</f>
        <v>#N/A</v>
      </c>
      <c r="R459" s="71" t="e">
        <f>NA()</f>
        <v>#N/A</v>
      </c>
      <c r="S459" s="71" t="e">
        <f>NA()</f>
        <v>#N/A</v>
      </c>
      <c r="T459" s="71" t="e">
        <f>NA()</f>
        <v>#N/A</v>
      </c>
      <c r="U459" s="71" t="e">
        <f>NA()</f>
        <v>#N/A</v>
      </c>
      <c r="V459" s="71" t="e">
        <f>NA()</f>
        <v>#N/A</v>
      </c>
    </row>
    <row r="460" spans="1:23">
      <c r="A460" s="64" t="s">
        <v>146</v>
      </c>
      <c r="B460" s="29">
        <v>-4.7495999999999997E-2</v>
      </c>
      <c r="C460" s="29">
        <v>-5.3131999999999999E-2</v>
      </c>
      <c r="D460" s="70">
        <v>0</v>
      </c>
      <c r="E460" s="29">
        <v>-1.6642459999999999</v>
      </c>
      <c r="F460" s="70">
        <v>0</v>
      </c>
      <c r="G460" s="29">
        <v>-4.6812139999999998</v>
      </c>
      <c r="H460" s="29">
        <v>-13.946208</v>
      </c>
      <c r="I460" s="29">
        <v>-7.9366490000000001</v>
      </c>
      <c r="J460" s="29">
        <v>-2.5181990000000001</v>
      </c>
      <c r="K460" s="29">
        <v>-1.7256560000000001</v>
      </c>
      <c r="L460" s="100" t="e">
        <f>NA()</f>
        <v>#N/A</v>
      </c>
      <c r="M460" s="100" t="e">
        <f>NA()</f>
        <v>#N/A</v>
      </c>
      <c r="N460" s="100" t="e">
        <f>NA()</f>
        <v>#N/A</v>
      </c>
      <c r="O460" s="100" t="e">
        <f>NA()</f>
        <v>#N/A</v>
      </c>
      <c r="P460" s="100" t="e">
        <f>NA()</f>
        <v>#N/A</v>
      </c>
      <c r="Q460" s="100" t="e">
        <f>NA()</f>
        <v>#N/A</v>
      </c>
      <c r="R460" s="100" t="e">
        <f>NA()</f>
        <v>#N/A</v>
      </c>
      <c r="S460" s="100" t="e">
        <f>NA()</f>
        <v>#N/A</v>
      </c>
      <c r="T460" s="100" t="e">
        <f>NA()</f>
        <v>#N/A</v>
      </c>
      <c r="U460" s="100" t="e">
        <f>NA()</f>
        <v>#N/A</v>
      </c>
      <c r="V460" s="100" t="e">
        <f>NA()</f>
        <v>#N/A</v>
      </c>
    </row>
    <row r="461" spans="1:23">
      <c r="A461" s="65" t="s">
        <v>147</v>
      </c>
      <c r="B461" s="71">
        <v>35.656579000000001</v>
      </c>
      <c r="C461" s="71">
        <v>30.667871999999999</v>
      </c>
      <c r="D461" s="71">
        <v>0</v>
      </c>
      <c r="E461" s="71">
        <v>18.193532999999999</v>
      </c>
      <c r="F461" s="71">
        <v>2.5147200000000001</v>
      </c>
      <c r="G461" s="71">
        <v>1.413781</v>
      </c>
      <c r="H461" s="71">
        <v>2.3756819999999998</v>
      </c>
      <c r="I461" s="71">
        <v>5.6866370000000002</v>
      </c>
      <c r="J461" s="71">
        <v>0</v>
      </c>
      <c r="K461" s="71">
        <v>0</v>
      </c>
      <c r="L461" s="100" t="e">
        <f>NA()</f>
        <v>#N/A</v>
      </c>
      <c r="M461" s="100" t="e">
        <f>NA()</f>
        <v>#N/A</v>
      </c>
      <c r="N461" s="100" t="e">
        <f>NA()</f>
        <v>#N/A</v>
      </c>
      <c r="O461" s="100" t="e">
        <f>NA()</f>
        <v>#N/A</v>
      </c>
      <c r="P461" s="100" t="e">
        <f>NA()</f>
        <v>#N/A</v>
      </c>
      <c r="Q461" s="100" t="e">
        <f>NA()</f>
        <v>#N/A</v>
      </c>
      <c r="R461" s="100" t="e">
        <f>NA()</f>
        <v>#N/A</v>
      </c>
      <c r="S461" s="100" t="e">
        <f>NA()</f>
        <v>#N/A</v>
      </c>
      <c r="T461" s="100" t="e">
        <f>NA()</f>
        <v>#N/A</v>
      </c>
      <c r="U461" s="100" t="e">
        <f>NA()</f>
        <v>#N/A</v>
      </c>
      <c r="V461" s="100" t="e">
        <f>NA()</f>
        <v>#N/A</v>
      </c>
    </row>
    <row r="462" spans="1:23">
      <c r="A462" s="63" t="s">
        <v>158</v>
      </c>
      <c r="B462" s="70">
        <v>692.53497100000004</v>
      </c>
      <c r="C462" s="70">
        <v>964.29718100000002</v>
      </c>
      <c r="D462" s="70">
        <v>1045.56502</v>
      </c>
      <c r="E462" s="70">
        <v>1662.655696</v>
      </c>
      <c r="F462" s="29">
        <v>-622.05534999999998</v>
      </c>
      <c r="G462" s="29">
        <v>-503.19557200000003</v>
      </c>
      <c r="H462" s="29">
        <v>-552.83601899999996</v>
      </c>
      <c r="I462" s="29">
        <v>-613.83005100000003</v>
      </c>
      <c r="J462" s="29">
        <v>-209.59907799999999</v>
      </c>
      <c r="K462" s="70">
        <v>191.41849500000001</v>
      </c>
      <c r="L462" s="97">
        <f>L446+L448+L453</f>
        <v>1590.4804080880117</v>
      </c>
      <c r="M462" s="97">
        <f t="shared" ref="M462:V462" si="210">M446+M448+M453</f>
        <v>703.00408232188636</v>
      </c>
      <c r="N462" s="97">
        <f t="shared" si="210"/>
        <v>475.29448279780752</v>
      </c>
      <c r="O462" s="97">
        <f t="shared" si="210"/>
        <v>376.90147848081779</v>
      </c>
      <c r="P462" s="97">
        <f t="shared" si="210"/>
        <v>169.04806674605481</v>
      </c>
      <c r="Q462" s="97">
        <f t="shared" si="210"/>
        <v>178.48288277022331</v>
      </c>
      <c r="R462" s="97">
        <f t="shared" si="210"/>
        <v>188.38943959560117</v>
      </c>
      <c r="S462" s="97">
        <f t="shared" si="210"/>
        <v>106.34439877552001</v>
      </c>
      <c r="T462" s="97">
        <f t="shared" si="210"/>
        <v>111.38410487603443</v>
      </c>
      <c r="U462" s="97">
        <f t="shared" si="210"/>
        <v>16.63480461412496</v>
      </c>
      <c r="V462" s="97">
        <f t="shared" si="210"/>
        <v>-46.130697351004017</v>
      </c>
    </row>
    <row r="463" spans="1:23">
      <c r="A463" s="21" t="s">
        <v>159</v>
      </c>
      <c r="B463" s="21"/>
      <c r="C463" s="21"/>
      <c r="D463" s="21"/>
      <c r="E463" s="21"/>
      <c r="F463" s="21"/>
      <c r="G463" s="21"/>
      <c r="H463" s="21"/>
      <c r="I463" s="21"/>
      <c r="J463" s="21"/>
      <c r="K463" s="21"/>
    </row>
    <row r="464" spans="1:23">
      <c r="A464" s="63" t="s">
        <v>17</v>
      </c>
      <c r="B464" s="29">
        <v>-209.490397</v>
      </c>
      <c r="C464" s="29">
        <v>-540.19835399999999</v>
      </c>
      <c r="D464" s="29">
        <v>-288.88999799999999</v>
      </c>
      <c r="E464" s="70">
        <v>832.68309899999997</v>
      </c>
      <c r="F464" s="29">
        <v>-66.215626999999998</v>
      </c>
      <c r="G464" s="29">
        <v>-64.206621999999996</v>
      </c>
      <c r="H464" s="70">
        <v>198.94936999999999</v>
      </c>
      <c r="I464" s="29">
        <v>-555.39000799999997</v>
      </c>
      <c r="J464" s="29">
        <v>-294.01775099999998</v>
      </c>
      <c r="K464" s="70">
        <v>210.05644699999999</v>
      </c>
      <c r="L464" s="32">
        <f>L433+L444+L462</f>
        <v>2002.7973543590938</v>
      </c>
      <c r="M464" s="32">
        <f t="shared" ref="M464:V464" si="211">M433+M444+M462</f>
        <v>1037.2570377210282</v>
      </c>
      <c r="N464" s="32">
        <f t="shared" si="211"/>
        <v>786.82431452745993</v>
      </c>
      <c r="O464" s="32">
        <f t="shared" si="211"/>
        <v>698.60604542791634</v>
      </c>
      <c r="P464" s="32">
        <f t="shared" si="211"/>
        <v>455.78038547090148</v>
      </c>
      <c r="Q464" s="32">
        <f t="shared" si="211"/>
        <v>495.84684907160113</v>
      </c>
      <c r="R464" s="32">
        <f t="shared" si="211"/>
        <v>537.91663585235426</v>
      </c>
      <c r="S464" s="32">
        <f t="shared" si="211"/>
        <v>456.15649768626287</v>
      </c>
      <c r="T464" s="32">
        <f t="shared" si="211"/>
        <v>488.22471305544974</v>
      </c>
      <c r="U464" s="32">
        <f t="shared" si="211"/>
        <v>385.36607614780132</v>
      </c>
      <c r="V464" s="32">
        <f t="shared" si="211"/>
        <v>320.31008667116186</v>
      </c>
    </row>
    <row r="465" spans="1:12">
      <c r="A465" s="18" t="s">
        <v>19</v>
      </c>
      <c r="B465" s="30">
        <v>242.84004999999999</v>
      </c>
      <c r="C465" s="30">
        <v>179.51321999999999</v>
      </c>
      <c r="D465" s="30">
        <v>367.82918999999998</v>
      </c>
      <c r="E465" s="30">
        <v>974.03634999999997</v>
      </c>
      <c r="F465" s="30">
        <v>900.20843000000002</v>
      </c>
      <c r="G465" s="30">
        <v>635.85419000000002</v>
      </c>
      <c r="H465" s="30">
        <v>960.04179999999997</v>
      </c>
      <c r="I465" s="30">
        <v>928.69110000000001</v>
      </c>
      <c r="J465" s="30">
        <v>854.41781000000003</v>
      </c>
      <c r="K465" s="30">
        <v>263.00706000000002</v>
      </c>
      <c r="L465" s="32"/>
    </row>
    <row r="466" spans="1:12">
      <c r="A466" s="64" t="s">
        <v>160</v>
      </c>
      <c r="B466" s="70">
        <v>0.17846999999999999</v>
      </c>
      <c r="C466" s="70">
        <v>0.13096099999999999</v>
      </c>
      <c r="D466" s="70">
        <v>0.266573</v>
      </c>
      <c r="E466" s="70">
        <v>0.63872899999999999</v>
      </c>
      <c r="F466" s="70">
        <v>0.57603599999999999</v>
      </c>
      <c r="G466" s="70">
        <v>0.406059</v>
      </c>
      <c r="H466" s="70">
        <v>0.61206799999999995</v>
      </c>
      <c r="I466" s="70">
        <v>0.59183200000000002</v>
      </c>
      <c r="J466" s="70">
        <v>0.54381500000000005</v>
      </c>
      <c r="K466" s="70">
        <v>0.136319</v>
      </c>
    </row>
    <row r="467" spans="1:12">
      <c r="A467" s="65" t="s">
        <v>161</v>
      </c>
      <c r="B467" s="71">
        <v>2.9306649999999999</v>
      </c>
      <c r="C467" s="71">
        <v>1.9173720000000001</v>
      </c>
      <c r="D467" s="71">
        <v>3.373462</v>
      </c>
      <c r="E467" s="71">
        <v>8.3084629999999997</v>
      </c>
      <c r="F467" s="71">
        <v>8.8238070000000004</v>
      </c>
      <c r="G467" s="71">
        <v>5.8123399999999998</v>
      </c>
      <c r="H467" s="71">
        <v>8.0638640000000006</v>
      </c>
      <c r="I467" s="71">
        <v>8.4833320000000008</v>
      </c>
      <c r="J467" s="71">
        <v>7.6982850000000003</v>
      </c>
      <c r="K467" s="71">
        <v>3.6743739999999998</v>
      </c>
    </row>
    <row r="468" spans="1:12">
      <c r="K468" s="32"/>
      <c r="L468" s="32"/>
    </row>
    <row r="469" spans="1:12">
      <c r="K469" s="32"/>
    </row>
  </sheetData>
  <conditionalFormatting sqref="I63:S79">
    <cfRule type="colorScale" priority="1">
      <colorScale>
        <cfvo type="min"/>
        <cfvo type="percentile" val="50"/>
        <cfvo type="max"/>
        <color rgb="FFF8696B"/>
        <color rgb="FFFFEB84"/>
        <color rgb="FF63BE7B"/>
      </colorScale>
    </cfRule>
  </conditionalFormatting>
  <hyperlinks>
    <hyperlink ref="G6" r:id="rId1" xr:uid="{00000000-0004-0000-0100-000000000000}"/>
    <hyperlink ref="J7" r:id="rId2" xr:uid="{00000000-0004-0000-0100-000001000000}"/>
    <hyperlink ref="P26" r:id="rId3" xr:uid="{00000000-0004-0000-0100-000002000000}"/>
    <hyperlink ref="P27" r:id="rId4" xr:uid="{00000000-0004-0000-0100-000003000000}"/>
    <hyperlink ref="P28" r:id="rId5" xr:uid="{00000000-0004-0000-0100-000004000000}"/>
    <hyperlink ref="T25" r:id="rId6" xr:uid="{00000000-0004-0000-0100-000005000000}"/>
    <hyperlink ref="T28" r:id="rId7" xr:uid="{00000000-0004-0000-0100-000006000000}"/>
    <hyperlink ref="W456" r:id="rId8" location=":~:text=In%20the%20statement%20of%20cash,in%20the%20corporation's%20net%20income." xr:uid="{00000000-0004-0000-0100-000007000000}"/>
    <hyperlink ref="W457" r:id="rId9" xr:uid="{00000000-0004-0000-0100-000008000000}"/>
  </hyperlinks>
  <pageMargins left="0.7" right="0.7" top="0.75" bottom="0.75" header="0.3" footer="0.3"/>
  <pageSetup paperSize="9" orientation="portrait" r:id="rId10"/>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keithphw@hotmail.com</dc:creator>
  <cp:lastModifiedBy>kev</cp:lastModifiedBy>
  <dcterms:created xsi:type="dcterms:W3CDTF">2020-09-17T01:36:54Z</dcterms:created>
  <dcterms:modified xsi:type="dcterms:W3CDTF">2021-11-01T12:22:13Z</dcterms:modified>
</cp:coreProperties>
</file>