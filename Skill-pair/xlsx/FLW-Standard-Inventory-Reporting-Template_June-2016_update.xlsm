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49.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5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richard.waite\Documents\WRI\FLW Protocol\"/>
    </mc:Choice>
  </mc:AlternateContent>
  <bookViews>
    <workbookView xWindow="0" yWindow="0" windowWidth="19200" windowHeight="10995" tabRatio="618"/>
  </bookViews>
  <sheets>
    <sheet name="Introduction" sheetId="10" r:id="rId1"/>
    <sheet name="Summary" sheetId="23" r:id="rId2"/>
    <sheet name="I. General info" sheetId="3" r:id="rId3"/>
    <sheet name="II. Scope and results" sheetId="4" r:id="rId4"/>
    <sheet name="III. Methods-data sources" sheetId="11" r:id="rId5"/>
    <sheet name="IV. Data collection-calculation" sheetId="12" r:id="rId6"/>
    <sheet name="V. Review and assurance" sheetId="13" r:id="rId7"/>
    <sheet name="VI. Targets-tracking" sheetId="14" r:id="rId8"/>
    <sheet name="VII. Causes of FLW (optional)" sheetId="22" r:id="rId9"/>
    <sheet name="VIII. Results matrix (optional)" sheetId="15" r:id="rId10"/>
    <sheet name="Glossary" sheetId="16" r:id="rId11"/>
  </sheets>
  <definedNames>
    <definedName name="_xlnm._FilterDatabase" localSheetId="10" hidden="1">Glossary!$A$1:$A$22</definedName>
    <definedName name="_xlnm._FilterDatabase" localSheetId="3" hidden="1">'II. Scope and results'!$A$1:$A$53</definedName>
    <definedName name="_xlnm._FilterDatabase" localSheetId="4" hidden="1">'III. Methods-data sources'!$A$1:$A$16</definedName>
    <definedName name="_xlnm._FilterDatabase" localSheetId="5" hidden="1">'IV. Data collection-calculation'!$A$1:$A$26</definedName>
    <definedName name="_xlnm._FilterDatabase" localSheetId="1" hidden="1">Summary!$A$1:$A$84</definedName>
    <definedName name="_xlnm._FilterDatabase" localSheetId="7" hidden="1">'VI. Targets-tracking'!$A$1:$A$25</definedName>
    <definedName name="_xlnm._FilterDatabase" localSheetId="8" hidden="1">'VII. Causes of FLW (optional)'!$A$1:$A$20</definedName>
    <definedName name="_xlnm._FilterDatabase" localSheetId="9" hidden="1">'VIII. Results matrix (optional)'!$A$1:$A$42</definedName>
    <definedName name="_xlnm.Print_Area" localSheetId="0">Introduction!$B$2:$M$37</definedName>
  </definedNames>
  <calcPr calcId="152511" concurrentCalc="0"/>
</workbook>
</file>

<file path=xl/calcChain.xml><?xml version="1.0" encoding="utf-8"?>
<calcChain xmlns="http://schemas.openxmlformats.org/spreadsheetml/2006/main">
  <c r="F12" i="23" l="1"/>
  <c r="F13" i="23"/>
  <c r="F16" i="23"/>
  <c r="H16" i="23"/>
  <c r="F17" i="23"/>
  <c r="H17" i="23"/>
  <c r="F18" i="23"/>
  <c r="H18" i="23"/>
  <c r="F19" i="23"/>
  <c r="H19" i="23"/>
  <c r="F20" i="23"/>
  <c r="H20" i="23"/>
  <c r="F21" i="23"/>
  <c r="H21" i="23"/>
  <c r="F22" i="23"/>
  <c r="H22" i="23"/>
  <c r="F23" i="23"/>
  <c r="H23" i="23"/>
  <c r="F24" i="23"/>
  <c r="H24" i="23"/>
  <c r="F25" i="23"/>
  <c r="H25" i="23"/>
  <c r="F26" i="23"/>
  <c r="H26" i="23"/>
  <c r="F27" i="23"/>
  <c r="H27" i="23"/>
  <c r="H27" i="4"/>
  <c r="H17" i="4"/>
  <c r="G19" i="4"/>
  <c r="G20" i="4"/>
  <c r="G24" i="4"/>
  <c r="G26" i="4"/>
  <c r="G17" i="4"/>
  <c r="D17" i="4"/>
  <c r="B54" i="23"/>
  <c r="B56" i="23"/>
  <c r="B57" i="23"/>
  <c r="B49" i="23"/>
  <c r="B50" i="23"/>
  <c r="B51" i="23"/>
  <c r="B52" i="23"/>
  <c r="B53" i="23"/>
  <c r="B58" i="23"/>
  <c r="B59" i="23"/>
  <c r="B55" i="23"/>
  <c r="B47" i="23"/>
  <c r="H29" i="23"/>
  <c r="H28" i="23"/>
  <c r="C29" i="23"/>
  <c r="C28" i="23"/>
  <c r="C27" i="23"/>
  <c r="I4" i="23"/>
  <c r="D4" i="23"/>
  <c r="G7" i="23"/>
  <c r="C5" i="15"/>
  <c r="P34" i="15"/>
  <c r="C4" i="15"/>
  <c r="F29" i="23"/>
  <c r="F28" i="23"/>
  <c r="A29" i="23"/>
  <c r="A28" i="23"/>
  <c r="A27" i="23"/>
  <c r="F5" i="23"/>
  <c r="D5" i="23"/>
  <c r="F7" i="23"/>
  <c r="A33" i="4"/>
  <c r="A32" i="4"/>
  <c r="A31" i="4"/>
  <c r="A29" i="4"/>
  <c r="A28" i="4"/>
  <c r="A27" i="4"/>
  <c r="A26" i="4"/>
  <c r="A25" i="4"/>
  <c r="A24" i="4"/>
  <c r="A23" i="4"/>
  <c r="A22" i="4"/>
  <c r="A21" i="4"/>
  <c r="A20" i="4"/>
  <c r="A19" i="4"/>
  <c r="C26" i="23"/>
  <c r="E35" i="23"/>
  <c r="E34" i="23"/>
  <c r="E33" i="23"/>
  <c r="E32" i="23"/>
  <c r="A13" i="23"/>
  <c r="A12" i="23"/>
  <c r="A26" i="23"/>
  <c r="A25" i="23"/>
  <c r="A24" i="23"/>
  <c r="A23" i="23"/>
  <c r="A22" i="23"/>
  <c r="A21" i="23"/>
  <c r="A20" i="23"/>
  <c r="A19" i="23"/>
  <c r="A18" i="23"/>
  <c r="A17" i="23"/>
  <c r="A16" i="23"/>
  <c r="P36" i="15"/>
  <c r="P35" i="15"/>
  <c r="O31" i="15"/>
  <c r="N31" i="15"/>
  <c r="M31" i="15"/>
  <c r="L31" i="15"/>
  <c r="K31" i="15"/>
  <c r="J31" i="15"/>
  <c r="I31" i="15"/>
  <c r="H31" i="15"/>
  <c r="G31" i="15"/>
  <c r="F31" i="15"/>
  <c r="E31" i="15"/>
  <c r="D31" i="15"/>
  <c r="P30" i="15"/>
  <c r="P29" i="15"/>
  <c r="P28" i="15"/>
  <c r="P27" i="15"/>
  <c r="P26" i="15"/>
  <c r="P25" i="15"/>
  <c r="P24" i="15"/>
  <c r="P23" i="15"/>
  <c r="P22" i="15"/>
  <c r="P21" i="15"/>
  <c r="P20" i="15"/>
  <c r="P19" i="15"/>
  <c r="P18" i="15"/>
  <c r="P17" i="15"/>
  <c r="P16" i="15"/>
  <c r="P15" i="15"/>
  <c r="P14" i="15"/>
  <c r="P13" i="15"/>
  <c r="P31" i="15"/>
</calcChain>
</file>

<file path=xl/comments1.xml><?xml version="1.0" encoding="utf-8"?>
<comments xmlns="http://schemas.openxmlformats.org/spreadsheetml/2006/main">
  <authors>
    <author>Richard Waite</author>
  </authors>
  <commentList>
    <comment ref="B8" authorId="0" shapeId="0">
      <text>
        <r>
          <rPr>
            <b/>
            <sz val="9"/>
            <color indexed="81"/>
            <rFont val="Tahoma"/>
            <family val="2"/>
          </rPr>
          <t>Definition:</t>
        </r>
        <r>
          <rPr>
            <sz val="9"/>
            <color indexed="81"/>
            <rFont val="Tahoma"/>
            <family val="2"/>
          </rPr>
          <t xml:space="preserve">
The period of time for which the inventory results are being reported (including starting and ending date)</t>
        </r>
      </text>
    </comment>
    <comment ref="B10" authorId="0" shapeId="0">
      <text>
        <r>
          <rPr>
            <b/>
            <sz val="9"/>
            <color indexed="81"/>
            <rFont val="Tahoma"/>
            <family val="2"/>
          </rPr>
          <t>Definition:</t>
        </r>
        <r>
          <rPr>
            <sz val="9"/>
            <color indexed="81"/>
            <rFont val="Tahoma"/>
            <family val="2"/>
          </rPr>
          <t xml:space="preserve">
"Material type" refers to the material that is removed from the food supply chain (i.e., food and/or associated inedible parts) and quantified in an FLW inventory. 
</t>
        </r>
      </text>
    </comment>
    <comment ref="B11" authorId="0" shapeId="0">
      <text>
        <r>
          <rPr>
            <b/>
            <sz val="9"/>
            <color indexed="81"/>
            <rFont val="Tahoma"/>
            <family val="2"/>
          </rPr>
          <t>Definition:</t>
        </r>
        <r>
          <rPr>
            <sz val="9"/>
            <color indexed="81"/>
            <rFont val="Tahoma"/>
            <family val="2"/>
          </rPr>
          <t xml:space="preserve">
"Food" refers to any substance—whether processed, semi-processed, or raw—that is intended for human consumption. “Food” includes drink, and any substance that has been used in the manufacture, preparation, or treatment of food. “Food” also includes material that has spoiled and is therefore no longer fit for human consumption. It does not include cosmetics, tobacco, or substances used only as drugs. It does not include processing agents used along the food supply chain, for example, water to clean or cook raw materials in factories or at home.
</t>
        </r>
      </text>
    </comment>
    <comment ref="B12" authorId="0" shapeId="0">
      <text>
        <r>
          <rPr>
            <b/>
            <sz val="9"/>
            <color indexed="81"/>
            <rFont val="Tahoma"/>
            <family val="2"/>
          </rPr>
          <t>Definition:</t>
        </r>
        <r>
          <rPr>
            <sz val="9"/>
            <color indexed="81"/>
            <rFont val="Tahoma"/>
            <family val="2"/>
          </rPr>
          <t xml:space="preserve">
"Inedible parts" refers to components associated with a food that, in a particular food supply chain, are not intended to be consumed by humans. Examples of inedible parts associated with food could include bones, rinds, and pits/stones. “Inedible parts” do not include packaging. What is considered inedible varies among users (e.g., chicken feet are consumed in some food supply chains but not others), changes over time, and is influenced by a range of variables including culture, socio-economic factors, availability, price, technological advances, international trade, and geography.
</t>
        </r>
      </text>
    </comment>
    <comment ref="F15" authorId="0" shapeId="0">
      <text>
        <r>
          <rPr>
            <b/>
            <sz val="9"/>
            <color indexed="81"/>
            <rFont val="Tahoma"/>
            <family val="2"/>
          </rPr>
          <t>Instructions:</t>
        </r>
        <r>
          <rPr>
            <sz val="9"/>
            <color indexed="81"/>
            <rFont val="Tahoma"/>
            <family val="2"/>
          </rPr>
          <t xml:space="preserve">
See </t>
        </r>
        <r>
          <rPr>
            <i/>
            <sz val="9"/>
            <color indexed="81"/>
            <rFont val="Tahoma"/>
            <family val="2"/>
          </rPr>
          <t xml:space="preserve">FLW Standard, </t>
        </r>
        <r>
          <rPr>
            <sz val="9"/>
            <color indexed="81"/>
            <rFont val="Tahoma"/>
            <family val="2"/>
          </rPr>
          <t>section 6.5, for further guidance on reporting on valorization of FLW.</t>
        </r>
      </text>
    </comment>
    <comment ref="B16" authorId="0" shapeId="0">
      <text>
        <r>
          <rPr>
            <b/>
            <sz val="9"/>
            <color indexed="81"/>
            <rFont val="Tahoma"/>
            <family val="2"/>
          </rPr>
          <t xml:space="preserve">Definition: </t>
        </r>
        <r>
          <rPr>
            <sz val="9"/>
            <color indexed="81"/>
            <rFont val="Tahoma"/>
            <family val="2"/>
          </rPr>
          <t>where FLW goes when removed from the food supply chain</t>
        </r>
        <r>
          <rPr>
            <b/>
            <sz val="9"/>
            <color indexed="81"/>
            <rFont val="Tahoma"/>
            <family val="2"/>
          </rPr>
          <t xml:space="preserve">
Instructions:</t>
        </r>
        <r>
          <rPr>
            <sz val="9"/>
            <color indexed="81"/>
            <rFont val="Tahoma"/>
            <family val="2"/>
          </rPr>
          <t xml:space="preserve">
An entity shall account for and report as much as is known about the destination of the FLW. 
See </t>
        </r>
        <r>
          <rPr>
            <i/>
            <sz val="9"/>
            <color indexed="81"/>
            <rFont val="Tahoma"/>
            <family val="2"/>
          </rPr>
          <t xml:space="preserve">FLW Standard, </t>
        </r>
        <r>
          <rPr>
            <sz val="9"/>
            <color indexed="81"/>
            <rFont val="Tahoma"/>
            <family val="2"/>
          </rPr>
          <t>Section 6.5, for further guidance.</t>
        </r>
      </text>
    </comment>
    <comment ref="I16" authorId="0" shapeId="0">
      <text>
        <r>
          <rPr>
            <b/>
            <sz val="9"/>
            <color indexed="81"/>
            <rFont val="Tahoma"/>
            <family val="2"/>
          </rPr>
          <t xml:space="preserve">Definition:
</t>
        </r>
        <r>
          <rPr>
            <sz val="9"/>
            <color indexed="81"/>
            <rFont val="Tahoma"/>
            <family val="2"/>
          </rPr>
          <t xml:space="preserve">Conversion into useable heat, electricity, or fuel
</t>
        </r>
      </text>
    </comment>
    <comment ref="J16" authorId="0" shapeId="0">
      <text>
        <r>
          <rPr>
            <b/>
            <sz val="9"/>
            <color indexed="81"/>
            <rFont val="Tahoma"/>
            <family val="2"/>
          </rPr>
          <t>Definition:</t>
        </r>
        <r>
          <rPr>
            <sz val="9"/>
            <color indexed="81"/>
            <rFont val="Tahoma"/>
            <family val="2"/>
          </rPr>
          <t xml:space="preserve">
Conversion of digested solids or other material outputs into useable products, such as fertilizer (which provide nutrients), bedding for livestock, or soil amendments (which improve the physical condition of soil)</t>
        </r>
      </text>
    </comment>
    <comment ref="K16" authorId="0" shapeId="0">
      <text>
        <r>
          <rPr>
            <b/>
            <sz val="9"/>
            <color indexed="81"/>
            <rFont val="Tahoma"/>
            <family val="2"/>
          </rPr>
          <t>Definition:</t>
        </r>
        <r>
          <rPr>
            <sz val="9"/>
            <color indexed="81"/>
            <rFont val="Tahoma"/>
            <family val="2"/>
          </rPr>
          <t xml:space="preserve">
Conversion of liquid into a useable product, such as fertilizer</t>
        </r>
      </text>
    </comment>
    <comment ref="B19" authorId="0" shapeId="0">
      <text>
        <r>
          <rPr>
            <b/>
            <sz val="9"/>
            <color indexed="81"/>
            <rFont val="Tahoma"/>
            <family val="2"/>
          </rPr>
          <t>Definition:</t>
        </r>
        <r>
          <rPr>
            <sz val="9"/>
            <color indexed="81"/>
            <rFont val="Tahoma"/>
            <family val="2"/>
          </rPr>
          <t xml:space="preserve">
Diverting material from the food supply chain (directly or after processing) to animals</t>
        </r>
      </text>
    </comment>
    <comment ref="B20" authorId="0" shapeId="0">
      <text>
        <r>
          <rPr>
            <b/>
            <sz val="9"/>
            <color indexed="81"/>
            <rFont val="Tahoma"/>
            <family val="2"/>
          </rPr>
          <t>Definition:</t>
        </r>
        <r>
          <rPr>
            <sz val="9"/>
            <color indexed="81"/>
            <rFont val="Tahoma"/>
            <family val="2"/>
          </rPr>
          <t xml:space="preserve">
Converting material into industrial products. Examples include creating fibers for packaging material; creating bioplastics (e.g., polylactic acid); making “traditional” materials such as leather or feathers (e.g., for pillows); and rendering fat, oil, or grease into a raw material to make products such as soaps, biodiesel, or cosmetics. “Biochemical processing” does not refer to anaerobic digestion or production of bioethanol through fermentation</t>
        </r>
      </text>
    </comment>
    <comment ref="B21" authorId="0" shapeId="0">
      <text>
        <r>
          <rPr>
            <b/>
            <sz val="9"/>
            <color indexed="81"/>
            <rFont val="Tahoma"/>
            <family val="2"/>
          </rPr>
          <t>Definition:</t>
        </r>
        <r>
          <rPr>
            <sz val="9"/>
            <color indexed="81"/>
            <rFont val="Tahoma"/>
            <family val="2"/>
          </rPr>
          <t xml:space="preserve">
Breaking down material via bacteria in the absence of oxygen. This process generates biogas and nutrient-rich matter. Codigestion refers to the simultaneous anaerobic digestion of FLW and other organic material in one digester. This destination includes fermentation (converting carbohydrates—such as glucose, fructose, and sucrose—via microbes into alcohols in the absence of oxygen to create products such as biofuels)</t>
        </r>
      </text>
    </comment>
    <comment ref="B22" authorId="0" shapeId="0">
      <text>
        <r>
          <rPr>
            <b/>
            <sz val="9"/>
            <color indexed="81"/>
            <rFont val="Tahoma"/>
            <family val="2"/>
          </rPr>
          <t>Definition:</t>
        </r>
        <r>
          <rPr>
            <sz val="9"/>
            <color indexed="81"/>
            <rFont val="Tahoma"/>
            <family val="2"/>
          </rPr>
          <t xml:space="preserve">
Breaking down material via bacteria in oxygen-rich environments. Composting refers to the production of organic material (via aerobic processes) that can be used as a soil amendment</t>
        </r>
      </text>
    </comment>
    <comment ref="B23" authorId="0" shapeId="0">
      <text>
        <r>
          <rPr>
            <b/>
            <sz val="9"/>
            <color indexed="81"/>
            <rFont val="Tahoma"/>
            <family val="2"/>
          </rPr>
          <t>Definition:</t>
        </r>
        <r>
          <rPr>
            <sz val="9"/>
            <color indexed="81"/>
            <rFont val="Tahoma"/>
            <family val="2"/>
          </rPr>
          <t xml:space="preserve">
Sending material to a facility that is specifically designed for combustion in a controlled manner, which may include some form of energy recovery (this may also be referred to as incineration)</t>
        </r>
      </text>
    </comment>
    <comment ref="B24" authorId="0" shapeId="0">
      <text>
        <r>
          <rPr>
            <b/>
            <sz val="9"/>
            <color indexed="81"/>
            <rFont val="Tahoma"/>
            <family val="2"/>
          </rPr>
          <t>Definition:</t>
        </r>
        <r>
          <rPr>
            <sz val="9"/>
            <color indexed="81"/>
            <rFont val="Tahoma"/>
            <family val="2"/>
          </rPr>
          <t xml:space="preserve">
Spreading, spraying, injecting, or incorporating organic material onto or below the surface of the land to enhance soil quality</t>
        </r>
      </text>
    </comment>
    <comment ref="B25" authorId="0" shapeId="0">
      <text>
        <r>
          <rPr>
            <b/>
            <sz val="9"/>
            <color indexed="81"/>
            <rFont val="Tahoma"/>
            <family val="2"/>
          </rPr>
          <t>Definition:</t>
        </r>
        <r>
          <rPr>
            <sz val="9"/>
            <color indexed="81"/>
            <rFont val="Tahoma"/>
            <family val="2"/>
          </rPr>
          <t xml:space="preserve">
Sending material to an area of land or an excavated site that is specifically designed and built to receive wastes</t>
        </r>
      </text>
    </comment>
    <comment ref="B26" authorId="0" shapeId="0">
      <text>
        <r>
          <rPr>
            <b/>
            <sz val="9"/>
            <color indexed="81"/>
            <rFont val="Tahoma"/>
            <family val="2"/>
          </rPr>
          <t>Definition:</t>
        </r>
        <r>
          <rPr>
            <sz val="9"/>
            <color indexed="81"/>
            <rFont val="Tahoma"/>
            <family val="2"/>
          </rPr>
          <t xml:space="preserve">
Leaving crops that were ready for harvest in the field or tilling them into the soil</t>
        </r>
      </text>
    </comment>
    <comment ref="B27" authorId="0" shapeId="0">
      <text>
        <r>
          <rPr>
            <b/>
            <sz val="9"/>
            <color indexed="81"/>
            <rFont val="Tahoma"/>
            <family val="2"/>
          </rPr>
          <t>Definition:</t>
        </r>
        <r>
          <rPr>
            <sz val="9"/>
            <color indexed="81"/>
            <rFont val="Tahoma"/>
            <family val="2"/>
          </rPr>
          <t xml:space="preserve">
Abandoning material on land or disposing in the sea. This includes open dumps (i.e., uncovered, unlined), open burn (i.e., not in a controlled facility), the portion of harvested crops eaten by pests, and fish discards (the portion of total catch that is thrown away or slipped)</t>
        </r>
      </text>
    </comment>
    <comment ref="B28" authorId="0" shapeId="0">
      <text>
        <r>
          <rPr>
            <b/>
            <sz val="9"/>
            <color indexed="81"/>
            <rFont val="Tahoma"/>
            <family val="2"/>
          </rPr>
          <t>Definition:</t>
        </r>
        <r>
          <rPr>
            <sz val="9"/>
            <color indexed="81"/>
            <rFont val="Tahoma"/>
            <family val="2"/>
          </rPr>
          <t xml:space="preserve">
Sending material down the sewer (with or without prior treatment), which may go to a facility designed to treat wastewater</t>
        </r>
      </text>
    </comment>
    <comment ref="B29" authorId="0" shapeId="0">
      <text>
        <r>
          <rPr>
            <b/>
            <sz val="9"/>
            <color indexed="81"/>
            <rFont val="Tahoma"/>
            <family val="2"/>
          </rPr>
          <t xml:space="preserve">Definition: </t>
        </r>
        <r>
          <rPr>
            <sz val="9"/>
            <color indexed="81"/>
            <rFont val="Tahoma"/>
            <family val="2"/>
          </rPr>
          <t xml:space="preserve">
Sending material to a destination that is different from those provided. 
</t>
        </r>
        <r>
          <rPr>
            <b/>
            <sz val="9"/>
            <color indexed="81"/>
            <rFont val="Tahoma"/>
            <family val="2"/>
          </rPr>
          <t xml:space="preserve">Instructions: </t>
        </r>
        <r>
          <rPr>
            <sz val="9"/>
            <color indexed="81"/>
            <rFont val="Tahoma"/>
            <family val="2"/>
          </rPr>
          <t>Please enter a description of the destination in this cell.</t>
        </r>
      </text>
    </comment>
    <comment ref="B30" authorId="0" shapeId="0">
      <text>
        <r>
          <rPr>
            <b/>
            <sz val="9"/>
            <color indexed="81"/>
            <rFont val="Tahoma"/>
            <family val="2"/>
          </rPr>
          <t>Instructions:</t>
        </r>
        <r>
          <rPr>
            <sz val="9"/>
            <color indexed="81"/>
            <rFont val="Tahoma"/>
            <family val="2"/>
          </rPr>
          <t xml:space="preserve">
If any destination is unknown, an entity shall, at a minimum, report the initial path(s). The “path” refers to the routes by which FLW moves to its destination - see the 3 rows below.</t>
        </r>
      </text>
    </comment>
    <comment ref="B31" authorId="0" shapeId="0">
      <text>
        <r>
          <rPr>
            <b/>
            <sz val="9"/>
            <color indexed="81"/>
            <rFont val="Tahoma"/>
            <family val="2"/>
          </rPr>
          <t>Definition:</t>
        </r>
        <r>
          <rPr>
            <sz val="9"/>
            <color indexed="81"/>
            <rFont val="Tahoma"/>
            <family val="2"/>
          </rPr>
          <t xml:space="preserve">
Examples include any situation where the FLW is used at the place where it was generated but the destination is unknown. </t>
        </r>
      </text>
    </comment>
    <comment ref="B32" authorId="0" shapeId="0">
      <text>
        <r>
          <rPr>
            <b/>
            <sz val="9"/>
            <color indexed="81"/>
            <rFont val="Tahoma"/>
            <family val="2"/>
          </rPr>
          <t>Definition:</t>
        </r>
        <r>
          <rPr>
            <sz val="9"/>
            <color indexed="81"/>
            <rFont val="Tahoma"/>
            <family val="2"/>
          </rPr>
          <t xml:space="preserve">
Examples include a waste management company or others taking FLW from where it was generated.</t>
        </r>
      </text>
    </comment>
    <comment ref="B33" authorId="0" shapeId="0">
      <text>
        <r>
          <rPr>
            <b/>
            <sz val="9"/>
            <color indexed="81"/>
            <rFont val="Tahoma"/>
            <family val="2"/>
          </rPr>
          <t>Definition:</t>
        </r>
        <r>
          <rPr>
            <sz val="9"/>
            <color indexed="81"/>
            <rFont val="Tahoma"/>
            <family val="2"/>
          </rPr>
          <t xml:space="preserve">
Examples include food abandoned on the side of the road, or food and associated inedible parts remaining in a public space after a festival.</t>
        </r>
      </text>
    </comment>
    <comment ref="B36" authorId="0" shapeId="0">
      <text>
        <r>
          <rPr>
            <b/>
            <sz val="9"/>
            <color indexed="81"/>
            <rFont val="Tahoma"/>
            <family val="2"/>
          </rPr>
          <t>Instructions:</t>
        </r>
        <r>
          <rPr>
            <sz val="9"/>
            <color indexed="81"/>
            <rFont val="Tahoma"/>
            <family val="2"/>
          </rPr>
          <t xml:space="preserve">
List the classification source(s) used and relevant codes, where applicable. If not using codes, describe clearly. Resize rows if necessary.
See </t>
        </r>
        <r>
          <rPr>
            <i/>
            <sz val="9"/>
            <color indexed="81"/>
            <rFont val="Tahoma"/>
            <family val="2"/>
          </rPr>
          <t xml:space="preserve">FLW Standard, </t>
        </r>
        <r>
          <rPr>
            <sz val="9"/>
            <color indexed="81"/>
            <rFont val="Tahoma"/>
            <family val="2"/>
          </rPr>
          <t>Section 6.6, for additional guidance on reporting of boundary (and examples of how to report this information).</t>
        </r>
      </text>
    </comment>
    <comment ref="B37" authorId="0" shapeId="0">
      <text>
        <r>
          <rPr>
            <b/>
            <sz val="9"/>
            <color indexed="81"/>
            <rFont val="Tahoma"/>
            <family val="2"/>
          </rPr>
          <t>Definition:</t>
        </r>
        <r>
          <rPr>
            <sz val="9"/>
            <color indexed="81"/>
            <rFont val="Tahoma"/>
            <family val="2"/>
          </rPr>
          <t xml:space="preserve">
The types of food included in reported FLW.
</t>
        </r>
        <r>
          <rPr>
            <b/>
            <sz val="9"/>
            <color indexed="81"/>
            <rFont val="Tahoma"/>
            <family val="2"/>
          </rPr>
          <t>Instructions:</t>
        </r>
        <r>
          <rPr>
            <sz val="9"/>
            <color indexed="81"/>
            <rFont val="Tahoma"/>
            <family val="2"/>
          </rPr>
          <t xml:space="preserve">
List food category code(s). 
• Select one or more categories from either the Codex General Standard for Food Additives (GSFA) system or United Nations Central Production Classification (CPC) system.
• If more detailed information is used, include appropriate codes from more granular sources. These include the Global Product Category (GPC) codes and the United Nations Standard Products and Services Code (UNSPSC).
</t>
        </r>
        <r>
          <rPr>
            <b/>
            <sz val="9"/>
            <color indexed="81"/>
            <rFont val="Tahoma"/>
            <family val="2"/>
          </rPr>
          <t>Selected Examples:</t>
        </r>
        <r>
          <rPr>
            <sz val="9"/>
            <color indexed="81"/>
            <rFont val="Tahoma"/>
            <family val="2"/>
          </rPr>
          <t xml:space="preserve">
• All food (GSFA 01.0–16.0) </t>
        </r>
        <r>
          <rPr>
            <i/>
            <sz val="9"/>
            <color indexed="81"/>
            <rFont val="Tahoma"/>
            <family val="2"/>
          </rPr>
          <t>or</t>
        </r>
        <r>
          <rPr>
            <sz val="9"/>
            <color indexed="81"/>
            <rFont val="Tahoma"/>
            <family val="2"/>
          </rPr>
          <t xml:space="preserve"> (CPC2.1 Divisions 21–24)
• Dairy products (GSFA 01.0) </t>
        </r>
        <r>
          <rPr>
            <i/>
            <sz val="9"/>
            <color indexed="81"/>
            <rFont val="Tahoma"/>
            <family val="2"/>
          </rPr>
          <t>or</t>
        </r>
        <r>
          <rPr>
            <sz val="9"/>
            <color indexed="81"/>
            <rFont val="Tahoma"/>
            <family val="2"/>
          </rPr>
          <t xml:space="preserve"> (CPC2.1 Group 221 &amp; 222)
• Fresh fruits &amp; vegetables (GSFA 04.1 &amp; 04.2.1) </t>
        </r>
        <r>
          <rPr>
            <i/>
            <sz val="9"/>
            <color indexed="81"/>
            <rFont val="Tahoma"/>
            <family val="2"/>
          </rPr>
          <t>or</t>
        </r>
        <r>
          <rPr>
            <sz val="9"/>
            <color indexed="81"/>
            <rFont val="Tahoma"/>
            <family val="2"/>
          </rPr>
          <t xml:space="preserve"> (CPC2.1 Group 012 &amp; 013)
• Chicken (GSFA 08.1.1 {Fresh meat, poultry, and game, whole pieces or cuts}; GPC Brick 10005769) </t>
        </r>
        <r>
          <rPr>
            <i/>
            <sz val="9"/>
            <color indexed="81"/>
            <rFont val="Tahoma"/>
            <family val="2"/>
          </rPr>
          <t>or</t>
        </r>
        <r>
          <rPr>
            <sz val="9"/>
            <color indexed="81"/>
            <rFont val="Tahoma"/>
            <family val="2"/>
          </rPr>
          <t xml:space="preserve"> (CPC2.1 Subclass 21121)</t>
        </r>
      </text>
    </comment>
    <comment ref="H37" authorId="0" shapeId="0">
      <text>
        <r>
          <rPr>
            <b/>
            <sz val="9"/>
            <color indexed="81"/>
            <rFont val="Tahoma"/>
            <family val="2"/>
          </rPr>
          <t>Description:</t>
        </r>
        <r>
          <rPr>
            <sz val="9"/>
            <color indexed="81"/>
            <rFont val="Tahoma"/>
            <family val="2"/>
          </rPr>
          <t xml:space="preserve">
The Codex Alimentarius GSFA's food category system is hierarchical and applies to all foodstuffs, including those in which no food additives are permitted. The system includes a description of the foods covered by each food category, as well as relevant food additive provisions. The GSFA system provides a list of 16 main types of food products.</t>
        </r>
      </text>
    </comment>
    <comment ref="I37" authorId="0" shapeId="0">
      <text>
        <r>
          <rPr>
            <b/>
            <sz val="9"/>
            <color indexed="81"/>
            <rFont val="Tahoma"/>
            <family val="2"/>
          </rPr>
          <t>Description:</t>
        </r>
        <r>
          <rPr>
            <sz val="9"/>
            <color indexed="81"/>
            <rFont val="Tahoma"/>
            <family val="2"/>
          </rPr>
          <t xml:space="preserve">
The Central Product Classification (CPC) is a complete product classification covering all goods and services. It serves as an international standard for assembling and tabulating all kinds of data requiring product detail, including statistics on industrial production, domestic and foreign commodity trade, international trade in services, balance of payments, consumption and price statistics and other data used within the national accounts. </t>
        </r>
      </text>
    </comment>
    <comment ref="J37" authorId="0" shapeId="0">
      <text>
        <r>
          <rPr>
            <b/>
            <sz val="9"/>
            <color indexed="81"/>
            <rFont val="Tahoma"/>
            <family val="2"/>
          </rPr>
          <t>Description:</t>
        </r>
        <r>
          <rPr>
            <sz val="9"/>
            <color indexed="81"/>
            <rFont val="Tahoma"/>
            <family val="2"/>
          </rPr>
          <t xml:space="preserve">
The GS1 GPC is a system that gives buyers and sellers a common language for grouping products in the same way, everywhere in the world. It includes more detail than the GSFA codes.</t>
        </r>
      </text>
    </comment>
    <comment ref="K37" authorId="0" shapeId="0">
      <text>
        <r>
          <rPr>
            <b/>
            <sz val="9"/>
            <color indexed="81"/>
            <rFont val="Tahoma"/>
            <family val="2"/>
          </rPr>
          <t>Description:</t>
        </r>
        <r>
          <rPr>
            <sz val="9"/>
            <color indexed="81"/>
            <rFont val="Tahoma"/>
            <family val="2"/>
          </rPr>
          <t xml:space="preserve">
The United Nations Standard Products and Services Code® (UNSPSC®), managed by GS1 US™ for the UN Development Programme (UNDP), is an open, global, multi-sector standard for efficient, accurate classification of products and services. It includes more detail than the GSFA codes.</t>
        </r>
      </text>
    </comment>
    <comment ref="B38" authorId="0" shapeId="0">
      <text>
        <r>
          <rPr>
            <b/>
            <sz val="9"/>
            <color indexed="81"/>
            <rFont val="Tahoma"/>
            <family val="2"/>
          </rPr>
          <t xml:space="preserve">Definition:
</t>
        </r>
        <r>
          <rPr>
            <sz val="9"/>
            <color indexed="81"/>
            <rFont val="Tahoma"/>
            <family val="2"/>
          </rPr>
          <t xml:space="preserve">The stages in the food supply chain or food lifecycle within which reported FLW occurs.
</t>
        </r>
        <r>
          <rPr>
            <b/>
            <sz val="9"/>
            <color indexed="81"/>
            <rFont val="Tahoma"/>
            <family val="2"/>
          </rPr>
          <t>Instructions:</t>
        </r>
        <r>
          <rPr>
            <sz val="9"/>
            <color indexed="81"/>
            <rFont val="Tahoma"/>
            <family val="2"/>
          </rPr>
          <t xml:space="preserve">
• Select one or more United Nations International Standard Industrial Classifications of All Economic Activities (ISIC) codes.(At the time of publication, the latest version is “Rev.4”)
• Regional and national classification systems may be used as well, most of which are derived from the ISIC (e.g., NACE for Europe). The UN Statistics Division lists national classification systems.
• If no code exists, write in the lifecycle stage. 
</t>
        </r>
        <r>
          <rPr>
            <b/>
            <sz val="9"/>
            <color indexed="81"/>
            <rFont val="Tahoma"/>
            <family val="2"/>
          </rPr>
          <t>Selected Examples:</t>
        </r>
        <r>
          <rPr>
            <sz val="9"/>
            <color indexed="81"/>
            <rFont val="Tahoma"/>
            <family val="2"/>
          </rPr>
          <t xml:space="preserve">
• Entire food supply chain (select relevant group of ISIC codes)
• Two stages: manufacture of dairy products (ISIC Group: 105), and retail of food and beverage (ISIC Class: 4721)
• At home (ISIC Class: 9820)</t>
        </r>
      </text>
    </comment>
    <comment ref="H38" authorId="0" shapeId="0">
      <text>
        <r>
          <rPr>
            <b/>
            <sz val="9"/>
            <color indexed="81"/>
            <rFont val="Tahoma"/>
            <family val="2"/>
          </rPr>
          <t>Description:</t>
        </r>
        <r>
          <rPr>
            <sz val="9"/>
            <color indexed="81"/>
            <rFont val="Tahoma"/>
            <family val="2"/>
          </rPr>
          <t xml:space="preserve">
The International Standard Industrial Classification of All Economic Activities (ISIC) is the international reference classification of productive activities. Its main purpose is to provide a set of activity categories that can be utilized for the collection and reporting of statistics according to such activities.</t>
        </r>
      </text>
    </comment>
    <comment ref="J38" authorId="0" shapeId="0">
      <text>
        <r>
          <rPr>
            <b/>
            <sz val="9"/>
            <color indexed="81"/>
            <rFont val="Tahoma"/>
            <family val="2"/>
          </rPr>
          <t>Description:</t>
        </r>
        <r>
          <rPr>
            <sz val="9"/>
            <color indexed="81"/>
            <rFont val="Tahoma"/>
            <family val="2"/>
          </rPr>
          <t xml:space="preserve">
This UN Statistics Division website lists national classifications (mostly for activities and products).</t>
        </r>
      </text>
    </comment>
    <comment ref="B39" authorId="0" shapeId="0">
      <text>
        <r>
          <rPr>
            <b/>
            <sz val="9"/>
            <color indexed="81"/>
            <rFont val="Tahoma"/>
            <family val="2"/>
          </rPr>
          <t>Definition:</t>
        </r>
        <r>
          <rPr>
            <sz val="9"/>
            <color indexed="81"/>
            <rFont val="Tahoma"/>
            <family val="2"/>
          </rPr>
          <t xml:space="preserve">
Geographic borders within which reported FLW occurs. 
</t>
        </r>
        <r>
          <rPr>
            <b/>
            <sz val="9"/>
            <color indexed="81"/>
            <rFont val="Tahoma"/>
            <family val="2"/>
          </rPr>
          <t xml:space="preserve">Instructions:
</t>
        </r>
        <r>
          <rPr>
            <sz val="9"/>
            <color indexed="81"/>
            <rFont val="Tahoma"/>
            <family val="2"/>
          </rPr>
          <t xml:space="preserve">• Select one or more UN regions or country codes.
• Write in description for narrower geographic scope. Where available, use national classification system (e.g., U.S. Census).
</t>
        </r>
        <r>
          <rPr>
            <b/>
            <sz val="9"/>
            <color indexed="81"/>
            <rFont val="Tahoma"/>
            <family val="2"/>
          </rPr>
          <t>Selected Examples:</t>
        </r>
        <r>
          <rPr>
            <sz val="9"/>
            <color indexed="81"/>
            <rFont val="Tahoma"/>
            <family val="2"/>
          </rPr>
          <t xml:space="preserve">
• World/all countries (UN code 001)
• Eastern Asia (UN code 030)
• Ghana (UN code 288)
• Nova Scotia, Canada
• Lima, Peru</t>
        </r>
      </text>
    </comment>
    <comment ref="H39" authorId="0" shapeId="0">
      <text>
        <r>
          <rPr>
            <b/>
            <sz val="9"/>
            <color indexed="81"/>
            <rFont val="Tahoma"/>
            <family val="2"/>
          </rPr>
          <t>Description:</t>
        </r>
        <r>
          <rPr>
            <sz val="9"/>
            <color indexed="81"/>
            <rFont val="Tahoma"/>
            <family val="2"/>
          </rPr>
          <t xml:space="preserve">
This site presents a list of the names of countries or areas in alphabetical order, three-digit numerical codes used for statistical processing purposes by the Statistics Division of the United Nations Secretariat and three-digit alphabetical codes assigned by the International Organization for Standardization (ISO).</t>
        </r>
      </text>
    </comment>
    <comment ref="B40" authorId="0" shapeId="0">
      <text>
        <r>
          <rPr>
            <b/>
            <sz val="9"/>
            <color indexed="81"/>
            <rFont val="Tahoma"/>
            <family val="2"/>
          </rPr>
          <t xml:space="preserve">Definition: 
</t>
        </r>
        <r>
          <rPr>
            <sz val="9"/>
            <color indexed="81"/>
            <rFont val="Tahoma"/>
            <family val="2"/>
          </rPr>
          <t xml:space="preserve">Organizational unit(s) within which reported FLW occurs.
</t>
        </r>
        <r>
          <rPr>
            <b/>
            <sz val="9"/>
            <color indexed="81"/>
            <rFont val="Tahoma"/>
            <family val="2"/>
          </rPr>
          <t xml:space="preserve">Instructions: 
</t>
        </r>
        <r>
          <rPr>
            <sz val="9"/>
            <color indexed="81"/>
            <rFont val="Tahoma"/>
            <family val="2"/>
          </rPr>
          <t xml:space="preserve">Write in number and type of unit(s) and any additional descriptive detail (see guidance in </t>
        </r>
        <r>
          <rPr>
            <i/>
            <sz val="9"/>
            <color indexed="81"/>
            <rFont val="Tahoma"/>
            <family val="2"/>
          </rPr>
          <t xml:space="preserve">FLW Standard, </t>
        </r>
        <r>
          <rPr>
            <sz val="9"/>
            <color indexed="81"/>
            <rFont val="Tahoma"/>
            <family val="2"/>
          </rPr>
          <t xml:space="preserve">Section 6.6).
</t>
        </r>
        <r>
          <rPr>
            <b/>
            <sz val="9"/>
            <color indexed="81"/>
            <rFont val="Tahoma"/>
            <family val="2"/>
          </rPr>
          <t>Selected Examples:</t>
        </r>
        <r>
          <rPr>
            <sz val="9"/>
            <color indexed="81"/>
            <rFont val="Tahoma"/>
            <family val="2"/>
          </rPr>
          <t xml:space="preserve">
• All sectors in country
• Entire company
• Two business units 
• All 1,000 stores 
• 100 households</t>
        </r>
      </text>
    </comment>
    <comment ref="B43" authorId="0" shapeId="0">
      <text>
        <r>
          <rPr>
            <b/>
            <sz val="9"/>
            <color indexed="81"/>
            <rFont val="Tahoma"/>
            <family val="2"/>
          </rPr>
          <t>Instructions:</t>
        </r>
        <r>
          <rPr>
            <sz val="9"/>
            <color indexed="81"/>
            <rFont val="Tahoma"/>
            <family val="2"/>
          </rPr>
          <t xml:space="preserve">
Please see </t>
        </r>
        <r>
          <rPr>
            <i/>
            <sz val="9"/>
            <color indexed="81"/>
            <rFont val="Tahoma"/>
            <family val="2"/>
          </rPr>
          <t>FLW Standard,</t>
        </r>
        <r>
          <rPr>
            <sz val="9"/>
            <color indexed="81"/>
            <rFont val="Tahoma"/>
            <family val="2"/>
          </rPr>
          <t xml:space="preserve"> Section 6.7, for further guidance on reporting on related issues when reporting on the scope of a particular FLW inventory.</t>
        </r>
      </text>
    </comment>
    <comment ref="B49" authorId="0" shapeId="0">
      <text>
        <r>
          <rPr>
            <b/>
            <sz val="9"/>
            <color indexed="81"/>
            <rFont val="Tahoma"/>
            <family val="2"/>
          </rPr>
          <t>Instructions:</t>
        </r>
        <r>
          <rPr>
            <sz val="9"/>
            <color indexed="81"/>
            <rFont val="Tahoma"/>
            <family val="2"/>
          </rPr>
          <t xml:space="preserve">
Please see </t>
        </r>
        <r>
          <rPr>
            <i/>
            <sz val="9"/>
            <color indexed="81"/>
            <rFont val="Tahoma"/>
            <family val="2"/>
          </rPr>
          <t xml:space="preserve">FLW Standard, </t>
        </r>
        <r>
          <rPr>
            <sz val="9"/>
            <color indexed="81"/>
            <rFont val="Tahoma"/>
            <family val="2"/>
          </rPr>
          <t>Section 6.4, for further guidance.</t>
        </r>
      </text>
    </comment>
    <comment ref="B51" authorId="0" shapeId="0">
      <text>
        <r>
          <rPr>
            <b/>
            <sz val="9"/>
            <color indexed="81"/>
            <rFont val="Tahoma"/>
            <family val="2"/>
          </rPr>
          <t>Instructions:</t>
        </r>
        <r>
          <rPr>
            <sz val="9"/>
            <color indexed="81"/>
            <rFont val="Tahoma"/>
            <family val="2"/>
          </rPr>
          <t xml:space="preserve">
Please see </t>
        </r>
        <r>
          <rPr>
            <i/>
            <sz val="9"/>
            <color indexed="81"/>
            <rFont val="Tahoma"/>
            <family val="2"/>
          </rPr>
          <t xml:space="preserve">FLW Standard, </t>
        </r>
        <r>
          <rPr>
            <sz val="9"/>
            <color indexed="81"/>
            <rFont val="Tahoma"/>
            <family val="2"/>
          </rPr>
          <t xml:space="preserve"> Section 8.2, for further guidance.</t>
        </r>
      </text>
    </comment>
  </commentList>
</comments>
</file>

<file path=xl/comments2.xml><?xml version="1.0" encoding="utf-8"?>
<comments xmlns="http://schemas.openxmlformats.org/spreadsheetml/2006/main">
  <authors>
    <author>Richard Waite</author>
  </authors>
  <commentList>
    <comment ref="B10" authorId="0" shapeId="0">
      <text>
        <r>
          <rPr>
            <b/>
            <sz val="9"/>
            <color indexed="81"/>
            <rFont val="Tahoma"/>
            <family val="2"/>
          </rPr>
          <t>Instructions:</t>
        </r>
        <r>
          <rPr>
            <sz val="9"/>
            <color indexed="81"/>
            <rFont val="Tahoma"/>
            <family val="2"/>
          </rPr>
          <t xml:space="preserve">
See </t>
        </r>
        <r>
          <rPr>
            <i/>
            <sz val="9"/>
            <color indexed="81"/>
            <rFont val="Tahoma"/>
            <family val="2"/>
          </rPr>
          <t>FLW Standard,</t>
        </r>
        <r>
          <rPr>
            <sz val="9"/>
            <color indexed="81"/>
            <rFont val="Tahoma"/>
            <family val="2"/>
          </rPr>
          <t xml:space="preserve"> Table 7.1, for a list of methods of quantifying FLW.</t>
        </r>
      </text>
    </comment>
    <comment ref="B15" authorId="0" shapeId="0">
      <text>
        <r>
          <rPr>
            <b/>
            <sz val="9"/>
            <color indexed="81"/>
            <rFont val="Tahoma"/>
            <family val="2"/>
          </rPr>
          <t>Instructions:</t>
        </r>
        <r>
          <rPr>
            <sz val="9"/>
            <color indexed="81"/>
            <rFont val="Tahoma"/>
            <family val="2"/>
          </rPr>
          <t xml:space="preserve">
See </t>
        </r>
        <r>
          <rPr>
            <i/>
            <sz val="9"/>
            <color indexed="81"/>
            <rFont val="Tahoma"/>
            <family val="2"/>
          </rPr>
          <t>FLW Standard,</t>
        </r>
        <r>
          <rPr>
            <sz val="9"/>
            <color indexed="81"/>
            <rFont val="Tahoma"/>
            <family val="2"/>
          </rPr>
          <t xml:space="preserve"> Table 7.1, for a list of methods of quantifying FLW.</t>
        </r>
      </text>
    </comment>
  </commentList>
</comments>
</file>

<file path=xl/comments3.xml><?xml version="1.0" encoding="utf-8"?>
<comments xmlns="http://schemas.openxmlformats.org/spreadsheetml/2006/main">
  <authors>
    <author>Richard Waite</author>
    <author>Aaryaman Singhal</author>
  </authors>
  <commentList>
    <comment ref="B4" authorId="0" shapeId="0">
      <text>
        <r>
          <rPr>
            <b/>
            <sz val="9"/>
            <color indexed="81"/>
            <rFont val="Tahoma"/>
            <family val="2"/>
          </rPr>
          <t>Clarification:</t>
        </r>
        <r>
          <rPr>
            <sz val="9"/>
            <color indexed="81"/>
            <rFont val="Tahoma"/>
            <family val="2"/>
          </rPr>
          <t xml:space="preserve">
It is often neither cost-effective nor practical for an entity to measure (or approximate) all the FLW across all FLW-producing units that make up the scope of its FLW inventory. In this case, an entity may instead collect data on the amount of FLW from only a sample set of FLW-producing units and/or from a sample of the physical FLW. These data may then be scaled up to generate an estimate of the total FLW from all FLW-producing units within an entity’s scope. 
</t>
        </r>
        <r>
          <rPr>
            <b/>
            <sz val="9"/>
            <color indexed="81"/>
            <rFont val="Tahoma"/>
            <family val="2"/>
          </rPr>
          <t>Definition:</t>
        </r>
        <r>
          <rPr>
            <sz val="9"/>
            <color indexed="81"/>
            <rFont val="Tahoma"/>
            <family val="2"/>
          </rPr>
          <t xml:space="preserve">
Sampling: the process of choosing to measure or approximate, over a given period of time, the amount of FLW from a subset of FLW-producing units within a population, or from a fraction of the physical FLW produced. 
</t>
        </r>
      </text>
    </comment>
    <comment ref="B9" authorId="0" shapeId="0">
      <text>
        <r>
          <rPr>
            <b/>
            <sz val="9"/>
            <color indexed="81"/>
            <rFont val="Tahoma"/>
            <family val="2"/>
          </rPr>
          <t>Instructions:</t>
        </r>
        <r>
          <rPr>
            <sz val="9"/>
            <color indexed="81"/>
            <rFont val="Tahoma"/>
            <family val="2"/>
          </rPr>
          <t xml:space="preserve">
Please see </t>
        </r>
        <r>
          <rPr>
            <i/>
            <sz val="9"/>
            <color indexed="81"/>
            <rFont val="Tahoma"/>
            <family val="2"/>
          </rPr>
          <t>FLW Standard,</t>
        </r>
        <r>
          <rPr>
            <sz val="9"/>
            <color indexed="81"/>
            <rFont val="Tahoma"/>
            <family val="2"/>
          </rPr>
          <t xml:space="preserve"> Section 8.3, for further guidance.</t>
        </r>
      </text>
    </comment>
    <comment ref="B10" authorId="0" shapeId="0">
      <text>
        <r>
          <rPr>
            <b/>
            <sz val="9"/>
            <color indexed="81"/>
            <rFont val="Tahoma"/>
            <family val="2"/>
          </rPr>
          <t>Clarification:</t>
        </r>
        <r>
          <rPr>
            <sz val="9"/>
            <color indexed="81"/>
            <rFont val="Tahoma"/>
            <family val="2"/>
          </rPr>
          <t xml:space="preserve">
Approaches to exclude the weight of packaging from FLW, listed in descending order of accuracy, include:
1. Remove packaging before quantification
2. Subtract estimated packaging weight from each item
3. Subtract estimated packaging weight from waste stream or existing data
</t>
        </r>
      </text>
    </comment>
    <comment ref="B12" authorId="0" shapeId="0">
      <text>
        <r>
          <rPr>
            <b/>
            <sz val="9"/>
            <color indexed="81"/>
            <rFont val="Tahoma"/>
            <family val="2"/>
          </rPr>
          <t>Clarification:</t>
        </r>
        <r>
          <rPr>
            <sz val="9"/>
            <color indexed="81"/>
            <rFont val="Tahoma"/>
            <family val="2"/>
          </rPr>
          <t xml:space="preserve">
The weight of FLW reported by users of the FLW Standard </t>
        </r>
        <r>
          <rPr>
            <i/>
            <sz val="9"/>
            <color indexed="81"/>
            <rFont val="Tahoma"/>
            <family val="2"/>
          </rPr>
          <t>shall</t>
        </r>
        <r>
          <rPr>
            <sz val="9"/>
            <color indexed="81"/>
            <rFont val="Tahoma"/>
            <family val="2"/>
          </rPr>
          <t xml:space="preserve"> reflect the state in which the FLW was generated before water is added or before intrinsic water weight is removed. 
See </t>
        </r>
        <r>
          <rPr>
            <i/>
            <sz val="9"/>
            <color indexed="81"/>
            <rFont val="Tahoma"/>
            <family val="2"/>
          </rPr>
          <t xml:space="preserve">FLW Standard, </t>
        </r>
        <r>
          <rPr>
            <sz val="9"/>
            <color indexed="81"/>
            <rFont val="Tahoma"/>
            <family val="2"/>
          </rPr>
          <t>Section 6.7, for further guidance.</t>
        </r>
      </text>
    </comment>
    <comment ref="B15" authorId="1" shapeId="0">
      <text>
        <r>
          <rPr>
            <b/>
            <sz val="9"/>
            <color indexed="81"/>
            <rFont val="Tahoma"/>
            <family val="2"/>
          </rPr>
          <t>Instructions:</t>
        </r>
        <r>
          <rPr>
            <sz val="9"/>
            <color indexed="81"/>
            <rFont val="Tahoma"/>
            <family val="2"/>
          </rPr>
          <t xml:space="preserve">
Users of the FLW Standard </t>
        </r>
        <r>
          <rPr>
            <b/>
            <sz val="9"/>
            <color indexed="81"/>
            <rFont val="Tahoma"/>
            <family val="2"/>
          </rPr>
          <t>shall</t>
        </r>
        <r>
          <rPr>
            <sz val="9"/>
            <color indexed="81"/>
            <rFont val="Tahoma"/>
            <family val="2"/>
          </rPr>
          <t xml:space="preserve"> report a qualitative description or quantitative assessment of the uncertainty of the results and, if feasible, report both. Users should make a thorough yet practical effort to communicate key sources of uncertainty in the results. When revisions of the FLW inventory are undertaken, an entity should also describe its efforts to reduce uncertainty. Users should provide as complete a disclosure of uncertainty information as possible. 
For more guidance, see the </t>
        </r>
        <r>
          <rPr>
            <i/>
            <sz val="9"/>
            <color indexed="81"/>
            <rFont val="Tahoma"/>
            <family val="2"/>
          </rPr>
          <t>FLW Standard</t>
        </r>
        <r>
          <rPr>
            <sz val="9"/>
            <color indexed="81"/>
            <rFont val="Tahoma"/>
            <family val="2"/>
          </rPr>
          <t xml:space="preserve">, Chapter 9.
</t>
        </r>
      </text>
    </comment>
    <comment ref="B17" authorId="0" shapeId="0">
      <text>
        <r>
          <rPr>
            <b/>
            <sz val="9"/>
            <color indexed="81"/>
            <rFont val="Tahoma"/>
            <family val="2"/>
          </rPr>
          <t xml:space="preserve">Instructions:
</t>
        </r>
        <r>
          <rPr>
            <sz val="9"/>
            <color indexed="81"/>
            <rFont val="Tahoma"/>
            <family val="2"/>
          </rPr>
          <t xml:space="preserve">Entities should list and describe the various sources of uncertainty assessed during the course of the study. See </t>
        </r>
        <r>
          <rPr>
            <i/>
            <sz val="9"/>
            <color indexed="81"/>
            <rFont val="Tahoma"/>
            <family val="2"/>
          </rPr>
          <t xml:space="preserve">FLW Standard, </t>
        </r>
        <r>
          <rPr>
            <sz val="9"/>
            <color indexed="81"/>
            <rFont val="Tahoma"/>
            <family val="2"/>
          </rPr>
          <t xml:space="preserve">Table 9.1 for examples of sources of uncertainty.
A discussion of the potential impact of uncertainty on the results should also be described (if a quantified estimate is not provided).
</t>
        </r>
      </text>
    </comment>
    <comment ref="B18" authorId="0" shapeId="0">
      <text>
        <r>
          <rPr>
            <b/>
            <sz val="9"/>
            <color indexed="81"/>
            <rFont val="Tahoma"/>
            <family val="2"/>
          </rPr>
          <t>Instructions:</t>
        </r>
        <r>
          <rPr>
            <sz val="9"/>
            <color indexed="81"/>
            <rFont val="Tahoma"/>
            <family val="2"/>
          </rPr>
          <t xml:space="preserve">
A quantitative assessment of uncertainty can provide more robust results than a qualitative assessment and help an entity to prioritize data improvement efforts by targeting the sources that contribute most to uncertainty. When communicating about quantitative assessments of
uncertainty, an entity should:
- Identify the uncertainties being quantified (and provide a rationale for excluding those which are not being quantified); and
- Present inventory results alongside a confidence interval reflecting the uncertainties that could be quantified.</t>
        </r>
      </text>
    </comment>
    <comment ref="B20" authorId="0" shapeId="0">
      <text>
        <r>
          <rPr>
            <b/>
            <sz val="9"/>
            <color indexed="81"/>
            <rFont val="Tahoma"/>
            <family val="2"/>
          </rPr>
          <t>Definition:</t>
        </r>
        <r>
          <rPr>
            <sz val="9"/>
            <color indexed="81"/>
            <rFont val="Tahoma"/>
            <family val="2"/>
          </rPr>
          <t xml:space="preserve">
Normalization involves dividing the quantity of FLW by a certain factor (i.e., a denominator) such as a number of individuals (e.g., national population), financial figures (e.g., company turnover), or amount of food sold.
</t>
        </r>
        <r>
          <rPr>
            <b/>
            <sz val="9"/>
            <color indexed="81"/>
            <rFont val="Tahoma"/>
            <family val="2"/>
          </rPr>
          <t xml:space="preserve">Instructions:
</t>
        </r>
        <r>
          <rPr>
            <sz val="9"/>
            <color indexed="81"/>
            <rFont val="Tahoma"/>
            <family val="2"/>
          </rPr>
          <t xml:space="preserve">When normalization factors have been applied, entities should include a description of the factors chosen and the rationale for their selection along with the source of normalization data (see </t>
        </r>
        <r>
          <rPr>
            <i/>
            <sz val="9"/>
            <color indexed="81"/>
            <rFont val="Tahoma"/>
            <family val="2"/>
          </rPr>
          <t xml:space="preserve">FLW Standard, </t>
        </r>
        <r>
          <rPr>
            <sz val="9"/>
            <color indexed="81"/>
            <rFont val="Tahoma"/>
            <family val="2"/>
          </rPr>
          <t>Appendix C).</t>
        </r>
      </text>
    </comment>
  </commentList>
</comments>
</file>

<file path=xl/comments4.xml><?xml version="1.0" encoding="utf-8"?>
<comments xmlns="http://schemas.openxmlformats.org/spreadsheetml/2006/main">
  <authors>
    <author>Richard Waite</author>
  </authors>
  <commentList>
    <comment ref="B7" authorId="0" shapeId="0">
      <text>
        <r>
          <rPr>
            <b/>
            <sz val="9"/>
            <color indexed="81"/>
            <rFont val="Tahoma"/>
            <family val="2"/>
          </rPr>
          <t>Definition:</t>
        </r>
        <r>
          <rPr>
            <sz val="9"/>
            <color indexed="81"/>
            <rFont val="Tahoma"/>
            <family val="2"/>
          </rPr>
          <t xml:space="preserve">
The assurance statement conveys the assurer’s conclusion about the FLW inventory results. It may take different forms depending on whether the assurance was performed by a first or third party. The following outlines what may be included in the statement. It combines the required contents of an assurance statement (listed in rows 8-12) with other information that the </t>
        </r>
        <r>
          <rPr>
            <i/>
            <sz val="9"/>
            <color indexed="81"/>
            <rFont val="Tahoma"/>
            <family val="2"/>
          </rPr>
          <t>FLW Standard</t>
        </r>
        <r>
          <rPr>
            <sz val="9"/>
            <color indexed="81"/>
            <rFont val="Tahoma"/>
            <family val="2"/>
          </rPr>
          <t xml:space="preserve"> recommends an entity includes, when applicable:
Introduction
- A description of the reporting entity
- A reference to the reporting entity’s assertion
Description of Assurance Process
- The relevant competencies of the assurers (required)
- A summary of the assurance process and work performed (required)
- Description of the reporting organization’s and assurer’s responsibilities
- List of the assurance criteria
- Whether the assurance was performed by a first or third party (required)
- If first party, how any potential conflicts of interest were avoided (required)
- The assurance standard (see </t>
        </r>
        <r>
          <rPr>
            <i/>
            <sz val="9"/>
            <color indexed="81"/>
            <rFont val="Tahoma"/>
            <family val="2"/>
          </rPr>
          <t xml:space="preserve">FLW Standard, </t>
        </r>
        <r>
          <rPr>
            <sz val="9"/>
            <color indexed="81"/>
            <rFont val="Tahoma"/>
            <family val="2"/>
          </rPr>
          <t>Table 12.1) used to perform assurance
Conclusion
- Assurance opinion, including level of assurance achieved (limited or reasonable)
- Any additional details regarding the assurer’s conclusion, including details regarding any exceptions noted or issues encountered in performing the assurance</t>
        </r>
      </text>
    </comment>
  </commentList>
</comments>
</file>

<file path=xl/comments5.xml><?xml version="1.0" encoding="utf-8"?>
<comments xmlns="http://schemas.openxmlformats.org/spreadsheetml/2006/main">
  <authors>
    <author>Richard Waite</author>
  </authors>
  <commentList>
    <comment ref="B9" authorId="0" shapeId="0">
      <text>
        <r>
          <rPr>
            <b/>
            <sz val="9"/>
            <color indexed="81"/>
            <rFont val="Tahoma"/>
            <family val="2"/>
          </rPr>
          <t>Instructions:</t>
        </r>
        <r>
          <rPr>
            <sz val="9"/>
            <color indexed="81"/>
            <rFont val="Tahoma"/>
            <family val="2"/>
          </rPr>
          <t xml:space="preserve">
Users of the </t>
        </r>
        <r>
          <rPr>
            <i/>
            <sz val="9"/>
            <color indexed="81"/>
            <rFont val="Tahoma"/>
            <family val="2"/>
          </rPr>
          <t>FLW Standard</t>
        </r>
        <r>
          <rPr>
            <sz val="9"/>
            <color indexed="81"/>
            <rFont val="Tahoma"/>
            <family val="2"/>
          </rPr>
          <t xml:space="preserve"> shall specify the scope of the target, in particular stating whether all or only part of
FLW inventory results will be tracked over time. If an entity decides to include only part of its inventory data in
the scope of the target, it shall explain why.
The scope of the inventory that is defined as the base year FLW must be set in accordance with the requirements
and guidance provided in Chapter 6 of the </t>
        </r>
        <r>
          <rPr>
            <i/>
            <sz val="9"/>
            <color indexed="81"/>
            <rFont val="Tahoma"/>
            <family val="2"/>
          </rPr>
          <t>FLW Standard</t>
        </r>
        <r>
          <rPr>
            <sz val="9"/>
            <color indexed="81"/>
            <rFont val="Tahoma"/>
            <family val="2"/>
          </rPr>
          <t xml:space="preserve">. This scope should then be kept constant between years when setting and
tracking targets.
Ideally, the scopes established for an FLW inventory and for a target will be identical; however, instances may
occur where an entity sets a target that does not align exactly with its inventory. This is more likely to occur
when a target is defined more narrowly than the FLW inventory. Table 14.1 in the </t>
        </r>
        <r>
          <rPr>
            <i/>
            <sz val="9"/>
            <color indexed="81"/>
            <rFont val="Tahoma"/>
            <family val="2"/>
          </rPr>
          <t>FLW Standard</t>
        </r>
        <r>
          <rPr>
            <sz val="9"/>
            <color indexed="81"/>
            <rFont val="Tahoma"/>
            <family val="2"/>
          </rPr>
          <t xml:space="preserve"> provides an example of how to differentiate between the scope of an FLW inventory and the scope of a target.</t>
        </r>
      </text>
    </comment>
    <comment ref="B14" authorId="0" shapeId="0">
      <text>
        <r>
          <rPr>
            <b/>
            <sz val="9"/>
            <color indexed="81"/>
            <rFont val="Tahoma"/>
            <family val="2"/>
          </rPr>
          <t>Clarification:</t>
        </r>
        <r>
          <rPr>
            <sz val="9"/>
            <color indexed="81"/>
            <rFont val="Tahoma"/>
            <family val="2"/>
          </rPr>
          <t xml:space="preserve">
Significant changes necessitating a recalculation may include: 
• structural changes to the organization, such as mergers, acquisitions, and divestments;
• changes to the scope of the inventory;
• changes in calculation methodologies, improvements in data accuracy, or discovery of significant errors;
• changes in government jurisdictional boundaries or borders; and/or
• changes in conversion factors that do not represent changes in underlying FLW.
</t>
        </r>
      </text>
    </comment>
    <comment ref="B15" authorId="0" shapeId="0">
      <text>
        <r>
          <rPr>
            <b/>
            <sz val="9"/>
            <color indexed="81"/>
            <rFont val="Tahoma"/>
            <family val="2"/>
          </rPr>
          <t>Clarification:</t>
        </r>
        <r>
          <rPr>
            <sz val="9"/>
            <color indexed="81"/>
            <rFont val="Tahoma"/>
            <family val="2"/>
          </rPr>
          <t xml:space="preserve">
Significant changes necessitating a recalculation may include: 
• structural changes to the organization, such as mergers, acquisitions, and divestments;
• changes to the scope of the inventory;
• changes in calculation methodologies, improvements in data accuracy, or discovery of significant errors;
• changes in government jurisdictional boundaries or borders; and/or
• changes in conversion factors that do not represent changes in underlying FLW.
</t>
        </r>
      </text>
    </comment>
  </commentList>
</comments>
</file>

<file path=xl/comments6.xml><?xml version="1.0" encoding="utf-8"?>
<comments xmlns="http://schemas.openxmlformats.org/spreadsheetml/2006/main">
  <authors>
    <author>Richard Waite</author>
  </authors>
  <commentList>
    <comment ref="D9" authorId="0" shapeId="0">
      <text>
        <r>
          <rPr>
            <b/>
            <sz val="9"/>
            <color indexed="81"/>
            <rFont val="Tahoma"/>
            <family val="2"/>
          </rPr>
          <t xml:space="preserve">Definition:
</t>
        </r>
        <r>
          <rPr>
            <sz val="9"/>
            <color indexed="81"/>
            <rFont val="Tahoma"/>
            <family val="2"/>
          </rPr>
          <t xml:space="preserve">The proximate reason for the occurrence of FLW (e.g., spillage, cosmetic damage, rejected from market, past sell-by date).
See </t>
        </r>
        <r>
          <rPr>
            <i/>
            <sz val="9"/>
            <color indexed="81"/>
            <rFont val="Tahoma"/>
            <family val="2"/>
          </rPr>
          <t>FLW Standard,</t>
        </r>
        <r>
          <rPr>
            <sz val="9"/>
            <color indexed="81"/>
            <rFont val="Tahoma"/>
            <family val="2"/>
          </rPr>
          <t xml:space="preserve"> Table 11.1, for examples of common causes of FLW.
</t>
        </r>
        <r>
          <rPr>
            <b/>
            <sz val="9"/>
            <color indexed="81"/>
            <rFont val="Tahoma"/>
            <family val="2"/>
          </rPr>
          <t>Clarification:</t>
        </r>
        <r>
          <rPr>
            <sz val="9"/>
            <color indexed="81"/>
            <rFont val="Tahoma"/>
            <family val="2"/>
          </rPr>
          <t xml:space="preserve">
In some cases, an entity may be able to record only the immediate reason for FLW at the time of quantification, because the underlying driver may not be readily apparent. Therefore, identifying and recording causes should be considered the priority when choosing to report causes and drivers. In some cases, multiple causes will be applicable to the same FLW type, in which case all applicable causes should be recorded.</t>
        </r>
      </text>
    </comment>
    <comment ref="E9" authorId="0" shapeId="0">
      <text>
        <r>
          <rPr>
            <b/>
            <sz val="9"/>
            <color indexed="81"/>
            <rFont val="Tahoma"/>
            <family val="2"/>
          </rPr>
          <t>Definition:</t>
        </r>
        <r>
          <rPr>
            <sz val="9"/>
            <color indexed="81"/>
            <rFont val="Tahoma"/>
            <family val="2"/>
          </rPr>
          <t xml:space="preserve">
An underlying factor that plays a role in creating the cause.
See </t>
        </r>
        <r>
          <rPr>
            <i/>
            <sz val="9"/>
            <color indexed="81"/>
            <rFont val="Tahoma"/>
            <family val="2"/>
          </rPr>
          <t>FLW Standard,</t>
        </r>
        <r>
          <rPr>
            <sz val="9"/>
            <color indexed="81"/>
            <rFont val="Tahoma"/>
            <family val="2"/>
          </rPr>
          <t xml:space="preserve"> Table 11.2, for examples of drivers of FLW causes.
</t>
        </r>
        <r>
          <rPr>
            <b/>
            <sz val="9"/>
            <color indexed="81"/>
            <rFont val="Tahoma"/>
            <family val="2"/>
          </rPr>
          <t>Selected examples:</t>
        </r>
        <r>
          <rPr>
            <sz val="9"/>
            <color indexed="81"/>
            <rFont val="Tahoma"/>
            <family val="2"/>
          </rPr>
          <t xml:space="preserve">
- If a farmer discovers that her tomatoes are consistently being rejected at market, she may identify overly stringent cosmetic standards as the driver. 
- If a restaurant learns that a certain buffet item is frequently left over at the end of the day, the driver could be a mismatch between the restaurant’s understanding of consumer demand for that item and actual demand. 
- If a government sees that significant amounts of meat are ending up in landfills due to spoilage, lack of refrigeration and other cold-chain technology throughout the country may be the driver.
</t>
        </r>
      </text>
    </comment>
  </commentList>
</comments>
</file>

<file path=xl/comments7.xml><?xml version="1.0" encoding="utf-8"?>
<comments xmlns="http://schemas.openxmlformats.org/spreadsheetml/2006/main">
  <authors>
    <author>Richard Waite</author>
  </authors>
  <commentList>
    <comment ref="D10" authorId="0" shapeId="0">
      <text>
        <r>
          <rPr>
            <b/>
            <sz val="9"/>
            <color indexed="81"/>
            <rFont val="Tahoma"/>
            <family val="2"/>
          </rPr>
          <t xml:space="preserve">Description:
</t>
        </r>
        <r>
          <rPr>
            <sz val="9"/>
            <color indexed="81"/>
            <rFont val="Tahoma"/>
            <family val="2"/>
          </rPr>
          <t>The Codex Alimentarius GSFA's food category system is hierarchical and applies to all foodstuffs, including those in which no food additives are permitted. The system includes a description of the foods covered by each food category, as well as relevant food additive provisions. The GSFA system provides a list of 16 main types of food products.</t>
        </r>
      </text>
    </comment>
    <comment ref="B12" authorId="0" shapeId="0">
      <text>
        <r>
          <rPr>
            <b/>
            <sz val="9"/>
            <color indexed="81"/>
            <rFont val="Tahoma"/>
            <family val="2"/>
          </rPr>
          <t>Description:</t>
        </r>
        <r>
          <rPr>
            <sz val="9"/>
            <color indexed="81"/>
            <rFont val="Tahoma"/>
            <family val="2"/>
          </rPr>
          <t xml:space="preserve">
The International Standard Industrial Classification of All Economic Activities (ISIC) is the international reference classification of productive activities. Its main purpose is to provide a set of activity categories that can be utilized for the collection and reporting of statistics according to such activities.
</t>
        </r>
      </text>
    </comment>
    <comment ref="D12" authorId="0" shapeId="0">
      <text>
        <r>
          <rPr>
            <b/>
            <sz val="9"/>
            <color indexed="81"/>
            <rFont val="Tahoma"/>
            <family val="2"/>
          </rPr>
          <t>Description:</t>
        </r>
        <r>
          <rPr>
            <sz val="9"/>
            <color indexed="81"/>
            <rFont val="Tahoma"/>
            <family val="2"/>
          </rPr>
          <t xml:space="preserve">
Includes all types of dairy products that are derived from the milk of any milking animal (e.g., cow, sheep, goat, buffalo). 
Also includes water-based frozen desserts, confections and novelties, such as fruit sorbet, “Italian”-style ice, and flavoured ice. </t>
        </r>
      </text>
    </comment>
    <comment ref="E12" authorId="0" shapeId="0">
      <text>
        <r>
          <rPr>
            <b/>
            <sz val="9"/>
            <color indexed="81"/>
            <rFont val="Tahoma"/>
            <family val="2"/>
          </rPr>
          <t>Description:</t>
        </r>
        <r>
          <rPr>
            <sz val="9"/>
            <color indexed="81"/>
            <rFont val="Tahoma"/>
            <family val="2"/>
          </rPr>
          <t xml:space="preserve">
Includes all fat-based products that are derived from vegetable, animal or marine sources, or their mixtures.</t>
        </r>
      </text>
    </comment>
    <comment ref="F12" authorId="0" shapeId="0">
      <text>
        <r>
          <rPr>
            <b/>
            <sz val="9"/>
            <color indexed="81"/>
            <rFont val="Tahoma"/>
            <family val="2"/>
          </rPr>
          <t>Description:</t>
        </r>
        <r>
          <rPr>
            <sz val="9"/>
            <color indexed="81"/>
            <rFont val="Tahoma"/>
            <family val="2"/>
          </rPr>
          <t xml:space="preserve">
Includes fruits and vegetables (including mushrooms and fungi, roots and tubers, pulses and legumes, and aloe vera), seaweeds, and nuts and seeds.</t>
        </r>
      </text>
    </comment>
    <comment ref="G12" authorId="0" shapeId="0">
      <text>
        <r>
          <rPr>
            <b/>
            <sz val="9"/>
            <color indexed="81"/>
            <rFont val="Tahoma"/>
            <family val="2"/>
          </rPr>
          <t>Description:</t>
        </r>
        <r>
          <rPr>
            <sz val="9"/>
            <color indexed="81"/>
            <rFont val="Tahoma"/>
            <family val="2"/>
          </rPr>
          <t xml:space="preserve">
Includes all cocoa and chocolate products, other confectionery products, chewing gum, and decorations and icings.
Also includes all standardized sugars, non-standardized products, and natural sweeteners (e.g., honey).</t>
        </r>
      </text>
    </comment>
    <comment ref="H12" authorId="0" shapeId="0">
      <text>
        <r>
          <rPr>
            <b/>
            <sz val="9"/>
            <color indexed="81"/>
            <rFont val="Tahoma"/>
            <family val="2"/>
          </rPr>
          <t>Description:</t>
        </r>
        <r>
          <rPr>
            <sz val="9"/>
            <color indexed="81"/>
            <rFont val="Tahoma"/>
            <family val="2"/>
          </rPr>
          <t xml:space="preserve">
Includes unprocessed and various processed forms of cereal and cereal-based products.
Also includes bread and ordinary bakery wares, as well as sweet, salty and savoury fine bakery wares.</t>
        </r>
      </text>
    </comment>
    <comment ref="I12" authorId="0" shapeId="0">
      <text>
        <r>
          <rPr>
            <b/>
            <sz val="9"/>
            <color indexed="81"/>
            <rFont val="Tahoma"/>
            <family val="2"/>
          </rPr>
          <t>Description:</t>
        </r>
        <r>
          <rPr>
            <sz val="9"/>
            <color indexed="81"/>
            <rFont val="Tahoma"/>
            <family val="2"/>
          </rPr>
          <t xml:space="preserve">
Includes all types of meat, poultry, and game products, in pieces and cuts or comminuted, fresh, and processed.</t>
        </r>
      </text>
    </comment>
    <comment ref="J12" authorId="0" shapeId="0">
      <text>
        <r>
          <rPr>
            <b/>
            <sz val="9"/>
            <color indexed="81"/>
            <rFont val="Tahoma"/>
            <family val="2"/>
          </rPr>
          <t>Description:</t>
        </r>
        <r>
          <rPr>
            <sz val="9"/>
            <color indexed="81"/>
            <rFont val="Tahoma"/>
            <family val="2"/>
          </rPr>
          <t xml:space="preserve">
Includes fresh fish and various processed fish products. Includes aquatic vertebrates (fish and aquatic mammals (e.g., whales)), aquatic invertebrates (e.g., jellyfish), as well as mollusks (e.g., clams, snails), crustaceans (e.g., shrimp, crab, lobster), and echinoderms (e.g., sea urchins, sea cucmbers). Fish products may be treated with coatings, such as glazes and spice rubs, prior to marketing to the consumer (e.g., glazed frozen fish fillets). </t>
        </r>
      </text>
    </comment>
    <comment ref="K12" authorId="0" shapeId="0">
      <text>
        <r>
          <rPr>
            <b/>
            <sz val="9"/>
            <color indexed="81"/>
            <rFont val="Tahoma"/>
            <family val="2"/>
          </rPr>
          <t>Description:</t>
        </r>
        <r>
          <rPr>
            <sz val="9"/>
            <color indexed="81"/>
            <rFont val="Tahoma"/>
            <family val="2"/>
          </rPr>
          <t xml:space="preserve">
Includes fresh in-shell eggs, products that may substitute for fresh eggs, and other egg products.</t>
        </r>
      </text>
    </comment>
    <comment ref="L12" authorId="0" shapeId="0">
      <text>
        <r>
          <rPr>
            <b/>
            <sz val="9"/>
            <color indexed="81"/>
            <rFont val="Tahoma"/>
            <family val="2"/>
          </rPr>
          <t>Description:</t>
        </r>
        <r>
          <rPr>
            <sz val="9"/>
            <color indexed="81"/>
            <rFont val="Tahoma"/>
            <family val="2"/>
          </rPr>
          <t xml:space="preserve">
Includes substances added to food to enhance its aroma and taste (e.g., salt and salt substitutes, herbs, spices, seasonings and condiments, vinegars, mustards), certain prepared foods (e.g., soups and broths, sauces and like products, salads, and sandwich spreads), and products composed primarily of protein that are derived from soybeans or from other sources (e.g., milk, cereal, or vegetables).</t>
        </r>
      </text>
    </comment>
    <comment ref="M12" authorId="0" shapeId="0">
      <text>
        <r>
          <rPr>
            <b/>
            <sz val="9"/>
            <color indexed="81"/>
            <rFont val="Tahoma"/>
            <family val="2"/>
          </rPr>
          <t>Description:</t>
        </r>
        <r>
          <rPr>
            <sz val="9"/>
            <color indexed="81"/>
            <rFont val="Tahoma"/>
            <family val="2"/>
          </rPr>
          <t xml:space="preserve">
Includes both alcoholic and non-alcoholic beverages, excluding dairy products.</t>
        </r>
      </text>
    </comment>
    <comment ref="N12" authorId="0" shapeId="0">
      <text>
        <r>
          <rPr>
            <b/>
            <sz val="9"/>
            <color indexed="81"/>
            <rFont val="Tahoma"/>
            <family val="2"/>
          </rPr>
          <t>Description:</t>
        </r>
        <r>
          <rPr>
            <sz val="9"/>
            <color indexed="81"/>
            <rFont val="Tahoma"/>
            <family val="2"/>
          </rPr>
          <t xml:space="preserve">
Includes all types of savory snack foods.</t>
        </r>
      </text>
    </comment>
    <comment ref="O12" authorId="0" shapeId="0">
      <text>
        <r>
          <rPr>
            <b/>
            <sz val="9"/>
            <color indexed="81"/>
            <rFont val="Tahoma"/>
            <family val="2"/>
          </rPr>
          <t>Description:</t>
        </r>
        <r>
          <rPr>
            <sz val="9"/>
            <color indexed="81"/>
            <rFont val="Tahoma"/>
            <family val="2"/>
          </rPr>
          <t xml:space="preserve">
These foods are not included in the other food categories and should be considered on a case-by-case basis. These foods may be mixtures of multiple components (e.g., meat, sauce, grain, cheese, vegetables); the components are included in other food categories. These include prepared foods which require minimal preparation by the consumer (e.g., heating, thawing, rehydrating). </t>
        </r>
      </text>
    </comment>
    <comment ref="P12" authorId="0" shapeId="0">
      <text>
        <r>
          <rPr>
            <b/>
            <sz val="9"/>
            <color indexed="81"/>
            <rFont val="Tahoma"/>
            <family val="2"/>
          </rPr>
          <t>Instructions:</t>
        </r>
        <r>
          <rPr>
            <sz val="9"/>
            <color indexed="81"/>
            <rFont val="Tahoma"/>
            <family val="2"/>
          </rPr>
          <t xml:space="preserve">
This column is set up to sum all food categories in each row, but you may also enter totals here if you have FLW results disaggregated by lifecycle stage but not by food category.</t>
        </r>
      </text>
    </comment>
    <comment ref="B13" authorId="0" shapeId="0">
      <text>
        <r>
          <rPr>
            <b/>
            <sz val="9"/>
            <color indexed="81"/>
            <rFont val="Tahoma"/>
            <family val="2"/>
          </rPr>
          <t xml:space="preserve">Description:
</t>
        </r>
        <r>
          <rPr>
            <sz val="9"/>
            <color indexed="81"/>
            <rFont val="Tahoma"/>
            <family val="2"/>
          </rPr>
          <t>Includes the following groups in ISIC Divisions 01 and 03:
011 - Growing of non-perennial crops
012 - Growing of perennial crops
013 - Plant propagation
014 - Animal production
015 - Mixed farming
016 - Support activities to agriculture and post-harvest crop activities
017 - Hunting, trapping and related service activities
031 - Fishing
032 - Aquaculture</t>
        </r>
      </text>
    </comment>
    <comment ref="B16" authorId="0" shapeId="0">
      <text>
        <r>
          <rPr>
            <b/>
            <sz val="9"/>
            <color indexed="81"/>
            <rFont val="Tahoma"/>
            <family val="2"/>
          </rPr>
          <t xml:space="preserve">Description:
</t>
        </r>
        <r>
          <rPr>
            <sz val="9"/>
            <color indexed="81"/>
            <rFont val="Tahoma"/>
            <family val="2"/>
          </rPr>
          <t>Includes the following groups in ISIC Divisions 10 and 11:
101 - Processing and preserving of meat
102 - Processing and preserving of fish, crustaceans and molluscs
103 - Processing and preserving of fruit and vegetables
104 - Manufacture of vegetable and animal oils and fats
105 - Manufacture of dairy products
106 - Manufacture of grain mill products, starches and starch products
107 - Manufacture of other food products
108 - Manufacture of prepared animal feeds
110 - Manufacture of beverages</t>
        </r>
      </text>
    </comment>
    <comment ref="B19" authorId="0" shapeId="0">
      <text>
        <r>
          <rPr>
            <b/>
            <sz val="9"/>
            <color indexed="81"/>
            <rFont val="Tahoma"/>
            <family val="2"/>
          </rPr>
          <t>Description:</t>
        </r>
        <r>
          <rPr>
            <sz val="9"/>
            <color indexed="81"/>
            <rFont val="Tahoma"/>
            <family val="2"/>
          </rPr>
          <t xml:space="preserve">
Includes the following groups in ISIC Divisions 46, 49, 50, 51, 52, and 53:
462 - Wholesale of agricultural raw materials and live animals
463 - Wholesale of food, beverages and tobacco
491 - Transport via railways
492 - Other land transport
493 - Transport via pipeline
501 - Sea and coastal water transport
502 - Inland water transport
511 - Passenger air transport
512 - Freight air transport
521 - Warehousing and storage
531 - Postal activities
532 - Courier activities</t>
        </r>
      </text>
    </comment>
    <comment ref="B22" authorId="0" shapeId="0">
      <text>
        <r>
          <rPr>
            <b/>
            <sz val="9"/>
            <color indexed="81"/>
            <rFont val="Tahoma"/>
            <family val="2"/>
          </rPr>
          <t xml:space="preserve">Description:
</t>
        </r>
        <r>
          <rPr>
            <sz val="9"/>
            <color indexed="81"/>
            <rFont val="Tahoma"/>
            <family val="2"/>
          </rPr>
          <t xml:space="preserve">Includes the following groups in ISIC Division 47:
471 - Retail sale in non-specialized stores
472 - Retail sale of food, beverages and tobacco in specialized stores
478 - Retail sale via stalls and markets
479 - Retail trade not in stores, stalls or markets
</t>
        </r>
      </text>
    </comment>
    <comment ref="B25" authorId="0" shapeId="0">
      <text>
        <r>
          <rPr>
            <b/>
            <sz val="9"/>
            <color indexed="81"/>
            <rFont val="Tahoma"/>
            <family val="2"/>
          </rPr>
          <t>Description:</t>
        </r>
        <r>
          <rPr>
            <sz val="9"/>
            <color indexed="81"/>
            <rFont val="Tahoma"/>
            <family val="2"/>
          </rPr>
          <t xml:space="preserve">
Includes the following groups in ISIC Division 56:
561 - Restaurants and mobile food service activities
562 - Event catering and other food service activities
563 - Beverage serving activities</t>
        </r>
      </text>
    </comment>
    <comment ref="B28" authorId="0" shapeId="0">
      <text>
        <r>
          <rPr>
            <b/>
            <sz val="9"/>
            <color indexed="81"/>
            <rFont val="Tahoma"/>
            <family val="2"/>
          </rPr>
          <t>Description:</t>
        </r>
        <r>
          <rPr>
            <sz val="9"/>
            <color indexed="81"/>
            <rFont val="Tahoma"/>
            <family val="2"/>
          </rPr>
          <t xml:space="preserve">
Household consumption of food and beverages does not fall into an ISIC category as it is not an economic activity </t>
        </r>
        <r>
          <rPr>
            <i/>
            <sz val="9"/>
            <color indexed="81"/>
            <rFont val="Tahoma"/>
            <family val="2"/>
          </rPr>
          <t>per se</t>
        </r>
        <r>
          <rPr>
            <sz val="9"/>
            <color indexed="81"/>
            <rFont val="Tahoma"/>
            <family val="2"/>
          </rPr>
          <t>.</t>
        </r>
      </text>
    </comment>
    <comment ref="B31" authorId="0" shapeId="0">
      <text>
        <r>
          <rPr>
            <b/>
            <sz val="9"/>
            <color indexed="81"/>
            <rFont val="Tahoma"/>
            <family val="2"/>
          </rPr>
          <t>Instructions:</t>
        </r>
        <r>
          <rPr>
            <sz val="9"/>
            <color indexed="81"/>
            <rFont val="Tahoma"/>
            <family val="2"/>
          </rPr>
          <t xml:space="preserve">
This row is set up to sum all lifecycle stages in each column, but you may also enter totals here if you have FLW results disaggregated by food category but not by lifecycle stage.</t>
        </r>
      </text>
    </comment>
  </commentList>
</comments>
</file>

<file path=xl/sharedStrings.xml><?xml version="1.0" encoding="utf-8"?>
<sst xmlns="http://schemas.openxmlformats.org/spreadsheetml/2006/main" count="360" uniqueCount="282">
  <si>
    <t xml:space="preserve"> </t>
  </si>
  <si>
    <t>Yes</t>
  </si>
  <si>
    <t>No</t>
  </si>
  <si>
    <t>Landfill</t>
  </si>
  <si>
    <t>Land application</t>
  </si>
  <si>
    <t>Geography</t>
  </si>
  <si>
    <t>Organization</t>
  </si>
  <si>
    <t>GPC codes</t>
  </si>
  <si>
    <t>ISIC codes</t>
  </si>
  <si>
    <t>Name of entity about which information is being reported</t>
  </si>
  <si>
    <t>Contact information</t>
  </si>
  <si>
    <t>GENERAL INFORMATION</t>
  </si>
  <si>
    <t>Food category(ies)</t>
  </si>
  <si>
    <t>UNSPSC codes</t>
  </si>
  <si>
    <t>UN region and country codes</t>
  </si>
  <si>
    <t>kg</t>
  </si>
  <si>
    <t>lbs</t>
  </si>
  <si>
    <t>tons (2,000 lbs)</t>
  </si>
  <si>
    <t>Fats and oils, oil based products</t>
  </si>
  <si>
    <t xml:space="preserve">Fruits and vegetables, including nuts and seeds </t>
  </si>
  <si>
    <t>Eggs and egg products</t>
  </si>
  <si>
    <t xml:space="preserve">Beverages, excl. dairy products </t>
  </si>
  <si>
    <t>Composite food not possible to include in other groups</t>
  </si>
  <si>
    <t>Is this an update of a previous inventory?</t>
  </si>
  <si>
    <t>Link to previous inventory reports</t>
  </si>
  <si>
    <t>Term</t>
  </si>
  <si>
    <t>Comment</t>
  </si>
  <si>
    <t>Source</t>
  </si>
  <si>
    <t>Account for</t>
  </si>
  <si>
    <t>Food</t>
  </si>
  <si>
    <t>Food Loss &amp; Waste Protocol (FLW Protocol)</t>
  </si>
  <si>
    <t>Food supply chain (FSC)</t>
  </si>
  <si>
    <t>Inedible parts</t>
  </si>
  <si>
    <t>Inventory</t>
  </si>
  <si>
    <t>Inventory report</t>
  </si>
  <si>
    <t>Shall</t>
  </si>
  <si>
    <t>GLOSSARY</t>
  </si>
  <si>
    <t>Food loss and waste (FLW)</t>
  </si>
  <si>
    <t xml:space="preserve">Source of normalization data </t>
  </si>
  <si>
    <t>Create an assurance statement (below or in a separate Word document) including:</t>
  </si>
  <si>
    <t>Base year</t>
  </si>
  <si>
    <t>Will all or only some of the FLW inventory results be tracked over time?</t>
  </si>
  <si>
    <t>Explain rationale for only tracking some of the inventory results</t>
  </si>
  <si>
    <t>Some results</t>
  </si>
  <si>
    <t>Salt, spices, additives, soups, salads, food stuffs</t>
  </si>
  <si>
    <t>Cereals and cereal products, baking wares</t>
  </si>
  <si>
    <t>Codex GSFA codes</t>
  </si>
  <si>
    <t>TOTAL ALL FOOD CATEGORIES</t>
  </si>
  <si>
    <t>1 or 3</t>
  </si>
  <si>
    <t>Dairy products, ice cream, and sorbets</t>
  </si>
  <si>
    <t>6 or 7</t>
  </si>
  <si>
    <t>Meat and meat products, incl. poultry and game</t>
  </si>
  <si>
    <t>5 or 11</t>
  </si>
  <si>
    <t>Ready to eat savories</t>
  </si>
  <si>
    <t>12 or 13</t>
  </si>
  <si>
    <t>NOT FLW, but useful information to track:</t>
  </si>
  <si>
    <t>Date inventory prepared</t>
  </si>
  <si>
    <t>Food only</t>
  </si>
  <si>
    <t>1. Production</t>
  </si>
  <si>
    <t>2. Processing</t>
  </si>
  <si>
    <t>3. Wholesale and logistics</t>
  </si>
  <si>
    <t>4. Retail and markets</t>
  </si>
  <si>
    <t>6. Household consumption</t>
  </si>
  <si>
    <t>5. Food service</t>
  </si>
  <si>
    <t>Food category (based on GSFA Codes)</t>
  </si>
  <si>
    <r>
      <t xml:space="preserve">GSFA code number </t>
    </r>
    <r>
      <rPr>
        <sz val="11"/>
        <color theme="1"/>
        <rFont val="Calibri"/>
        <family val="2"/>
      </rPr>
      <t>→</t>
    </r>
  </si>
  <si>
    <t>Confec-
tionary and sweeten-ers</t>
  </si>
  <si>
    <t xml:space="preserve">Fish and fish products, incl. molluscs and crusta-ceans </t>
  </si>
  <si>
    <t>Entity</t>
  </si>
  <si>
    <t>Intended for human consumption</t>
  </si>
  <si>
    <t>Quantification</t>
  </si>
  <si>
    <t>Should</t>
  </si>
  <si>
    <t>All results</t>
  </si>
  <si>
    <r>
      <t>By material type</t>
    </r>
    <r>
      <rPr>
        <b/>
        <sz val="12"/>
        <color theme="1"/>
        <rFont val="Calibri"/>
        <family val="2"/>
        <scheme val="minor"/>
      </rPr>
      <t xml:space="preserve"> 
(removed from food supply chain)</t>
    </r>
    <r>
      <rPr>
        <b/>
        <sz val="14"/>
        <color theme="1"/>
        <rFont val="Calibri"/>
        <family val="2"/>
        <scheme val="minor"/>
      </rPr>
      <t xml:space="preserve"> </t>
    </r>
    <r>
      <rPr>
        <b/>
        <sz val="14"/>
        <color theme="1"/>
        <rFont val="Calibri"/>
        <family val="2"/>
      </rPr>
      <t>↓</t>
    </r>
  </si>
  <si>
    <t>Were estimates made to quantify separately the food or associated inedible parts removed from the food supply chain?</t>
  </si>
  <si>
    <t>DATA COLLECTION,  CALCULATION, AND ANALYSIS</t>
  </si>
  <si>
    <t xml:space="preserve">Describe the normalization factor chosen </t>
  </si>
  <si>
    <t>Total FLW after normalization factor applied</t>
  </si>
  <si>
    <t>Explain why the normalization factor was selected</t>
  </si>
  <si>
    <t>N/A - no water was added</t>
  </si>
  <si>
    <t>Inedible parts only</t>
  </si>
  <si>
    <t>Timeframe:</t>
  </si>
  <si>
    <t>to</t>
  </si>
  <si>
    <t>Food category(ies):</t>
  </si>
  <si>
    <t>Geography:</t>
  </si>
  <si>
    <t>Organization:</t>
  </si>
  <si>
    <t>Reporting entity:</t>
  </si>
  <si>
    <t>Animal feed</t>
  </si>
  <si>
    <t>Bio-based materials/biochemical processing</t>
  </si>
  <si>
    <t>Codigestion/anaerobic digestion</t>
  </si>
  <si>
    <t>Composting/aerobic processes</t>
  </si>
  <si>
    <t>Not harvested/plowed-in</t>
  </si>
  <si>
    <t>Refuse/discards/litter</t>
  </si>
  <si>
    <t xml:space="preserve">Sewer/wastewater treatment </t>
  </si>
  <si>
    <t>Controlled combustion</t>
  </si>
  <si>
    <t>Sewer/wastewater treatment</t>
  </si>
  <si>
    <t>Packaging and any other non-FLW material have been EXCLUDED from inventory results.</t>
  </si>
  <si>
    <t xml:space="preserve">Pre-harvest losses have been EXCLUDED from inventory results. </t>
  </si>
  <si>
    <t>Amount</t>
  </si>
  <si>
    <t>Cause</t>
  </si>
  <si>
    <t>Driver</t>
  </si>
  <si>
    <t>CAUSES OF FLW (optional)</t>
  </si>
  <si>
    <t>Boundary:</t>
  </si>
  <si>
    <t>Destination(s):</t>
  </si>
  <si>
    <t>Material type(s):</t>
  </si>
  <si>
    <t>SUMMARY OF FLW INVENTORY SCOPE AND RESULTS</t>
  </si>
  <si>
    <t>FLAG</t>
  </si>
  <si>
    <t>Valorized? 
(to some degree)</t>
  </si>
  <si>
    <t>FLW INVENTORY SCOPE AND RESULTS</t>
  </si>
  <si>
    <t>metric tons (1,000 kg)</t>
  </si>
  <si>
    <t>Inventory results reflect the state in which the FLW was generated (i.e., before water is added or before intrinsic water weight of FLW is removed).</t>
  </si>
  <si>
    <t>Starting date</t>
  </si>
  <si>
    <t>Ending date</t>
  </si>
  <si>
    <t>REQUIRED INFORMATION</t>
  </si>
  <si>
    <t>UN National Classifications</t>
  </si>
  <si>
    <t>UN CPC system</t>
  </si>
  <si>
    <t>Destination included in scope?
(Yes/No)</t>
  </si>
  <si>
    <t>Energy recovered? (Yes/No)</t>
  </si>
  <si>
    <t>Solid material recovered? (Yes/No)</t>
  </si>
  <si>
    <t>Liquid recovered? (Yes/No)</t>
  </si>
  <si>
    <t>Describe what sources or frameworks were used to categorize a material as food or as associated inedible parts (including assumptions used to define whether or not material was intended for human consumption).</t>
  </si>
  <si>
    <t>Describe the approach used and, if applicable, all conversion factors and their sources.</t>
  </si>
  <si>
    <t xml:space="preserve">1. Timeframe </t>
  </si>
  <si>
    <t>QUANTIFICATION METHODS AND DATA SOURCES</t>
  </si>
  <si>
    <t>1. Were existing FLW studies and/or data used?</t>
  </si>
  <si>
    <t>2. Was a new FLW quantification undertaken?</t>
  </si>
  <si>
    <t>Period of time over which sample data were collected</t>
  </si>
  <si>
    <t>REVIEW AND ASSURANCE (if applicable)</t>
  </si>
  <si>
    <t>SETTING TARGETS AND TRACKING CHANGES OVER TIME (if applicable)</t>
  </si>
  <si>
    <t>FLW Type</t>
  </si>
  <si>
    <t>Causes and drivers of FLW</t>
  </si>
  <si>
    <t>Please enter as much as is known about causes and drivers of each type and amount of FLW in the inventory. Insert additional lines as necessary.</t>
  </si>
  <si>
    <t>INVENTORY RESULTS (optional): reporting FLW by food category and lifecycle stage</t>
  </si>
  <si>
    <t>Lifecycle stage(s)</t>
  </si>
  <si>
    <t>TOTAL ALL LIFECYCLE STAGES</t>
  </si>
  <si>
    <t>Food + associated inedible parts</t>
  </si>
  <si>
    <t>Additional comments:</t>
  </si>
  <si>
    <r>
      <rPr>
        <b/>
        <i/>
        <sz val="11"/>
        <rFont val="Calibri"/>
        <family val="2"/>
        <scheme val="minor"/>
      </rPr>
      <t xml:space="preserve">FLW Standard </t>
    </r>
    <r>
      <rPr>
        <b/>
        <sz val="11"/>
        <rFont val="Calibri"/>
        <family val="2"/>
        <scheme val="minor"/>
      </rPr>
      <t>Definition</t>
    </r>
  </si>
  <si>
    <t>To quantify FLW with the intention of reporting the results</t>
  </si>
  <si>
    <t>A broad term encompassing any party that develops an FLW inventory</t>
  </si>
  <si>
    <t>Any substance—whether processed, semi-processed, or raw—that is intended for human consumption
“Food” includes drink, and any substance that has been used in the manufacture, preparation, or treatment of “food”</t>
  </si>
  <si>
    <t>Adapted from Codex Alimentarius Commission (2013)</t>
  </si>
  <si>
    <t>Food and/or associated inedible parts removed from the food supply chain</t>
  </si>
  <si>
    <t>A multi-stakeholder effort to develop the global accounting and reporting standard for quantifying food and associated inedible parts removed from the food supply chain</t>
  </si>
  <si>
    <t xml:space="preserve">Launched in 2013, its mission is to develop an internationally accepted FLW accounting and reporting standard and tools, which will enable users to be better informed and motivated to take appropriate steps to minimize FLW </t>
  </si>
  <si>
    <t>Food Loss &amp; Waste Accounting and Reporting Standard
(FLW Standard)</t>
  </si>
  <si>
    <t xml:space="preserve">Requirements and guidance to account for and report on the amount of FLW </t>
  </si>
  <si>
    <t>Connected series of activities to produce, process, distribute, and consume food</t>
  </si>
  <si>
    <t>Adapted from FAO (2014); FUSIONS (2014a)</t>
  </si>
  <si>
    <t>Components associated with a food that, in a particular food supply chain, are not intended to be consumed by humans</t>
  </si>
  <si>
    <t xml:space="preserve">Adapted from FAO (2014) </t>
  </si>
  <si>
    <t>Original purpose of a substance in the food supply chain, namely, to be ingested as food by the final consumer</t>
  </si>
  <si>
    <r>
      <t xml:space="preserve">Output from the process undertaken to develop a quantified list of FLW as defined by the scope of the </t>
    </r>
    <r>
      <rPr>
        <i/>
        <sz val="11"/>
        <color theme="1"/>
        <rFont val="Calibri"/>
        <family val="2"/>
        <scheme val="minor"/>
      </rPr>
      <t>FLW Standard</t>
    </r>
  </si>
  <si>
    <t>Quantified list of FLW produced by an inventory</t>
  </si>
  <si>
    <t>The figures that express the amount of FLW (in weight) within an entity’s scope, by the material type and destination</t>
  </si>
  <si>
    <t>Inventory result</t>
  </si>
  <si>
    <r>
      <t xml:space="preserve">A report that describes in a transparent way an entity’s FLW inventory results plus other elements required to be reported in conformance with the </t>
    </r>
    <r>
      <rPr>
        <i/>
        <sz val="11"/>
        <color theme="1"/>
        <rFont val="Calibri"/>
        <family val="2"/>
        <scheme val="minor"/>
      </rPr>
      <t>FLW Standard</t>
    </r>
    <r>
      <rPr>
        <sz val="11"/>
        <color theme="1"/>
        <rFont val="Calibri"/>
        <family val="2"/>
        <scheme val="minor"/>
      </rPr>
      <t xml:space="preserve"> (e.g., scope and quantification methods used)</t>
    </r>
  </si>
  <si>
    <t>This template for reporting on an FLW inventory can be found online at www.flwprotocol.org</t>
  </si>
  <si>
    <t>The process of generating a figure to express the amount of FLW to enter into an FLW inventory</t>
  </si>
  <si>
    <t>To record and share with others</t>
  </si>
  <si>
    <t>An FLW inventory may be reported to various parties, including those responsible for setting the goals that triggered the reporting entity to develop an FLW inventory (e.g., corporate management, industry association, government agency)</t>
  </si>
  <si>
    <t>Indicates a recommendation but not a requirement</t>
  </si>
  <si>
    <r>
      <t xml:space="preserve">Also referred to as the </t>
    </r>
    <r>
      <rPr>
        <i/>
        <sz val="11"/>
        <color theme="1"/>
        <rFont val="Calibri"/>
        <family val="2"/>
        <scheme val="minor"/>
      </rPr>
      <t>FLW Standard</t>
    </r>
    <r>
      <rPr>
        <sz val="11"/>
        <color theme="1"/>
        <rFont val="Calibri"/>
        <family val="2"/>
        <scheme val="minor"/>
      </rPr>
      <t xml:space="preserve"> or simply “standard”
This standard provides a set of accounting and reporting requirements, universally applicable definitions, and recommendations and guidance on quantification methods. In so doing, it helps ensure consistency, enable comprehensiveness, facilitate comparability, and support transparent disclosure of FLW inventories within and among entities</t>
    </r>
  </si>
  <si>
    <r>
      <t xml:space="preserve">For the purposes of the </t>
    </r>
    <r>
      <rPr>
        <i/>
        <sz val="11"/>
        <color theme="1"/>
        <rFont val="Calibri"/>
        <family val="2"/>
        <scheme val="minor"/>
      </rPr>
      <t>FLW Standard,</t>
    </r>
    <r>
      <rPr>
        <sz val="11"/>
        <color theme="1"/>
        <rFont val="Calibri"/>
        <family val="2"/>
        <scheme val="minor"/>
      </rPr>
      <t xml:space="preserve"> the verb “produce” is defined as the moment when the raw materials for food are ready for harvest or slaughter (i.e., ready to enter the economic and technical system for food production or home-grown consumption). Section 6.7 provides examples of what might be considered “ready for harvest or slaughter”</t>
    </r>
  </si>
  <si>
    <r>
      <t xml:space="preserve">For the purpose of the </t>
    </r>
    <r>
      <rPr>
        <i/>
        <sz val="11"/>
        <color theme="1"/>
        <rFont val="Calibri"/>
        <family val="2"/>
        <scheme val="minor"/>
      </rPr>
      <t>FLW Standard,</t>
    </r>
    <r>
      <rPr>
        <sz val="11"/>
        <color theme="1"/>
        <rFont val="Calibri"/>
        <family val="2"/>
        <scheme val="minor"/>
      </rPr>
      <t xml:space="preserve"> “intended for human consumption” includes substances that are “reasonably expected to be eaten by humans”
Whether plants, fungi, animals, or their parts are intended for human consumption depends on the food supply chain, the food system, and the geographical and cultural context
In some cases it may not be known from the outset whether or not a substance will end up as food and intentions may change as a substance proceeds along the food supply chain. The </t>
    </r>
    <r>
      <rPr>
        <i/>
        <sz val="11"/>
        <color theme="1"/>
        <rFont val="Calibri"/>
        <family val="2"/>
        <scheme val="minor"/>
      </rPr>
      <t>FLW Standard</t>
    </r>
    <r>
      <rPr>
        <sz val="11"/>
        <color theme="1"/>
        <rFont val="Calibri"/>
        <family val="2"/>
        <scheme val="minor"/>
      </rPr>
      <t xml:space="preserve"> gives guidance on what to do in those circumstances</t>
    </r>
  </si>
  <si>
    <r>
      <t xml:space="preserve">The </t>
    </r>
    <r>
      <rPr>
        <i/>
        <sz val="11"/>
        <color theme="1"/>
        <rFont val="Calibri"/>
        <family val="2"/>
        <scheme val="minor"/>
      </rPr>
      <t xml:space="preserve">FLW Standard </t>
    </r>
    <r>
      <rPr>
        <sz val="11"/>
        <color theme="1"/>
        <rFont val="Calibri"/>
        <family val="2"/>
        <scheme val="minor"/>
      </rPr>
      <t xml:space="preserve">provides guidance on three broad categories, or types, of quantification—measurement, approximation, and inference by calculation (see Chapter 7) </t>
    </r>
  </si>
  <si>
    <r>
      <t>Report (</t>
    </r>
    <r>
      <rPr>
        <b/>
        <i/>
        <sz val="11"/>
        <color theme="1"/>
        <rFont val="Calibri"/>
        <family val="2"/>
        <scheme val="minor"/>
      </rPr>
      <t>verb</t>
    </r>
    <r>
      <rPr>
        <b/>
        <sz val="11"/>
        <color theme="1"/>
        <rFont val="Calibri"/>
        <family val="2"/>
        <scheme val="minor"/>
      </rPr>
      <t>)</t>
    </r>
  </si>
  <si>
    <r>
      <t xml:space="preserve">Indicates a requirement for an FLW inventory to be in conformance with the </t>
    </r>
    <r>
      <rPr>
        <i/>
        <sz val="11"/>
        <color theme="1"/>
        <rFont val="Calibri"/>
        <family val="2"/>
        <scheme val="minor"/>
      </rPr>
      <t>FLW Standard</t>
    </r>
  </si>
  <si>
    <t>“Food” includes material that has spoiled and is therefore no longer fit for human consumption
“Food” does not include cosmetics, tobacco, or substances used only as drugs 
“Food” does not include processing agents used along the food supply chain, for example, water to clean or cook raw materials in factories or at home
The term “edible” may be used by other entities to mean the same as “food.” If an entity substitutes any other term to mean the same thing as “food,” this should be disclosed</t>
  </si>
  <si>
    <r>
      <t xml:space="preserve">The </t>
    </r>
    <r>
      <rPr>
        <i/>
        <sz val="11"/>
        <color theme="1"/>
        <rFont val="Calibri"/>
        <family val="2"/>
        <scheme val="minor"/>
      </rPr>
      <t xml:space="preserve">FLW Standard </t>
    </r>
    <r>
      <rPr>
        <sz val="11"/>
        <color theme="1"/>
        <rFont val="Calibri"/>
        <family val="2"/>
        <scheme val="minor"/>
      </rPr>
      <t>uses precise language to indicate which provisions of the standard are requirements (“shall”), which provisions are recommendations (“should”), and which provisions are permissible or allowable (“may”)</t>
    </r>
  </si>
  <si>
    <r>
      <t xml:space="preserve">For the sake of simplicity of expression, the FLW Protocol uses the phrase “food loss and waste” and the abbreviation “FLW” as shorthand. It does not differentiate between “food loss” or “food waste”
The </t>
    </r>
    <r>
      <rPr>
        <i/>
        <sz val="11"/>
        <color theme="1"/>
        <rFont val="Calibri"/>
        <family val="2"/>
        <scheme val="minor"/>
      </rPr>
      <t>FLW Standard</t>
    </r>
    <r>
      <rPr>
        <sz val="11"/>
        <color theme="1"/>
        <rFont val="Calibri"/>
        <family val="2"/>
        <scheme val="minor"/>
      </rPr>
      <t xml:space="preserve"> can be applied to both food and/or associated inedible parts removed from the food supply chain. In order to be in conformance with the </t>
    </r>
    <r>
      <rPr>
        <i/>
        <sz val="11"/>
        <color theme="1"/>
        <rFont val="Calibri"/>
        <family val="2"/>
        <scheme val="minor"/>
      </rPr>
      <t>FLW Standard,</t>
    </r>
    <r>
      <rPr>
        <sz val="11"/>
        <color theme="1"/>
        <rFont val="Calibri"/>
        <family val="2"/>
        <scheme val="minor"/>
      </rPr>
      <t xml:space="preserve"> an entity is required to identify whether it is accounting for and reporting on both of these material types, only food, or only associated inedible parts. The choice an entity makes is a function of its goals for quantifying FLW
There is no universal agreement on what “destinations” of food and associated inedible parts that are removed from the food supply chain are to be considered “loss or waste”
While the </t>
    </r>
    <r>
      <rPr>
        <i/>
        <sz val="11"/>
        <color theme="1"/>
        <rFont val="Calibri"/>
        <family val="2"/>
        <scheme val="minor"/>
      </rPr>
      <t>FLW Standard’s</t>
    </r>
    <r>
      <rPr>
        <sz val="11"/>
        <color theme="1"/>
        <rFont val="Calibri"/>
        <family val="2"/>
        <scheme val="minor"/>
      </rPr>
      <t xml:space="preserve"> definitions align with the FAO’s definitions for “food,” “inedible parts,” and “food supply chain,” the FAO’s use of the term FLW refers only to “food” and therefore excludes inedible parts. Moreover, FAO’s definition of “loss and waste” encompasses all 10 destinations defined by the </t>
    </r>
    <r>
      <rPr>
        <i/>
        <sz val="11"/>
        <color theme="1"/>
        <rFont val="Calibri"/>
        <family val="2"/>
        <scheme val="minor"/>
      </rPr>
      <t>FLW Standard</t>
    </r>
    <r>
      <rPr>
        <sz val="11"/>
        <color theme="1"/>
        <rFont val="Calibri"/>
        <family val="2"/>
        <scheme val="minor"/>
      </rPr>
      <t xml:space="preserve">
The </t>
    </r>
    <r>
      <rPr>
        <i/>
        <sz val="11"/>
        <color theme="1"/>
        <rFont val="Calibri"/>
        <family val="2"/>
        <scheme val="minor"/>
      </rPr>
      <t>FLW Standard</t>
    </r>
    <r>
      <rPr>
        <sz val="11"/>
        <color theme="1"/>
        <rFont val="Calibri"/>
        <family val="2"/>
        <scheme val="minor"/>
      </rPr>
      <t xml:space="preserve"> can be used across the alternative definitions for food loss and waste</t>
    </r>
  </si>
  <si>
    <t>Destination categories</t>
  </si>
  <si>
    <t>Additional notes (required if cause and/or driver is unknown)</t>
  </si>
  <si>
    <t>Describe the approach and calculation used to separate the weight of FLW from non-FLW materials.</t>
  </si>
  <si>
    <t>Describe the approach and calculation used to estimate the original weight of the FLW.</t>
  </si>
  <si>
    <t>What changes have occurred? Include context identifying and describing significant changes that triggered base inventory recalculations.</t>
  </si>
  <si>
    <t>Was assurance undertaken?</t>
  </si>
  <si>
    <t>Are you tracking FLW over time and/or setting an FLW reduction target?</t>
  </si>
  <si>
    <t>Unknown (Path: other entity collects/hauls FLW off site)</t>
  </si>
  <si>
    <t>Total weight of FLW</t>
  </si>
  <si>
    <r>
      <rPr>
        <sz val="11"/>
        <rFont val="Calibri"/>
        <family val="2"/>
      </rPr>
      <t xml:space="preserve">• </t>
    </r>
    <r>
      <rPr>
        <sz val="11"/>
        <rFont val="Calibri"/>
        <family val="2"/>
        <scheme val="minor"/>
      </rPr>
      <t xml:space="preserve">This template helps users record and report the results of inventories conducted using the </t>
    </r>
    <r>
      <rPr>
        <i/>
        <sz val="11"/>
        <rFont val="Calibri"/>
        <family val="2"/>
        <scheme val="minor"/>
      </rPr>
      <t>Food Loss and Waste Accounting and Reporting Standard (FLW Standard),</t>
    </r>
    <r>
      <rPr>
        <sz val="11"/>
        <rFont val="Calibri"/>
        <family val="2"/>
        <scheme val="minor"/>
      </rPr>
      <t xml:space="preserve"> Version 1.0. </t>
    </r>
  </si>
  <si>
    <r>
      <t xml:space="preserve">• It includes items an entity is </t>
    </r>
    <r>
      <rPr>
        <u/>
        <sz val="11"/>
        <color theme="1"/>
        <rFont val="Calibri"/>
        <family val="2"/>
        <scheme val="minor"/>
      </rPr>
      <t>required</t>
    </r>
    <r>
      <rPr>
        <sz val="11"/>
        <color theme="1"/>
        <rFont val="Calibri"/>
        <family val="2"/>
        <scheme val="minor"/>
      </rPr>
      <t xml:space="preserve"> to report to be in conformance with the </t>
    </r>
    <r>
      <rPr>
        <i/>
        <sz val="11"/>
        <color theme="1"/>
        <rFont val="Calibri"/>
        <family val="2"/>
        <scheme val="minor"/>
      </rPr>
      <t>FLW Standard.</t>
    </r>
  </si>
  <si>
    <r>
      <t>3. Revie</t>
    </r>
    <r>
      <rPr>
        <sz val="11"/>
        <rFont val="Calibri"/>
        <family val="2"/>
        <scheme val="minor"/>
      </rPr>
      <t>w the green</t>
    </r>
    <r>
      <rPr>
        <sz val="11"/>
        <color theme="1"/>
        <rFont val="Calibri"/>
        <family val="2"/>
        <scheme val="minor"/>
      </rPr>
      <t xml:space="preserve"> boxes included on each tab as they contain reference information that will be helpful in completing the template.</t>
    </r>
  </si>
  <si>
    <t>I.       General information</t>
  </si>
  <si>
    <t>II.      FLW inventory scope and results</t>
  </si>
  <si>
    <r>
      <t xml:space="preserve">III.  </t>
    </r>
    <r>
      <rPr>
        <sz val="11"/>
        <rFont val="Calibri"/>
        <family val="2"/>
        <scheme val="minor"/>
      </rPr>
      <t xml:space="preserve">  Quantification</t>
    </r>
    <r>
      <rPr>
        <sz val="11"/>
        <color theme="1"/>
        <rFont val="Calibri"/>
        <family val="2"/>
        <scheme val="minor"/>
      </rPr>
      <t xml:space="preserve"> methods and data sources</t>
    </r>
  </si>
  <si>
    <t xml:space="preserve">IV.    Data collection, calculation, and analysis </t>
  </si>
  <si>
    <t>• Many cells are marked with red tabs in the corners, which contain comments with instructions and definitions. Scroll your mouse over them and content will appear. If you cannot see all of the content in a mouseover box, right-click, click "Edit Comment," and resize the box to accommodate all of the text in it.</t>
  </si>
  <si>
    <r>
      <t xml:space="preserve">• Please see </t>
    </r>
    <r>
      <rPr>
        <u/>
        <sz val="11"/>
        <color rgb="FF0000FF"/>
        <rFont val="Calibri"/>
        <family val="2"/>
        <scheme val="minor"/>
      </rPr>
      <t>www.flwprotocol.org</t>
    </r>
    <r>
      <rPr>
        <sz val="11"/>
        <color theme="1"/>
        <rFont val="Calibri"/>
        <family val="2"/>
        <scheme val="minor"/>
      </rPr>
      <t xml:space="preserve"> for the </t>
    </r>
    <r>
      <rPr>
        <i/>
        <sz val="11"/>
        <color theme="1"/>
        <rFont val="Calibri"/>
        <family val="2"/>
        <scheme val="minor"/>
      </rPr>
      <t xml:space="preserve">FLW Standard </t>
    </r>
    <r>
      <rPr>
        <sz val="11"/>
        <color theme="1"/>
        <rFont val="Calibri"/>
        <family val="2"/>
        <scheme val="minor"/>
      </rPr>
      <t>which lays out the requirements and guidance. See Table 4.1 for a summary of reporting requirements and Chapter 13 for additional guidance on reporting.</t>
    </r>
  </si>
  <si>
    <t>• Feel free to resize rows (in order to increase space for displaying answers) by right clicking on the row number and selecting "Row Height."</t>
  </si>
  <si>
    <t>Unit of quantification</t>
  </si>
  <si>
    <t>Is material type included?
(Yes/No)</t>
  </si>
  <si>
    <t>Unknown (Path: other, typically informal)</t>
  </si>
  <si>
    <t>Unknown (Path: on-site removal or use of FLW)</t>
  </si>
  <si>
    <t>Is FLW valorized to some degree?
(Yes/No)</t>
  </si>
  <si>
    <t>Weight of FLW with valorization</t>
  </si>
  <si>
    <t>Weight of FLW with no valorization</t>
  </si>
  <si>
    <t>Click hyperlinks below for lists of codes.</t>
  </si>
  <si>
    <t>Date prepared:</t>
  </si>
  <si>
    <t>Total weight of FLW reported:</t>
  </si>
  <si>
    <r>
      <t xml:space="preserve">OPTIONAL (but strongly recommended) INFORMATION
</t>
    </r>
    <r>
      <rPr>
        <sz val="11"/>
        <rFont val="Calibri"/>
        <family val="2"/>
        <scheme val="minor"/>
      </rPr>
      <t>Please include information by destination (as known).</t>
    </r>
  </si>
  <si>
    <t>Describe the quantification method(s) used.</t>
  </si>
  <si>
    <t>a. Identify the source(s) of the studies and/or data.</t>
  </si>
  <si>
    <r>
      <t xml:space="preserve">b. Describe as much as is known about the scope (using </t>
    </r>
    <r>
      <rPr>
        <i/>
        <sz val="11"/>
        <rFont val="Calibri"/>
        <family val="2"/>
        <scheme val="minor"/>
      </rPr>
      <t xml:space="preserve">FLW Standard </t>
    </r>
    <r>
      <rPr>
        <sz val="11"/>
        <rFont val="Calibri"/>
        <family val="2"/>
        <scheme val="minor"/>
      </rPr>
      <t>definitions), and quantification method(s) used.</t>
    </r>
  </si>
  <si>
    <t>Describe approach and calculations used</t>
  </si>
  <si>
    <t>Is the assessment of uncertainty qualitative, quantitative, or both? (Check as appropriate. At least one is required.)</t>
  </si>
  <si>
    <t>•      Whether the assurance was first or third party</t>
  </si>
  <si>
    <t>•      The assurance opinion</t>
  </si>
  <si>
    <t>•      A summary of the assurance process</t>
  </si>
  <si>
    <t>•      The relevant competencies of the assurance providers</t>
  </si>
  <si>
    <t>•      An explanation of any potential conflicts of interest</t>
  </si>
  <si>
    <t>Has recalculation of the base FLW inventory occurred, due to significant changes in the quantification method(s) or assumptions?</t>
  </si>
  <si>
    <r>
      <t xml:space="preserve">Food rescued (e.g., food recovery, redistribution, donation) (see Appendix E of </t>
    </r>
    <r>
      <rPr>
        <i/>
        <sz val="11"/>
        <color theme="1"/>
        <rFont val="Calibri"/>
        <family val="2"/>
        <scheme val="minor"/>
      </rPr>
      <t>FLW Standard</t>
    </r>
    <r>
      <rPr>
        <sz val="11"/>
        <color theme="1"/>
        <rFont val="Calibri"/>
        <family val="2"/>
        <scheme val="minor"/>
      </rPr>
      <t>)</t>
    </r>
  </si>
  <si>
    <r>
      <t xml:space="preserve">Lifecycle stage 
</t>
    </r>
    <r>
      <rPr>
        <b/>
        <u/>
        <sz val="11"/>
        <color theme="10"/>
        <rFont val="Calibri"/>
        <family val="2"/>
        <scheme val="minor"/>
      </rPr>
      <t>(scroll mouse over cells below for ISIC codes by stage)</t>
    </r>
  </si>
  <si>
    <t>This standard is designed for entities of all types and sizes, across all economic sectors, and around the world
Entities include intergovernmental agencies, governments (e.g., nations, states, and cities), industry associations, companies, agricultural producers, and others</t>
  </si>
  <si>
    <r>
      <t xml:space="preserve">Examples of inedible parts associated with food could include bones, rinds, and pits/stones 
For the purposes of the </t>
    </r>
    <r>
      <rPr>
        <i/>
        <sz val="11"/>
        <color theme="1"/>
        <rFont val="Calibri"/>
        <family val="2"/>
        <scheme val="minor"/>
      </rPr>
      <t>FLW Standard,</t>
    </r>
    <r>
      <rPr>
        <sz val="11"/>
        <color theme="1"/>
        <rFont val="Calibri"/>
        <family val="2"/>
        <scheme val="minor"/>
      </rPr>
      <t xml:space="preserve"> “inedible parts” is equivalent to FAO’s term “non-food parts of food plants and animals;” the parts of food plants and animals that are not intended to be consumed by humans
Inedible parts do not include packaging, such as boxes, wrapping or plastic containers
What is considered inedible varies among users, changes over time, and is influenced by a range of variables including culture, socio-economic factors, availability, price, technological advances, international trade, and geography
In some sectors, inedible parts may also be referred to as by-products or co-products</t>
    </r>
  </si>
  <si>
    <t>Adapted from the Greenhouse Gas Protocol</t>
  </si>
  <si>
    <t>Adapted from the Greenhouse Gas Protocol</t>
  </si>
  <si>
    <t>4. For each question in each tab, fill out the box with text or a number, check a box, or select a choice from a drop-down menu, as required by the question.</t>
  </si>
  <si>
    <t>2. Click the button below to start with Tab I (General information) then go to the other tabs in sequence. Answer the questions in each tab that apply to your situation. Depending on how questions are answered, other questions or fields may become active or inactive.</t>
  </si>
  <si>
    <r>
      <t xml:space="preserve">VII.   Causes of FLW </t>
    </r>
    <r>
      <rPr>
        <i/>
        <sz val="11"/>
        <rFont val="Calibri"/>
        <family val="2"/>
        <scheme val="minor"/>
      </rPr>
      <t>(optional)</t>
    </r>
  </si>
  <si>
    <r>
      <t xml:space="preserve">VIII.  Details about inventory results, by food type and lifecycle stage </t>
    </r>
    <r>
      <rPr>
        <i/>
        <sz val="11"/>
        <color theme="1"/>
        <rFont val="Calibri"/>
        <family val="2"/>
        <scheme val="minor"/>
      </rPr>
      <t>(optional)</t>
    </r>
  </si>
  <si>
    <r>
      <t xml:space="preserve">V.     Review and assurance </t>
    </r>
    <r>
      <rPr>
        <i/>
        <sz val="11"/>
        <color theme="1"/>
        <rFont val="Calibri"/>
        <family val="2"/>
        <scheme val="minor"/>
      </rPr>
      <t>(if applicable)</t>
    </r>
  </si>
  <si>
    <r>
      <t xml:space="preserve">VI.    Setting targets and tracking changes over time </t>
    </r>
    <r>
      <rPr>
        <i/>
        <sz val="11"/>
        <color theme="1"/>
        <rFont val="Calibri"/>
        <family val="2"/>
        <scheme val="minor"/>
      </rPr>
      <t>(if applicable)</t>
    </r>
  </si>
  <si>
    <t>• Cells are color-coded by function (see legend).</t>
  </si>
  <si>
    <t>Were any destinations unknown?</t>
  </si>
  <si>
    <t>• The final tab in this template contains a glossary with definitions for terms used throughout this reporting template.</t>
  </si>
  <si>
    <t>and destination (where relevant)</t>
  </si>
  <si>
    <r>
      <t xml:space="preserve">4. Boundary
</t>
    </r>
    <r>
      <rPr>
        <sz val="11"/>
        <color theme="1"/>
        <rFont val="Calibri"/>
        <family val="2"/>
        <scheme val="minor"/>
      </rPr>
      <t xml:space="preserve">Define the boundary of this FLW inventory based on: </t>
    </r>
  </si>
  <si>
    <t>Check to confirm the following:</t>
  </si>
  <si>
    <t xml:space="preserve">Weight of FLW disaggregated by material type </t>
  </si>
  <si>
    <r>
      <t xml:space="preserve">• We welcome your questions and suggestions. Please contact Brian Lipinski at </t>
    </r>
    <r>
      <rPr>
        <u/>
        <sz val="11"/>
        <color rgb="FF0000FF"/>
        <rFont val="Calibri"/>
        <family val="2"/>
        <scheme val="minor"/>
      </rPr>
      <t>BLipinski@wri.org</t>
    </r>
    <r>
      <rPr>
        <sz val="11"/>
        <color theme="1"/>
        <rFont val="Calibri"/>
        <family val="2"/>
        <scheme val="minor"/>
      </rPr>
      <t>.</t>
    </r>
  </si>
  <si>
    <t>FLW Inventory Scope</t>
  </si>
  <si>
    <r>
      <t xml:space="preserve">Are food or inedible parts removed from the food supply chain accounted for </t>
    </r>
    <r>
      <rPr>
        <b/>
        <u/>
        <sz val="14"/>
        <color theme="1"/>
        <rFont val="Calibri"/>
        <family val="2"/>
        <scheme val="minor"/>
      </rPr>
      <t>separately</t>
    </r>
    <r>
      <rPr>
        <b/>
        <sz val="14"/>
        <color theme="1"/>
        <rFont val="Calibri"/>
        <family val="2"/>
        <scheme val="minor"/>
      </rPr>
      <t xml:space="preserve"> in the inventory?</t>
    </r>
  </si>
  <si>
    <r>
      <t xml:space="preserve">Other </t>
    </r>
    <r>
      <rPr>
        <i/>
        <sz val="11"/>
        <rFont val="Calibri"/>
        <family val="2"/>
        <scheme val="minor"/>
      </rPr>
      <t>(describe destination)</t>
    </r>
    <r>
      <rPr>
        <sz val="11"/>
        <rFont val="Calibri"/>
        <family val="2"/>
        <scheme val="minor"/>
      </rPr>
      <t>:</t>
    </r>
  </si>
  <si>
    <r>
      <t xml:space="preserve">1. </t>
    </r>
    <r>
      <rPr>
        <u/>
        <sz val="11"/>
        <color theme="1"/>
        <rFont val="Calibri"/>
        <family val="2"/>
        <scheme val="minor"/>
      </rPr>
      <t>Enable macros.</t>
    </r>
    <r>
      <rPr>
        <sz val="11"/>
        <color theme="1"/>
        <rFont val="Calibri"/>
        <family val="2"/>
        <scheme val="minor"/>
      </rPr>
      <t xml:space="preserve"> (Click the "Enable Content" button at the top of the screen when you first open the Excel file.)</t>
    </r>
  </si>
  <si>
    <r>
      <t xml:space="preserve">5. Keep in mind that Tabs </t>
    </r>
    <r>
      <rPr>
        <sz val="11"/>
        <rFont val="Calibri"/>
        <family val="2"/>
        <scheme val="minor"/>
      </rPr>
      <t>V through VIII w</t>
    </r>
    <r>
      <rPr>
        <sz val="11"/>
        <color theme="1"/>
        <rFont val="Calibri"/>
        <family val="2"/>
        <scheme val="minor"/>
      </rPr>
      <t xml:space="preserve">ill not apply to all inventories. Consult the </t>
    </r>
    <r>
      <rPr>
        <i/>
        <sz val="11"/>
        <color theme="1"/>
        <rFont val="Calibri"/>
        <family val="2"/>
        <scheme val="minor"/>
      </rPr>
      <t>FLW Standard</t>
    </r>
    <r>
      <rPr>
        <sz val="11"/>
        <color theme="1"/>
        <rFont val="Calibri"/>
        <family val="2"/>
        <scheme val="minor"/>
      </rPr>
      <t xml:space="preserve"> for more guidance on when these tabs should be used.</t>
    </r>
  </si>
  <si>
    <t xml:space="preserve">6. When finished entering information into Tabs I through VIII, go to the Summary tab to display the high-level inventory results. At the bottom of the Summary tab is a button that helps you check the inventory for completeness. </t>
  </si>
  <si>
    <t>The tabs are organized to report about:</t>
  </si>
  <si>
    <t>About this template:</t>
  </si>
  <si>
    <t>Steps for completing this template:</t>
  </si>
  <si>
    <t>Additional tips:</t>
  </si>
  <si>
    <r>
      <rPr>
        <b/>
        <sz val="16"/>
        <rFont val="Calibri"/>
        <family val="2"/>
        <scheme val="minor"/>
      </rPr>
      <t>3. Destinations</t>
    </r>
    <r>
      <rPr>
        <sz val="11"/>
        <rFont val="Calibri"/>
        <family val="2"/>
        <scheme val="minor"/>
      </rPr>
      <t xml:space="preserve"> </t>
    </r>
    <r>
      <rPr>
        <sz val="12"/>
        <rFont val="Calibri"/>
        <family val="2"/>
        <scheme val="minor"/>
      </rPr>
      <t xml:space="preserve">
</t>
    </r>
    <r>
      <rPr>
        <sz val="11"/>
        <rFont val="Calibri"/>
        <family val="2"/>
        <scheme val="minor"/>
      </rPr>
      <t>Step 1. Select all destinations that are part of the FLW inventory scope using column C. If "other," describe destination in cell B29. If "unknown," use rows 31-33. 
Step 2. Press the HIDE button (row 34).
Step 3. Enter amounts of FLW by destination (in column D).</t>
    </r>
  </si>
  <si>
    <t>Don't know</t>
  </si>
  <si>
    <t>Examples: "all sectors in company", "two business units", "1,000 stores", "100 households"</t>
  </si>
  <si>
    <t xml:space="preserve">Report qualitative description here. </t>
  </si>
  <si>
    <t xml:space="preserve">Report quantitative assessment here. </t>
  </si>
  <si>
    <t>If two or more normalization factors were applied, please add an additional tab to repeat the information in rows 22-25.</t>
  </si>
  <si>
    <t>Has an FLW reduction target been set?</t>
  </si>
  <si>
    <t xml:space="preserve">Enter scope of target, description of target, and completion date
</t>
  </si>
  <si>
    <t>OPTIONAL additional information:</t>
  </si>
  <si>
    <t xml:space="preserve">• Provide reason(s) for choosing the base year </t>
  </si>
  <si>
    <t>• Enter or attach detailed FLW reduction plans</t>
  </si>
  <si>
    <t>• If relevant, enter a summary and explanation of any change in FLW since the previous inventory</t>
  </si>
  <si>
    <t>• Describe the base year recalculation policy and the basis and context for any recalculations</t>
  </si>
  <si>
    <t>• Describe the approach used for monitoring the target</t>
  </si>
  <si>
    <t>• Enter FLW at all points where quantified within the target timeframe (includes total quantity and metric[s] used to assess the target, e.g., FLW per inhabitant)</t>
  </si>
  <si>
    <t>Description of any methodological changes since the previous inventory</t>
  </si>
  <si>
    <t>Weight of FLW by material type (if quantified separately)</t>
  </si>
  <si>
    <r>
      <t>2. Material type(s)</t>
    </r>
    <r>
      <rPr>
        <b/>
        <sz val="12"/>
        <rFont val="Calibri"/>
        <family val="2"/>
        <scheme val="minor"/>
      </rPr>
      <t xml:space="preserve"> 
</t>
    </r>
    <r>
      <rPr>
        <sz val="11"/>
        <rFont val="Calibri"/>
        <family val="2"/>
        <scheme val="minor"/>
      </rPr>
      <t>Step 1.</t>
    </r>
    <r>
      <rPr>
        <b/>
        <sz val="11"/>
        <rFont val="Calibri"/>
        <family val="2"/>
        <scheme val="minor"/>
      </rPr>
      <t xml:space="preserve"> </t>
    </r>
    <r>
      <rPr>
        <sz val="11"/>
        <rFont val="Calibri"/>
        <family val="2"/>
        <scheme val="minor"/>
      </rPr>
      <t>Select material type(s) included in the inventory scope. 
Step 2. If the weight of food or inedible parts has been quantified separately, record amount in column D; otherwise leave cells blank.</t>
    </r>
  </si>
  <si>
    <t>If reporting the amount food or inedible parts separately, please also complete rows 48-51.</t>
  </si>
  <si>
    <t>Weight of FLW by destination 
(if known enter amount, otherwise enter "unknown")</t>
  </si>
  <si>
    <r>
      <t xml:space="preserve">Weight of FLW (by destination or path)
</t>
    </r>
    <r>
      <rPr>
        <b/>
        <sz val="11"/>
        <rFont val="Calibri"/>
        <family val="2"/>
        <scheme val="minor"/>
      </rPr>
      <t xml:space="preserve">Note: </t>
    </r>
    <r>
      <rPr>
        <b/>
        <i/>
        <sz val="11"/>
        <rFont val="Calibri"/>
        <family val="2"/>
        <scheme val="minor"/>
      </rPr>
      <t>Total weight known by destination may differ from total weight (shown in row 5)</t>
    </r>
  </si>
  <si>
    <t>1a. Were sampling and scaling up of data undertaken?</t>
  </si>
  <si>
    <t>1b. Were calculations necessary to exclude the weight of packaging or other non-FLW material from FLW?</t>
  </si>
  <si>
    <t>1c. Were calculations necessary to estimate the original weight of the FLW (to account for water added or removed from the FLW)?</t>
  </si>
  <si>
    <t>2. Assessment of the uncertainty around FLW inventory results</t>
  </si>
  <si>
    <r>
      <rPr>
        <b/>
        <i/>
        <sz val="16"/>
        <rFont val="Calibri"/>
        <family val="2"/>
        <scheme val="minor"/>
      </rPr>
      <t>(OPTIONAL)</t>
    </r>
    <r>
      <rPr>
        <b/>
        <sz val="16"/>
        <color theme="1"/>
        <rFont val="Calibri"/>
        <family val="2"/>
        <scheme val="minor"/>
      </rPr>
      <t xml:space="preserve"> Were normalization factors applied?</t>
    </r>
  </si>
  <si>
    <t>Other requirements:</t>
  </si>
  <si>
    <t>Quantification method(s)</t>
  </si>
  <si>
    <t>Uncertainty assessment</t>
  </si>
  <si>
    <t>See Tab III</t>
  </si>
  <si>
    <t>See Tab IV</t>
  </si>
  <si>
    <t>See Tab V</t>
  </si>
  <si>
    <t>See Tab VI</t>
  </si>
  <si>
    <r>
      <t xml:space="preserve">• This is a </t>
    </r>
    <r>
      <rPr>
        <u/>
        <sz val="11"/>
        <rFont val="Calibri"/>
        <family val="2"/>
        <scheme val="minor"/>
      </rPr>
      <t>sample</t>
    </r>
    <r>
      <rPr>
        <sz val="11"/>
        <rFont val="Calibri"/>
        <family val="2"/>
        <scheme val="minor"/>
      </rPr>
      <t xml:space="preserve"> reporting form. An entity may use </t>
    </r>
    <r>
      <rPr>
        <u/>
        <sz val="11"/>
        <rFont val="Calibri"/>
        <family val="2"/>
        <scheme val="minor"/>
      </rPr>
      <t>any</t>
    </r>
    <r>
      <rPr>
        <sz val="11"/>
        <rFont val="Calibri"/>
        <family val="2"/>
        <scheme val="minor"/>
      </rPr>
      <t xml:space="preserve"> format to report FLW provided it contains all the reporting requirements (see Table 4.1 in the </t>
    </r>
    <r>
      <rPr>
        <i/>
        <sz val="11"/>
        <rFont val="Calibri"/>
        <family val="2"/>
        <scheme val="minor"/>
      </rPr>
      <t>FLW Standard</t>
    </r>
    <r>
      <rPr>
        <sz val="11"/>
        <rFont val="Calibri"/>
        <family val="2"/>
        <scheme val="minor"/>
      </rPr>
      <t>). An entity may also modify this template to suit its needs.</t>
    </r>
  </si>
  <si>
    <r>
      <t xml:space="preserve">• Other items are </t>
    </r>
    <r>
      <rPr>
        <u/>
        <sz val="11"/>
        <color theme="1"/>
        <rFont val="Calibri"/>
        <family val="2"/>
        <scheme val="minor"/>
      </rPr>
      <t>recommended</t>
    </r>
    <r>
      <rPr>
        <sz val="11"/>
        <color theme="1"/>
        <rFont val="Calibri"/>
        <family val="2"/>
        <scheme val="minor"/>
      </rPr>
      <t xml:space="preserve"> in the standard but not all are included in this template since they are not required (for further details see Chapter 13 of the </t>
    </r>
    <r>
      <rPr>
        <i/>
        <sz val="11"/>
        <color theme="1"/>
        <rFont val="Calibri"/>
        <family val="2"/>
        <scheme val="minor"/>
      </rPr>
      <t>FLW Standard</t>
    </r>
    <r>
      <rPr>
        <sz val="11"/>
        <color theme="1"/>
        <rFont val="Calibri"/>
        <family val="2"/>
        <scheme val="minor"/>
      </rPr>
      <t>). Those included are marked as "optional" in the template and shaded in gold.</t>
    </r>
  </si>
  <si>
    <r>
      <t xml:space="preserve">Sampling and scaling of data </t>
    </r>
    <r>
      <rPr>
        <i/>
        <sz val="12"/>
        <color theme="1"/>
        <rFont val="Calibri"/>
        <family val="2"/>
        <scheme val="minor"/>
      </rPr>
      <t>(if applicable)</t>
    </r>
  </si>
  <si>
    <r>
      <t xml:space="preserve">Assurance statement </t>
    </r>
    <r>
      <rPr>
        <i/>
        <sz val="12"/>
        <color theme="1"/>
        <rFont val="Calibri"/>
        <family val="2"/>
        <scheme val="minor"/>
      </rPr>
      <t>(if applicable)</t>
    </r>
  </si>
  <si>
    <r>
      <t xml:space="preserve">Targets and tracking </t>
    </r>
    <r>
      <rPr>
        <i/>
        <sz val="12"/>
        <color theme="1"/>
        <rFont val="Calibri"/>
        <family val="2"/>
        <scheme val="minor"/>
      </rPr>
      <t>(if applicable)</t>
    </r>
  </si>
  <si>
    <t>Lifecycle stage(s):</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</si>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</sst>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 #,##0.00_-;_-* &quot;-&quot;??_-;_-@_-"/>
    <numFmt numFmtId="165" formatCode="[$-409]d\-mmm\-yy;@"/>
    <numFmt numFmtId="166" formatCode="0;\-0;;@"/>
  </numFmts>
  <fonts count="64" x14ac:knownFonts="1">
    <font>
      <sz val="11"/>
      <color theme="1"/>
      <name val="Calibri"/>
      <family val="2"/>
      <scheme val="minor"/>
    </font>
    <font>
      <b/>
      <sz val="11"/>
      <color theme="1"/>
      <name val="Calibri"/>
      <family val="2"/>
      <scheme val="minor"/>
    </font>
    <font>
      <sz val="12"/>
      <color rgb="FFC00000"/>
      <name val="Calibri"/>
      <family val="2"/>
      <scheme val="minor"/>
    </font>
    <font>
      <b/>
      <sz val="11"/>
      <name val="Calibri"/>
      <family val="2"/>
      <scheme val="minor"/>
    </font>
    <font>
      <sz val="11"/>
      <name val="Calibri"/>
      <family val="2"/>
      <scheme val="minor"/>
    </font>
    <font>
      <u/>
      <sz val="11"/>
      <color rgb="FFC00000"/>
      <name val="Calibri"/>
      <family val="2"/>
      <scheme val="minor"/>
    </font>
    <font>
      <i/>
      <sz val="11"/>
      <color theme="1"/>
      <name val="Calibri"/>
      <family val="2"/>
      <scheme val="minor"/>
    </font>
    <font>
      <b/>
      <i/>
      <sz val="11"/>
      <color theme="1"/>
      <name val="Calibri"/>
      <family val="2"/>
      <scheme val="minor"/>
    </font>
    <font>
      <b/>
      <i/>
      <sz val="11"/>
      <name val="Calibri"/>
      <family val="2"/>
      <scheme val="minor"/>
    </font>
    <font>
      <i/>
      <sz val="11"/>
      <name val="Calibri"/>
      <family val="2"/>
      <scheme val="minor"/>
    </font>
    <font>
      <sz val="11"/>
      <color rgb="FFFF0000"/>
      <name val="Calibri"/>
      <family val="2"/>
      <scheme val="minor"/>
    </font>
    <font>
      <b/>
      <sz val="18"/>
      <color theme="1"/>
      <name val="Calibri"/>
      <family val="2"/>
      <scheme val="minor"/>
    </font>
    <font>
      <b/>
      <sz val="16"/>
      <name val="Calibri"/>
      <family val="2"/>
      <scheme val="minor"/>
    </font>
    <font>
      <b/>
      <sz val="16"/>
      <color theme="1"/>
      <name val="Calibri"/>
      <family val="2"/>
      <scheme val="minor"/>
    </font>
    <font>
      <u/>
      <sz val="11"/>
      <color theme="10"/>
      <name val="Calibri"/>
      <family val="2"/>
      <scheme val="minor"/>
    </font>
    <font>
      <b/>
      <sz val="18"/>
      <name val="Calibri"/>
      <family val="2"/>
      <scheme val="minor"/>
    </font>
    <font>
      <sz val="11"/>
      <name val="Calibri"/>
      <family val="2"/>
    </font>
    <font>
      <u/>
      <sz val="11"/>
      <color rgb="FF0000FF"/>
      <name val="Calibri"/>
      <family val="2"/>
      <scheme val="minor"/>
    </font>
    <font>
      <sz val="9"/>
      <color indexed="81"/>
      <name val="Tahoma"/>
      <family val="2"/>
    </font>
    <font>
      <b/>
      <sz val="9"/>
      <color indexed="81"/>
      <name val="Tahoma"/>
      <family val="2"/>
    </font>
    <font>
      <b/>
      <sz val="11"/>
      <color theme="0"/>
      <name val="Calibri"/>
      <family val="2"/>
      <scheme val="minor"/>
    </font>
    <font>
      <sz val="11"/>
      <color theme="0"/>
      <name val="Calibri"/>
      <family val="2"/>
      <scheme val="minor"/>
    </font>
    <font>
      <sz val="11"/>
      <color theme="1"/>
      <name val="Calibri"/>
      <family val="2"/>
      <scheme val="minor"/>
    </font>
    <font>
      <sz val="11"/>
      <color theme="1"/>
      <name val="Symbol"/>
      <family val="1"/>
      <charset val="2"/>
    </font>
    <font>
      <sz val="11"/>
      <color theme="1"/>
      <name val="Calibri"/>
      <family val="2"/>
    </font>
    <font>
      <sz val="10"/>
      <color indexed="8"/>
      <name val="Arial"/>
      <family val="2"/>
    </font>
    <font>
      <sz val="10"/>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1"/>
      <color rgb="FF000082"/>
      <name val="Calibri"/>
      <family val="2"/>
      <scheme val="minor"/>
    </font>
    <font>
      <sz val="11"/>
      <color rgb="FFFF0000"/>
      <name val="Calibri"/>
      <family val="2"/>
    </font>
    <font>
      <b/>
      <u/>
      <sz val="14"/>
      <color theme="10"/>
      <name val="Calibri"/>
      <family val="2"/>
      <scheme val="minor"/>
    </font>
    <font>
      <i/>
      <sz val="9"/>
      <color indexed="81"/>
      <name val="Tahoma"/>
      <family val="2"/>
    </font>
    <font>
      <b/>
      <sz val="14"/>
      <color theme="1"/>
      <name val="Calibri"/>
      <family val="2"/>
    </font>
    <font>
      <b/>
      <sz val="14"/>
      <name val="Calibri"/>
      <family val="2"/>
      <scheme val="minor"/>
    </font>
    <font>
      <b/>
      <sz val="12"/>
      <color theme="1"/>
      <name val="Calibri"/>
      <family val="2"/>
      <scheme val="minor"/>
    </font>
    <font>
      <u/>
      <sz val="11"/>
      <color theme="1"/>
      <name val="Calibri"/>
      <family val="2"/>
      <scheme val="minor"/>
    </font>
    <font>
      <sz val="12"/>
      <name val="Calibri"/>
      <family val="2"/>
      <scheme val="minor"/>
    </font>
    <font>
      <i/>
      <sz val="11"/>
      <color theme="0"/>
      <name val="Calibri"/>
      <family val="2"/>
      <scheme val="minor"/>
    </font>
    <font>
      <sz val="12"/>
      <color theme="1"/>
      <name val="Calibri"/>
      <family val="2"/>
      <scheme val="minor"/>
    </font>
    <font>
      <sz val="8"/>
      <color theme="1"/>
      <name val="Calibri"/>
      <family val="2"/>
      <scheme val="minor"/>
    </font>
    <font>
      <sz val="11"/>
      <color rgb="FF000000"/>
      <name val="Calibri"/>
      <family val="2"/>
    </font>
    <font>
      <b/>
      <sz val="12"/>
      <name val="Calibri"/>
      <family val="2"/>
      <scheme val="minor"/>
    </font>
    <font>
      <b/>
      <sz val="11"/>
      <color rgb="FF000000"/>
      <name val="Calibri"/>
      <family val="2"/>
    </font>
    <font>
      <sz val="11"/>
      <color rgb="FF648940"/>
      <name val="Calibri"/>
      <family val="2"/>
      <scheme val="minor"/>
    </font>
    <font>
      <b/>
      <sz val="12"/>
      <color rgb="FF648940"/>
      <name val="Calibri"/>
      <family val="2"/>
      <scheme val="minor"/>
    </font>
    <font>
      <sz val="9"/>
      <color rgb="FF000000"/>
      <name val="Calibri"/>
      <family val="2"/>
    </font>
    <font>
      <b/>
      <sz val="16"/>
      <color rgb="FF000000"/>
      <name val="Calibri"/>
      <family val="2"/>
    </font>
    <font>
      <sz val="12"/>
      <color rgb="FFFF0000"/>
      <name val="Calibri"/>
      <family val="2"/>
      <scheme val="minor"/>
    </font>
    <font>
      <i/>
      <sz val="11"/>
      <color rgb="FFFF0000"/>
      <name val="Calibri"/>
      <family val="2"/>
      <scheme val="minor"/>
    </font>
    <font>
      <u/>
      <sz val="11"/>
      <name val="Calibri"/>
      <family val="2"/>
      <scheme val="minor"/>
    </font>
    <font>
      <b/>
      <sz val="9"/>
      <color rgb="FF000000"/>
      <name val="Calibri"/>
      <family val="2"/>
    </font>
    <font>
      <b/>
      <u/>
      <sz val="11"/>
      <color theme="10"/>
      <name val="Calibri"/>
      <family val="2"/>
      <scheme val="minor"/>
    </font>
    <font>
      <sz val="8"/>
      <color rgb="FF000000"/>
      <name val="Segoe UI"/>
      <family val="2"/>
    </font>
    <font>
      <b/>
      <sz val="14"/>
      <color rgb="FFFF0000"/>
      <name val="Calibri"/>
      <family val="2"/>
      <scheme val="minor"/>
    </font>
    <font>
      <b/>
      <i/>
      <sz val="11"/>
      <color rgb="FFFF0000"/>
      <name val="Calibri"/>
      <family val="2"/>
      <scheme val="minor"/>
    </font>
    <font>
      <b/>
      <u/>
      <sz val="14"/>
      <color theme="1"/>
      <name val="Calibri"/>
      <family val="2"/>
      <scheme val="minor"/>
    </font>
    <font>
      <sz val="10"/>
      <color rgb="FFFF0000"/>
      <name val="Calibri"/>
      <family val="2"/>
      <scheme val="minor"/>
    </font>
    <font>
      <sz val="11"/>
      <color rgb="FFFF0000"/>
      <name val="Georgia"/>
      <family val="1"/>
    </font>
    <font>
      <b/>
      <i/>
      <sz val="12"/>
      <color theme="1"/>
      <name val="Calibri"/>
      <family val="2"/>
      <scheme val="minor"/>
    </font>
    <font>
      <i/>
      <sz val="12"/>
      <color theme="1"/>
      <name val="Calibri"/>
      <family val="2"/>
      <scheme val="minor"/>
    </font>
    <font>
      <sz val="12"/>
      <color theme="0"/>
      <name val="Calibri"/>
      <family val="2"/>
      <scheme val="minor"/>
    </font>
    <font>
      <b/>
      <i/>
      <sz val="16"/>
      <name val="Calibri"/>
      <family val="2"/>
      <scheme val="minor"/>
    </font>
  </fonts>
  <fills count="1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648940"/>
        <bgColor indexed="64"/>
      </patternFill>
    </fill>
    <fill>
      <patternFill patternType="solid">
        <fgColor theme="0" tint="-0.499984740745262"/>
        <bgColor indexed="64"/>
      </patternFill>
    </fill>
    <fill>
      <patternFill patternType="solid">
        <fgColor theme="7" tint="0.59999389629810485"/>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s>
  <cellStyleXfs count="4">
    <xf numFmtId="0" fontId="0" fillId="0" borderId="0"/>
    <xf numFmtId="0" fontId="14" fillId="0" borderId="0" applyNumberFormat="0" applyFill="0" applyBorder="0" applyAlignment="0" applyProtection="0"/>
    <xf numFmtId="0" fontId="25" fillId="0" borderId="0"/>
    <xf numFmtId="164" fontId="22" fillId="0" borderId="0" applyFont="0" applyFill="0" applyBorder="0" applyAlignment="0" applyProtection="0"/>
  </cellStyleXfs>
  <cellXfs count="580">
    <xf numFmtId="0" fontId="0" fillId="0" borderId="0" xfId="0"/>
    <xf numFmtId="0" fontId="0" fillId="0" borderId="0" xfId="0" applyBorder="1"/>
    <xf numFmtId="0" fontId="0" fillId="2" borderId="0" xfId="0" applyFill="1"/>
    <xf numFmtId="0" fontId="0" fillId="0" borderId="0" xfId="0" applyAlignment="1">
      <alignment wrapText="1"/>
    </xf>
    <xf numFmtId="0" fontId="0" fillId="2" borderId="0" xfId="0" applyFill="1" applyBorder="1"/>
    <xf numFmtId="0" fontId="0" fillId="3" borderId="0" xfId="0" applyFill="1"/>
    <xf numFmtId="0" fontId="0" fillId="0" borderId="0" xfId="0"/>
    <xf numFmtId="0" fontId="10" fillId="0" borderId="0" xfId="0" applyFont="1"/>
    <xf numFmtId="0" fontId="0" fillId="0" borderId="0" xfId="0" applyFill="1"/>
    <xf numFmtId="165" fontId="4" fillId="0" borderId="0" xfId="0" applyNumberFormat="1" applyFont="1" applyFill="1" applyBorder="1" applyAlignment="1">
      <alignment horizontal="left"/>
    </xf>
    <xf numFmtId="0" fontId="0" fillId="0" borderId="0" xfId="0" applyFill="1" applyBorder="1"/>
    <xf numFmtId="0" fontId="10" fillId="0" borderId="0" xfId="0" applyFont="1" applyFill="1"/>
    <xf numFmtId="0" fontId="27" fillId="0" borderId="0" xfId="0" applyFont="1" applyFill="1" applyBorder="1" applyAlignment="1">
      <alignment vertical="center" wrapText="1"/>
    </xf>
    <xf numFmtId="165" fontId="4" fillId="2" borderId="1" xfId="0" applyNumberFormat="1" applyFont="1" applyFill="1" applyBorder="1" applyAlignment="1">
      <alignment horizontal="left"/>
    </xf>
    <xf numFmtId="0" fontId="10" fillId="2" borderId="0" xfId="0" applyFont="1" applyFill="1"/>
    <xf numFmtId="1" fontId="0" fillId="0" borderId="1" xfId="0" applyNumberFormat="1" applyBorder="1"/>
    <xf numFmtId="0" fontId="14" fillId="2" borderId="1" xfId="1" applyNumberFormat="1" applyFill="1" applyBorder="1" applyAlignment="1">
      <alignment horizontal="left"/>
    </xf>
    <xf numFmtId="3" fontId="0" fillId="0" borderId="0" xfId="0" applyNumberFormat="1"/>
    <xf numFmtId="3" fontId="3" fillId="2" borderId="0" xfId="0" applyNumberFormat="1" applyFont="1" applyFill="1" applyBorder="1" applyAlignment="1">
      <alignment horizontal="center"/>
    </xf>
    <xf numFmtId="0" fontId="0" fillId="2" borderId="0" xfId="0" applyFill="1" applyBorder="1" applyAlignment="1">
      <alignment horizontal="left"/>
    </xf>
    <xf numFmtId="0" fontId="1" fillId="2" borderId="0" xfId="0" applyFont="1" applyFill="1" applyBorder="1" applyAlignment="1">
      <alignment horizontal="left"/>
    </xf>
    <xf numFmtId="0" fontId="7" fillId="2" borderId="0" xfId="0" applyFont="1" applyFill="1" applyBorder="1" applyAlignment="1"/>
    <xf numFmtId="0" fontId="0" fillId="2" borderId="0" xfId="0" applyFont="1" applyFill="1" applyBorder="1" applyAlignment="1"/>
    <xf numFmtId="0" fontId="4" fillId="2" borderId="0" xfId="0" applyFont="1" applyFill="1" applyBorder="1" applyAlignment="1">
      <alignment wrapText="1"/>
    </xf>
    <xf numFmtId="0" fontId="10" fillId="2" borderId="0" xfId="0" applyFont="1" applyFill="1" applyBorder="1"/>
    <xf numFmtId="0" fontId="0" fillId="2" borderId="0" xfId="0" applyFill="1" applyBorder="1" applyAlignment="1">
      <alignment wrapText="1"/>
    </xf>
    <xf numFmtId="0" fontId="28" fillId="2" borderId="0" xfId="0" applyFont="1" applyFill="1" applyBorder="1" applyAlignment="1">
      <alignment horizontal="right" vertical="center"/>
    </xf>
    <xf numFmtId="0" fontId="4" fillId="2" borderId="0" xfId="0" applyFont="1" applyFill="1" applyBorder="1"/>
    <xf numFmtId="0" fontId="0" fillId="2" borderId="0" xfId="0" applyFill="1" applyAlignment="1">
      <alignment wrapText="1"/>
    </xf>
    <xf numFmtId="0" fontId="0" fillId="2" borderId="0" xfId="0" applyFont="1" applyFill="1" applyBorder="1"/>
    <xf numFmtId="0" fontId="15" fillId="6" borderId="1" xfId="0" applyFont="1" applyFill="1" applyBorder="1"/>
    <xf numFmtId="0" fontId="4" fillId="6" borderId="1" xfId="0" applyFont="1" applyFill="1" applyBorder="1" applyAlignment="1">
      <alignment wrapText="1"/>
    </xf>
    <xf numFmtId="0" fontId="4" fillId="6" borderId="1" xfId="0" applyFont="1" applyFill="1" applyBorder="1" applyAlignment="1">
      <alignment vertical="top" wrapText="1"/>
    </xf>
    <xf numFmtId="0" fontId="11" fillId="6" borderId="1" xfId="0" applyFont="1" applyFill="1" applyBorder="1"/>
    <xf numFmtId="0" fontId="12" fillId="6" borderId="1" xfId="0" applyFont="1" applyFill="1" applyBorder="1"/>
    <xf numFmtId="0" fontId="13" fillId="6" borderId="1" xfId="0" applyFont="1" applyFill="1" applyBorder="1"/>
    <xf numFmtId="0" fontId="0" fillId="6" borderId="1" xfId="0" applyFill="1" applyBorder="1" applyAlignment="1">
      <alignment wrapText="1"/>
    </xf>
    <xf numFmtId="0" fontId="15" fillId="6" borderId="3" xfId="0" applyFont="1" applyFill="1" applyBorder="1"/>
    <xf numFmtId="0" fontId="10" fillId="6" borderId="4" xfId="0" applyFont="1" applyFill="1" applyBorder="1"/>
    <xf numFmtId="0" fontId="0" fillId="6" borderId="4" xfId="0" applyFill="1" applyBorder="1"/>
    <xf numFmtId="0" fontId="13" fillId="6" borderId="1" xfId="0" applyFont="1" applyFill="1" applyBorder="1" applyAlignment="1">
      <alignment vertical="center"/>
    </xf>
    <xf numFmtId="0" fontId="11" fillId="6" borderId="3" xfId="0" applyFont="1" applyFill="1" applyBorder="1"/>
    <xf numFmtId="0" fontId="0" fillId="6" borderId="6" xfId="0" applyFill="1" applyBorder="1"/>
    <xf numFmtId="0" fontId="1" fillId="6" borderId="6" xfId="0" applyFont="1" applyFill="1" applyBorder="1"/>
    <xf numFmtId="0" fontId="0" fillId="6" borderId="1" xfId="0" applyFill="1" applyBorder="1" applyAlignment="1">
      <alignment vertical="center" wrapText="1"/>
    </xf>
    <xf numFmtId="165" fontId="10" fillId="2" borderId="0" xfId="0" applyNumberFormat="1" applyFont="1" applyFill="1" applyBorder="1" applyAlignment="1">
      <alignment horizontal="left"/>
    </xf>
    <xf numFmtId="0" fontId="0" fillId="6" borderId="1" xfId="0" applyFont="1" applyFill="1" applyBorder="1" applyAlignment="1">
      <alignment wrapText="1"/>
    </xf>
    <xf numFmtId="165" fontId="4" fillId="2" borderId="0" xfId="0" applyNumberFormat="1" applyFont="1" applyFill="1" applyBorder="1" applyAlignment="1"/>
    <xf numFmtId="3" fontId="4" fillId="2" borderId="1" xfId="0" applyNumberFormat="1" applyFont="1" applyFill="1" applyBorder="1"/>
    <xf numFmtId="3" fontId="21" fillId="2" borderId="1" xfId="0" applyNumberFormat="1" applyFont="1" applyFill="1" applyBorder="1" applyAlignment="1"/>
    <xf numFmtId="0" fontId="21" fillId="2" borderId="1" xfId="0" applyFont="1" applyFill="1" applyBorder="1" applyAlignment="1"/>
    <xf numFmtId="0" fontId="4" fillId="6" borderId="1" xfId="0" applyFont="1" applyFill="1" applyBorder="1" applyAlignment="1">
      <alignment horizontal="center"/>
    </xf>
    <xf numFmtId="0" fontId="12" fillId="6" borderId="1" xfId="0" applyFont="1" applyFill="1" applyBorder="1" applyAlignment="1">
      <alignment wrapText="1"/>
    </xf>
    <xf numFmtId="0" fontId="0" fillId="6" borderId="1" xfId="0" applyFont="1" applyFill="1" applyBorder="1" applyAlignment="1">
      <alignment vertical="top"/>
    </xf>
    <xf numFmtId="165" fontId="4" fillId="0" borderId="1" xfId="0" applyNumberFormat="1" applyFont="1" applyFill="1" applyBorder="1" applyAlignment="1"/>
    <xf numFmtId="0" fontId="1" fillId="2" borderId="0" xfId="0" applyFont="1" applyFill="1" applyBorder="1" applyAlignment="1">
      <alignment wrapText="1"/>
    </xf>
    <xf numFmtId="0" fontId="21" fillId="2" borderId="0" xfId="0" applyFont="1" applyFill="1"/>
    <xf numFmtId="0" fontId="21" fillId="2" borderId="0" xfId="0" applyFont="1" applyFill="1" applyBorder="1"/>
    <xf numFmtId="0" fontId="4" fillId="0" borderId="1" xfId="0" applyNumberFormat="1" applyFont="1" applyFill="1" applyBorder="1" applyAlignment="1">
      <alignment horizontal="left" vertical="top" wrapText="1"/>
    </xf>
    <xf numFmtId="0" fontId="14" fillId="5" borderId="1" xfId="1" applyFill="1" applyBorder="1" applyAlignment="1">
      <alignment horizontal="center" vertical="center"/>
    </xf>
    <xf numFmtId="0" fontId="14" fillId="5" borderId="1" xfId="1" applyFill="1" applyBorder="1" applyAlignment="1">
      <alignment horizontal="center" vertical="center" wrapText="1"/>
    </xf>
    <xf numFmtId="0" fontId="4" fillId="0" borderId="1" xfId="0" applyFont="1" applyFill="1" applyBorder="1" applyAlignment="1">
      <alignment horizontal="center"/>
    </xf>
    <xf numFmtId="0" fontId="4" fillId="6" borderId="0" xfId="0" applyFont="1" applyFill="1" applyBorder="1"/>
    <xf numFmtId="0" fontId="0" fillId="7" borderId="0" xfId="0" applyFill="1" applyBorder="1" applyAlignment="1">
      <alignment wrapText="1"/>
    </xf>
    <xf numFmtId="0" fontId="0" fillId="7" borderId="0" xfId="0" applyFill="1" applyBorder="1"/>
    <xf numFmtId="0" fontId="0" fillId="7" borderId="0" xfId="0" applyFont="1" applyFill="1" applyBorder="1"/>
    <xf numFmtId="0" fontId="10" fillId="7" borderId="0" xfId="0" applyFont="1" applyFill="1" applyBorder="1"/>
    <xf numFmtId="0" fontId="4" fillId="7" borderId="0" xfId="0" applyFont="1" applyFill="1" applyBorder="1" applyAlignment="1">
      <alignment wrapText="1"/>
    </xf>
    <xf numFmtId="0" fontId="1" fillId="7" borderId="0" xfId="0" applyFont="1" applyFill="1" applyBorder="1"/>
    <xf numFmtId="0" fontId="1" fillId="7" borderId="0" xfId="0" applyFont="1" applyFill="1" applyBorder="1" applyAlignment="1">
      <alignment wrapText="1"/>
    </xf>
    <xf numFmtId="0" fontId="4" fillId="7" borderId="0" xfId="0" applyFont="1" applyFill="1" applyBorder="1"/>
    <xf numFmtId="0" fontId="4" fillId="7" borderId="10" xfId="0" applyFont="1" applyFill="1" applyBorder="1"/>
    <xf numFmtId="0" fontId="4" fillId="7" borderId="2" xfId="0" applyFont="1" applyFill="1" applyBorder="1"/>
    <xf numFmtId="0" fontId="4" fillId="7" borderId="6" xfId="0" applyFont="1" applyFill="1" applyBorder="1"/>
    <xf numFmtId="0" fontId="4" fillId="7" borderId="15" xfId="0" applyFont="1" applyFill="1" applyBorder="1"/>
    <xf numFmtId="165" fontId="4" fillId="7" borderId="0" xfId="0" applyNumberFormat="1" applyFont="1" applyFill="1" applyBorder="1" applyAlignment="1"/>
    <xf numFmtId="0" fontId="0" fillId="7" borderId="11" xfId="0" applyFill="1" applyBorder="1"/>
    <xf numFmtId="0" fontId="0" fillId="7" borderId="14" xfId="0" applyFill="1" applyBorder="1"/>
    <xf numFmtId="0" fontId="0" fillId="7" borderId="9" xfId="0" applyFill="1" applyBorder="1"/>
    <xf numFmtId="0" fontId="0" fillId="7" borderId="13" xfId="0" applyFill="1" applyBorder="1"/>
    <xf numFmtId="0" fontId="4" fillId="7" borderId="10" xfId="0" applyFont="1" applyFill="1" applyBorder="1" applyAlignment="1">
      <alignment wrapText="1"/>
    </xf>
    <xf numFmtId="165" fontId="4" fillId="7" borderId="10" xfId="0" applyNumberFormat="1" applyFont="1" applyFill="1" applyBorder="1" applyAlignment="1"/>
    <xf numFmtId="0" fontId="0" fillId="7" borderId="12" xfId="0" applyFill="1" applyBorder="1"/>
    <xf numFmtId="0" fontId="0" fillId="7" borderId="10" xfId="0" applyFill="1" applyBorder="1"/>
    <xf numFmtId="0" fontId="39" fillId="7" borderId="0" xfId="0" applyFont="1" applyFill="1" applyBorder="1"/>
    <xf numFmtId="0" fontId="1" fillId="7" borderId="0" xfId="0" applyFont="1" applyFill="1" applyBorder="1" applyAlignment="1">
      <alignment vertical="center" wrapText="1"/>
    </xf>
    <xf numFmtId="0" fontId="1" fillId="7" borderId="0" xfId="0" applyFont="1" applyFill="1" applyBorder="1" applyAlignment="1">
      <alignment horizontal="left" vertical="center" wrapText="1"/>
    </xf>
    <xf numFmtId="0" fontId="4" fillId="7" borderId="0" xfId="0" applyFont="1" applyFill="1" applyBorder="1" applyAlignment="1">
      <alignment horizontal="center"/>
    </xf>
    <xf numFmtId="0" fontId="4" fillId="7" borderId="0" xfId="0" applyFont="1" applyFill="1" applyBorder="1" applyAlignment="1"/>
    <xf numFmtId="0" fontId="10" fillId="7" borderId="0" xfId="0" applyFont="1" applyFill="1" applyBorder="1" applyAlignment="1">
      <alignment horizontal="center"/>
    </xf>
    <xf numFmtId="0" fontId="3" fillId="7" borderId="0" xfId="0" applyFont="1" applyFill="1" applyBorder="1" applyAlignment="1"/>
    <xf numFmtId="165" fontId="10" fillId="7" borderId="0" xfId="0" applyNumberFormat="1" applyFont="1" applyFill="1" applyBorder="1" applyAlignment="1">
      <alignment horizontal="right"/>
    </xf>
    <xf numFmtId="0" fontId="30" fillId="7" borderId="0" xfId="0" applyFont="1" applyFill="1" applyBorder="1" applyAlignment="1">
      <alignment horizontal="center"/>
    </xf>
    <xf numFmtId="3" fontId="4" fillId="7" borderId="0" xfId="0" applyNumberFormat="1" applyFont="1" applyFill="1" applyBorder="1" applyAlignment="1">
      <alignment vertical="center" wrapText="1"/>
    </xf>
    <xf numFmtId="0" fontId="3" fillId="7" borderId="0" xfId="0" applyFont="1" applyFill="1" applyBorder="1" applyAlignment="1">
      <alignment vertical="top" wrapText="1"/>
    </xf>
    <xf numFmtId="0" fontId="10" fillId="7" borderId="0" xfId="0" quotePrefix="1" applyFont="1" applyFill="1" applyBorder="1" applyAlignment="1">
      <alignment horizontal="left"/>
    </xf>
    <xf numFmtId="0" fontId="3" fillId="7" borderId="0" xfId="0" applyFont="1" applyFill="1" applyBorder="1" applyAlignment="1">
      <alignment horizontal="center" wrapText="1"/>
    </xf>
    <xf numFmtId="0" fontId="21" fillId="7" borderId="0" xfId="0" applyFont="1" applyFill="1" applyBorder="1" applyAlignment="1">
      <alignment horizontal="left"/>
    </xf>
    <xf numFmtId="0" fontId="4" fillId="7" borderId="0" xfId="0" quotePrefix="1" applyFont="1" applyFill="1" applyBorder="1" applyAlignment="1">
      <alignment horizontal="center"/>
    </xf>
    <xf numFmtId="0" fontId="21" fillId="7" borderId="0" xfId="0" applyFont="1" applyFill="1" applyBorder="1" applyAlignment="1">
      <alignment horizontal="left" vertical="center"/>
    </xf>
    <xf numFmtId="0" fontId="41" fillId="7" borderId="10" xfId="0" applyFont="1" applyFill="1" applyBorder="1" applyAlignment="1">
      <alignment vertical="center"/>
    </xf>
    <xf numFmtId="3" fontId="4" fillId="7" borderId="0" xfId="0" applyNumberFormat="1" applyFont="1" applyFill="1" applyBorder="1" applyAlignment="1">
      <alignment horizontal="right"/>
    </xf>
    <xf numFmtId="0" fontId="21" fillId="7" borderId="0" xfId="0" applyFont="1" applyFill="1" applyBorder="1"/>
    <xf numFmtId="3" fontId="4" fillId="7" borderId="0" xfId="0" applyNumberFormat="1" applyFont="1" applyFill="1" applyBorder="1" applyAlignment="1">
      <alignment horizontal="right" vertical="center"/>
    </xf>
    <xf numFmtId="3" fontId="3" fillId="7" borderId="0" xfId="0" applyNumberFormat="1" applyFont="1" applyFill="1" applyBorder="1" applyAlignment="1">
      <alignment horizontal="right" wrapText="1"/>
    </xf>
    <xf numFmtId="0" fontId="10" fillId="7" borderId="15" xfId="0" applyFont="1" applyFill="1" applyBorder="1"/>
    <xf numFmtId="0" fontId="9" fillId="7" borderId="0" xfId="0" applyFont="1" applyFill="1" applyBorder="1" applyAlignment="1">
      <alignment horizontal="left" vertical="center" wrapText="1"/>
    </xf>
    <xf numFmtId="0" fontId="0" fillId="7" borderId="15" xfId="0" applyFill="1" applyBorder="1"/>
    <xf numFmtId="0" fontId="26" fillId="7" borderId="10" xfId="0" applyFont="1" applyFill="1" applyBorder="1" applyAlignment="1">
      <alignment vertical="center"/>
    </xf>
    <xf numFmtId="0" fontId="2" fillId="7" borderId="0" xfId="0" applyFont="1" applyFill="1" applyBorder="1"/>
    <xf numFmtId="0" fontId="5" fillId="7" borderId="0" xfId="0" applyFont="1" applyFill="1" applyBorder="1"/>
    <xf numFmtId="0" fontId="2" fillId="7" borderId="10" xfId="0" applyFont="1" applyFill="1" applyBorder="1"/>
    <xf numFmtId="0" fontId="0" fillId="7" borderId="2" xfId="0" applyFill="1" applyBorder="1"/>
    <xf numFmtId="3" fontId="21" fillId="7" borderId="0" xfId="0" applyNumberFormat="1" applyFont="1" applyFill="1" applyBorder="1" applyAlignment="1"/>
    <xf numFmtId="3" fontId="10" fillId="7" borderId="0" xfId="0" applyNumberFormat="1" applyFont="1" applyFill="1" applyBorder="1" applyAlignment="1"/>
    <xf numFmtId="0" fontId="21" fillId="7" borderId="0" xfId="0" applyFont="1" applyFill="1" applyBorder="1" applyAlignment="1"/>
    <xf numFmtId="0" fontId="46" fillId="7" borderId="0" xfId="0" applyFont="1" applyFill="1" applyBorder="1" applyAlignment="1">
      <alignment wrapText="1"/>
    </xf>
    <xf numFmtId="0" fontId="10" fillId="7" borderId="14" xfId="0" applyFont="1" applyFill="1" applyBorder="1"/>
    <xf numFmtId="165" fontId="0" fillId="2" borderId="1" xfId="0" applyNumberFormat="1" applyFill="1" applyBorder="1" applyAlignment="1">
      <alignment horizontal="right"/>
    </xf>
    <xf numFmtId="0" fontId="4" fillId="2" borderId="1" xfId="0" applyFont="1" applyFill="1" applyBorder="1" applyAlignment="1">
      <alignment vertical="top" wrapText="1"/>
    </xf>
    <xf numFmtId="0" fontId="45" fillId="7" borderId="11" xfId="0" applyFont="1" applyFill="1" applyBorder="1"/>
    <xf numFmtId="0" fontId="45" fillId="7" borderId="13" xfId="0" applyFont="1" applyFill="1" applyBorder="1"/>
    <xf numFmtId="0" fontId="45" fillId="7" borderId="12" xfId="0" applyFont="1" applyFill="1" applyBorder="1"/>
    <xf numFmtId="0" fontId="45" fillId="0" borderId="0" xfId="0" applyFont="1"/>
    <xf numFmtId="0" fontId="45" fillId="7" borderId="0" xfId="0" applyFont="1" applyFill="1" applyBorder="1"/>
    <xf numFmtId="0" fontId="4" fillId="6" borderId="1" xfId="0" applyFont="1" applyFill="1" applyBorder="1" applyAlignment="1">
      <alignment horizontal="center" vertical="top" wrapText="1"/>
    </xf>
    <xf numFmtId="0" fontId="3" fillId="7" borderId="0" xfId="0" applyFont="1" applyFill="1" applyBorder="1" applyAlignment="1">
      <alignment wrapText="1"/>
    </xf>
    <xf numFmtId="0" fontId="0" fillId="7" borderId="0" xfId="0" applyFill="1"/>
    <xf numFmtId="0" fontId="4" fillId="7" borderId="0" xfId="0" applyNumberFormat="1" applyFont="1" applyFill="1" applyBorder="1"/>
    <xf numFmtId="0" fontId="23" fillId="7" borderId="15" xfId="0" applyFont="1" applyFill="1" applyBorder="1" applyAlignment="1">
      <alignment horizontal="left" vertical="center" indent="5"/>
    </xf>
    <xf numFmtId="0" fontId="10" fillId="7" borderId="0" xfId="0" applyNumberFormat="1" applyFont="1" applyFill="1" applyBorder="1" applyAlignment="1">
      <alignment horizontal="left"/>
    </xf>
    <xf numFmtId="0" fontId="45" fillId="7" borderId="0" xfId="0" applyNumberFormat="1" applyFont="1" applyFill="1" applyBorder="1" applyAlignment="1">
      <alignment horizontal="left"/>
    </xf>
    <xf numFmtId="0" fontId="15" fillId="6" borderId="8" xfId="0" applyFont="1" applyFill="1" applyBorder="1"/>
    <xf numFmtId="0" fontId="11" fillId="7" borderId="0" xfId="0" applyFont="1" applyFill="1" applyBorder="1"/>
    <xf numFmtId="0" fontId="0" fillId="6" borderId="1" xfId="0" applyFill="1" applyBorder="1" applyAlignment="1">
      <alignment horizontal="left" vertical="top"/>
    </xf>
    <xf numFmtId="0" fontId="0" fillId="6" borderId="1" xfId="0" applyFill="1" applyBorder="1" applyAlignment="1">
      <alignment vertical="top"/>
    </xf>
    <xf numFmtId="0" fontId="0" fillId="6" borderId="1" xfId="0" applyFill="1" applyBorder="1" applyAlignment="1">
      <alignment vertical="top" wrapText="1"/>
    </xf>
    <xf numFmtId="165" fontId="45" fillId="7" borderId="0" xfId="0" applyNumberFormat="1" applyFont="1" applyFill="1" applyBorder="1" applyAlignment="1">
      <alignment horizontal="left"/>
    </xf>
    <xf numFmtId="0" fontId="4" fillId="7" borderId="0" xfId="0" applyNumberFormat="1" applyFont="1" applyFill="1" applyBorder="1" applyAlignment="1">
      <alignment wrapText="1"/>
    </xf>
    <xf numFmtId="0" fontId="4" fillId="2" borderId="0" xfId="0" applyFont="1" applyFill="1"/>
    <xf numFmtId="0" fontId="2" fillId="2" borderId="0" xfId="0" applyFont="1" applyFill="1" applyBorder="1"/>
    <xf numFmtId="0" fontId="38" fillId="2" borderId="0" xfId="0" applyFont="1" applyFill="1" applyBorder="1"/>
    <xf numFmtId="0" fontId="3" fillId="7" borderId="0" xfId="0" applyFont="1" applyFill="1" applyBorder="1"/>
    <xf numFmtId="0" fontId="0" fillId="7" borderId="0" xfId="0" applyNumberFormat="1" applyFill="1" applyBorder="1" applyAlignment="1">
      <alignment horizontal="left"/>
    </xf>
    <xf numFmtId="0" fontId="10" fillId="7" borderId="0" xfId="0" applyFont="1" applyFill="1" applyBorder="1" applyAlignment="1">
      <alignment horizontal="left"/>
    </xf>
    <xf numFmtId="3" fontId="21" fillId="7" borderId="13" xfId="0" applyNumberFormat="1" applyFont="1" applyFill="1" applyBorder="1" applyAlignment="1">
      <alignment horizontal="center"/>
    </xf>
    <xf numFmtId="0" fontId="0" fillId="6" borderId="1" xfId="0" applyFill="1" applyBorder="1" applyAlignment="1">
      <alignment horizontal="left" vertical="top" wrapText="1"/>
    </xf>
    <xf numFmtId="0" fontId="0" fillId="0" borderId="1" xfId="0" applyBorder="1" applyAlignment="1">
      <alignment horizontal="left" vertical="top"/>
    </xf>
    <xf numFmtId="0" fontId="13" fillId="6" borderId="1" xfId="0" applyFont="1" applyFill="1" applyBorder="1" applyAlignment="1">
      <alignment vertical="center" wrapText="1"/>
    </xf>
    <xf numFmtId="0" fontId="31" fillId="7" borderId="0" xfId="0" applyFont="1" applyFill="1" applyBorder="1" applyAlignment="1">
      <alignment horizontal="left" vertical="center"/>
    </xf>
    <xf numFmtId="0" fontId="0" fillId="7" borderId="0" xfId="0" applyFill="1" applyBorder="1" applyAlignment="1">
      <alignment vertical="center"/>
    </xf>
    <xf numFmtId="0" fontId="10" fillId="7" borderId="10" xfId="0" applyFont="1" applyFill="1" applyBorder="1"/>
    <xf numFmtId="0" fontId="4" fillId="7" borderId="0" xfId="0" applyFont="1" applyFill="1" applyBorder="1" applyAlignment="1">
      <alignment vertical="center"/>
    </xf>
    <xf numFmtId="0" fontId="3" fillId="7" borderId="0" xfId="0" applyFont="1" applyFill="1" applyBorder="1" applyAlignment="1">
      <alignment horizontal="left" wrapText="1"/>
    </xf>
    <xf numFmtId="0" fontId="0" fillId="7" borderId="0" xfId="0" applyFill="1" applyBorder="1" applyAlignment="1"/>
    <xf numFmtId="0" fontId="0" fillId="6" borderId="6" xfId="0" applyFill="1" applyBorder="1" applyAlignment="1"/>
    <xf numFmtId="0" fontId="0" fillId="6" borderId="4" xfId="0" applyFill="1" applyBorder="1" applyAlignment="1"/>
    <xf numFmtId="0" fontId="0" fillId="7" borderId="0" xfId="0" applyFill="1" applyBorder="1" applyAlignment="1">
      <alignment vertical="center" wrapText="1"/>
    </xf>
    <xf numFmtId="0" fontId="10" fillId="0" borderId="0" xfId="0" applyFont="1" applyFill="1" applyBorder="1"/>
    <xf numFmtId="0" fontId="10" fillId="7" borderId="15" xfId="0" applyFont="1" applyFill="1" applyBorder="1" applyAlignment="1">
      <alignment vertical="center"/>
    </xf>
    <xf numFmtId="0" fontId="10" fillId="7" borderId="2" xfId="0" applyFont="1" applyFill="1" applyBorder="1"/>
    <xf numFmtId="3" fontId="20" fillId="8" borderId="1" xfId="0" applyNumberFormat="1" applyFont="1" applyFill="1" applyBorder="1"/>
    <xf numFmtId="0" fontId="20" fillId="8" borderId="1" xfId="0" applyFont="1" applyFill="1" applyBorder="1" applyAlignment="1">
      <alignment horizontal="right"/>
    </xf>
    <xf numFmtId="0" fontId="0" fillId="0" borderId="1" xfId="0" applyBorder="1" applyAlignment="1">
      <alignment vertical="top"/>
    </xf>
    <xf numFmtId="0" fontId="0" fillId="0" borderId="1" xfId="0" applyFont="1" applyFill="1" applyBorder="1" applyAlignment="1">
      <alignment horizontal="left" vertical="top" wrapText="1"/>
    </xf>
    <xf numFmtId="0" fontId="0" fillId="0" borderId="1" xfId="0" applyFont="1" applyBorder="1" applyAlignment="1">
      <alignment vertical="top" wrapText="1"/>
    </xf>
    <xf numFmtId="0" fontId="0" fillId="0" borderId="1" xfId="0" applyFont="1" applyBorder="1" applyAlignment="1">
      <alignment horizontal="left" vertical="top" wrapText="1"/>
    </xf>
    <xf numFmtId="3" fontId="0" fillId="0" borderId="1" xfId="0" applyNumberFormat="1" applyFont="1" applyFill="1" applyBorder="1" applyAlignment="1">
      <alignment wrapText="1"/>
    </xf>
    <xf numFmtId="3" fontId="0" fillId="0" borderId="1" xfId="0" applyNumberFormat="1" applyFont="1" applyFill="1" applyBorder="1" applyAlignment="1">
      <alignment vertical="top" wrapText="1"/>
    </xf>
    <xf numFmtId="0" fontId="0" fillId="0" borderId="1" xfId="0" applyFill="1" applyBorder="1" applyAlignment="1">
      <alignment vertical="top"/>
    </xf>
    <xf numFmtId="3" fontId="0" fillId="0" borderId="1" xfId="0" applyNumberFormat="1" applyBorder="1" applyAlignment="1">
      <alignment vertical="top"/>
    </xf>
    <xf numFmtId="0" fontId="27" fillId="7" borderId="0" xfId="0" applyFont="1" applyFill="1" applyBorder="1" applyAlignment="1">
      <alignment vertical="center"/>
    </xf>
    <xf numFmtId="0" fontId="10" fillId="7" borderId="0" xfId="0" applyFont="1" applyFill="1"/>
    <xf numFmtId="0" fontId="10" fillId="7" borderId="0" xfId="0" applyFont="1" applyFill="1" applyAlignment="1">
      <alignment horizontal="left"/>
    </xf>
    <xf numFmtId="3" fontId="0" fillId="0" borderId="24" xfId="0" applyNumberFormat="1" applyFill="1" applyBorder="1" applyAlignment="1">
      <alignment wrapText="1"/>
    </xf>
    <xf numFmtId="3" fontId="0" fillId="0" borderId="25" xfId="0" applyNumberFormat="1" applyFill="1" applyBorder="1" applyAlignment="1">
      <alignment wrapText="1"/>
    </xf>
    <xf numFmtId="3" fontId="0" fillId="0" borderId="31" xfId="0" applyNumberFormat="1" applyFill="1" applyBorder="1" applyAlignment="1">
      <alignment wrapText="1"/>
    </xf>
    <xf numFmtId="3" fontId="1" fillId="4" borderId="33" xfId="0" applyNumberFormat="1" applyFont="1" applyFill="1" applyBorder="1" applyAlignment="1"/>
    <xf numFmtId="3" fontId="0" fillId="0" borderId="26" xfId="0" applyNumberFormat="1" applyFill="1" applyBorder="1" applyAlignment="1">
      <alignment wrapText="1"/>
    </xf>
    <xf numFmtId="3" fontId="0" fillId="0" borderId="1" xfId="0" applyNumberFormat="1" applyFill="1" applyBorder="1" applyAlignment="1">
      <alignment wrapText="1"/>
    </xf>
    <xf numFmtId="3" fontId="0" fillId="0" borderId="3" xfId="0" applyNumberFormat="1" applyFill="1" applyBorder="1" applyAlignment="1">
      <alignment wrapText="1"/>
    </xf>
    <xf numFmtId="3" fontId="1" fillId="4" borderId="34" xfId="0" applyNumberFormat="1" applyFont="1" applyFill="1" applyBorder="1" applyAlignment="1"/>
    <xf numFmtId="3" fontId="0" fillId="0" borderId="28" xfId="0" applyNumberFormat="1" applyFill="1" applyBorder="1" applyAlignment="1">
      <alignment wrapText="1"/>
    </xf>
    <xf numFmtId="3" fontId="0" fillId="0" borderId="29" xfId="0" applyNumberFormat="1" applyFill="1" applyBorder="1" applyAlignment="1">
      <alignment wrapText="1"/>
    </xf>
    <xf numFmtId="3" fontId="0" fillId="0" borderId="32" xfId="0" applyNumberFormat="1" applyFill="1" applyBorder="1" applyAlignment="1">
      <alignment wrapText="1"/>
    </xf>
    <xf numFmtId="3" fontId="1" fillId="4" borderId="35" xfId="0" applyNumberFormat="1" applyFont="1" applyFill="1" applyBorder="1" applyAlignment="1"/>
    <xf numFmtId="3" fontId="0" fillId="0" borderId="24" xfId="0" applyNumberFormat="1" applyFill="1" applyBorder="1"/>
    <xf numFmtId="3" fontId="0" fillId="0" borderId="25" xfId="0" applyNumberFormat="1" applyFill="1" applyBorder="1"/>
    <xf numFmtId="3" fontId="0" fillId="0" borderId="31" xfId="0" applyNumberFormat="1" applyFill="1" applyBorder="1"/>
    <xf numFmtId="3" fontId="0" fillId="0" borderId="26" xfId="0" applyNumberFormat="1" applyFill="1" applyBorder="1"/>
    <xf numFmtId="3" fontId="0" fillId="0" borderId="1" xfId="0" applyNumberFormat="1" applyFill="1" applyBorder="1"/>
    <xf numFmtId="3" fontId="0" fillId="0" borderId="3" xfId="0" applyNumberFormat="1" applyFill="1" applyBorder="1"/>
    <xf numFmtId="3" fontId="0" fillId="0" borderId="28" xfId="0" applyNumberFormat="1" applyFill="1" applyBorder="1"/>
    <xf numFmtId="3" fontId="0" fillId="0" borderId="29" xfId="0" applyNumberFormat="1" applyFill="1" applyBorder="1"/>
    <xf numFmtId="3" fontId="0" fillId="0" borderId="32" xfId="0" applyNumberFormat="1" applyFill="1" applyBorder="1"/>
    <xf numFmtId="3" fontId="1" fillId="4" borderId="36" xfId="0" applyNumberFormat="1" applyFont="1" applyFill="1" applyBorder="1"/>
    <xf numFmtId="3" fontId="1" fillId="4" borderId="37" xfId="0" applyNumberFormat="1" applyFont="1" applyFill="1" applyBorder="1"/>
    <xf numFmtId="3" fontId="1" fillId="4" borderId="38" xfId="0" applyNumberFormat="1" applyFont="1" applyFill="1" applyBorder="1"/>
    <xf numFmtId="3" fontId="0" fillId="0" borderId="41" xfId="0" applyNumberFormat="1" applyFill="1" applyBorder="1" applyAlignment="1">
      <alignment wrapText="1"/>
    </xf>
    <xf numFmtId="3" fontId="0" fillId="0" borderId="27" xfId="0" applyNumberFormat="1" applyFill="1" applyBorder="1" applyAlignment="1">
      <alignment wrapText="1"/>
    </xf>
    <xf numFmtId="3" fontId="0" fillId="0" borderId="30" xfId="0" applyNumberFormat="1" applyFill="1" applyBorder="1" applyAlignment="1">
      <alignment wrapText="1"/>
    </xf>
    <xf numFmtId="0" fontId="43" fillId="6" borderId="1" xfId="0" applyFont="1" applyFill="1" applyBorder="1"/>
    <xf numFmtId="3" fontId="1" fillId="4" borderId="48" xfId="0" applyNumberFormat="1" applyFont="1" applyFill="1" applyBorder="1" applyAlignment="1"/>
    <xf numFmtId="3" fontId="0" fillId="0" borderId="49" xfId="0" applyNumberFormat="1" applyFill="1" applyBorder="1"/>
    <xf numFmtId="3" fontId="0" fillId="0" borderId="5" xfId="0" applyNumberFormat="1" applyFill="1" applyBorder="1"/>
    <xf numFmtId="3" fontId="0" fillId="0" borderId="12" xfId="0" applyNumberFormat="1" applyFill="1" applyBorder="1"/>
    <xf numFmtId="3" fontId="1" fillId="4" borderId="50" xfId="0" applyNumberFormat="1" applyFont="1" applyFill="1" applyBorder="1" applyAlignment="1"/>
    <xf numFmtId="3" fontId="0" fillId="0" borderId="25" xfId="3" applyNumberFormat="1" applyFont="1" applyBorder="1"/>
    <xf numFmtId="3" fontId="0" fillId="0" borderId="51" xfId="3" applyNumberFormat="1" applyFont="1" applyBorder="1"/>
    <xf numFmtId="3" fontId="0" fillId="0" borderId="24" xfId="0" applyNumberFormat="1" applyFont="1" applyFill="1" applyBorder="1" applyAlignment="1">
      <alignment wrapText="1"/>
    </xf>
    <xf numFmtId="3" fontId="0" fillId="0" borderId="25" xfId="0" applyNumberFormat="1" applyFont="1" applyFill="1" applyBorder="1" applyAlignment="1">
      <alignment wrapText="1"/>
    </xf>
    <xf numFmtId="3" fontId="0" fillId="0" borderId="31" xfId="0" applyNumberFormat="1" applyFont="1" applyFill="1" applyBorder="1" applyAlignment="1">
      <alignment wrapText="1"/>
    </xf>
    <xf numFmtId="3" fontId="0" fillId="0" borderId="26" xfId="0" applyNumberFormat="1" applyFont="1" applyFill="1" applyBorder="1" applyAlignment="1">
      <alignment wrapText="1"/>
    </xf>
    <xf numFmtId="3" fontId="0" fillId="0" borderId="3" xfId="0" applyNumberFormat="1" applyFont="1" applyFill="1" applyBorder="1" applyAlignment="1">
      <alignment wrapText="1"/>
    </xf>
    <xf numFmtId="3" fontId="0" fillId="0" borderId="47" xfId="0" applyNumberFormat="1" applyFont="1" applyFill="1" applyBorder="1" applyAlignment="1">
      <alignment wrapText="1"/>
    </xf>
    <xf numFmtId="3" fontId="0" fillId="0" borderId="8" xfId="0" applyNumberFormat="1" applyFont="1" applyFill="1" applyBorder="1" applyAlignment="1">
      <alignment wrapText="1"/>
    </xf>
    <xf numFmtId="3" fontId="0" fillId="0" borderId="11" xfId="0" applyNumberFormat="1" applyFont="1" applyFill="1" applyBorder="1" applyAlignment="1">
      <alignment wrapText="1"/>
    </xf>
    <xf numFmtId="3" fontId="0" fillId="0" borderId="4" xfId="0" applyNumberFormat="1" applyFont="1" applyFill="1" applyBorder="1" applyAlignment="1">
      <alignment wrapText="1"/>
    </xf>
    <xf numFmtId="3" fontId="0" fillId="0" borderId="52" xfId="0" applyNumberFormat="1" applyFont="1" applyFill="1" applyBorder="1" applyAlignment="1">
      <alignment wrapText="1"/>
    </xf>
    <xf numFmtId="3" fontId="0" fillId="0" borderId="29" xfId="0" applyNumberFormat="1" applyFont="1" applyFill="1" applyBorder="1" applyAlignment="1">
      <alignment wrapText="1"/>
    </xf>
    <xf numFmtId="3" fontId="0" fillId="0" borderId="31" xfId="3" applyNumberFormat="1" applyFont="1" applyBorder="1"/>
    <xf numFmtId="3" fontId="0" fillId="0" borderId="32" xfId="0" applyNumberFormat="1" applyFont="1" applyFill="1" applyBorder="1" applyAlignment="1">
      <alignment wrapText="1"/>
    </xf>
    <xf numFmtId="0" fontId="3" fillId="2" borderId="1" xfId="0" applyFont="1" applyFill="1" applyBorder="1" applyAlignment="1">
      <alignment vertical="top" wrapText="1"/>
    </xf>
    <xf numFmtId="0" fontId="1" fillId="2" borderId="1" xfId="0" applyFont="1" applyFill="1" applyBorder="1" applyAlignment="1">
      <alignment vertical="top" wrapText="1"/>
    </xf>
    <xf numFmtId="0" fontId="0" fillId="2" borderId="1" xfId="0" applyFont="1" applyFill="1" applyBorder="1" applyAlignment="1">
      <alignment vertical="top" wrapText="1"/>
    </xf>
    <xf numFmtId="0" fontId="7" fillId="2" borderId="1" xfId="0" applyFont="1" applyFill="1" applyBorder="1" applyAlignment="1">
      <alignment vertical="top" wrapText="1"/>
    </xf>
    <xf numFmtId="0" fontId="0" fillId="0" borderId="1" xfId="0" applyFont="1" applyBorder="1" applyAlignment="1">
      <alignment vertical="top"/>
    </xf>
    <xf numFmtId="0" fontId="0" fillId="7" borderId="14" xfId="0" applyFill="1" applyBorder="1" applyAlignment="1">
      <alignment wrapText="1"/>
    </xf>
    <xf numFmtId="0" fontId="28" fillId="7" borderId="10" xfId="0" applyFont="1" applyFill="1" applyBorder="1" applyAlignment="1">
      <alignment horizontal="right" vertical="center"/>
    </xf>
    <xf numFmtId="0" fontId="0" fillId="7" borderId="10" xfId="0" applyFill="1" applyBorder="1" applyAlignment="1">
      <alignment wrapText="1"/>
    </xf>
    <xf numFmtId="0" fontId="0" fillId="7" borderId="10" xfId="0" applyFill="1" applyBorder="1" applyAlignment="1">
      <alignment horizontal="left"/>
    </xf>
    <xf numFmtId="0" fontId="7" fillId="7" borderId="10" xfId="0" applyFont="1" applyFill="1" applyBorder="1" applyAlignment="1"/>
    <xf numFmtId="0" fontId="0" fillId="7" borderId="13" xfId="0" applyFont="1" applyFill="1" applyBorder="1"/>
    <xf numFmtId="0" fontId="0" fillId="7" borderId="10" xfId="0" applyFont="1" applyFill="1" applyBorder="1" applyAlignment="1"/>
    <xf numFmtId="0" fontId="1" fillId="7" borderId="10" xfId="0" applyFont="1" applyFill="1" applyBorder="1"/>
    <xf numFmtId="0" fontId="1" fillId="7" borderId="15" xfId="0" applyFont="1" applyFill="1" applyBorder="1" applyAlignment="1">
      <alignment wrapText="1"/>
    </xf>
    <xf numFmtId="0" fontId="35" fillId="2" borderId="8" xfId="0" applyFont="1" applyFill="1" applyBorder="1" applyAlignment="1">
      <alignment horizontal="center" vertical="center" wrapText="1"/>
    </xf>
    <xf numFmtId="0" fontId="10" fillId="2" borderId="7" xfId="0" applyFont="1" applyFill="1" applyBorder="1" applyAlignment="1">
      <alignment wrapText="1"/>
    </xf>
    <xf numFmtId="0" fontId="8" fillId="2" borderId="7" xfId="0" applyFont="1" applyFill="1" applyBorder="1" applyAlignment="1">
      <alignment wrapText="1"/>
    </xf>
    <xf numFmtId="0" fontId="0" fillId="2" borderId="7" xfId="0" applyFill="1" applyBorder="1" applyAlignment="1">
      <alignment wrapText="1"/>
    </xf>
    <xf numFmtId="0" fontId="7" fillId="2" borderId="7" xfId="0" applyFont="1" applyFill="1" applyBorder="1" applyAlignment="1">
      <alignment wrapText="1"/>
    </xf>
    <xf numFmtId="0" fontId="10" fillId="2" borderId="5" xfId="0" applyFont="1" applyFill="1" applyBorder="1" applyAlignment="1">
      <alignment wrapText="1"/>
    </xf>
    <xf numFmtId="0" fontId="4" fillId="6" borderId="1" xfId="0" applyFont="1" applyFill="1" applyBorder="1" applyAlignment="1">
      <alignment vertical="top"/>
    </xf>
    <xf numFmtId="0" fontId="24" fillId="7" borderId="0" xfId="0" applyFont="1" applyFill="1" applyBorder="1" applyAlignment="1">
      <alignment horizontal="left" vertical="center"/>
    </xf>
    <xf numFmtId="0" fontId="4" fillId="6" borderId="1" xfId="0" applyFont="1" applyFill="1" applyBorder="1" applyAlignment="1">
      <alignment horizontal="left" vertical="top" wrapText="1"/>
    </xf>
    <xf numFmtId="0" fontId="4" fillId="7" borderId="0" xfId="0" applyFont="1" applyFill="1" applyBorder="1" applyAlignment="1">
      <alignment horizontal="left"/>
    </xf>
    <xf numFmtId="0" fontId="4" fillId="7" borderId="0" xfId="0" applyFont="1" applyFill="1" applyBorder="1" applyAlignment="1">
      <alignment vertical="top"/>
    </xf>
    <xf numFmtId="0" fontId="0" fillId="7" borderId="10" xfId="0" applyFont="1" applyFill="1" applyBorder="1"/>
    <xf numFmtId="0" fontId="0" fillId="0" borderId="0" xfId="0" applyFont="1"/>
    <xf numFmtId="165" fontId="10" fillId="6" borderId="3" xfId="0" applyNumberFormat="1" applyFont="1" applyFill="1" applyBorder="1" applyAlignment="1">
      <alignment horizontal="left"/>
    </xf>
    <xf numFmtId="0" fontId="10" fillId="7" borderId="0" xfId="0" applyFont="1" applyFill="1" applyBorder="1" applyAlignment="1">
      <alignment vertical="center" wrapText="1"/>
    </xf>
    <xf numFmtId="0" fontId="10" fillId="7" borderId="0" xfId="0" applyFont="1" applyFill="1" applyBorder="1" applyAlignment="1"/>
    <xf numFmtId="0" fontId="10" fillId="0" borderId="0" xfId="0" applyFont="1" applyBorder="1"/>
    <xf numFmtId="0" fontId="10" fillId="2" borderId="0" xfId="0" applyNumberFormat="1" applyFont="1" applyFill="1" applyBorder="1" applyAlignment="1">
      <alignment horizontal="left" vertical="top"/>
    </xf>
    <xf numFmtId="3" fontId="10" fillId="2" borderId="0" xfId="0" applyNumberFormat="1" applyFont="1" applyFill="1" applyBorder="1"/>
    <xf numFmtId="0" fontId="0" fillId="2" borderId="1" xfId="0" applyFont="1" applyFill="1" applyBorder="1" applyAlignment="1">
      <alignment vertical="top" wrapText="1"/>
    </xf>
    <xf numFmtId="3" fontId="10" fillId="7" borderId="0" xfId="0" applyNumberFormat="1" applyFont="1" applyFill="1" applyBorder="1" applyAlignment="1">
      <alignment horizontal="right"/>
    </xf>
    <xf numFmtId="0" fontId="10" fillId="0" borderId="0" xfId="0" applyFont="1" applyAlignment="1">
      <alignment wrapText="1"/>
    </xf>
    <xf numFmtId="0" fontId="4" fillId="2" borderId="7" xfId="0" applyFont="1" applyFill="1" applyBorder="1" applyAlignment="1">
      <alignment horizontal="left" wrapText="1" indent="2"/>
    </xf>
    <xf numFmtId="0" fontId="0" fillId="2" borderId="7" xfId="0" applyFill="1" applyBorder="1" applyAlignment="1">
      <alignment horizontal="left" wrapText="1" indent="2"/>
    </xf>
    <xf numFmtId="0" fontId="0" fillId="2" borderId="7" xfId="0" applyFont="1" applyFill="1" applyBorder="1" applyAlignment="1">
      <alignment horizontal="left" wrapText="1" indent="2"/>
    </xf>
    <xf numFmtId="0" fontId="29" fillId="7" borderId="0" xfId="0" applyFont="1" applyFill="1" applyBorder="1"/>
    <xf numFmtId="0" fontId="28" fillId="6" borderId="1" xfId="0" applyFont="1" applyFill="1" applyBorder="1"/>
    <xf numFmtId="0" fontId="4" fillId="2" borderId="1" xfId="0" applyFont="1" applyFill="1" applyBorder="1" applyAlignment="1">
      <alignment horizontal="center"/>
    </xf>
    <xf numFmtId="0" fontId="8" fillId="6" borderId="3" xfId="0" applyFont="1" applyFill="1" applyBorder="1"/>
    <xf numFmtId="0" fontId="3" fillId="7" borderId="0" xfId="0" applyFont="1" applyFill="1" applyBorder="1" applyAlignment="1">
      <alignment horizontal="center" vertical="top"/>
    </xf>
    <xf numFmtId="0" fontId="0" fillId="7" borderId="0" xfId="0" applyFont="1" applyFill="1" applyBorder="1" applyAlignment="1">
      <alignment horizontal="center" vertical="top" wrapText="1"/>
    </xf>
    <xf numFmtId="0" fontId="13" fillId="6" borderId="1" xfId="0" applyFont="1" applyFill="1" applyBorder="1" applyAlignment="1">
      <alignment wrapText="1"/>
    </xf>
    <xf numFmtId="0" fontId="15" fillId="6" borderId="11" xfId="0" applyFont="1" applyFill="1" applyBorder="1"/>
    <xf numFmtId="0" fontId="4" fillId="6" borderId="14" xfId="0" applyFont="1" applyFill="1" applyBorder="1"/>
    <xf numFmtId="0" fontId="4" fillId="6" borderId="9" xfId="0" applyFont="1" applyFill="1" applyBorder="1"/>
    <xf numFmtId="0" fontId="4" fillId="6" borderId="13" xfId="0" applyFont="1" applyFill="1" applyBorder="1"/>
    <xf numFmtId="0" fontId="4" fillId="6" borderId="10" xfId="0" applyFont="1" applyFill="1" applyBorder="1"/>
    <xf numFmtId="0" fontId="4" fillId="2" borderId="1" xfId="0" applyNumberFormat="1" applyFont="1" applyFill="1" applyBorder="1" applyAlignment="1">
      <alignment vertical="top"/>
    </xf>
    <xf numFmtId="165" fontId="4" fillId="2" borderId="1" xfId="0" applyNumberFormat="1" applyFont="1" applyFill="1" applyBorder="1" applyAlignment="1">
      <alignment horizontal="left" vertical="top"/>
    </xf>
    <xf numFmtId="0" fontId="10" fillId="2" borderId="0" xfId="0" applyFont="1" applyFill="1" applyBorder="1" applyAlignment="1">
      <alignment horizontal="left"/>
    </xf>
    <xf numFmtId="0" fontId="43" fillId="6" borderId="1" xfId="0" applyFont="1" applyFill="1" applyBorder="1" applyAlignment="1">
      <alignment wrapText="1"/>
    </xf>
    <xf numFmtId="0" fontId="35" fillId="7" borderId="0" xfId="0" applyFont="1" applyFill="1" applyBorder="1" applyAlignment="1"/>
    <xf numFmtId="0" fontId="9" fillId="7" borderId="15" xfId="0" applyFont="1" applyFill="1" applyBorder="1" applyAlignment="1">
      <alignment vertical="center"/>
    </xf>
    <xf numFmtId="0" fontId="9" fillId="9" borderId="3" xfId="0" applyFont="1" applyFill="1" applyBorder="1" applyAlignment="1">
      <alignment vertical="center"/>
    </xf>
    <xf numFmtId="0" fontId="24" fillId="9" borderId="1" xfId="0" applyFont="1" applyFill="1" applyBorder="1" applyAlignment="1">
      <alignment horizontal="left" vertical="center"/>
    </xf>
    <xf numFmtId="0" fontId="24" fillId="9" borderId="1" xfId="0" applyFont="1" applyFill="1" applyBorder="1" applyAlignment="1">
      <alignment horizontal="left" vertical="top" wrapText="1"/>
    </xf>
    <xf numFmtId="0" fontId="9" fillId="9" borderId="6" xfId="0" applyFont="1" applyFill="1" applyBorder="1" applyAlignment="1">
      <alignment vertical="center"/>
    </xf>
    <xf numFmtId="0" fontId="9" fillId="9" borderId="4" xfId="0" applyFont="1" applyFill="1" applyBorder="1" applyAlignment="1">
      <alignment vertical="center"/>
    </xf>
    <xf numFmtId="0" fontId="10" fillId="2" borderId="4" xfId="0" applyFont="1" applyFill="1" applyBorder="1" applyAlignment="1">
      <alignment horizontal="left"/>
    </xf>
    <xf numFmtId="0" fontId="1" fillId="2" borderId="6" xfId="0" applyFont="1" applyFill="1" applyBorder="1" applyAlignment="1">
      <alignment wrapText="1"/>
    </xf>
    <xf numFmtId="0" fontId="0" fillId="2" borderId="6" xfId="0" applyFill="1" applyBorder="1"/>
    <xf numFmtId="0" fontId="1" fillId="2" borderId="4" xfId="0" applyFont="1" applyFill="1" applyBorder="1" applyAlignment="1">
      <alignment wrapText="1"/>
    </xf>
    <xf numFmtId="0" fontId="21" fillId="2" borderId="3" xfId="0" applyFont="1" applyFill="1" applyBorder="1"/>
    <xf numFmtId="1" fontId="45" fillId="7" borderId="13" xfId="0" applyNumberFormat="1" applyFont="1" applyFill="1" applyBorder="1" applyAlignment="1">
      <alignment horizontal="left"/>
    </xf>
    <xf numFmtId="0" fontId="0" fillId="7" borderId="15" xfId="0" applyFill="1" applyBorder="1" applyAlignment="1">
      <alignment vertical="center"/>
    </xf>
    <xf numFmtId="0" fontId="35" fillId="9" borderId="8" xfId="0" applyFont="1" applyFill="1" applyBorder="1"/>
    <xf numFmtId="0" fontId="0" fillId="9" borderId="3" xfId="0" applyFill="1" applyBorder="1"/>
    <xf numFmtId="0" fontId="0" fillId="9" borderId="6" xfId="0" applyFill="1" applyBorder="1"/>
    <xf numFmtId="0" fontId="27" fillId="9" borderId="6" xfId="0" applyFont="1" applyFill="1" applyBorder="1" applyAlignment="1">
      <alignment vertical="center"/>
    </xf>
    <xf numFmtId="0" fontId="0" fillId="9" borderId="4" xfId="0" applyFill="1" applyBorder="1"/>
    <xf numFmtId="0" fontId="1" fillId="9" borderId="1" xfId="0" applyFont="1" applyFill="1" applyBorder="1" applyAlignment="1">
      <alignment horizontal="center" vertical="top" wrapText="1"/>
    </xf>
    <xf numFmtId="0" fontId="1" fillId="9" borderId="1" xfId="0" applyFont="1" applyFill="1" applyBorder="1" applyAlignment="1">
      <alignment horizontal="center" vertical="top"/>
    </xf>
    <xf numFmtId="0" fontId="0" fillId="9" borderId="2" xfId="0" applyFill="1" applyBorder="1" applyAlignment="1">
      <alignment horizontal="center"/>
    </xf>
    <xf numFmtId="0" fontId="0" fillId="9" borderId="5" xfId="0" applyFill="1" applyBorder="1" applyAlignment="1">
      <alignment horizontal="center"/>
    </xf>
    <xf numFmtId="0" fontId="0" fillId="9" borderId="41" xfId="0" applyFill="1" applyBorder="1" applyAlignment="1">
      <alignment horizontal="center"/>
    </xf>
    <xf numFmtId="0" fontId="0" fillId="9" borderId="19" xfId="0" applyFill="1" applyBorder="1" applyAlignment="1">
      <alignment horizontal="right"/>
    </xf>
    <xf numFmtId="0" fontId="28" fillId="9" borderId="19" xfId="0" applyFont="1" applyFill="1" applyBorder="1" applyAlignment="1">
      <alignment wrapText="1"/>
    </xf>
    <xf numFmtId="0" fontId="26" fillId="9" borderId="9" xfId="0" applyFont="1" applyFill="1" applyBorder="1" applyAlignment="1">
      <alignment wrapText="1"/>
    </xf>
    <xf numFmtId="0" fontId="26" fillId="9" borderId="8" xfId="0" applyFont="1" applyFill="1" applyBorder="1" applyAlignment="1">
      <alignment wrapText="1"/>
    </xf>
    <xf numFmtId="0" fontId="26" fillId="9" borderId="30" xfId="0" applyFont="1" applyFill="1" applyBorder="1" applyAlignment="1">
      <alignment wrapText="1"/>
    </xf>
    <xf numFmtId="0" fontId="32" fillId="9" borderId="19" xfId="1" applyFont="1" applyFill="1" applyBorder="1" applyAlignment="1">
      <alignment horizontal="center" wrapText="1"/>
    </xf>
    <xf numFmtId="0" fontId="1" fillId="9" borderId="19" xfId="0" applyFont="1" applyFill="1" applyBorder="1" applyAlignment="1">
      <alignment horizontal="left"/>
    </xf>
    <xf numFmtId="0" fontId="3" fillId="9" borderId="23" xfId="0" applyFont="1" applyFill="1" applyBorder="1" applyAlignment="1">
      <alignment horizontal="left" vertical="center" wrapText="1"/>
    </xf>
    <xf numFmtId="0" fontId="3" fillId="9" borderId="34" xfId="0" applyFont="1" applyFill="1" applyBorder="1" applyAlignment="1">
      <alignment horizontal="left" vertical="center" wrapText="1"/>
    </xf>
    <xf numFmtId="0" fontId="3" fillId="9" borderId="35" xfId="0" applyFont="1" applyFill="1" applyBorder="1" applyAlignment="1">
      <alignment horizontal="left" vertical="center" wrapText="1"/>
    </xf>
    <xf numFmtId="0" fontId="3" fillId="9" borderId="48" xfId="0" applyFont="1" applyFill="1" applyBorder="1" applyAlignment="1">
      <alignment horizontal="left" vertical="center" wrapText="1"/>
    </xf>
    <xf numFmtId="0" fontId="3" fillId="9" borderId="33" xfId="0" applyFont="1" applyFill="1" applyBorder="1" applyAlignment="1">
      <alignment horizontal="left" vertical="center" wrapText="1"/>
    </xf>
    <xf numFmtId="0" fontId="3" fillId="9" borderId="22" xfId="0" applyFont="1" applyFill="1" applyBorder="1" applyAlignment="1">
      <alignment horizontal="left" vertical="center" wrapText="1"/>
    </xf>
    <xf numFmtId="0" fontId="1" fillId="9" borderId="19" xfId="0" applyFont="1" applyFill="1" applyBorder="1" applyAlignment="1">
      <alignment wrapText="1"/>
    </xf>
    <xf numFmtId="0" fontId="1" fillId="9" borderId="53" xfId="0" applyFont="1" applyFill="1" applyBorder="1" applyAlignment="1">
      <alignment horizontal="left"/>
    </xf>
    <xf numFmtId="0" fontId="0" fillId="9" borderId="20" xfId="0" applyFill="1" applyBorder="1"/>
    <xf numFmtId="0" fontId="3" fillId="9" borderId="39" xfId="0" applyFont="1" applyFill="1" applyBorder="1" applyAlignment="1">
      <alignment horizontal="left" vertical="center"/>
    </xf>
    <xf numFmtId="0" fontId="3" fillId="9" borderId="40" xfId="0" applyFont="1" applyFill="1" applyBorder="1" applyAlignment="1">
      <alignment horizontal="left" vertical="center"/>
    </xf>
    <xf numFmtId="0" fontId="0" fillId="9" borderId="23" xfId="0" applyFill="1" applyBorder="1"/>
    <xf numFmtId="0" fontId="55" fillId="2" borderId="0" xfId="0" applyFont="1" applyFill="1" applyBorder="1" applyAlignment="1">
      <alignment horizontal="right" vertical="center"/>
    </xf>
    <xf numFmtId="0" fontId="10" fillId="2" borderId="0" xfId="0" applyFont="1" applyFill="1" applyBorder="1" applyAlignment="1">
      <alignment wrapText="1"/>
    </xf>
    <xf numFmtId="0" fontId="56" fillId="2" borderId="0" xfId="0" applyFont="1" applyFill="1" applyBorder="1" applyAlignment="1"/>
    <xf numFmtId="0" fontId="10" fillId="2" borderId="0" xfId="0" applyFont="1" applyFill="1" applyBorder="1" applyAlignment="1"/>
    <xf numFmtId="0" fontId="29" fillId="2" borderId="0" xfId="0" applyFont="1" applyFill="1" applyBorder="1"/>
    <xf numFmtId="0" fontId="10" fillId="7" borderId="12" xfId="0" applyFont="1" applyFill="1" applyBorder="1"/>
    <xf numFmtId="0" fontId="10" fillId="7" borderId="0" xfId="0" applyFont="1" applyFill="1" applyBorder="1" applyAlignment="1">
      <alignment horizontal="center" wrapText="1"/>
    </xf>
    <xf numFmtId="0" fontId="29" fillId="7" borderId="0" xfId="0" applyFont="1" applyFill="1" applyBorder="1" applyAlignment="1">
      <alignment wrapText="1"/>
    </xf>
    <xf numFmtId="0" fontId="28" fillId="6" borderId="1" xfId="0" applyFont="1" applyFill="1" applyBorder="1" applyAlignment="1">
      <alignment wrapText="1"/>
    </xf>
    <xf numFmtId="0" fontId="11" fillId="9" borderId="1" xfId="0" applyFont="1" applyFill="1" applyBorder="1"/>
    <xf numFmtId="0" fontId="15" fillId="9" borderId="1" xfId="0" applyFont="1" applyFill="1" applyBorder="1"/>
    <xf numFmtId="0" fontId="15" fillId="9" borderId="6" xfId="0" applyFont="1" applyFill="1" applyBorder="1"/>
    <xf numFmtId="3" fontId="4" fillId="7" borderId="0" xfId="0" applyNumberFormat="1" applyFont="1" applyFill="1" applyBorder="1" applyAlignment="1">
      <alignment horizontal="right" wrapText="1"/>
    </xf>
    <xf numFmtId="0" fontId="10" fillId="7" borderId="0" xfId="0" applyFont="1" applyFill="1" applyBorder="1" applyAlignment="1">
      <alignment vertical="top" wrapText="1"/>
    </xf>
    <xf numFmtId="0" fontId="4" fillId="9" borderId="33" xfId="0" applyFont="1" applyFill="1" applyBorder="1" applyAlignment="1">
      <alignment horizontal="center" vertical="top" wrapText="1"/>
    </xf>
    <xf numFmtId="0" fontId="10" fillId="7" borderId="22" xfId="0" applyFont="1" applyFill="1" applyBorder="1"/>
    <xf numFmtId="0" fontId="4" fillId="2" borderId="34" xfId="0" applyFont="1" applyFill="1" applyBorder="1" applyAlignment="1">
      <alignment horizontal="center"/>
    </xf>
    <xf numFmtId="0" fontId="4" fillId="2" borderId="35" xfId="0" applyFont="1" applyFill="1" applyBorder="1" applyAlignment="1">
      <alignment horizontal="center"/>
    </xf>
    <xf numFmtId="0" fontId="4" fillId="9" borderId="24" xfId="0" applyFont="1" applyFill="1" applyBorder="1" applyAlignment="1">
      <alignment horizontal="center" vertical="top" wrapText="1"/>
    </xf>
    <xf numFmtId="0" fontId="4" fillId="9" borderId="41" xfId="0" applyFont="1" applyFill="1" applyBorder="1" applyAlignment="1">
      <alignment horizontal="center" vertical="top" wrapText="1"/>
    </xf>
    <xf numFmtId="3" fontId="4" fillId="4" borderId="49" xfId="0" applyNumberFormat="1" applyFont="1" applyFill="1" applyBorder="1" applyAlignment="1">
      <alignment horizontal="right"/>
    </xf>
    <xf numFmtId="3" fontId="4" fillId="4" borderId="54" xfId="0" applyNumberFormat="1" applyFont="1" applyFill="1" applyBorder="1" applyAlignment="1">
      <alignment horizontal="right"/>
    </xf>
    <xf numFmtId="3" fontId="4" fillId="7" borderId="44" xfId="0" applyNumberFormat="1" applyFont="1" applyFill="1" applyBorder="1" applyAlignment="1">
      <alignment horizontal="right"/>
    </xf>
    <xf numFmtId="3" fontId="4" fillId="7" borderId="17" xfId="0" applyNumberFormat="1" applyFont="1" applyFill="1" applyBorder="1" applyAlignment="1">
      <alignment horizontal="right"/>
    </xf>
    <xf numFmtId="3" fontId="4" fillId="2" borderId="26" xfId="0" applyNumberFormat="1" applyFont="1" applyFill="1" applyBorder="1" applyAlignment="1">
      <alignment horizontal="right"/>
    </xf>
    <xf numFmtId="0" fontId="0" fillId="7" borderId="17" xfId="0" applyFill="1" applyBorder="1"/>
    <xf numFmtId="3" fontId="4" fillId="2" borderId="26" xfId="0" quotePrefix="1" applyNumberFormat="1" applyFont="1" applyFill="1" applyBorder="1" applyAlignment="1">
      <alignment horizontal="right"/>
    </xf>
    <xf numFmtId="3" fontId="9" fillId="7" borderId="17" xfId="0" applyNumberFormat="1" applyFont="1" applyFill="1" applyBorder="1" applyAlignment="1">
      <alignment horizontal="right"/>
    </xf>
    <xf numFmtId="3" fontId="4" fillId="2" borderId="39" xfId="0" applyNumberFormat="1" applyFont="1" applyFill="1" applyBorder="1" applyAlignment="1">
      <alignment horizontal="right"/>
    </xf>
    <xf numFmtId="3" fontId="4" fillId="2" borderId="39" xfId="0" applyNumberFormat="1" applyFont="1" applyFill="1" applyBorder="1" applyAlignment="1">
      <alignment horizontal="right" vertical="center"/>
    </xf>
    <xf numFmtId="3" fontId="4" fillId="2" borderId="26" xfId="0" applyNumberFormat="1" applyFont="1" applyFill="1" applyBorder="1" applyAlignment="1">
      <alignment horizontal="right" vertical="center"/>
    </xf>
    <xf numFmtId="3" fontId="4" fillId="2" borderId="39" xfId="0" quotePrefix="1" applyNumberFormat="1" applyFont="1" applyFill="1" applyBorder="1" applyAlignment="1">
      <alignment horizontal="right"/>
    </xf>
    <xf numFmtId="3" fontId="4" fillId="7" borderId="55" xfId="0" quotePrefix="1" applyNumberFormat="1" applyFont="1" applyFill="1" applyBorder="1" applyAlignment="1">
      <alignment horizontal="right"/>
    </xf>
    <xf numFmtId="3" fontId="4" fillId="7" borderId="47" xfId="0" quotePrefix="1" applyNumberFormat="1" applyFont="1" applyFill="1" applyBorder="1" applyAlignment="1">
      <alignment horizontal="right"/>
    </xf>
    <xf numFmtId="3" fontId="4" fillId="2" borderId="27" xfId="0" quotePrefix="1" applyNumberFormat="1" applyFont="1" applyFill="1" applyBorder="1" applyAlignment="1">
      <alignment horizontal="right"/>
    </xf>
    <xf numFmtId="3" fontId="4" fillId="2" borderId="27" xfId="0" applyNumberFormat="1" applyFont="1" applyFill="1" applyBorder="1" applyAlignment="1">
      <alignment horizontal="right" vertical="center"/>
    </xf>
    <xf numFmtId="3" fontId="4" fillId="2" borderId="28" xfId="0" applyNumberFormat="1" applyFont="1" applyFill="1" applyBorder="1" applyAlignment="1">
      <alignment horizontal="right" vertical="center"/>
    </xf>
    <xf numFmtId="3" fontId="4" fillId="2" borderId="30" xfId="0" applyNumberFormat="1" applyFont="1" applyFill="1" applyBorder="1" applyAlignment="1">
      <alignment horizontal="right" vertical="center"/>
    </xf>
    <xf numFmtId="0" fontId="4" fillId="9" borderId="25" xfId="0" applyFont="1" applyFill="1" applyBorder="1" applyAlignment="1">
      <alignment horizontal="center" vertical="top" wrapText="1"/>
    </xf>
    <xf numFmtId="0" fontId="29" fillId="7" borderId="44" xfId="0" applyFont="1" applyFill="1" applyBorder="1" applyAlignment="1">
      <alignment horizontal="center"/>
    </xf>
    <xf numFmtId="0" fontId="10" fillId="7" borderId="17" xfId="0" applyFont="1" applyFill="1" applyBorder="1" applyAlignment="1">
      <alignment horizontal="center"/>
    </xf>
    <xf numFmtId="0" fontId="3" fillId="7" borderId="44" xfId="0" applyFont="1" applyFill="1" applyBorder="1" applyAlignment="1">
      <alignment horizontal="center" wrapText="1"/>
    </xf>
    <xf numFmtId="0" fontId="4" fillId="7" borderId="17" xfId="0" applyFont="1" applyFill="1" applyBorder="1" applyAlignment="1">
      <alignment horizontal="center"/>
    </xf>
    <xf numFmtId="0" fontId="21" fillId="7" borderId="44" xfId="0" applyFont="1" applyFill="1" applyBorder="1" applyAlignment="1">
      <alignment horizontal="left"/>
    </xf>
    <xf numFmtId="0" fontId="9" fillId="7" borderId="17" xfId="0" applyFont="1" applyFill="1" applyBorder="1" applyAlignment="1">
      <alignment horizontal="center"/>
    </xf>
    <xf numFmtId="0" fontId="4" fillId="2" borderId="26" xfId="0" applyFont="1" applyFill="1" applyBorder="1" applyAlignment="1">
      <alignment horizontal="center"/>
    </xf>
    <xf numFmtId="0" fontId="4" fillId="2" borderId="27" xfId="0" applyFont="1" applyFill="1" applyBorder="1" applyAlignment="1">
      <alignment horizontal="center"/>
    </xf>
    <xf numFmtId="0" fontId="4" fillId="7" borderId="17" xfId="0" quotePrefix="1" applyFont="1" applyFill="1" applyBorder="1" applyAlignment="1">
      <alignment horizontal="center"/>
    </xf>
    <xf numFmtId="0" fontId="4" fillId="2" borderId="28" xfId="0" applyFont="1" applyFill="1" applyBorder="1" applyAlignment="1">
      <alignment horizontal="center"/>
    </xf>
    <xf numFmtId="0" fontId="4" fillId="2" borderId="29" xfId="0" applyFont="1" applyFill="1" applyBorder="1" applyAlignment="1">
      <alignment horizontal="center"/>
    </xf>
    <xf numFmtId="0" fontId="4" fillId="2" borderId="30" xfId="0" applyFont="1" applyFill="1" applyBorder="1" applyAlignment="1">
      <alignment horizontal="center"/>
    </xf>
    <xf numFmtId="3" fontId="50" fillId="2" borderId="0" xfId="0" applyNumberFormat="1" applyFont="1" applyFill="1" applyBorder="1" applyAlignment="1">
      <alignment horizontal="left"/>
    </xf>
    <xf numFmtId="0" fontId="3" fillId="6" borderId="3" xfId="0" applyFont="1" applyFill="1" applyBorder="1" applyAlignment="1">
      <alignment vertical="top" wrapText="1"/>
    </xf>
    <xf numFmtId="0" fontId="43" fillId="6" borderId="12" xfId="0" applyFont="1" applyFill="1" applyBorder="1" applyAlignment="1">
      <alignment horizontal="left" wrapText="1"/>
    </xf>
    <xf numFmtId="0" fontId="7" fillId="6" borderId="3" xfId="0" applyFont="1" applyFill="1" applyBorder="1" applyAlignment="1">
      <alignment horizontal="left" wrapText="1"/>
    </xf>
    <xf numFmtId="0" fontId="4" fillId="6" borderId="3" xfId="0" applyFont="1" applyFill="1" applyBorder="1"/>
    <xf numFmtId="0" fontId="0" fillId="6" borderId="3" xfId="0" applyFont="1" applyFill="1" applyBorder="1"/>
    <xf numFmtId="0" fontId="4" fillId="6" borderId="3" xfId="0" applyFont="1" applyFill="1" applyBorder="1" applyAlignment="1">
      <alignment wrapText="1"/>
    </xf>
    <xf numFmtId="0" fontId="4" fillId="6" borderId="11" xfId="0" applyFont="1" applyFill="1" applyBorder="1" applyAlignment="1">
      <alignment wrapText="1"/>
    </xf>
    <xf numFmtId="0" fontId="4" fillId="6" borderId="26" xfId="0" applyFont="1" applyFill="1" applyBorder="1" applyAlignment="1">
      <alignment horizontal="center" vertical="top" wrapText="1"/>
    </xf>
    <xf numFmtId="0" fontId="0" fillId="6" borderId="27" xfId="0" applyFont="1" applyFill="1" applyBorder="1" applyAlignment="1">
      <alignment horizontal="center" vertical="top" wrapText="1"/>
    </xf>
    <xf numFmtId="0" fontId="29" fillId="7" borderId="26" xfId="0" applyFont="1" applyFill="1" applyBorder="1" applyAlignment="1">
      <alignment horizontal="left" wrapText="1"/>
    </xf>
    <xf numFmtId="3" fontId="4" fillId="4" borderId="27" xfId="0" applyNumberFormat="1" applyFont="1" applyFill="1" applyBorder="1" applyAlignment="1">
      <alignment horizontal="right"/>
    </xf>
    <xf numFmtId="0" fontId="29" fillId="7" borderId="56" xfId="0" applyFont="1" applyFill="1" applyBorder="1" applyAlignment="1">
      <alignment horizontal="center" wrapText="1"/>
    </xf>
    <xf numFmtId="3" fontId="10" fillId="7" borderId="17" xfId="0" applyNumberFormat="1" applyFont="1" applyFill="1" applyBorder="1" applyAlignment="1">
      <alignment horizontal="right"/>
    </xf>
    <xf numFmtId="0" fontId="4" fillId="0" borderId="26" xfId="0" applyFont="1" applyFill="1" applyBorder="1" applyAlignment="1">
      <alignment horizontal="center"/>
    </xf>
    <xf numFmtId="3" fontId="4" fillId="0" borderId="27" xfId="0" applyNumberFormat="1" applyFont="1" applyBorder="1" applyAlignment="1">
      <alignment horizontal="right"/>
    </xf>
    <xf numFmtId="0" fontId="45" fillId="7" borderId="44" xfId="0" applyFont="1" applyFill="1" applyBorder="1" applyAlignment="1">
      <alignment horizontal="left"/>
    </xf>
    <xf numFmtId="0" fontId="4" fillId="0" borderId="28" xfId="0" applyFont="1" applyFill="1" applyBorder="1" applyAlignment="1">
      <alignment horizontal="center"/>
    </xf>
    <xf numFmtId="3" fontId="4" fillId="0" borderId="30" xfId="0" applyNumberFormat="1" applyFont="1" applyBorder="1" applyAlignment="1">
      <alignment horizontal="right"/>
    </xf>
    <xf numFmtId="0" fontId="1" fillId="9" borderId="8" xfId="0" applyFont="1" applyFill="1" applyBorder="1" applyAlignment="1">
      <alignment horizontal="left" vertical="center" wrapText="1"/>
    </xf>
    <xf numFmtId="0" fontId="0" fillId="9" borderId="7" xfId="0" applyFill="1" applyBorder="1" applyAlignment="1">
      <alignment horizontal="left" vertical="top" wrapText="1" indent="2"/>
    </xf>
    <xf numFmtId="0" fontId="0" fillId="9" borderId="5" xfId="0" applyFill="1" applyBorder="1" applyAlignment="1">
      <alignment horizontal="left" vertical="top" wrapText="1" indent="2"/>
    </xf>
    <xf numFmtId="0" fontId="35" fillId="7" borderId="0" xfId="0" applyFont="1" applyFill="1" applyBorder="1"/>
    <xf numFmtId="3" fontId="20" fillId="7" borderId="0" xfId="0" applyNumberFormat="1" applyFont="1" applyFill="1" applyBorder="1"/>
    <xf numFmtId="0" fontId="10" fillId="2" borderId="0" xfId="0" applyFont="1" applyFill="1" applyBorder="1" applyAlignment="1">
      <alignment vertical="top"/>
    </xf>
    <xf numFmtId="0" fontId="10" fillId="7" borderId="15" xfId="0" applyFont="1" applyFill="1" applyBorder="1" applyAlignment="1">
      <alignment vertical="top"/>
    </xf>
    <xf numFmtId="0" fontId="0" fillId="7" borderId="15" xfId="0" applyFont="1" applyFill="1" applyBorder="1"/>
    <xf numFmtId="0" fontId="10" fillId="7" borderId="9" xfId="0" applyFont="1" applyFill="1" applyBorder="1"/>
    <xf numFmtId="0" fontId="45" fillId="7" borderId="13" xfId="0" applyFont="1" applyFill="1" applyBorder="1" applyAlignment="1">
      <alignment horizontal="left" wrapText="1"/>
    </xf>
    <xf numFmtId="0" fontId="45" fillId="7" borderId="13" xfId="0" applyFont="1" applyFill="1" applyBorder="1" applyAlignment="1">
      <alignment horizontal="center"/>
    </xf>
    <xf numFmtId="0" fontId="45" fillId="7" borderId="13" xfId="0" applyFont="1" applyFill="1" applyBorder="1" applyAlignment="1">
      <alignment horizontal="center" wrapText="1"/>
    </xf>
    <xf numFmtId="0" fontId="45" fillId="7" borderId="13" xfId="0" applyNumberFormat="1" applyFont="1" applyFill="1" applyBorder="1" applyAlignment="1">
      <alignment horizontal="left" vertical="top" wrapText="1"/>
    </xf>
    <xf numFmtId="0" fontId="21" fillId="7" borderId="13" xfId="0" applyFont="1" applyFill="1" applyBorder="1"/>
    <xf numFmtId="0" fontId="21" fillId="7" borderId="12" xfId="0" applyFont="1" applyFill="1" applyBorder="1"/>
    <xf numFmtId="0" fontId="58" fillId="2" borderId="0" xfId="0" applyFont="1" applyFill="1" applyAlignment="1">
      <alignment vertical="center"/>
    </xf>
    <xf numFmtId="165" fontId="10" fillId="2" borderId="0" xfId="0" applyNumberFormat="1" applyFont="1" applyFill="1" applyBorder="1" applyAlignment="1"/>
    <xf numFmtId="0" fontId="59" fillId="0" borderId="0" xfId="0" applyFont="1" applyFill="1"/>
    <xf numFmtId="0" fontId="9" fillId="6" borderId="1" xfId="0" applyFont="1" applyFill="1" applyBorder="1" applyAlignment="1">
      <alignment vertical="top" wrapText="1"/>
    </xf>
    <xf numFmtId="0" fontId="0" fillId="2" borderId="0" xfId="0" applyFill="1" applyBorder="1" applyAlignment="1">
      <alignment horizontal="left"/>
    </xf>
    <xf numFmtId="0" fontId="36" fillId="6" borderId="13" xfId="0" applyFont="1" applyFill="1" applyBorder="1"/>
    <xf numFmtId="0" fontId="36" fillId="6" borderId="13" xfId="0" applyFont="1" applyFill="1" applyBorder="1" applyAlignment="1">
      <alignment vertical="top"/>
    </xf>
    <xf numFmtId="0" fontId="40" fillId="6" borderId="0" xfId="0" applyFont="1" applyFill="1" applyBorder="1"/>
    <xf numFmtId="166" fontId="38" fillId="6" borderId="0" xfId="0" applyNumberFormat="1" applyFont="1" applyFill="1" applyBorder="1" applyAlignment="1">
      <alignment wrapText="1"/>
    </xf>
    <xf numFmtId="0" fontId="38" fillId="6" borderId="0" xfId="0" applyFont="1" applyFill="1" applyBorder="1" applyAlignment="1">
      <alignment wrapText="1"/>
    </xf>
    <xf numFmtId="0" fontId="40" fillId="6" borderId="0" xfId="0" applyFont="1" applyFill="1" applyBorder="1" applyAlignment="1">
      <alignment horizontal="center"/>
    </xf>
    <xf numFmtId="0" fontId="43" fillId="6" borderId="0" xfId="0" applyFont="1" applyFill="1" applyBorder="1" applyAlignment="1">
      <alignment horizontal="left" wrapText="1"/>
    </xf>
    <xf numFmtId="0" fontId="38" fillId="6" borderId="10" xfId="0" applyFont="1" applyFill="1" applyBorder="1" applyAlignment="1">
      <alignment wrapText="1"/>
    </xf>
    <xf numFmtId="165" fontId="40" fillId="6" borderId="0" xfId="0" applyNumberFormat="1" applyFont="1" applyFill="1" applyBorder="1" applyAlignment="1">
      <alignment horizontal="left"/>
    </xf>
    <xf numFmtId="3" fontId="38" fillId="6" borderId="0" xfId="0" applyNumberFormat="1" applyFont="1" applyFill="1" applyBorder="1" applyAlignment="1">
      <alignment horizontal="right"/>
    </xf>
    <xf numFmtId="166" fontId="40" fillId="6" borderId="0" xfId="0" applyNumberFormat="1" applyFont="1" applyFill="1" applyBorder="1"/>
    <xf numFmtId="0" fontId="40" fillId="6" borderId="10" xfId="0" applyFont="1" applyFill="1" applyBorder="1"/>
    <xf numFmtId="0" fontId="40" fillId="6" borderId="13" xfId="0" applyFont="1" applyFill="1" applyBorder="1"/>
    <xf numFmtId="0" fontId="40" fillId="6" borderId="14" xfId="0" applyFont="1" applyFill="1" applyBorder="1"/>
    <xf numFmtId="0" fontId="40" fillId="6" borderId="15" xfId="0" applyFont="1" applyFill="1" applyBorder="1"/>
    <xf numFmtId="165" fontId="61" fillId="6" borderId="15" xfId="0" applyNumberFormat="1" applyFont="1" applyFill="1" applyBorder="1" applyAlignment="1">
      <alignment horizontal="left"/>
    </xf>
    <xf numFmtId="0" fontId="61" fillId="6" borderId="2" xfId="0" applyFont="1" applyFill="1" applyBorder="1" applyAlignment="1">
      <alignment horizontal="center"/>
    </xf>
    <xf numFmtId="165" fontId="60" fillId="6" borderId="15" xfId="0" applyNumberFormat="1" applyFont="1" applyFill="1" applyBorder="1" applyAlignment="1">
      <alignment horizontal="left"/>
    </xf>
    <xf numFmtId="0" fontId="61" fillId="6" borderId="15" xfId="0" applyFont="1" applyFill="1" applyBorder="1"/>
    <xf numFmtId="0" fontId="40" fillId="6" borderId="2" xfId="0" applyFont="1" applyFill="1" applyBorder="1"/>
    <xf numFmtId="0" fontId="36" fillId="6" borderId="11" xfId="0" applyFont="1" applyFill="1" applyBorder="1"/>
    <xf numFmtId="165" fontId="40" fillId="6" borderId="14" xfId="0" applyNumberFormat="1" applyFont="1" applyFill="1" applyBorder="1" applyAlignment="1">
      <alignment horizontal="left"/>
    </xf>
    <xf numFmtId="0" fontId="40" fillId="6" borderId="9" xfId="0" applyFont="1" applyFill="1" applyBorder="1" applyAlignment="1">
      <alignment horizontal="center"/>
    </xf>
    <xf numFmtId="3" fontId="40" fillId="6" borderId="0" xfId="0" applyNumberFormat="1" applyFont="1" applyFill="1" applyBorder="1"/>
    <xf numFmtId="0" fontId="36" fillId="6" borderId="0" xfId="0" applyFont="1" applyFill="1" applyBorder="1"/>
    <xf numFmtId="166" fontId="40" fillId="6" borderId="0" xfId="0" applyNumberFormat="1" applyFont="1" applyFill="1" applyBorder="1" applyAlignment="1">
      <alignment horizontal="center"/>
    </xf>
    <xf numFmtId="0" fontId="40" fillId="6" borderId="0" xfId="0" applyFont="1" applyFill="1" applyBorder="1" applyAlignment="1">
      <alignment horizontal="left"/>
    </xf>
    <xf numFmtId="0" fontId="40" fillId="6" borderId="0" xfId="0" applyFont="1" applyFill="1" applyBorder="1" applyAlignment="1">
      <alignment horizontal="left" wrapText="1"/>
    </xf>
    <xf numFmtId="0" fontId="40" fillId="6" borderId="10" xfId="0" applyFont="1" applyFill="1" applyBorder="1" applyAlignment="1">
      <alignment horizontal="left" wrapText="1"/>
    </xf>
    <xf numFmtId="0" fontId="40" fillId="6" borderId="0" xfId="0" applyNumberFormat="1" applyFont="1" applyFill="1" applyBorder="1"/>
    <xf numFmtId="0" fontId="36" fillId="6" borderId="15" xfId="0" applyFont="1" applyFill="1" applyBorder="1"/>
    <xf numFmtId="0" fontId="62" fillId="6" borderId="15" xfId="0" applyFont="1" applyFill="1" applyBorder="1"/>
    <xf numFmtId="3" fontId="40" fillId="6" borderId="15" xfId="0" applyNumberFormat="1" applyFont="1" applyFill="1" applyBorder="1"/>
    <xf numFmtId="0" fontId="40" fillId="6" borderId="2" xfId="0" applyFont="1" applyFill="1" applyBorder="1" applyAlignment="1">
      <alignment horizontal="center"/>
    </xf>
    <xf numFmtId="0" fontId="60" fillId="6" borderId="13" xfId="0" applyFont="1" applyFill="1" applyBorder="1"/>
    <xf numFmtId="165" fontId="61" fillId="6" borderId="0" xfId="0" applyNumberFormat="1" applyFont="1" applyFill="1" applyBorder="1" applyAlignment="1">
      <alignment horizontal="left"/>
    </xf>
    <xf numFmtId="0" fontId="61" fillId="6" borderId="10" xfId="0" applyFont="1" applyFill="1" applyBorder="1" applyAlignment="1">
      <alignment horizontal="center"/>
    </xf>
    <xf numFmtId="165" fontId="60" fillId="6" borderId="0" xfId="0" applyNumberFormat="1" applyFont="1" applyFill="1" applyBorder="1" applyAlignment="1">
      <alignment horizontal="left"/>
    </xf>
    <xf numFmtId="0" fontId="61" fillId="6" borderId="0" xfId="0" applyFont="1" applyFill="1" applyBorder="1"/>
    <xf numFmtId="0" fontId="12" fillId="6" borderId="1" xfId="0" applyFont="1" applyFill="1" applyBorder="1" applyAlignment="1">
      <alignment vertical="top" wrapText="1"/>
    </xf>
    <xf numFmtId="0" fontId="13" fillId="9" borderId="8" xfId="0" applyFont="1" applyFill="1" applyBorder="1" applyAlignment="1">
      <alignment vertical="center" wrapText="1"/>
    </xf>
    <xf numFmtId="0" fontId="40" fillId="6" borderId="0" xfId="0" applyFont="1" applyFill="1" applyBorder="1" applyAlignment="1">
      <alignment horizontal="left" wrapText="1"/>
    </xf>
    <xf numFmtId="0" fontId="40" fillId="6" borderId="10" xfId="0" applyFont="1" applyFill="1" applyBorder="1" applyAlignment="1">
      <alignment horizontal="left" wrapText="1"/>
    </xf>
    <xf numFmtId="0" fontId="62" fillId="6" borderId="0" xfId="0" applyFont="1" applyFill="1" applyBorder="1"/>
    <xf numFmtId="0" fontId="38" fillId="6" borderId="0" xfId="0" applyFont="1" applyFill="1" applyBorder="1"/>
    <xf numFmtId="3" fontId="40" fillId="6" borderId="0" xfId="0" applyNumberFormat="1" applyFont="1" applyFill="1" applyBorder="1" applyAlignment="1">
      <alignment horizontal="right"/>
    </xf>
    <xf numFmtId="0" fontId="40" fillId="6" borderId="10" xfId="0" applyFont="1" applyFill="1" applyBorder="1" applyAlignment="1">
      <alignment horizontal="center"/>
    </xf>
    <xf numFmtId="0" fontId="0" fillId="6" borderId="0" xfId="0" applyFill="1" applyBorder="1"/>
    <xf numFmtId="0" fontId="49" fillId="6" borderId="13" xfId="0" applyFont="1" applyFill="1" applyBorder="1"/>
    <xf numFmtId="0" fontId="49" fillId="6" borderId="12" xfId="0" applyFont="1" applyFill="1" applyBorder="1"/>
    <xf numFmtId="165" fontId="38" fillId="6" borderId="10" xfId="0" applyNumberFormat="1" applyFont="1" applyFill="1" applyBorder="1" applyAlignment="1">
      <alignment wrapText="1"/>
    </xf>
    <xf numFmtId="0" fontId="43" fillId="6" borderId="0" xfId="0" applyFont="1" applyFill="1" applyBorder="1" applyAlignment="1">
      <alignment horizontal="left" wrapText="1"/>
    </xf>
    <xf numFmtId="0" fontId="40" fillId="6" borderId="0" xfId="0" applyFont="1" applyFill="1" applyBorder="1" applyAlignment="1">
      <alignment horizontal="left" wrapText="1"/>
    </xf>
    <xf numFmtId="0" fontId="40" fillId="6" borderId="10" xfId="0" applyFont="1" applyFill="1" applyBorder="1" applyAlignment="1">
      <alignment horizontal="left" wrapText="1"/>
    </xf>
    <xf numFmtId="3" fontId="36" fillId="6" borderId="0" xfId="0" applyNumberFormat="1" applyFont="1" applyFill="1" applyBorder="1" applyAlignment="1">
      <alignment horizontal="left" wrapText="1"/>
    </xf>
    <xf numFmtId="3" fontId="36" fillId="6" borderId="10" xfId="0" applyNumberFormat="1" applyFont="1" applyFill="1" applyBorder="1" applyAlignment="1">
      <alignment horizontal="left" wrapText="1"/>
    </xf>
    <xf numFmtId="166" fontId="38" fillId="6" borderId="0" xfId="0" applyNumberFormat="1" applyFont="1" applyFill="1" applyBorder="1" applyAlignment="1">
      <alignment horizontal="left" wrapText="1"/>
    </xf>
    <xf numFmtId="166" fontId="38" fillId="6" borderId="10" xfId="0" applyNumberFormat="1" applyFont="1" applyFill="1" applyBorder="1" applyAlignment="1">
      <alignment horizontal="left" wrapText="1"/>
    </xf>
    <xf numFmtId="166" fontId="40" fillId="6" borderId="0" xfId="0" applyNumberFormat="1" applyFont="1" applyFill="1" applyBorder="1" applyAlignment="1">
      <alignment horizontal="left"/>
    </xf>
    <xf numFmtId="166" fontId="40" fillId="6" borderId="10" xfId="0" applyNumberFormat="1" applyFont="1" applyFill="1" applyBorder="1" applyAlignment="1">
      <alignment horizontal="left"/>
    </xf>
    <xf numFmtId="0" fontId="4" fillId="2" borderId="3" xfId="0" applyNumberFormat="1" applyFont="1" applyFill="1" applyBorder="1" applyAlignment="1">
      <alignment vertical="top" wrapText="1"/>
    </xf>
    <xf numFmtId="0" fontId="4" fillId="2" borderId="6" xfId="0" applyNumberFormat="1" applyFont="1" applyFill="1" applyBorder="1" applyAlignment="1">
      <alignment vertical="top" wrapText="1"/>
    </xf>
    <xf numFmtId="0" fontId="4" fillId="2" borderId="4" xfId="0" applyNumberFormat="1" applyFont="1" applyFill="1" applyBorder="1" applyAlignment="1">
      <alignment vertical="top" wrapText="1"/>
    </xf>
    <xf numFmtId="0" fontId="3" fillId="6" borderId="24" xfId="0" applyFont="1" applyFill="1" applyBorder="1" applyAlignment="1">
      <alignment horizontal="center" vertical="top"/>
    </xf>
    <xf numFmtId="0" fontId="3" fillId="6" borderId="41" xfId="0" applyFont="1" applyFill="1" applyBorder="1" applyAlignment="1">
      <alignment horizontal="center" vertical="top"/>
    </xf>
    <xf numFmtId="0" fontId="3" fillId="9" borderId="36" xfId="0" applyFont="1" applyFill="1" applyBorder="1" applyAlignment="1">
      <alignment horizontal="center" wrapText="1"/>
    </xf>
    <xf numFmtId="0" fontId="3" fillId="9" borderId="37" xfId="0" applyFont="1" applyFill="1" applyBorder="1" applyAlignment="1">
      <alignment horizontal="center"/>
    </xf>
    <xf numFmtId="0" fontId="3" fillId="9" borderId="38" xfId="0" applyFont="1" applyFill="1" applyBorder="1" applyAlignment="1">
      <alignment horizontal="center"/>
    </xf>
    <xf numFmtId="0" fontId="4" fillId="0" borderId="3" xfId="0" applyNumberFormat="1" applyFont="1" applyFill="1" applyBorder="1" applyAlignment="1">
      <alignment horizontal="left" vertical="top" wrapText="1"/>
    </xf>
    <xf numFmtId="0" fontId="4" fillId="0" borderId="6" xfId="0" applyNumberFormat="1" applyFont="1" applyFill="1" applyBorder="1" applyAlignment="1">
      <alignment horizontal="left" vertical="top" wrapText="1"/>
    </xf>
    <xf numFmtId="0" fontId="4" fillId="0" borderId="4" xfId="0" applyNumberFormat="1" applyFont="1" applyFill="1" applyBorder="1" applyAlignment="1">
      <alignment horizontal="left" vertical="top" wrapText="1"/>
    </xf>
    <xf numFmtId="0" fontId="4" fillId="2" borderId="3" xfId="0" applyNumberFormat="1" applyFont="1" applyFill="1" applyBorder="1" applyAlignment="1">
      <alignment horizontal="left" vertical="top"/>
    </xf>
    <xf numFmtId="0" fontId="4" fillId="2" borderId="6" xfId="0" applyNumberFormat="1" applyFont="1" applyFill="1" applyBorder="1" applyAlignment="1">
      <alignment horizontal="left" vertical="top"/>
    </xf>
    <xf numFmtId="0" fontId="4" fillId="2" borderId="4" xfId="0" applyNumberFormat="1" applyFont="1" applyFill="1" applyBorder="1" applyAlignment="1">
      <alignment horizontal="left" vertical="top"/>
    </xf>
    <xf numFmtId="0" fontId="4" fillId="2" borderId="3" xfId="0" applyNumberFormat="1" applyFont="1" applyFill="1" applyBorder="1" applyAlignment="1">
      <alignment horizontal="left" vertical="top" wrapText="1"/>
    </xf>
    <xf numFmtId="0" fontId="4" fillId="2" borderId="6" xfId="0" applyNumberFormat="1" applyFont="1" applyFill="1" applyBorder="1" applyAlignment="1">
      <alignment horizontal="left" vertical="top" wrapText="1"/>
    </xf>
    <xf numFmtId="0" fontId="4" fillId="2" borderId="4" xfId="0" applyNumberFormat="1" applyFont="1" applyFill="1" applyBorder="1" applyAlignment="1">
      <alignment horizontal="left" vertical="top" wrapText="1"/>
    </xf>
    <xf numFmtId="0" fontId="14" fillId="5" borderId="3" xfId="1" applyFill="1" applyBorder="1" applyAlignment="1">
      <alignment horizontal="center" vertical="center"/>
    </xf>
    <xf numFmtId="0" fontId="14" fillId="5" borderId="4" xfId="1" applyFill="1" applyBorder="1" applyAlignment="1">
      <alignment horizontal="center" vertical="center"/>
    </xf>
    <xf numFmtId="0" fontId="14" fillId="5" borderId="3" xfId="1" applyFill="1" applyBorder="1" applyAlignment="1">
      <alignment horizontal="center" vertical="center" wrapText="1"/>
    </xf>
    <xf numFmtId="0" fontId="14" fillId="5" borderId="4" xfId="1" applyFill="1" applyBorder="1" applyAlignment="1">
      <alignment horizontal="center" vertical="center" wrapText="1"/>
    </xf>
    <xf numFmtId="0" fontId="14" fillId="5" borderId="6" xfId="1" applyFill="1" applyBorder="1" applyAlignment="1">
      <alignment horizontal="center" vertical="center" wrapText="1"/>
    </xf>
    <xf numFmtId="0" fontId="0" fillId="5" borderId="3" xfId="0" applyFill="1" applyBorder="1" applyAlignment="1">
      <alignment horizontal="left" wrapText="1"/>
    </xf>
    <xf numFmtId="0" fontId="0" fillId="5" borderId="6" xfId="0" applyFill="1" applyBorder="1" applyAlignment="1">
      <alignment horizontal="left" wrapText="1"/>
    </xf>
    <xf numFmtId="0" fontId="0" fillId="5" borderId="4" xfId="0" applyFill="1" applyBorder="1" applyAlignment="1">
      <alignment horizontal="left" wrapText="1"/>
    </xf>
    <xf numFmtId="0" fontId="49" fillId="7" borderId="15" xfId="0" applyFont="1" applyFill="1" applyBorder="1" applyAlignment="1">
      <alignment horizontal="center" wrapText="1"/>
    </xf>
    <xf numFmtId="0" fontId="40" fillId="7" borderId="15" xfId="0" applyFont="1" applyFill="1" applyBorder="1" applyAlignment="1">
      <alignment horizontal="center" wrapText="1"/>
    </xf>
    <xf numFmtId="0" fontId="0" fillId="5" borderId="3" xfId="0" applyFont="1" applyFill="1" applyBorder="1" applyAlignment="1">
      <alignment horizontal="center" wrapText="1"/>
    </xf>
    <xf numFmtId="0" fontId="0" fillId="5" borderId="6" xfId="0" applyFont="1" applyFill="1" applyBorder="1" applyAlignment="1">
      <alignment horizontal="center" wrapText="1"/>
    </xf>
    <xf numFmtId="0" fontId="0" fillId="5" borderId="4" xfId="0" applyFont="1" applyFill="1" applyBorder="1" applyAlignment="1">
      <alignment horizontal="center" wrapText="1"/>
    </xf>
    <xf numFmtId="0" fontId="4" fillId="0" borderId="1" xfId="0" applyNumberFormat="1" applyFont="1" applyFill="1" applyBorder="1" applyAlignment="1">
      <alignment vertical="top" wrapText="1"/>
    </xf>
    <xf numFmtId="0" fontId="45" fillId="7" borderId="3" xfId="0" applyNumberFormat="1" applyFont="1" applyFill="1" applyBorder="1" applyAlignment="1">
      <alignment vertical="center" wrapText="1"/>
    </xf>
    <xf numFmtId="0" fontId="45" fillId="7" borderId="6" xfId="0" applyNumberFormat="1" applyFont="1" applyFill="1" applyBorder="1" applyAlignment="1">
      <alignment vertical="center"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6" xfId="0" applyBorder="1" applyAlignment="1">
      <alignment horizontal="left" vertical="top" wrapText="1"/>
    </xf>
    <xf numFmtId="0" fontId="0" fillId="2" borderId="3" xfId="0" applyNumberFormat="1" applyFill="1" applyBorder="1" applyAlignment="1">
      <alignment horizontal="left"/>
    </xf>
    <xf numFmtId="0" fontId="0" fillId="2" borderId="6" xfId="0" applyNumberFormat="1" applyFill="1" applyBorder="1" applyAlignment="1">
      <alignment horizontal="left"/>
    </xf>
    <xf numFmtId="0" fontId="0" fillId="2" borderId="4" xfId="0" applyNumberFormat="1" applyFill="1" applyBorder="1" applyAlignment="1">
      <alignment horizontal="left"/>
    </xf>
    <xf numFmtId="0" fontId="10" fillId="0" borderId="1" xfId="0" applyFont="1" applyBorder="1" applyAlignment="1">
      <alignment horizontal="left" vertical="top"/>
    </xf>
    <xf numFmtId="0" fontId="0" fillId="7" borderId="14" xfId="0" applyNumberFormat="1" applyFill="1" applyBorder="1" applyAlignment="1">
      <alignment horizontal="left" wrapText="1"/>
    </xf>
    <xf numFmtId="0" fontId="0" fillId="2" borderId="5" xfId="0" applyFill="1" applyBorder="1" applyAlignment="1">
      <alignment horizontal="left" vertical="top" wrapText="1"/>
    </xf>
    <xf numFmtId="0" fontId="0" fillId="2" borderId="1" xfId="0" applyFill="1" applyBorder="1" applyAlignment="1">
      <alignment horizontal="left" vertical="top" wrapText="1"/>
    </xf>
    <xf numFmtId="0" fontId="0" fillId="6" borderId="8" xfId="0" applyFont="1" applyFill="1" applyBorder="1" applyAlignment="1">
      <alignment horizontal="left" vertical="top" wrapText="1"/>
    </xf>
    <xf numFmtId="0" fontId="0" fillId="6" borderId="5" xfId="0" applyFont="1" applyFill="1" applyBorder="1" applyAlignment="1">
      <alignment horizontal="left" vertical="top" wrapText="1"/>
    </xf>
    <xf numFmtId="0" fontId="4" fillId="7" borderId="0" xfId="0" applyNumberFormat="1" applyFont="1" applyFill="1" applyBorder="1" applyAlignment="1">
      <alignment horizontal="left" wrapText="1"/>
    </xf>
    <xf numFmtId="0" fontId="16" fillId="0" borderId="11" xfId="0" applyFont="1" applyFill="1" applyBorder="1" applyAlignment="1">
      <alignment horizontal="left" vertical="top" wrapText="1"/>
    </xf>
    <xf numFmtId="0" fontId="16" fillId="0" borderId="14" xfId="0" applyFont="1" applyFill="1" applyBorder="1" applyAlignment="1">
      <alignment horizontal="left" vertical="top" wrapText="1"/>
    </xf>
    <xf numFmtId="0" fontId="16" fillId="0" borderId="9" xfId="0" applyFont="1" applyFill="1" applyBorder="1" applyAlignment="1">
      <alignment horizontal="left" vertical="top" wrapText="1"/>
    </xf>
    <xf numFmtId="0" fontId="16" fillId="0" borderId="13" xfId="0" applyFont="1" applyFill="1" applyBorder="1" applyAlignment="1">
      <alignment horizontal="left" vertical="top" wrapText="1"/>
    </xf>
    <xf numFmtId="0" fontId="16" fillId="0" borderId="0" xfId="0" applyFont="1" applyFill="1" applyBorder="1" applyAlignment="1">
      <alignment horizontal="left" vertical="top" wrapText="1"/>
    </xf>
    <xf numFmtId="0" fontId="16" fillId="0" borderId="10" xfId="0" applyFont="1" applyFill="1" applyBorder="1" applyAlignment="1">
      <alignment horizontal="left" vertical="top" wrapText="1"/>
    </xf>
    <xf numFmtId="0" fontId="16" fillId="0" borderId="12" xfId="0" applyFont="1" applyFill="1" applyBorder="1" applyAlignment="1">
      <alignment horizontal="left" vertical="top" wrapText="1"/>
    </xf>
    <xf numFmtId="0" fontId="16" fillId="0" borderId="15" xfId="0" applyFont="1" applyFill="1" applyBorder="1" applyAlignment="1">
      <alignment horizontal="left" vertical="top" wrapText="1"/>
    </xf>
    <xf numFmtId="0" fontId="16" fillId="0" borderId="2"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6" borderId="14" xfId="0" applyFont="1" applyFill="1" applyBorder="1" applyAlignment="1">
      <alignment horizontal="left" vertical="top" wrapText="1"/>
    </xf>
    <xf numFmtId="0" fontId="0" fillId="6" borderId="9" xfId="0" applyFont="1" applyFill="1" applyBorder="1" applyAlignment="1">
      <alignment horizontal="left" vertical="top" wrapText="1"/>
    </xf>
    <xf numFmtId="0" fontId="0" fillId="6" borderId="13" xfId="0" applyFont="1" applyFill="1" applyBorder="1" applyAlignment="1">
      <alignment horizontal="left" vertical="center"/>
    </xf>
    <xf numFmtId="0" fontId="0" fillId="6" borderId="0" xfId="0" applyFont="1" applyFill="1" applyBorder="1" applyAlignment="1">
      <alignment horizontal="left" vertical="center"/>
    </xf>
    <xf numFmtId="0" fontId="0" fillId="6" borderId="10" xfId="0" applyFont="1" applyFill="1" applyBorder="1" applyAlignment="1">
      <alignment horizontal="left" vertical="center"/>
    </xf>
    <xf numFmtId="0" fontId="0" fillId="6" borderId="12" xfId="0" applyFont="1" applyFill="1" applyBorder="1" applyAlignment="1">
      <alignment horizontal="left" vertical="center"/>
    </xf>
    <xf numFmtId="0" fontId="0" fillId="6" borderId="15" xfId="0" applyFont="1" applyFill="1" applyBorder="1" applyAlignment="1">
      <alignment horizontal="left" vertical="center"/>
    </xf>
    <xf numFmtId="0" fontId="0" fillId="6" borderId="2" xfId="0" applyFont="1" applyFill="1" applyBorder="1" applyAlignment="1">
      <alignment horizontal="left" vertical="center"/>
    </xf>
    <xf numFmtId="0" fontId="4" fillId="2" borderId="3" xfId="0" applyFont="1" applyFill="1" applyBorder="1" applyAlignment="1">
      <alignment horizontal="left" vertical="top" wrapText="1"/>
    </xf>
    <xf numFmtId="0" fontId="4" fillId="2" borderId="6" xfId="0" applyFont="1" applyFill="1" applyBorder="1" applyAlignment="1">
      <alignment horizontal="left" vertical="top" wrapText="1"/>
    </xf>
    <xf numFmtId="0" fontId="4" fillId="2" borderId="4" xfId="0" applyFont="1" applyFill="1" applyBorder="1" applyAlignment="1">
      <alignment horizontal="left" vertical="top" wrapText="1"/>
    </xf>
    <xf numFmtId="0" fontId="0" fillId="0" borderId="3" xfId="0" applyBorder="1" applyAlignment="1">
      <alignment horizontal="left"/>
    </xf>
    <xf numFmtId="0" fontId="0" fillId="0" borderId="6" xfId="0" applyBorder="1" applyAlignment="1">
      <alignment horizontal="left"/>
    </xf>
    <xf numFmtId="0" fontId="0" fillId="0" borderId="4" xfId="0" applyBorder="1" applyAlignment="1">
      <alignment horizontal="left"/>
    </xf>
    <xf numFmtId="0" fontId="0" fillId="2" borderId="3" xfId="0" applyFill="1" applyBorder="1" applyAlignment="1">
      <alignment horizontal="left" vertical="top" wrapText="1"/>
    </xf>
    <xf numFmtId="0" fontId="0" fillId="2" borderId="6" xfId="0" applyFill="1" applyBorder="1" applyAlignment="1">
      <alignment horizontal="left" vertical="top"/>
    </xf>
    <xf numFmtId="0" fontId="0" fillId="2" borderId="4" xfId="0" applyFill="1" applyBorder="1" applyAlignment="1">
      <alignment horizontal="left" vertical="top"/>
    </xf>
    <xf numFmtId="0" fontId="0" fillId="7" borderId="14" xfId="0" applyFill="1" applyBorder="1" applyAlignment="1">
      <alignment horizontal="left" vertical="center" wrapText="1"/>
    </xf>
    <xf numFmtId="0" fontId="0" fillId="2" borderId="14" xfId="0" applyFill="1" applyBorder="1" applyAlignment="1">
      <alignment horizontal="center" vertical="center" wrapText="1"/>
    </xf>
    <xf numFmtId="0" fontId="0" fillId="2" borderId="0"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42" xfId="0" applyFill="1" applyBorder="1" applyAlignment="1">
      <alignment horizontal="left"/>
    </xf>
    <xf numFmtId="0" fontId="0" fillId="2" borderId="43" xfId="0" applyFill="1" applyBorder="1" applyAlignment="1">
      <alignment horizontal="left"/>
    </xf>
    <xf numFmtId="0" fontId="0" fillId="2" borderId="16" xfId="0" applyFill="1" applyBorder="1" applyAlignment="1">
      <alignment horizontal="left"/>
    </xf>
    <xf numFmtId="0" fontId="0" fillId="2" borderId="44" xfId="0" applyFill="1" applyBorder="1" applyAlignment="1">
      <alignment horizontal="left"/>
    </xf>
    <xf numFmtId="0" fontId="0" fillId="2" borderId="0" xfId="0" applyFill="1" applyBorder="1" applyAlignment="1">
      <alignment horizontal="left"/>
    </xf>
    <xf numFmtId="0" fontId="0" fillId="2" borderId="17" xfId="0" applyFill="1" applyBorder="1" applyAlignment="1">
      <alignment horizontal="left"/>
    </xf>
    <xf numFmtId="0" fontId="0" fillId="2" borderId="45" xfId="0" applyFill="1" applyBorder="1" applyAlignment="1">
      <alignment horizontal="left"/>
    </xf>
    <xf numFmtId="0" fontId="0" fillId="2" borderId="46" xfId="0" applyFill="1" applyBorder="1" applyAlignment="1">
      <alignment horizontal="left"/>
    </xf>
    <xf numFmtId="0" fontId="0" fillId="2" borderId="18" xfId="0" applyFill="1" applyBorder="1" applyAlignment="1">
      <alignment horizontal="left"/>
    </xf>
    <xf numFmtId="0" fontId="0" fillId="9" borderId="23" xfId="0" applyFill="1" applyBorder="1" applyAlignment="1">
      <alignment horizontal="left" wrapText="1"/>
    </xf>
    <xf numFmtId="0" fontId="0" fillId="9" borderId="22" xfId="0" applyFill="1" applyBorder="1" applyAlignment="1">
      <alignment horizontal="left" wrapText="1"/>
    </xf>
    <xf numFmtId="0" fontId="0" fillId="9" borderId="21" xfId="0" applyFill="1" applyBorder="1" applyAlignment="1">
      <alignment horizontal="left" wrapText="1"/>
    </xf>
    <xf numFmtId="0" fontId="0" fillId="9" borderId="23" xfId="0" applyFont="1" applyFill="1" applyBorder="1" applyAlignment="1">
      <alignment horizontal="left" vertical="center"/>
    </xf>
    <xf numFmtId="0" fontId="0" fillId="9" borderId="22" xfId="0" applyFont="1" applyFill="1" applyBorder="1" applyAlignment="1">
      <alignment horizontal="left" vertical="center"/>
    </xf>
    <xf numFmtId="0" fontId="0" fillId="9" borderId="21" xfId="0" applyFont="1" applyFill="1" applyBorder="1" applyAlignment="1">
      <alignment horizontal="left" vertical="center"/>
    </xf>
    <xf numFmtId="0" fontId="0" fillId="9" borderId="23" xfId="0" applyFill="1" applyBorder="1" applyAlignment="1">
      <alignment horizontal="left" vertical="center"/>
    </xf>
    <xf numFmtId="0" fontId="0" fillId="9" borderId="22" xfId="0" applyFill="1" applyBorder="1" applyAlignment="1">
      <alignment horizontal="left" vertical="center"/>
    </xf>
    <xf numFmtId="0" fontId="0" fillId="9" borderId="21" xfId="0" applyFill="1" applyBorder="1" applyAlignment="1">
      <alignment horizontal="left" vertical="center"/>
    </xf>
    <xf numFmtId="0" fontId="32" fillId="9" borderId="36" xfId="1" applyFont="1" applyFill="1" applyBorder="1" applyAlignment="1">
      <alignment horizontal="center"/>
    </xf>
    <xf numFmtId="0" fontId="32" fillId="9" borderId="37" xfId="1" applyFont="1" applyFill="1" applyBorder="1" applyAlignment="1">
      <alignment horizontal="center"/>
    </xf>
    <xf numFmtId="0" fontId="32" fillId="9" borderId="38" xfId="1" applyFont="1" applyFill="1" applyBorder="1" applyAlignment="1">
      <alignment horizontal="center"/>
    </xf>
    <xf numFmtId="0" fontId="4" fillId="9" borderId="23" xfId="0" applyFont="1" applyFill="1" applyBorder="1" applyAlignment="1">
      <alignment horizontal="left" vertical="center"/>
    </xf>
    <xf numFmtId="0" fontId="4" fillId="9" borderId="22" xfId="0" applyFont="1" applyFill="1" applyBorder="1" applyAlignment="1">
      <alignment horizontal="left" vertical="center"/>
    </xf>
    <xf numFmtId="0" fontId="4" fillId="9" borderId="21" xfId="0" applyFont="1" applyFill="1" applyBorder="1" applyAlignment="1">
      <alignment horizontal="left" vertical="center"/>
    </xf>
    <xf numFmtId="0" fontId="0" fillId="9" borderId="23" xfId="0" applyFill="1" applyBorder="1" applyAlignment="1">
      <alignment horizontal="left" vertical="center" wrapText="1"/>
    </xf>
    <xf numFmtId="0" fontId="0" fillId="9" borderId="22" xfId="0" applyFill="1" applyBorder="1" applyAlignment="1">
      <alignment horizontal="left" vertical="center" wrapText="1"/>
    </xf>
    <xf numFmtId="0" fontId="0" fillId="9" borderId="21" xfId="0" applyFill="1" applyBorder="1" applyAlignment="1">
      <alignment horizontal="left" vertical="center" wrapText="1"/>
    </xf>
    <xf numFmtId="0" fontId="0" fillId="9" borderId="42" xfId="0" applyFill="1" applyBorder="1" applyAlignment="1">
      <alignment horizontal="left" vertical="center" wrapText="1"/>
    </xf>
    <xf numFmtId="0" fontId="0" fillId="9" borderId="44" xfId="0" applyFill="1" applyBorder="1" applyAlignment="1">
      <alignment horizontal="left" vertical="center" wrapText="1"/>
    </xf>
    <xf numFmtId="0" fontId="0" fillId="9" borderId="45" xfId="0" applyFill="1" applyBorder="1" applyAlignment="1">
      <alignment horizontal="left" vertical="center" wrapText="1"/>
    </xf>
    <xf numFmtId="0" fontId="0" fillId="2" borderId="1" xfId="0" applyFont="1" applyFill="1" applyBorder="1" applyAlignment="1">
      <alignment vertical="top" wrapText="1"/>
    </xf>
    <xf numFmtId="0" fontId="6" fillId="2" borderId="1" xfId="0" applyFont="1" applyFill="1" applyBorder="1" applyAlignment="1">
      <alignment vertical="top" wrapText="1"/>
    </xf>
    <xf numFmtId="3" fontId="4" fillId="2" borderId="1" xfId="0" quotePrefix="1" applyNumberFormat="1" applyFont="1" applyFill="1" applyBorder="1" applyAlignment="1">
      <alignment horizontal="right"/>
    </xf>
  </cellXfs>
  <cellStyles count="4">
    <cellStyle name="Comma" xfId="3" builtinId="3"/>
    <cellStyle name="Hyperlink" xfId="1" builtinId="8"/>
    <cellStyle name="Normal" xfId="0" builtinId="0"/>
    <cellStyle name="Standard_Tabelle1" xfId="2"/>
  </cellStyles>
  <dxfs count="105">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648940"/>
      <color rgb="FF0000FF"/>
      <color rgb="FF667D35"/>
      <color rgb="FF000082"/>
      <color rgb="FF00008A"/>
      <color rgb="FFC8C8FF"/>
      <color rgb="FFE1E1FF"/>
      <color rgb="FF9B9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4" dropStyle="combo" dx="16" fmlaLink="$C$11" fmlaRange="$E$8:$E$9" noThreeD="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4" dropStyle="combo" dx="16" fmlaLink="$D$5" fmlaRange="$N$10:$N$13" noThreeD="1" sel="1" val="0"/>
</file>

<file path=xl/ctrlProps/ctrlProp16.xml><?xml version="1.0" encoding="utf-8"?>
<formControlPr xmlns="http://schemas.microsoft.com/office/spreadsheetml/2009/9/main" objectType="Drop" dropStyle="combo" dx="16" fmlaLink="$C$50" fmlaRange="$M$10:$M$12" noThreeD="1" sel="2" val="0"/>
</file>

<file path=xl/ctrlProps/ctrlProp17.xml><?xml version="1.0" encoding="utf-8"?>
<formControlPr xmlns="http://schemas.microsoft.com/office/spreadsheetml/2009/9/main" objectType="CheckBox" fmlaLink="C44" lockText="1" noThreeD="1"/>
</file>

<file path=xl/ctrlProps/ctrlProp18.xml><?xml version="1.0" encoding="utf-8"?>
<formControlPr xmlns="http://schemas.microsoft.com/office/spreadsheetml/2009/9/main" objectType="CheckBox" fmlaLink="C45" lockText="1" noThreeD="1"/>
</file>

<file path=xl/ctrlProps/ctrlProp19.xml><?xml version="1.0" encoding="utf-8"?>
<formControlPr xmlns="http://schemas.microsoft.com/office/spreadsheetml/2009/9/main" objectType="CheckBox" fmlaLink="C46" lockText="1" noThreeD="1"/>
</file>

<file path=xl/ctrlProps/ctrlProp20.xml><?xml version="1.0" encoding="utf-8"?>
<formControlPr xmlns="http://schemas.microsoft.com/office/spreadsheetml/2009/9/main" objectType="Drop" dropStyle="combo" dx="16" fmlaLink="$C$48" fmlaRange="$M$10:$M$12" noThreeD="1"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Drop" dropStyle="combo" dx="16" fmlaLink="C6" fmlaRange="F8:F9" noThreeD="1" sel="2" val="0"/>
</file>

<file path=xl/ctrlProps/ctrlProp27.xml><?xml version="1.0" encoding="utf-8"?>
<formControlPr xmlns="http://schemas.microsoft.com/office/spreadsheetml/2009/9/main" objectType="Drop" dropStyle="combo" dx="16" fmlaLink="C13" fmlaRange="F8:F9" noThreeD="1" sel="2"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Drop" dropStyle="combo" dx="16" fmlaLink="C4" fmlaRange="P5:P6" noThreeD="1" sel="2" val="0"/>
</file>

<file path=xl/ctrlProps/ctrlProp31.xml><?xml version="1.0" encoding="utf-8"?>
<formControlPr xmlns="http://schemas.microsoft.com/office/spreadsheetml/2009/9/main" objectType="Drop" dropStyle="combo" dx="16" fmlaLink="C9" fmlaRange="P5:P6" noThreeD="1" sel="2" val="0"/>
</file>

<file path=xl/ctrlProps/ctrlProp32.xml><?xml version="1.0" encoding="utf-8"?>
<formControlPr xmlns="http://schemas.microsoft.com/office/spreadsheetml/2009/9/main" objectType="Drop" dropStyle="combo" dx="16" fmlaLink="C12" fmlaRange="P5:P6" noThreeD="1" sel="2" val="0"/>
</file>

<file path=xl/ctrlProps/ctrlProp33.xml><?xml version="1.0" encoding="utf-8"?>
<formControlPr xmlns="http://schemas.microsoft.com/office/spreadsheetml/2009/9/main" objectType="CheckBox" fmlaLink="$C$16" lockText="1" noThreeD="1"/>
</file>

<file path=xl/ctrlProps/ctrlProp34.xml><?xml version="1.0" encoding="utf-8"?>
<formControlPr xmlns="http://schemas.microsoft.com/office/spreadsheetml/2009/9/main" objectType="CheckBox" fmlaLink="$E$16" lockText="1" noThreeD="1"/>
</file>

<file path=xl/ctrlProps/ctrlProp35.xml><?xml version="1.0" encoding="utf-8"?>
<formControlPr xmlns="http://schemas.microsoft.com/office/spreadsheetml/2009/9/main" objectType="Drop" dropStyle="combo" dx="16" fmlaLink="C20" fmlaRange="P5:P6" noThreeD="1" sel="2" val="0"/>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Style="combo" dx="16" fmlaLink="F4" fmlaRange="$U$4:$U$5"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16" fmlaLink="C11" fmlaRange="L10:L11" noThreeD="1" sel="2" val="0"/>
</file>

<file path=xl/ctrlProps/ctrlProp42.xml><?xml version="1.0" encoding="utf-8"?>
<formControlPr xmlns="http://schemas.microsoft.com/office/spreadsheetml/2009/9/main" objectType="Drop" dropStyle="combo" dx="16" fmlaLink="$C$14" fmlaRange="$L$13:$L$14" noThreeD="1" sel="2" val="0"/>
</file>

<file path=xl/ctrlProps/ctrlProp43.xml><?xml version="1.0" encoding="utf-8"?>
<formControlPr xmlns="http://schemas.microsoft.com/office/spreadsheetml/2009/9/main" objectType="Drop" dropStyle="combo" dx="16" fmlaLink="$C$4" fmlaRange="$L$13:$L$14" noThreeD="1" sel="2"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Drop" dropStyle="combo" dx="16" fmlaLink="$C$8" fmlaRange="$L$13:$L$14" noThreeD="1" sel="2" val="0"/>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5769765</xdr:colOff>
      <xdr:row>16</xdr:row>
      <xdr:rowOff>66677</xdr:rowOff>
    </xdr:from>
    <xdr:to>
      <xdr:col>1</xdr:col>
      <xdr:colOff>7727682</xdr:colOff>
      <xdr:row>28</xdr:row>
      <xdr:rowOff>154783</xdr:rowOff>
    </xdr:to>
    <xdr:sp macro="" textlink="">
      <xdr:nvSpPr>
        <xdr:cNvPr id="8" name="Rectangle 7"/>
        <xdr:cNvSpPr/>
      </xdr:nvSpPr>
      <xdr:spPr>
        <a:xfrm>
          <a:off x="6019796" y="5281615"/>
          <a:ext cx="1957917" cy="2374106"/>
        </a:xfrm>
        <a:prstGeom prst="rect">
          <a:avLst/>
        </a:prstGeom>
        <a:solidFill>
          <a:schemeClr val="accent6">
            <a:lumMod val="40000"/>
            <a:lumOff val="60000"/>
          </a:schemeClr>
        </a:solidFill>
        <a:ln>
          <a:solidFill>
            <a:schemeClr val="tx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5981428</xdr:colOff>
      <xdr:row>18</xdr:row>
      <xdr:rowOff>128059</xdr:rowOff>
    </xdr:from>
    <xdr:to>
      <xdr:col>1</xdr:col>
      <xdr:colOff>6135733</xdr:colOff>
      <xdr:row>19</xdr:row>
      <xdr:rowOff>80434</xdr:rowOff>
    </xdr:to>
    <xdr:sp macro="" textlink="">
      <xdr:nvSpPr>
        <xdr:cNvPr id="9" name="Rectangle 8"/>
        <xdr:cNvSpPr/>
      </xdr:nvSpPr>
      <xdr:spPr>
        <a:xfrm>
          <a:off x="6231459" y="5723997"/>
          <a:ext cx="154305" cy="142875"/>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5981428</xdr:colOff>
      <xdr:row>24</xdr:row>
      <xdr:rowOff>6340</xdr:rowOff>
    </xdr:from>
    <xdr:to>
      <xdr:col>1</xdr:col>
      <xdr:colOff>6135733</xdr:colOff>
      <xdr:row>24</xdr:row>
      <xdr:rowOff>149215</xdr:rowOff>
    </xdr:to>
    <xdr:sp macro="" textlink="">
      <xdr:nvSpPr>
        <xdr:cNvPr id="11" name="Rectangle 10"/>
        <xdr:cNvSpPr/>
      </xdr:nvSpPr>
      <xdr:spPr>
        <a:xfrm>
          <a:off x="6231459" y="6745278"/>
          <a:ext cx="154305" cy="142875"/>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5981428</xdr:colOff>
      <xdr:row>25</xdr:row>
      <xdr:rowOff>143921</xdr:rowOff>
    </xdr:from>
    <xdr:to>
      <xdr:col>1</xdr:col>
      <xdr:colOff>6135733</xdr:colOff>
      <xdr:row>26</xdr:row>
      <xdr:rowOff>96296</xdr:rowOff>
    </xdr:to>
    <xdr:sp macro="" textlink="">
      <xdr:nvSpPr>
        <xdr:cNvPr id="12" name="Rectangle 11"/>
        <xdr:cNvSpPr/>
      </xdr:nvSpPr>
      <xdr:spPr>
        <a:xfrm>
          <a:off x="6231459" y="7073359"/>
          <a:ext cx="154305" cy="142875"/>
        </a:xfrm>
        <a:prstGeom prst="rect">
          <a:avLst/>
        </a:prstGeom>
        <a:solidFill>
          <a:schemeClr val="accent2">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5981428</xdr:colOff>
      <xdr:row>27</xdr:row>
      <xdr:rowOff>112168</xdr:rowOff>
    </xdr:from>
    <xdr:to>
      <xdr:col>1</xdr:col>
      <xdr:colOff>6135733</xdr:colOff>
      <xdr:row>28</xdr:row>
      <xdr:rowOff>64543</xdr:rowOff>
    </xdr:to>
    <xdr:sp macro="" textlink="">
      <xdr:nvSpPr>
        <xdr:cNvPr id="13" name="Rectangle 12"/>
        <xdr:cNvSpPr/>
      </xdr:nvSpPr>
      <xdr:spPr>
        <a:xfrm>
          <a:off x="6231459" y="7422606"/>
          <a:ext cx="154305" cy="142875"/>
        </a:xfrm>
        <a:prstGeom prst="rect">
          <a:avLst/>
        </a:prstGeom>
        <a:solidFill>
          <a:schemeClr val="bg1">
            <a:lumMod val="5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6108432</xdr:colOff>
      <xdr:row>18</xdr:row>
      <xdr:rowOff>64561</xdr:rowOff>
    </xdr:from>
    <xdr:to>
      <xdr:col>2</xdr:col>
      <xdr:colOff>39683</xdr:colOff>
      <xdr:row>29</xdr:row>
      <xdr:rowOff>47626</xdr:rowOff>
    </xdr:to>
    <xdr:sp macro="" textlink="">
      <xdr:nvSpPr>
        <xdr:cNvPr id="14" name="TextBox 13"/>
        <xdr:cNvSpPr txBox="1"/>
      </xdr:nvSpPr>
      <xdr:spPr>
        <a:xfrm>
          <a:off x="6358463" y="5660499"/>
          <a:ext cx="2039408" cy="207856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Required field</a:t>
          </a:r>
        </a:p>
        <a:p>
          <a:endParaRPr lang="en-US" sz="1100"/>
        </a:p>
        <a:p>
          <a:r>
            <a:rPr lang="en-US" sz="1100"/>
            <a:t>Optional field</a:t>
          </a:r>
        </a:p>
        <a:p>
          <a:endParaRPr lang="en-US" sz="1100"/>
        </a:p>
        <a:p>
          <a:r>
            <a:rPr lang="en-US" sz="1100"/>
            <a:t>Space for user entry</a:t>
          </a:r>
        </a:p>
        <a:p>
          <a:endParaRPr lang="en-US" sz="1100"/>
        </a:p>
        <a:p>
          <a:r>
            <a:rPr lang="en-US" sz="1100"/>
            <a:t>Reference information</a:t>
          </a:r>
        </a:p>
        <a:p>
          <a:endParaRPr lang="en-US" sz="1100"/>
        </a:p>
        <a:p>
          <a:r>
            <a:rPr lang="en-US" sz="1100"/>
            <a:t>Formula</a:t>
          </a:r>
          <a:r>
            <a:rPr lang="en-US" sz="1100" baseline="0"/>
            <a:t> included</a:t>
          </a:r>
        </a:p>
        <a:p>
          <a:endParaRPr lang="en-US" sz="1100" baseline="0"/>
        </a:p>
        <a:p>
          <a:r>
            <a:rPr lang="en-US" sz="1100" baseline="0"/>
            <a:t>Not applicable</a:t>
          </a:r>
          <a:endParaRPr lang="en-US" sz="1100"/>
        </a:p>
      </xdr:txBody>
    </xdr:sp>
    <xdr:clientData/>
  </xdr:twoCellAnchor>
  <xdr:twoCellAnchor>
    <xdr:from>
      <xdr:col>1</xdr:col>
      <xdr:colOff>5865015</xdr:colOff>
      <xdr:row>16</xdr:row>
      <xdr:rowOff>75143</xdr:rowOff>
    </xdr:from>
    <xdr:to>
      <xdr:col>1</xdr:col>
      <xdr:colOff>7748848</xdr:colOff>
      <xdr:row>18</xdr:row>
      <xdr:rowOff>53977</xdr:rowOff>
    </xdr:to>
    <xdr:sp macro="" textlink="">
      <xdr:nvSpPr>
        <xdr:cNvPr id="15" name="TextBox 14"/>
        <xdr:cNvSpPr txBox="1"/>
      </xdr:nvSpPr>
      <xdr:spPr>
        <a:xfrm>
          <a:off x="6115046" y="5290081"/>
          <a:ext cx="1883833" cy="35983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Legend (cell</a:t>
          </a:r>
          <a:r>
            <a:rPr lang="en-US" sz="1100" b="1" baseline="0"/>
            <a:t> </a:t>
          </a:r>
          <a:r>
            <a:rPr lang="en-US" sz="1100" b="1"/>
            <a:t>colors):</a:t>
          </a:r>
        </a:p>
      </xdr:txBody>
    </xdr:sp>
    <xdr:clientData/>
  </xdr:twoCellAnchor>
  <xdr:twoCellAnchor>
    <xdr:from>
      <xdr:col>1</xdr:col>
      <xdr:colOff>5981428</xdr:colOff>
      <xdr:row>22</xdr:row>
      <xdr:rowOff>51855</xdr:rowOff>
    </xdr:from>
    <xdr:to>
      <xdr:col>1</xdr:col>
      <xdr:colOff>6135733</xdr:colOff>
      <xdr:row>23</xdr:row>
      <xdr:rowOff>4230</xdr:rowOff>
    </xdr:to>
    <xdr:sp macro="" textlink="">
      <xdr:nvSpPr>
        <xdr:cNvPr id="16" name="Rectangle 15"/>
        <xdr:cNvSpPr/>
      </xdr:nvSpPr>
      <xdr:spPr>
        <a:xfrm>
          <a:off x="6231459" y="6409793"/>
          <a:ext cx="154305" cy="1428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9525</xdr:colOff>
      <xdr:row>1</xdr:row>
      <xdr:rowOff>9525</xdr:rowOff>
    </xdr:from>
    <xdr:to>
      <xdr:col>1</xdr:col>
      <xdr:colOff>2295525</xdr:colOff>
      <xdr:row>3</xdr:row>
      <xdr:rowOff>18528</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7175" y="200025"/>
          <a:ext cx="2286000" cy="1028178"/>
        </a:xfrm>
        <a:prstGeom prst="rect">
          <a:avLst/>
        </a:prstGeom>
      </xdr:spPr>
    </xdr:pic>
    <xdr:clientData/>
  </xdr:twoCellAnchor>
  <xdr:twoCellAnchor>
    <xdr:from>
      <xdr:col>1</xdr:col>
      <xdr:colOff>2857498</xdr:colOff>
      <xdr:row>1</xdr:row>
      <xdr:rowOff>277286</xdr:rowOff>
    </xdr:from>
    <xdr:to>
      <xdr:col>1</xdr:col>
      <xdr:colOff>7135281</xdr:colOff>
      <xdr:row>2</xdr:row>
      <xdr:rowOff>21168</xdr:rowOff>
    </xdr:to>
    <xdr:sp macro="" textlink="">
      <xdr:nvSpPr>
        <xdr:cNvPr id="17" name="TextBox 16"/>
        <xdr:cNvSpPr txBox="1"/>
      </xdr:nvSpPr>
      <xdr:spPr>
        <a:xfrm>
          <a:off x="3100915" y="467786"/>
          <a:ext cx="4277783" cy="5693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t>FLW STANDARD </a:t>
          </a:r>
          <a:r>
            <a:rPr lang="en-US" sz="1400" b="1"/>
            <a:t>INVENTORY REPORTING TEMPLATE</a:t>
          </a:r>
        </a:p>
        <a:p>
          <a:pPr algn="ctr"/>
          <a:r>
            <a:rPr lang="en-US" sz="1200" b="1"/>
            <a:t>(June 2016)</a:t>
          </a:r>
        </a:p>
      </xdr:txBody>
    </xdr:sp>
    <xdr:clientData/>
  </xdr:twoCellAnchor>
  <mc:AlternateContent xmlns:mc="http://schemas.openxmlformats.org/markup-compatibility/2006">
    <mc:Choice xmlns:a14="http://schemas.microsoft.com/office/drawing/2010/main" Requires="a14">
      <xdr:twoCellAnchor>
        <xdr:from>
          <xdr:col>1</xdr:col>
          <xdr:colOff>3114675</xdr:colOff>
          <xdr:row>16</xdr:row>
          <xdr:rowOff>85725</xdr:rowOff>
        </xdr:from>
        <xdr:to>
          <xdr:col>1</xdr:col>
          <xdr:colOff>5172075</xdr:colOff>
          <xdr:row>19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CLICK HERE TO START</a:t>
              </a:r>
              <a:endParaRPr lang="en-US" sz="1100" b="0" i="0" u="none" strike="noStrike" baseline="0">
                <a:solidFill>
                  <a:srgbClr val="000000"/>
                </a:solidFill>
                <a:latin typeface="Calibri"/>
              </a:endParaRPr>
            </a:p>
            <a:p>
              <a:pPr algn="ctr" rtl="0">
                <a:defRPr sz="1000"/>
              </a:pPr>
              <a:r>
                <a:rPr lang="en-US" sz="1100" b="0" i="0" u="none" strike="noStrike" baseline="0">
                  <a:solidFill>
                    <a:srgbClr val="000000"/>
                  </a:solidFill>
                  <a:latin typeface="Calibri"/>
                </a:rPr>
                <a:t>(Go to Tab I - General information)</a:t>
              </a:r>
            </a:p>
          </xdr:txBody>
        </xdr:sp>
        <xdr:clientData fPrintsWithSheet="0"/>
      </xdr:twoCellAnchor>
    </mc:Choice>
    <mc:Fallback/>
  </mc:AlternateContent>
  <xdr:twoCellAnchor>
    <xdr:from>
      <xdr:col>1</xdr:col>
      <xdr:colOff>5979047</xdr:colOff>
      <xdr:row>20</xdr:row>
      <xdr:rowOff>87575</xdr:rowOff>
    </xdr:from>
    <xdr:to>
      <xdr:col>1</xdr:col>
      <xdr:colOff>6133352</xdr:colOff>
      <xdr:row>21</xdr:row>
      <xdr:rowOff>39950</xdr:rowOff>
    </xdr:to>
    <xdr:sp macro="" textlink="">
      <xdr:nvSpPr>
        <xdr:cNvPr id="18" name="Rectangle 17"/>
        <xdr:cNvSpPr/>
      </xdr:nvSpPr>
      <xdr:spPr>
        <a:xfrm>
          <a:off x="6229078" y="6064513"/>
          <a:ext cx="154305" cy="142875"/>
        </a:xfrm>
        <a:prstGeom prst="rect">
          <a:avLst/>
        </a:prstGeom>
        <a:solidFill>
          <a:schemeClr val="accent4">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44</xdr:row>
          <xdr:rowOff>1057275</xdr:rowOff>
        </xdr:from>
        <xdr:to>
          <xdr:col>4</xdr:col>
          <xdr:colOff>628650</xdr:colOff>
          <xdr:row>44</xdr:row>
          <xdr:rowOff>1971675</xdr:rowOff>
        </xdr:to>
        <xdr:sp macro="" textlink="">
          <xdr:nvSpPr>
            <xdr:cNvPr id="29714" name="Button 18" hidden="1">
              <a:extLst>
                <a:ext uri="{63B3BB69-23CF-44E3-9099-C40C66FF867C}">
                  <a14:compatExt spid="_x0000_s29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t>
              </a:r>
              <a:r>
                <a:rPr lang="en-US" sz="1100" b="1" i="0" u="none" strike="noStrike" baseline="0">
                  <a:solidFill>
                    <a:srgbClr val="000000"/>
                  </a:solidFill>
                  <a:latin typeface="Calibri"/>
                </a:rPr>
                <a:t>heck inventory reporting template for completeness</a:t>
              </a:r>
              <a:endParaRPr lang="en-US" sz="1100" b="0" i="0" u="none" strike="noStrike" baseline="0">
                <a:solidFill>
                  <a:srgbClr val="000000"/>
                </a:solidFill>
                <a:latin typeface="Calibri"/>
              </a:endParaRPr>
            </a:p>
            <a:p>
              <a:pPr algn="ctr" rtl="0">
                <a:defRPr sz="1000"/>
              </a:pPr>
              <a:endParaRPr lang="en-US" sz="1100" b="0" i="0" u="none" strike="noStrike" baseline="0">
                <a:solidFill>
                  <a:srgbClr val="000000"/>
                </a:solidFill>
                <a:latin typeface="Calibri"/>
              </a:endParaRPr>
            </a:p>
            <a:p>
              <a:pPr algn="ctr" rtl="0">
                <a:defRPr sz="1000"/>
              </a:pPr>
              <a:r>
                <a:rPr lang="en-US" sz="1100" b="0" i="0" u="none" strike="noStrike" baseline="0">
                  <a:solidFill>
                    <a:srgbClr val="FF0000"/>
                  </a:solidFill>
                  <a:latin typeface="Calibri"/>
                </a:rPr>
                <a:t>Any answers left blank will result in error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44</xdr:row>
          <xdr:rowOff>1076325</xdr:rowOff>
        </xdr:from>
        <xdr:to>
          <xdr:col>7</xdr:col>
          <xdr:colOff>523875</xdr:colOff>
          <xdr:row>44</xdr:row>
          <xdr:rowOff>1990725</xdr:rowOff>
        </xdr:to>
        <xdr:sp macro="" textlink="">
          <xdr:nvSpPr>
            <xdr:cNvPr id="29715" name="Button 19" hidden="1">
              <a:extLst>
                <a:ext uri="{63B3BB69-23CF-44E3-9099-C40C66FF867C}">
                  <a14:compatExt spid="_x0000_s297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Hide error messages</a:t>
              </a:r>
            </a:p>
          </xdr:txBody>
        </xdr:sp>
        <xdr:clientData fPrintsWithSheet="0"/>
      </xdr:twoCellAnchor>
    </mc:Choice>
    <mc:Fallback/>
  </mc:AlternateContent>
  <xdr:twoCellAnchor>
    <xdr:from>
      <xdr:col>10</xdr:col>
      <xdr:colOff>261938</xdr:colOff>
      <xdr:row>1</xdr:row>
      <xdr:rowOff>47623</xdr:rowOff>
    </xdr:from>
    <xdr:to>
      <xdr:col>12</xdr:col>
      <xdr:colOff>352425</xdr:colOff>
      <xdr:row>16</xdr:row>
      <xdr:rowOff>214312</xdr:rowOff>
    </xdr:to>
    <xdr:sp macro="" textlink="">
      <xdr:nvSpPr>
        <xdr:cNvPr id="4" name="Rectangle 3"/>
        <xdr:cNvSpPr/>
      </xdr:nvSpPr>
      <xdr:spPr>
        <a:xfrm>
          <a:off x="8634413" y="238123"/>
          <a:ext cx="2928937" cy="3395664"/>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309582</xdr:colOff>
      <xdr:row>1</xdr:row>
      <xdr:rowOff>95251</xdr:rowOff>
    </xdr:from>
    <xdr:to>
      <xdr:col>12</xdr:col>
      <xdr:colOff>371476</xdr:colOff>
      <xdr:row>16</xdr:row>
      <xdr:rowOff>130969</xdr:rowOff>
    </xdr:to>
    <xdr:sp macro="" textlink="">
      <xdr:nvSpPr>
        <xdr:cNvPr id="5" name="TextBox 4"/>
        <xdr:cNvSpPr txBox="1"/>
      </xdr:nvSpPr>
      <xdr:spPr>
        <a:xfrm>
          <a:off x="8682057" y="285751"/>
          <a:ext cx="2900344" cy="3264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Notes: </a:t>
          </a:r>
          <a:r>
            <a:rPr lang="en-US" sz="1200"/>
            <a:t>Please do not type directly in the gray area of this summary sheet</a:t>
          </a:r>
          <a:r>
            <a:rPr lang="en-US" sz="1200" baseline="0"/>
            <a:t>; the information pulls from Tabs I and II. Use Tabs I and II to correct information as necessary.</a:t>
          </a:r>
        </a:p>
        <a:p>
          <a:endParaRPr lang="en-US" sz="1200" baseline="0"/>
        </a:p>
        <a:p>
          <a:r>
            <a:rPr lang="en-US" sz="1200" baseline="0"/>
            <a:t>If any entries (e.g., on boundary) are too large for one row, resize rows as necessary.</a:t>
          </a:r>
        </a:p>
        <a:p>
          <a:endParaRPr lang="en-US" sz="1200" baseline="0"/>
        </a:p>
        <a:p>
          <a:r>
            <a:rPr lang="en-US" sz="1200" baseline="0"/>
            <a:t>For five of the destinations—animal feed, bio-based materials/biochemical  processing, land application, not harvested/plowed-in, and refuse/discards/litter—FLW is generally valorized or not, so a "default" yes/no on valorization is already entered into column H in the summary.</a:t>
          </a:r>
        </a:p>
        <a:p>
          <a:endParaRPr lang="en-US" sz="1200" baseline="0"/>
        </a:p>
      </xdr:txBody>
    </xdr:sp>
    <xdr:clientData/>
  </xdr:twoCellAnchor>
  <mc:AlternateContent xmlns:mc="http://schemas.openxmlformats.org/markup-compatibility/2006">
    <mc:Choice xmlns:a14="http://schemas.microsoft.com/office/drawing/2010/main" Requires="a14">
      <xdr:twoCellAnchor>
        <xdr:from>
          <xdr:col>3</xdr:col>
          <xdr:colOff>161925</xdr:colOff>
          <xdr:row>44</xdr:row>
          <xdr:rowOff>323850</xdr:rowOff>
        </xdr:from>
        <xdr:to>
          <xdr:col>4</xdr:col>
          <xdr:colOff>152400</xdr:colOff>
          <xdr:row>44</xdr:row>
          <xdr:rowOff>876300</xdr:rowOff>
        </xdr:to>
        <xdr:sp macro="" textlink="">
          <xdr:nvSpPr>
            <xdr:cNvPr id="29716" name="Button 20" hidden="1">
              <a:extLst>
                <a:ext uri="{63B3BB69-23CF-44E3-9099-C40C66FF867C}">
                  <a14:compatExt spid="_x0000_s297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44</xdr:row>
          <xdr:rowOff>314325</xdr:rowOff>
        </xdr:from>
        <xdr:to>
          <xdr:col>2</xdr:col>
          <xdr:colOff>19050</xdr:colOff>
          <xdr:row>44</xdr:row>
          <xdr:rowOff>876300</xdr:rowOff>
        </xdr:to>
        <xdr:sp macro="" textlink="">
          <xdr:nvSpPr>
            <xdr:cNvPr id="29717" name="Button 21" hidden="1">
              <a:extLst>
                <a:ext uri="{63B3BB69-23CF-44E3-9099-C40C66FF867C}">
                  <a14:compatExt spid="_x0000_s297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44</xdr:row>
          <xdr:rowOff>314325</xdr:rowOff>
        </xdr:from>
        <xdr:to>
          <xdr:col>3</xdr:col>
          <xdr:colOff>76200</xdr:colOff>
          <xdr:row>44</xdr:row>
          <xdr:rowOff>876300</xdr:rowOff>
        </xdr:to>
        <xdr:sp macro="" textlink="">
          <xdr:nvSpPr>
            <xdr:cNvPr id="29718" name="Button 22" hidden="1">
              <a:extLst>
                <a:ext uri="{63B3BB69-23CF-44E3-9099-C40C66FF867C}">
                  <a14:compatExt spid="_x0000_s297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44</xdr:row>
          <xdr:rowOff>314325</xdr:rowOff>
        </xdr:from>
        <xdr:to>
          <xdr:col>5</xdr:col>
          <xdr:colOff>209550</xdr:colOff>
          <xdr:row>44</xdr:row>
          <xdr:rowOff>876300</xdr:rowOff>
        </xdr:to>
        <xdr:sp macro="" textlink="">
          <xdr:nvSpPr>
            <xdr:cNvPr id="29719" name="Button 23" hidden="1">
              <a:extLst>
                <a:ext uri="{63B3BB69-23CF-44E3-9099-C40C66FF867C}">
                  <a14:compatExt spid="_x0000_s297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IV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44</xdr:row>
          <xdr:rowOff>323850</xdr:rowOff>
        </xdr:from>
        <xdr:to>
          <xdr:col>6</xdr:col>
          <xdr:colOff>266700</xdr:colOff>
          <xdr:row>44</xdr:row>
          <xdr:rowOff>885825</xdr:rowOff>
        </xdr:to>
        <xdr:sp macro="" textlink="">
          <xdr:nvSpPr>
            <xdr:cNvPr id="29720" name="Button 24" hidden="1">
              <a:extLst>
                <a:ext uri="{63B3BB69-23CF-44E3-9099-C40C66FF867C}">
                  <a14:compatExt spid="_x0000_s297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44</xdr:row>
          <xdr:rowOff>314325</xdr:rowOff>
        </xdr:from>
        <xdr:to>
          <xdr:col>7</xdr:col>
          <xdr:colOff>333375</xdr:colOff>
          <xdr:row>44</xdr:row>
          <xdr:rowOff>876300</xdr:rowOff>
        </xdr:to>
        <xdr:sp macro="" textlink="">
          <xdr:nvSpPr>
            <xdr:cNvPr id="29721" name="Button 25" hidden="1">
              <a:extLst>
                <a:ext uri="{63B3BB69-23CF-44E3-9099-C40C66FF867C}">
                  <a14:compatExt spid="_x0000_s29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VI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44</xdr:row>
          <xdr:rowOff>323850</xdr:rowOff>
        </xdr:from>
        <xdr:to>
          <xdr:col>8</xdr:col>
          <xdr:colOff>400050</xdr:colOff>
          <xdr:row>44</xdr:row>
          <xdr:rowOff>885825</xdr:rowOff>
        </xdr:to>
        <xdr:sp macro="" textlink="">
          <xdr:nvSpPr>
            <xdr:cNvPr id="29722" name="Button 26" hidden="1">
              <a:extLst>
                <a:ext uri="{63B3BB69-23CF-44E3-9099-C40C66FF867C}">
                  <a14:compatExt spid="_x0000_s29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VII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44</xdr:row>
          <xdr:rowOff>314325</xdr:rowOff>
        </xdr:from>
        <xdr:to>
          <xdr:col>8</xdr:col>
          <xdr:colOff>1171575</xdr:colOff>
          <xdr:row>44</xdr:row>
          <xdr:rowOff>876300</xdr:rowOff>
        </xdr:to>
        <xdr:sp macro="" textlink="">
          <xdr:nvSpPr>
            <xdr:cNvPr id="29723" name="Button 27" hidden="1">
              <a:extLst>
                <a:ext uri="{63B3BB69-23CF-44E3-9099-C40C66FF867C}">
                  <a14:compatExt spid="_x0000_s297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Tab VIII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1257300</xdr:colOff>
          <xdr:row>44</xdr:row>
          <xdr:rowOff>314325</xdr:rowOff>
        </xdr:from>
        <xdr:to>
          <xdr:col>9</xdr:col>
          <xdr:colOff>19050</xdr:colOff>
          <xdr:row>44</xdr:row>
          <xdr:rowOff>876300</xdr:rowOff>
        </xdr:to>
        <xdr:sp macro="" textlink="">
          <xdr:nvSpPr>
            <xdr:cNvPr id="29724" name="Button 28" hidden="1">
              <a:extLst>
                <a:ext uri="{63B3BB69-23CF-44E3-9099-C40C66FF867C}">
                  <a14:compatExt spid="_x0000_s297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Glossary</a:t>
              </a:r>
            </a:p>
          </xdr:txBody>
        </xdr:sp>
        <xdr:clientData fPrintsWithSheet="0"/>
      </xdr:twoCellAnchor>
    </mc:Choice>
    <mc:Fallback/>
  </mc:AlternateContent>
  <xdr:twoCellAnchor>
    <xdr:from>
      <xdr:col>1</xdr:col>
      <xdr:colOff>21432</xdr:colOff>
      <xdr:row>43</xdr:row>
      <xdr:rowOff>130970</xdr:rowOff>
    </xdr:from>
    <xdr:to>
      <xdr:col>9</xdr:col>
      <xdr:colOff>0</xdr:colOff>
      <xdr:row>44</xdr:row>
      <xdr:rowOff>214314</xdr:rowOff>
    </xdr:to>
    <xdr:sp macro="" textlink="">
      <xdr:nvSpPr>
        <xdr:cNvPr id="15" name="Rectangle 14"/>
        <xdr:cNvSpPr/>
      </xdr:nvSpPr>
      <xdr:spPr>
        <a:xfrm>
          <a:off x="271463" y="8239126"/>
          <a:ext cx="6919912" cy="273844"/>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69075</xdr:colOff>
      <xdr:row>43</xdr:row>
      <xdr:rowOff>140496</xdr:rowOff>
    </xdr:from>
    <xdr:to>
      <xdr:col>9</xdr:col>
      <xdr:colOff>59530</xdr:colOff>
      <xdr:row>44</xdr:row>
      <xdr:rowOff>214314</xdr:rowOff>
    </xdr:to>
    <xdr:sp macro="" textlink="">
      <xdr:nvSpPr>
        <xdr:cNvPr id="16" name="TextBox 15"/>
        <xdr:cNvSpPr txBox="1"/>
      </xdr:nvSpPr>
      <xdr:spPr>
        <a:xfrm>
          <a:off x="319106" y="8248652"/>
          <a:ext cx="6931799" cy="264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baseline="0"/>
            <a:t>Click the buttons below to go to different tabs. Use the button at the bottom to check the inventory for completeness.</a:t>
          </a:r>
        </a:p>
        <a:p>
          <a:endParaRPr lang="en-US" sz="1200" baseline="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19050</xdr:colOff>
          <xdr:row>11</xdr:row>
          <xdr:rowOff>0</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15</xdr:row>
          <xdr:rowOff>219075</xdr:rowOff>
        </xdr:from>
        <xdr:to>
          <xdr:col>1</xdr:col>
          <xdr:colOff>2571750</xdr:colOff>
          <xdr:row>15</xdr:row>
          <xdr:rowOff>952500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II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5</xdr:col>
          <xdr:colOff>152400</xdr:colOff>
          <xdr:row>5</xdr:row>
          <xdr:rowOff>0</xdr:rowOff>
        </xdr:to>
        <xdr:sp macro="" textlink="">
          <xdr:nvSpPr>
            <xdr:cNvPr id="3339" name="Drop Down 267" hidden="1">
              <a:extLst>
                <a:ext uri="{63B3BB69-23CF-44E3-9099-C40C66FF867C}">
                  <a14:compatExt spid="_x0000_s3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4010025</xdr:colOff>
          <xdr:row>49</xdr:row>
          <xdr:rowOff>361950</xdr:rowOff>
        </xdr:from>
        <xdr:to>
          <xdr:col>3</xdr:col>
          <xdr:colOff>314325</xdr:colOff>
          <xdr:row>50</xdr:row>
          <xdr:rowOff>0</xdr:rowOff>
        </xdr:to>
        <xdr:sp macro="" textlink="">
          <xdr:nvSpPr>
            <xdr:cNvPr id="3342" name="Drop Down 270" hidden="1">
              <a:extLst>
                <a:ext uri="{63B3BB69-23CF-44E3-9099-C40C66FF867C}">
                  <a14:compatExt spid="_x0000_s3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43</xdr:row>
          <xdr:rowOff>28575</xdr:rowOff>
        </xdr:from>
        <xdr:to>
          <xdr:col>3</xdr:col>
          <xdr:colOff>171450</xdr:colOff>
          <xdr:row>44</xdr:row>
          <xdr:rowOff>0</xdr:rowOff>
        </xdr:to>
        <xdr:sp macro="" textlink="">
          <xdr:nvSpPr>
            <xdr:cNvPr id="3361" name="Check Box 289" hidden="1">
              <a:extLst>
                <a:ext uri="{63B3BB69-23CF-44E3-9099-C40C66FF867C}">
                  <a14:compatExt spid="_x0000_s3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44</xdr:row>
          <xdr:rowOff>76200</xdr:rowOff>
        </xdr:from>
        <xdr:to>
          <xdr:col>3</xdr:col>
          <xdr:colOff>180975</xdr:colOff>
          <xdr:row>44</xdr:row>
          <xdr:rowOff>485775</xdr:rowOff>
        </xdr:to>
        <xdr:sp macro="" textlink="">
          <xdr:nvSpPr>
            <xdr:cNvPr id="3362" name="Check Box 290" hidden="1">
              <a:extLst>
                <a:ext uri="{63B3BB69-23CF-44E3-9099-C40C66FF867C}">
                  <a14:compatExt spid="_x0000_s3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45</xdr:row>
          <xdr:rowOff>114300</xdr:rowOff>
        </xdr:from>
        <xdr:to>
          <xdr:col>3</xdr:col>
          <xdr:colOff>200025</xdr:colOff>
          <xdr:row>45</xdr:row>
          <xdr:rowOff>247650</xdr:rowOff>
        </xdr:to>
        <xdr:sp macro="" textlink="">
          <xdr:nvSpPr>
            <xdr:cNvPr id="3364" name="Check Box 292" hidden="1">
              <a:extLst>
                <a:ext uri="{63B3BB69-23CF-44E3-9099-C40C66FF867C}">
                  <a14:compatExt spid="_x0000_s3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523875</xdr:rowOff>
        </xdr:from>
        <xdr:to>
          <xdr:col>3</xdr:col>
          <xdr:colOff>314325</xdr:colOff>
          <xdr:row>48</xdr:row>
          <xdr:rowOff>0</xdr:rowOff>
        </xdr:to>
        <xdr:sp macro="" textlink="">
          <xdr:nvSpPr>
            <xdr:cNvPr id="3379" name="Drop Down 307" hidden="1">
              <a:extLst>
                <a:ext uri="{63B3BB69-23CF-44E3-9099-C40C66FF867C}">
                  <a14:compatExt spid="_x0000_s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33</xdr:row>
          <xdr:rowOff>28575</xdr:rowOff>
        </xdr:from>
        <xdr:to>
          <xdr:col>1</xdr:col>
          <xdr:colOff>1943100</xdr:colOff>
          <xdr:row>34</xdr:row>
          <xdr:rowOff>47625</xdr:rowOff>
        </xdr:to>
        <xdr:sp macro="" textlink="">
          <xdr:nvSpPr>
            <xdr:cNvPr id="3380" name="Button 308" hidden="1">
              <a:extLst>
                <a:ext uri="{63B3BB69-23CF-44E3-9099-C40C66FF867C}">
                  <a14:compatExt spid="_x0000_s3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HIDE</a:t>
              </a:r>
              <a:r>
                <a:rPr lang="en-US" sz="1100" b="0" i="0" u="none" strike="noStrike" baseline="0">
                  <a:solidFill>
                    <a:srgbClr val="000000"/>
                  </a:solidFill>
                  <a:latin typeface="Calibri"/>
                </a:rPr>
                <a:t> unused destinations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1990725</xdr:colOff>
          <xdr:row>33</xdr:row>
          <xdr:rowOff>28575</xdr:rowOff>
        </xdr:from>
        <xdr:to>
          <xdr:col>2</xdr:col>
          <xdr:colOff>0</xdr:colOff>
          <xdr:row>34</xdr:row>
          <xdr:rowOff>47625</xdr:rowOff>
        </xdr:to>
        <xdr:sp macro="" textlink="">
          <xdr:nvSpPr>
            <xdr:cNvPr id="3381" name="Button 309" hidden="1">
              <a:extLst>
                <a:ext uri="{63B3BB69-23CF-44E3-9099-C40C66FF867C}">
                  <a14:compatExt spid="_x0000_s3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a:t>
              </a:r>
              <a:r>
                <a:rPr lang="en-US" sz="1100" b="0" i="0" u="none" strike="noStrike" baseline="0">
                  <a:solidFill>
                    <a:srgbClr val="000000"/>
                  </a:solidFill>
                  <a:latin typeface="Calibri"/>
                </a:rPr>
                <a:t> (show all destinations)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17</xdr:row>
          <xdr:rowOff>28575</xdr:rowOff>
        </xdr:from>
        <xdr:to>
          <xdr:col>3</xdr:col>
          <xdr:colOff>1038225</xdr:colOff>
          <xdr:row>17</xdr:row>
          <xdr:rowOff>371475</xdr:rowOff>
        </xdr:to>
        <xdr:sp macro="" textlink="">
          <xdr:nvSpPr>
            <xdr:cNvPr id="3383" name="Button 311" hidden="1">
              <a:extLst>
                <a:ext uri="{63B3BB69-23CF-44E3-9099-C40C66FF867C}">
                  <a14:compatExt spid="_x0000_s33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rPr>
                <a:t>CLEAR ALL</a:t>
              </a:r>
              <a:r>
                <a:rPr lang="en-US" sz="900" b="0" i="0" u="none" strike="noStrike" baseline="0">
                  <a:solidFill>
                    <a:srgbClr val="000000"/>
                  </a:solidFill>
                  <a:latin typeface="Calibri"/>
                </a:rPr>
                <a:t> DESTINATION INFORMATION</a:t>
              </a:r>
            </a:p>
          </xdr:txBody>
        </xdr:sp>
        <xdr:clientData fPrintsWithSheet="0"/>
      </xdr:twoCellAnchor>
    </mc:Choice>
    <mc:Fallback/>
  </mc:AlternateContent>
  <xdr:twoCellAnchor>
    <xdr:from>
      <xdr:col>5</xdr:col>
      <xdr:colOff>607219</xdr:colOff>
      <xdr:row>0</xdr:row>
      <xdr:rowOff>178592</xdr:rowOff>
    </xdr:from>
    <xdr:to>
      <xdr:col>11</xdr:col>
      <xdr:colOff>0</xdr:colOff>
      <xdr:row>9</xdr:row>
      <xdr:rowOff>552450</xdr:rowOff>
    </xdr:to>
    <xdr:sp macro="" textlink="">
      <xdr:nvSpPr>
        <xdr:cNvPr id="2" name="Rectangle 1"/>
        <xdr:cNvSpPr/>
      </xdr:nvSpPr>
      <xdr:spPr>
        <a:xfrm>
          <a:off x="7208044" y="178592"/>
          <a:ext cx="5079206" cy="2717008"/>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731045</xdr:colOff>
      <xdr:row>1</xdr:row>
      <xdr:rowOff>35721</xdr:rowOff>
    </xdr:from>
    <xdr:to>
      <xdr:col>11</xdr:col>
      <xdr:colOff>57150</xdr:colOff>
      <xdr:row>9</xdr:row>
      <xdr:rowOff>581025</xdr:rowOff>
    </xdr:to>
    <xdr:sp macro="" textlink="">
      <xdr:nvSpPr>
        <xdr:cNvPr id="3" name="TextBox 2"/>
        <xdr:cNvSpPr txBox="1"/>
      </xdr:nvSpPr>
      <xdr:spPr>
        <a:xfrm>
          <a:off x="7331870" y="226221"/>
          <a:ext cx="5012530" cy="2697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Requirement: </a:t>
          </a:r>
          <a:r>
            <a:rPr lang="en-US" sz="1100" b="0" i="1">
              <a:solidFill>
                <a:schemeClr val="dk1"/>
              </a:solidFill>
              <a:effectLst/>
              <a:latin typeface="+mn-lt"/>
              <a:ea typeface="+mn-ea"/>
              <a:cs typeface="+mn-cs"/>
            </a:rPr>
            <a:t>Define and report on the scope of the FLW inventory</a:t>
          </a:r>
          <a:r>
            <a:rPr lang="en-US" sz="1100" b="0">
              <a:solidFill>
                <a:schemeClr val="dk1"/>
              </a:solidFill>
              <a:effectLst/>
              <a:latin typeface="+mn-lt"/>
              <a:ea typeface="+mn-ea"/>
              <a:cs typeface="+mn-cs"/>
            </a:rPr>
            <a:t>.</a:t>
          </a:r>
        </a:p>
        <a:p>
          <a:endParaRPr lang="en-US" sz="1100" b="1"/>
        </a:p>
        <a:p>
          <a:r>
            <a:rPr lang="en-US" sz="1100" b="1">
              <a:solidFill>
                <a:sysClr val="windowText" lastClr="000000"/>
              </a:solidFill>
            </a:rPr>
            <a:t>Notes: </a:t>
          </a:r>
          <a:r>
            <a:rPr lang="en-US" sz="1100">
              <a:solidFill>
                <a:sysClr val="windowText" lastClr="000000"/>
              </a:solidFill>
            </a:rPr>
            <a:t>Please see Chapter 6 of the </a:t>
          </a:r>
          <a:r>
            <a:rPr lang="en-US" sz="1100" i="1">
              <a:solidFill>
                <a:sysClr val="windowText" lastClr="000000"/>
              </a:solidFill>
            </a:rPr>
            <a:t>FLW Standard </a:t>
          </a:r>
          <a:r>
            <a:rPr lang="en-US" sz="1100">
              <a:solidFill>
                <a:sysClr val="windowText" lastClr="000000"/>
              </a:solidFill>
            </a:rPr>
            <a:t>for further guidance.</a:t>
          </a:r>
        </a:p>
        <a:p>
          <a:endParaRPr lang="en-US" sz="1100">
            <a:solidFill>
              <a:sysClr val="windowText" lastClr="000000"/>
            </a:solidFill>
          </a:endParaRPr>
        </a:p>
        <a:p>
          <a:r>
            <a:rPr lang="en-US" sz="1100">
              <a:solidFill>
                <a:sysClr val="windowText" lastClr="000000"/>
              </a:solidFill>
            </a:rPr>
            <a:t>Cells with red corners contain additional information. Scroll your mouse over them and content will appear.</a:t>
          </a:r>
        </a:p>
        <a:p>
          <a:endParaRPr lang="en-US" sz="1100">
            <a:solidFill>
              <a:sysClr val="windowText" lastClr="000000"/>
            </a:solidFill>
          </a:endParaRPr>
        </a:p>
        <a:p>
          <a:r>
            <a:rPr lang="en-US" sz="1100">
              <a:solidFill>
                <a:sysClr val="windowText" lastClr="000000"/>
              </a:solidFill>
            </a:rPr>
            <a:t>The pink cells in row 17 contain formulas to sum up rows. You may type directly into these cells (e.g., if you have data that are not disaggregated by destinations), but please note that the formulas will then no longer work. If</a:t>
          </a:r>
          <a:r>
            <a:rPr lang="en-US" sz="1100" baseline="0">
              <a:solidFill>
                <a:sysClr val="windowText" lastClr="000000"/>
              </a:solidFill>
            </a:rPr>
            <a:t> you accidentally type over the formulas, pressing the "clear all destination information" button will clear out all the information and also reset the formulas.</a:t>
          </a:r>
          <a:endParaRPr lang="en-US" sz="1100">
            <a:solidFill>
              <a:sysClr val="windowText" lastClr="000000"/>
            </a:solidFill>
          </a:endParaRPr>
        </a:p>
        <a:p>
          <a:endParaRPr lang="en-US" sz="1100"/>
        </a:p>
        <a:p>
          <a:r>
            <a:rPr lang="en-US" sz="1100"/>
            <a:t>This template is most useful for reporting FLW inventory results and other items required by the </a:t>
          </a:r>
          <a:r>
            <a:rPr lang="en-US" sz="1100" i="1"/>
            <a:t>FLW Standard</a:t>
          </a:r>
          <a:r>
            <a:rPr lang="en-US" sz="1100"/>
            <a:t>; it was not designed for data calculation or analysis.</a:t>
          </a:r>
        </a:p>
      </xdr:txBody>
    </xdr:sp>
    <xdr:clientData/>
  </xdr:twoCellAnchor>
  <xdr:twoCellAnchor>
    <xdr:from>
      <xdr:col>5</xdr:col>
      <xdr:colOff>859635</xdr:colOff>
      <xdr:row>9</xdr:row>
      <xdr:rowOff>647698</xdr:rowOff>
    </xdr:from>
    <xdr:to>
      <xdr:col>11</xdr:col>
      <xdr:colOff>4</xdr:colOff>
      <xdr:row>13</xdr:row>
      <xdr:rowOff>85725</xdr:rowOff>
    </xdr:to>
    <xdr:sp macro="" textlink="">
      <xdr:nvSpPr>
        <xdr:cNvPr id="67" name="Rectangle 66"/>
        <xdr:cNvSpPr/>
      </xdr:nvSpPr>
      <xdr:spPr>
        <a:xfrm>
          <a:off x="7460460" y="2990848"/>
          <a:ext cx="4826794" cy="1038227"/>
        </a:xfrm>
        <a:prstGeom prst="rect">
          <a:avLst/>
        </a:prstGeom>
        <a:solidFill>
          <a:schemeClr val="accent6">
            <a:lumMod val="40000"/>
            <a:lumOff val="60000"/>
          </a:schemeClr>
        </a:solidFill>
        <a:ln>
          <a:solidFill>
            <a:schemeClr val="tx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267845</xdr:colOff>
      <xdr:row>9</xdr:row>
      <xdr:rowOff>706703</xdr:rowOff>
    </xdr:from>
    <xdr:to>
      <xdr:col>7</xdr:col>
      <xdr:colOff>414149</xdr:colOff>
      <xdr:row>9</xdr:row>
      <xdr:rowOff>853007</xdr:rowOff>
    </xdr:to>
    <xdr:sp macro="" textlink="">
      <xdr:nvSpPr>
        <xdr:cNvPr id="68" name="Rectangle 67"/>
        <xdr:cNvSpPr/>
      </xdr:nvSpPr>
      <xdr:spPr>
        <a:xfrm>
          <a:off x="8956762" y="3045620"/>
          <a:ext cx="146304" cy="146304"/>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267843</xdr:colOff>
      <xdr:row>12</xdr:row>
      <xdr:rowOff>155038</xdr:rowOff>
    </xdr:from>
    <xdr:to>
      <xdr:col>7</xdr:col>
      <xdr:colOff>414147</xdr:colOff>
      <xdr:row>12</xdr:row>
      <xdr:rowOff>297913</xdr:rowOff>
    </xdr:to>
    <xdr:sp macro="" textlink="">
      <xdr:nvSpPr>
        <xdr:cNvPr id="69" name="Rectangle 68"/>
        <xdr:cNvSpPr/>
      </xdr:nvSpPr>
      <xdr:spPr>
        <a:xfrm>
          <a:off x="8956760" y="3732205"/>
          <a:ext cx="146304" cy="1428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190058</xdr:colOff>
      <xdr:row>9</xdr:row>
      <xdr:rowOff>657489</xdr:rowOff>
    </xdr:from>
    <xdr:to>
      <xdr:col>11</xdr:col>
      <xdr:colOff>71442</xdr:colOff>
      <xdr:row>15</xdr:row>
      <xdr:rowOff>690561</xdr:rowOff>
    </xdr:to>
    <xdr:sp macro="" textlink="">
      <xdr:nvSpPr>
        <xdr:cNvPr id="73" name="TextBox 72"/>
        <xdr:cNvSpPr txBox="1"/>
      </xdr:nvSpPr>
      <xdr:spPr>
        <a:xfrm>
          <a:off x="10781858" y="3000639"/>
          <a:ext cx="1576834" cy="215714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Reference information</a:t>
          </a:r>
        </a:p>
        <a:p>
          <a:endParaRPr lang="en-US" sz="1100"/>
        </a:p>
        <a:p>
          <a:r>
            <a:rPr lang="en-US" sz="1100"/>
            <a:t>Formula</a:t>
          </a:r>
          <a:r>
            <a:rPr lang="en-US" sz="1100" baseline="0"/>
            <a:t> included</a:t>
          </a:r>
        </a:p>
        <a:p>
          <a:endParaRPr lang="en-US" sz="1100" baseline="0"/>
        </a:p>
        <a:p>
          <a:r>
            <a:rPr lang="en-US" sz="1100" baseline="0"/>
            <a:t>Not applicable</a:t>
          </a:r>
          <a:endParaRPr lang="en-US" sz="1100"/>
        </a:p>
      </xdr:txBody>
    </xdr:sp>
    <xdr:clientData/>
  </xdr:twoCellAnchor>
  <xdr:twoCellAnchor>
    <xdr:from>
      <xdr:col>5</xdr:col>
      <xdr:colOff>930098</xdr:colOff>
      <xdr:row>11</xdr:row>
      <xdr:rowOff>25132</xdr:rowOff>
    </xdr:from>
    <xdr:to>
      <xdr:col>7</xdr:col>
      <xdr:colOff>395293</xdr:colOff>
      <xdr:row>12</xdr:row>
      <xdr:rowOff>194466</xdr:rowOff>
    </xdr:to>
    <xdr:sp macro="" textlink="">
      <xdr:nvSpPr>
        <xdr:cNvPr id="74" name="TextBox 73"/>
        <xdr:cNvSpPr txBox="1"/>
      </xdr:nvSpPr>
      <xdr:spPr>
        <a:xfrm>
          <a:off x="7530923" y="3349357"/>
          <a:ext cx="1560695" cy="35983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Legend (cell colors):</a:t>
          </a:r>
        </a:p>
      </xdr:txBody>
    </xdr:sp>
    <xdr:clientData/>
  </xdr:twoCellAnchor>
  <xdr:twoCellAnchor>
    <xdr:from>
      <xdr:col>9</xdr:col>
      <xdr:colOff>47629</xdr:colOff>
      <xdr:row>9</xdr:row>
      <xdr:rowOff>711992</xdr:rowOff>
    </xdr:from>
    <xdr:to>
      <xdr:col>9</xdr:col>
      <xdr:colOff>193933</xdr:colOff>
      <xdr:row>10</xdr:row>
      <xdr:rowOff>1046</xdr:rowOff>
    </xdr:to>
    <xdr:sp macro="" textlink="">
      <xdr:nvSpPr>
        <xdr:cNvPr id="21" name="Rectangle 20"/>
        <xdr:cNvSpPr/>
      </xdr:nvSpPr>
      <xdr:spPr>
        <a:xfrm>
          <a:off x="10630962" y="3050909"/>
          <a:ext cx="146304" cy="146304"/>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47629</xdr:colOff>
      <xdr:row>10</xdr:row>
      <xdr:rowOff>187853</xdr:rowOff>
    </xdr:from>
    <xdr:to>
      <xdr:col>9</xdr:col>
      <xdr:colOff>193933</xdr:colOff>
      <xdr:row>11</xdr:row>
      <xdr:rowOff>146039</xdr:rowOff>
    </xdr:to>
    <xdr:sp macro="" textlink="">
      <xdr:nvSpPr>
        <xdr:cNvPr id="22" name="Rectangle 21"/>
        <xdr:cNvSpPr/>
      </xdr:nvSpPr>
      <xdr:spPr>
        <a:xfrm>
          <a:off x="10630962" y="3384020"/>
          <a:ext cx="146304" cy="148686"/>
        </a:xfrm>
        <a:prstGeom prst="rect">
          <a:avLst/>
        </a:prstGeom>
        <a:solidFill>
          <a:schemeClr val="accent2">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47629</xdr:colOff>
      <xdr:row>12</xdr:row>
      <xdr:rowOff>147898</xdr:rowOff>
    </xdr:from>
    <xdr:to>
      <xdr:col>9</xdr:col>
      <xdr:colOff>193933</xdr:colOff>
      <xdr:row>12</xdr:row>
      <xdr:rowOff>290773</xdr:rowOff>
    </xdr:to>
    <xdr:sp macro="" textlink="">
      <xdr:nvSpPr>
        <xdr:cNvPr id="23" name="Rectangle 22"/>
        <xdr:cNvSpPr/>
      </xdr:nvSpPr>
      <xdr:spPr>
        <a:xfrm>
          <a:off x="10630962" y="3725065"/>
          <a:ext cx="146304" cy="142875"/>
        </a:xfrm>
        <a:prstGeom prst="rect">
          <a:avLst/>
        </a:prstGeom>
        <a:solidFill>
          <a:schemeClr val="bg1">
            <a:lumMod val="5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392460</xdr:colOff>
      <xdr:row>9</xdr:row>
      <xdr:rowOff>655108</xdr:rowOff>
    </xdr:from>
    <xdr:to>
      <xdr:col>9</xdr:col>
      <xdr:colOff>69056</xdr:colOff>
      <xdr:row>15</xdr:row>
      <xdr:rowOff>688180</xdr:rowOff>
    </xdr:to>
    <xdr:sp macro="" textlink="">
      <xdr:nvSpPr>
        <xdr:cNvPr id="24" name="TextBox 23"/>
        <xdr:cNvSpPr txBox="1"/>
      </xdr:nvSpPr>
      <xdr:spPr>
        <a:xfrm>
          <a:off x="9088785" y="2998258"/>
          <a:ext cx="1572071" cy="215714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Required field </a:t>
          </a:r>
        </a:p>
        <a:p>
          <a:endParaRPr lang="en-US" sz="1100"/>
        </a:p>
        <a:p>
          <a:r>
            <a:rPr lang="en-US" sz="1100"/>
            <a:t>Optional</a:t>
          </a:r>
          <a:r>
            <a:rPr lang="en-US" sz="1100" baseline="0"/>
            <a:t> field</a:t>
          </a:r>
          <a:endParaRPr lang="en-US" sz="1100"/>
        </a:p>
        <a:p>
          <a:endParaRPr lang="en-US" sz="1100"/>
        </a:p>
        <a:p>
          <a:r>
            <a:rPr lang="en-US" sz="1100"/>
            <a:t>Space for user entry</a:t>
          </a:r>
        </a:p>
        <a:p>
          <a:endParaRPr lang="en-US" sz="1100"/>
        </a:p>
      </xdr:txBody>
    </xdr:sp>
    <xdr:clientData/>
  </xdr:twoCellAnchor>
  <xdr:twoCellAnchor>
    <xdr:from>
      <xdr:col>7</xdr:col>
      <xdr:colOff>265462</xdr:colOff>
      <xdr:row>11</xdr:row>
      <xdr:rowOff>20368</xdr:rowOff>
    </xdr:from>
    <xdr:to>
      <xdr:col>7</xdr:col>
      <xdr:colOff>411766</xdr:colOff>
      <xdr:row>11</xdr:row>
      <xdr:rowOff>163243</xdr:rowOff>
    </xdr:to>
    <xdr:sp macro="" textlink="">
      <xdr:nvSpPr>
        <xdr:cNvPr id="25" name="Rectangle 24"/>
        <xdr:cNvSpPr/>
      </xdr:nvSpPr>
      <xdr:spPr>
        <a:xfrm>
          <a:off x="8954379" y="3407035"/>
          <a:ext cx="146304" cy="142875"/>
        </a:xfrm>
        <a:prstGeom prst="rect">
          <a:avLst/>
        </a:prstGeom>
        <a:solidFill>
          <a:schemeClr val="accent4">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xdr:col>
          <xdr:colOff>9525</xdr:colOff>
          <xdr:row>51</xdr:row>
          <xdr:rowOff>219075</xdr:rowOff>
        </xdr:from>
        <xdr:to>
          <xdr:col>1</xdr:col>
          <xdr:colOff>2571750</xdr:colOff>
          <xdr:row>51</xdr:row>
          <xdr:rowOff>952500</xdr:rowOff>
        </xdr:to>
        <xdr:sp macro="" textlink="">
          <xdr:nvSpPr>
            <xdr:cNvPr id="3434" name="Button 362" hidden="1">
              <a:extLst>
                <a:ext uri="{63B3BB69-23CF-44E3-9099-C40C66FF867C}">
                  <a14:compatExt spid="_x0000_s3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GENERATE / UPDATE SUMMARY</a:t>
              </a:r>
              <a:r>
                <a:rPr lang="en-US" sz="1100" b="0" i="0" u="none" strike="noStrike" baseline="0">
                  <a:solidFill>
                    <a:srgbClr val="000000"/>
                  </a:solidFill>
                  <a:latin typeface="Calibri"/>
                </a:rPr>
                <a:t> </a:t>
              </a:r>
            </a:p>
            <a:p>
              <a:pPr algn="ctr" rtl="0">
                <a:defRPr sz="1000"/>
              </a:pPr>
              <a:r>
                <a:rPr lang="en-US" sz="1100" b="0" i="0" u="none" strike="noStrike" baseline="0">
                  <a:solidFill>
                    <a:srgbClr val="000000"/>
                  </a:solidFill>
                  <a:latin typeface="Calibri"/>
                </a:rPr>
                <a:t>of scope and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2771775</xdr:colOff>
          <xdr:row>51</xdr:row>
          <xdr:rowOff>219075</xdr:rowOff>
        </xdr:from>
        <xdr:to>
          <xdr:col>3</xdr:col>
          <xdr:colOff>276225</xdr:colOff>
          <xdr:row>51</xdr:row>
          <xdr:rowOff>952500</xdr:rowOff>
        </xdr:to>
        <xdr:sp macro="" textlink="">
          <xdr:nvSpPr>
            <xdr:cNvPr id="3436" name="Button 364" hidden="1">
              <a:extLst>
                <a:ext uri="{63B3BB69-23CF-44E3-9099-C40C66FF867C}">
                  <a14:compatExt spid="_x0000_s3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III</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5</xdr:row>
          <xdr:rowOff>257175</xdr:rowOff>
        </xdr:from>
        <xdr:to>
          <xdr:col>2</xdr:col>
          <xdr:colOff>742950</xdr:colOff>
          <xdr:row>6</xdr:row>
          <xdr:rowOff>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257175</xdr:rowOff>
        </xdr:from>
        <xdr:to>
          <xdr:col>2</xdr:col>
          <xdr:colOff>733425</xdr:colOff>
          <xdr:row>13</xdr:row>
          <xdr:rowOff>0</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295275</xdr:colOff>
      <xdr:row>0</xdr:row>
      <xdr:rowOff>95250</xdr:rowOff>
    </xdr:from>
    <xdr:to>
      <xdr:col>3</xdr:col>
      <xdr:colOff>6253184</xdr:colOff>
      <xdr:row>6</xdr:row>
      <xdr:rowOff>66675</xdr:rowOff>
    </xdr:to>
    <xdr:sp macro="" textlink="">
      <xdr:nvSpPr>
        <xdr:cNvPr id="5" name="Rectangle 4"/>
        <xdr:cNvSpPr/>
      </xdr:nvSpPr>
      <xdr:spPr>
        <a:xfrm>
          <a:off x="5438775" y="95250"/>
          <a:ext cx="5957909" cy="1666875"/>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0</xdr:row>
      <xdr:rowOff>95253</xdr:rowOff>
    </xdr:from>
    <xdr:to>
      <xdr:col>3</xdr:col>
      <xdr:colOff>6253184</xdr:colOff>
      <xdr:row>6</xdr:row>
      <xdr:rowOff>28575</xdr:rowOff>
    </xdr:to>
    <xdr:sp macro="" textlink="">
      <xdr:nvSpPr>
        <xdr:cNvPr id="6" name="TextBox 5"/>
        <xdr:cNvSpPr txBox="1"/>
      </xdr:nvSpPr>
      <xdr:spPr>
        <a:xfrm>
          <a:off x="5495925" y="95253"/>
          <a:ext cx="5900759" cy="1628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i="0"/>
            <a:t>Requirement:</a:t>
          </a:r>
          <a:r>
            <a:rPr lang="en-US" sz="1100" i="1"/>
            <a:t> </a:t>
          </a:r>
          <a:r>
            <a:rPr lang="en-US" sz="1100" i="1">
              <a:solidFill>
                <a:schemeClr val="dk1"/>
              </a:solidFill>
              <a:effectLst/>
              <a:latin typeface="+mn-lt"/>
              <a:ea typeface="+mn-ea"/>
              <a:cs typeface="+mn-cs"/>
            </a:rPr>
            <a:t>Describe the quantification method(s) used and, if existing studies or data are used, identify the source and scope. </a:t>
          </a:r>
          <a:endParaRPr lang="en-US" sz="1100" i="1"/>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Notes:</a:t>
          </a:r>
          <a:r>
            <a:rPr lang="en-US" sz="1100" b="1" baseline="0">
              <a:solidFill>
                <a:schemeClr val="dk1"/>
              </a:solidFill>
              <a:effectLst/>
              <a:latin typeface="+mn-lt"/>
              <a:ea typeface="+mn-ea"/>
              <a:cs typeface="+mn-cs"/>
            </a:rPr>
            <a:t> </a:t>
          </a:r>
          <a:r>
            <a:rPr lang="en-US" sz="1100">
              <a:solidFill>
                <a:schemeClr val="dk1"/>
              </a:solidFill>
              <a:effectLst/>
              <a:latin typeface="+mn-lt"/>
              <a:ea typeface="+mn-ea"/>
              <a:cs typeface="+mn-cs"/>
            </a:rPr>
            <a:t>Please </a:t>
          </a:r>
          <a:r>
            <a:rPr lang="en-US" sz="1100">
              <a:solidFill>
                <a:sysClr val="windowText" lastClr="000000"/>
              </a:solidFill>
              <a:effectLst/>
              <a:latin typeface="+mn-lt"/>
              <a:ea typeface="+mn-ea"/>
              <a:cs typeface="+mn-cs"/>
            </a:rPr>
            <a:t>answer Questions 1 and 2 in this tab. </a:t>
          </a:r>
          <a:r>
            <a:rPr lang="en-US" sz="1100">
              <a:solidFill>
                <a:sysClr val="windowText" lastClr="000000"/>
              </a:solidFill>
            </a:rPr>
            <a:t>Please see Chapter 7 of the </a:t>
          </a:r>
          <a:r>
            <a:rPr lang="en-US" sz="1100" i="1">
              <a:solidFill>
                <a:sysClr val="windowText" lastClr="000000"/>
              </a:solidFill>
            </a:rPr>
            <a:t>FLW Standard </a:t>
          </a:r>
          <a:r>
            <a:rPr lang="en-US" sz="1100">
              <a:solidFill>
                <a:sysClr val="windowText" lastClr="000000"/>
              </a:solidFill>
            </a:rPr>
            <a:t>for further guidance. </a:t>
          </a:r>
          <a:r>
            <a:rPr lang="en-US" sz="1100">
              <a:solidFill>
                <a:sysClr val="windowText" lastClr="000000"/>
              </a:solidFill>
              <a:effectLst/>
              <a:latin typeface="+mn-lt"/>
              <a:ea typeface="+mn-ea"/>
              <a:cs typeface="+mn-cs"/>
            </a:rPr>
            <a:t>The companion </a:t>
          </a:r>
          <a:r>
            <a:rPr lang="en-US" sz="1100">
              <a:solidFill>
                <a:schemeClr val="dk1"/>
              </a:solidFill>
              <a:effectLst/>
              <a:latin typeface="+mn-lt"/>
              <a:ea typeface="+mn-ea"/>
              <a:cs typeface="+mn-cs"/>
            </a:rPr>
            <a:t>document, </a:t>
          </a:r>
          <a:r>
            <a:rPr lang="en-US" sz="1100" i="1">
              <a:solidFill>
                <a:schemeClr val="dk1"/>
              </a:solidFill>
              <a:effectLst/>
              <a:latin typeface="+mn-lt"/>
              <a:ea typeface="+mn-ea"/>
              <a:cs typeface="+mn-cs"/>
            </a:rPr>
            <a:t>Guidance on FLW Quantification Methods</a:t>
          </a:r>
          <a:r>
            <a:rPr lang="en-US" sz="1100">
              <a:solidFill>
                <a:schemeClr val="dk1"/>
              </a:solidFill>
              <a:effectLst/>
              <a:latin typeface="+mn-lt"/>
              <a:ea typeface="+mn-ea"/>
              <a:cs typeface="+mn-cs"/>
            </a:rPr>
            <a:t>, provides detailed advice regarding how to use each of the quantification methods introduced in Chapter 7. </a:t>
          </a:r>
        </a:p>
        <a:p>
          <a:endParaRPr lang="en-US" sz="1100"/>
        </a:p>
        <a:p>
          <a:r>
            <a:rPr lang="en-US" sz="1100"/>
            <a:t>Cells with red corners contain additional information. Scroll your mouse over them and content will appear.</a:t>
          </a:r>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1</xdr:col>
          <xdr:colOff>9525</xdr:colOff>
          <xdr:row>15</xdr:row>
          <xdr:rowOff>219075</xdr:rowOff>
        </xdr:from>
        <xdr:to>
          <xdr:col>1</xdr:col>
          <xdr:colOff>2571750</xdr:colOff>
          <xdr:row>15</xdr:row>
          <xdr:rowOff>952500</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IV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2781300</xdr:colOff>
          <xdr:row>15</xdr:row>
          <xdr:rowOff>219075</xdr:rowOff>
        </xdr:from>
        <xdr:to>
          <xdr:col>3</xdr:col>
          <xdr:colOff>447675</xdr:colOff>
          <xdr:row>15</xdr:row>
          <xdr:rowOff>952500</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257175</xdr:rowOff>
        </xdr:from>
        <xdr:to>
          <xdr:col>3</xdr:col>
          <xdr:colOff>142875</xdr:colOff>
          <xdr:row>4</xdr:row>
          <xdr:rowOff>0</xdr:rowOff>
        </xdr:to>
        <xdr:sp macro="" textlink="">
          <xdr:nvSpPr>
            <xdr:cNvPr id="5124" name="Drop Down 4"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180975</xdr:rowOff>
        </xdr:from>
        <xdr:to>
          <xdr:col>3</xdr:col>
          <xdr:colOff>142875</xdr:colOff>
          <xdr:row>20</xdr:row>
          <xdr:rowOff>0</xdr:rowOff>
        </xdr:to>
        <xdr:sp macro="" textlink="">
          <xdr:nvSpPr>
            <xdr:cNvPr id="5125" name="Drop Down 5"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542925</xdr:rowOff>
        </xdr:from>
        <xdr:to>
          <xdr:col>3</xdr:col>
          <xdr:colOff>142875</xdr:colOff>
          <xdr:row>9</xdr:row>
          <xdr:rowOff>0</xdr:rowOff>
        </xdr:to>
        <xdr:sp macro="" textlink="">
          <xdr:nvSpPr>
            <xdr:cNvPr id="5126" name="Drop Down 6" hidden="1">
              <a:extLst>
                <a:ext uri="{63B3BB69-23CF-44E3-9099-C40C66FF867C}">
                  <a14:compatExt spid="_x0000_s5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523875</xdr:rowOff>
        </xdr:from>
        <xdr:to>
          <xdr:col>3</xdr:col>
          <xdr:colOff>142875</xdr:colOff>
          <xdr:row>12</xdr:row>
          <xdr:rowOff>0</xdr:rowOff>
        </xdr:to>
        <xdr:sp macro="" textlink="">
          <xdr:nvSpPr>
            <xdr:cNvPr id="5133" name="Drop Down 13" hidden="1">
              <a:extLst>
                <a:ext uri="{63B3BB69-23CF-44E3-9099-C40C66FF867C}">
                  <a14:compatExt spid="_x0000_s5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xdr:colOff>
      <xdr:row>2</xdr:row>
      <xdr:rowOff>152402</xdr:rowOff>
    </xdr:from>
    <xdr:to>
      <xdr:col>11</xdr:col>
      <xdr:colOff>1</xdr:colOff>
      <xdr:row>2</xdr:row>
      <xdr:rowOff>1666875</xdr:rowOff>
    </xdr:to>
    <xdr:sp macro="" textlink="">
      <xdr:nvSpPr>
        <xdr:cNvPr id="8" name="Rectangle 7"/>
        <xdr:cNvSpPr/>
      </xdr:nvSpPr>
      <xdr:spPr>
        <a:xfrm>
          <a:off x="247651" y="638177"/>
          <a:ext cx="10363200" cy="1514473"/>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28576</xdr:colOff>
      <xdr:row>2</xdr:row>
      <xdr:rowOff>152402</xdr:rowOff>
    </xdr:from>
    <xdr:to>
      <xdr:col>11</xdr:col>
      <xdr:colOff>190500</xdr:colOff>
      <xdr:row>2</xdr:row>
      <xdr:rowOff>1685925</xdr:rowOff>
    </xdr:to>
    <xdr:sp macro="" textlink="">
      <xdr:nvSpPr>
        <xdr:cNvPr id="9" name="TextBox 8"/>
        <xdr:cNvSpPr txBox="1"/>
      </xdr:nvSpPr>
      <xdr:spPr>
        <a:xfrm>
          <a:off x="276226" y="638177"/>
          <a:ext cx="10525124" cy="1533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Requirements: </a:t>
          </a:r>
          <a:r>
            <a:rPr lang="en-US" sz="1100" b="1" baseline="0">
              <a:solidFill>
                <a:schemeClr val="dk1"/>
              </a:solidFill>
              <a:effectLst/>
              <a:latin typeface="+mn-lt"/>
              <a:ea typeface="+mn-ea"/>
              <a:cs typeface="+mn-cs"/>
            </a:rPr>
            <a:t> </a:t>
          </a:r>
        </a:p>
        <a:p>
          <a:pPr eaLnBrk="1" fontAlgn="auto" latinLnBrk="0" hangingPunct="1"/>
          <a:r>
            <a:rPr lang="en-US" sz="1100" i="1">
              <a:solidFill>
                <a:schemeClr val="dk1"/>
              </a:solidFill>
              <a:effectLst/>
              <a:latin typeface="+mn-lt"/>
              <a:ea typeface="+mn-ea"/>
              <a:cs typeface="+mn-cs"/>
            </a:rPr>
            <a:t>1</a:t>
          </a:r>
          <a:r>
            <a:rPr lang="en-US" sz="1100" b="0" i="1">
              <a:solidFill>
                <a:schemeClr val="dk1"/>
              </a:solidFill>
              <a:effectLst/>
              <a:latin typeface="+mn-lt"/>
              <a:ea typeface="+mn-ea"/>
              <a:cs typeface="+mn-cs"/>
            </a:rPr>
            <a:t>. Describe approach and calculations used if:</a:t>
          </a:r>
          <a:r>
            <a:rPr lang="en-US" sz="1100" b="0" i="1" baseline="0">
              <a:solidFill>
                <a:schemeClr val="dk1"/>
              </a:solidFill>
              <a:effectLst/>
              <a:latin typeface="+mn-lt"/>
              <a:ea typeface="+mn-ea"/>
              <a:cs typeface="+mn-cs"/>
            </a:rPr>
            <a:t> </a:t>
          </a:r>
          <a:endParaRPr lang="en-US">
            <a:effectLst/>
          </a:endParaRPr>
        </a:p>
        <a:p>
          <a:pPr eaLnBrk="1" fontAlgn="auto" latinLnBrk="0" hangingPunct="1"/>
          <a:r>
            <a:rPr lang="en-US" sz="1100" b="0" i="1">
              <a:solidFill>
                <a:schemeClr val="dk1"/>
              </a:solidFill>
              <a:effectLst/>
              <a:latin typeface="+mn-lt"/>
              <a:ea typeface="+mn-ea"/>
              <a:cs typeface="+mn-cs"/>
            </a:rPr>
            <a:t>     a. Sampling and</a:t>
          </a:r>
          <a:r>
            <a:rPr lang="en-US" sz="1100" b="0" i="1" baseline="0">
              <a:solidFill>
                <a:schemeClr val="dk1"/>
              </a:solidFill>
              <a:effectLst/>
              <a:latin typeface="+mn-lt"/>
              <a:ea typeface="+mn-ea"/>
              <a:cs typeface="+mn-cs"/>
            </a:rPr>
            <a:t> scaling up data (and</a:t>
          </a:r>
          <a:r>
            <a:rPr lang="en-US" sz="1100" b="0" i="1">
              <a:solidFill>
                <a:schemeClr val="dk1"/>
              </a:solidFill>
              <a:effectLst/>
              <a:latin typeface="+mn-lt"/>
              <a:ea typeface="+mn-ea"/>
              <a:cs typeface="+mn-cs"/>
            </a:rPr>
            <a:t> the period of time over which sample data are collected, including starting and ending dates (see Chapter</a:t>
          </a:r>
          <a:r>
            <a:rPr lang="en-US" sz="1100" b="0" i="1" baseline="0">
              <a:solidFill>
                <a:schemeClr val="dk1"/>
              </a:solidFill>
              <a:effectLst/>
              <a:latin typeface="+mn-lt"/>
              <a:ea typeface="+mn-ea"/>
              <a:cs typeface="+mn-cs"/>
            </a:rPr>
            <a:t> 8; Appendix A of FLW Standard).</a:t>
          </a:r>
          <a:endParaRPr lang="en-US">
            <a:effectLst/>
          </a:endParaRPr>
        </a:p>
        <a:p>
          <a:pPr eaLnBrk="1" fontAlgn="auto" latinLnBrk="0" hangingPunct="1"/>
          <a:r>
            <a:rPr lang="en-US" sz="1100" b="0" i="1" baseline="0">
              <a:solidFill>
                <a:schemeClr val="dk1"/>
              </a:solidFill>
              <a:effectLst/>
              <a:latin typeface="+mn-lt"/>
              <a:ea typeface="+mn-ea"/>
              <a:cs typeface="+mn-cs"/>
            </a:rPr>
            <a:t>     b. Separating the weight of FLW from non-FLW materials (see Chapters 6 and 8).</a:t>
          </a:r>
          <a:endParaRPr lang="en-US">
            <a:effectLst/>
          </a:endParaRPr>
        </a:p>
        <a:p>
          <a:pPr eaLnBrk="1" fontAlgn="auto" latinLnBrk="0" hangingPunct="1"/>
          <a:r>
            <a:rPr lang="en-US" sz="1100" b="0" i="1">
              <a:solidFill>
                <a:schemeClr val="dk1"/>
              </a:solidFill>
              <a:effectLst/>
              <a:latin typeface="+mn-lt"/>
              <a:ea typeface="+mn-ea"/>
              <a:cs typeface="+mn-cs"/>
            </a:rPr>
            <a:t>     c. Estimating</a:t>
          </a:r>
          <a:r>
            <a:rPr lang="en-US" sz="1100" b="0" i="1" baseline="0">
              <a:solidFill>
                <a:schemeClr val="dk1"/>
              </a:solidFill>
              <a:effectLst/>
              <a:latin typeface="+mn-lt"/>
              <a:ea typeface="+mn-ea"/>
              <a:cs typeface="+mn-cs"/>
            </a:rPr>
            <a:t> original weight of FLW where water is added / water weight is reduced (see Chapter 6).</a:t>
          </a:r>
          <a:endParaRPr lang="en-US">
            <a:effectLst/>
          </a:endParaRPr>
        </a:p>
        <a:p>
          <a:pPr eaLnBrk="1" fontAlgn="auto" latinLnBrk="0" hangingPunct="1"/>
          <a:r>
            <a:rPr lang="en-US" sz="1100" b="0" i="1">
              <a:solidFill>
                <a:schemeClr val="dk1"/>
              </a:solidFill>
              <a:effectLst/>
              <a:latin typeface="+mn-lt"/>
              <a:ea typeface="+mn-ea"/>
              <a:cs typeface="+mn-cs"/>
            </a:rPr>
            <a:t>2.</a:t>
          </a:r>
          <a:r>
            <a:rPr lang="en-US" sz="1100" b="0" i="1" baseline="0">
              <a:solidFill>
                <a:schemeClr val="dk1"/>
              </a:solidFill>
              <a:effectLst/>
              <a:latin typeface="+mn-lt"/>
              <a:ea typeface="+mn-ea"/>
              <a:cs typeface="+mn-cs"/>
            </a:rPr>
            <a:t> </a:t>
          </a:r>
          <a:r>
            <a:rPr lang="en-US" sz="1100" b="0" i="1">
              <a:solidFill>
                <a:schemeClr val="dk1"/>
              </a:solidFill>
              <a:effectLst/>
              <a:latin typeface="+mn-lt"/>
              <a:ea typeface="+mn-ea"/>
              <a:cs typeface="+mn-cs"/>
            </a:rPr>
            <a:t>Provide a qualitative description and/or quantitative assessment of the uncertainty around FLW inventory results (see Chapter 9). </a:t>
          </a:r>
          <a:endParaRPr lang="en-US">
            <a:effectLst/>
          </a:endParaRP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Note:</a:t>
          </a:r>
          <a:r>
            <a:rPr lang="en-US" sz="1100">
              <a:solidFill>
                <a:schemeClr val="dk1"/>
              </a:solidFill>
              <a:effectLst/>
              <a:latin typeface="+mn-lt"/>
              <a:ea typeface="+mn-ea"/>
              <a:cs typeface="+mn-cs"/>
            </a:rPr>
            <a:t> Cells with red corners contain additional information. Scroll your mouse over them and content will appear.</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400050</xdr:colOff>
          <xdr:row>15</xdr:row>
          <xdr:rowOff>85725</xdr:rowOff>
        </xdr:from>
        <xdr:to>
          <xdr:col>4</xdr:col>
          <xdr:colOff>66675</xdr:colOff>
          <xdr:row>16</xdr:row>
          <xdr:rowOff>0</xdr:rowOff>
        </xdr:to>
        <xdr:sp macro="" textlink="">
          <xdr:nvSpPr>
            <xdr:cNvPr id="5143" name="Check Box 23" hidden="1">
              <a:extLst>
                <a:ext uri="{63B3BB69-23CF-44E3-9099-C40C66FF867C}">
                  <a14:compatExt spid="_x0000_s5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Qualitative description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466725</xdr:colOff>
          <xdr:row>15</xdr:row>
          <xdr:rowOff>57150</xdr:rowOff>
        </xdr:from>
        <xdr:to>
          <xdr:col>7</xdr:col>
          <xdr:colOff>400050</xdr:colOff>
          <xdr:row>16</xdr:row>
          <xdr:rowOff>0</xdr:rowOff>
        </xdr:to>
        <xdr:sp macro="" textlink="">
          <xdr:nvSpPr>
            <xdr:cNvPr id="5144" name="Check Box 24" hidden="1">
              <a:extLst>
                <a:ext uri="{63B3BB69-23CF-44E3-9099-C40C66FF867C}">
                  <a14:compatExt spid="_x0000_s5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Quantitative assessment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25</xdr:row>
          <xdr:rowOff>200025</xdr:rowOff>
        </xdr:from>
        <xdr:to>
          <xdr:col>1</xdr:col>
          <xdr:colOff>2571750</xdr:colOff>
          <xdr:row>25</xdr:row>
          <xdr:rowOff>933450</xdr:rowOff>
        </xdr:to>
        <xdr:sp macro="" textlink="">
          <xdr:nvSpPr>
            <xdr:cNvPr id="5146" name="Button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2790825</xdr:colOff>
          <xdr:row>25</xdr:row>
          <xdr:rowOff>200025</xdr:rowOff>
        </xdr:from>
        <xdr:to>
          <xdr:col>4</xdr:col>
          <xdr:colOff>257175</xdr:colOff>
          <xdr:row>25</xdr:row>
          <xdr:rowOff>933450</xdr:rowOff>
        </xdr:to>
        <xdr:sp macro="" textlink="">
          <xdr:nvSpPr>
            <xdr:cNvPr id="5147" name="Button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219075</xdr:colOff>
      <xdr:row>1</xdr:row>
      <xdr:rowOff>19048</xdr:rowOff>
    </xdr:from>
    <xdr:to>
      <xdr:col>18</xdr:col>
      <xdr:colOff>604859</xdr:colOff>
      <xdr:row>9</xdr:row>
      <xdr:rowOff>133350</xdr:rowOff>
    </xdr:to>
    <xdr:sp macro="" textlink="">
      <xdr:nvSpPr>
        <xdr:cNvPr id="2" name="Rectangle 1"/>
        <xdr:cNvSpPr/>
      </xdr:nvSpPr>
      <xdr:spPr>
        <a:xfrm>
          <a:off x="5343525" y="209548"/>
          <a:ext cx="5872184" cy="1819277"/>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285750</xdr:colOff>
      <xdr:row>1</xdr:row>
      <xdr:rowOff>9525</xdr:rowOff>
    </xdr:from>
    <xdr:to>
      <xdr:col>19</xdr:col>
      <xdr:colOff>52409</xdr:colOff>
      <xdr:row>12</xdr:row>
      <xdr:rowOff>85723</xdr:rowOff>
    </xdr:to>
    <xdr:sp macro="" textlink="">
      <xdr:nvSpPr>
        <xdr:cNvPr id="3" name="TextBox 2"/>
        <xdr:cNvSpPr txBox="1"/>
      </xdr:nvSpPr>
      <xdr:spPr>
        <a:xfrm>
          <a:off x="5410200" y="200025"/>
          <a:ext cx="5862659" cy="1895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Requirement: </a:t>
          </a:r>
          <a:r>
            <a:rPr lang="en-US" sz="1100" i="1">
              <a:solidFill>
                <a:schemeClr val="dk1"/>
              </a:solidFill>
              <a:effectLst/>
              <a:latin typeface="+mn-lt"/>
              <a:ea typeface="+mn-ea"/>
              <a:cs typeface="+mn-cs"/>
            </a:rPr>
            <a:t>If assurance of the FLW inventory is undertaken (may include peer review, verification, validation, quality assurance, quality control, and audit), create an assurance statement.</a:t>
          </a:r>
          <a:endParaRPr lang="en-US" sz="1100" b="1" i="1"/>
        </a:p>
        <a:p>
          <a:pPr marL="0" marR="0" indent="0" defTabSz="914400" eaLnBrk="1" fontAlgn="auto" latinLnBrk="0" hangingPunct="1">
            <a:lnSpc>
              <a:spcPct val="100000"/>
            </a:lnSpc>
            <a:spcBef>
              <a:spcPts val="0"/>
            </a:spcBef>
            <a:spcAft>
              <a:spcPts val="0"/>
            </a:spcAft>
            <a:buClrTx/>
            <a:buSzTx/>
            <a:buFontTx/>
            <a:buNone/>
            <a:tabLst/>
            <a:defRPr/>
          </a:pPr>
          <a:endParaRPr lang="en-US" sz="1100" b="1" i="0"/>
        </a:p>
        <a:p>
          <a:pPr marL="0" marR="0" indent="0" defTabSz="914400" eaLnBrk="1" fontAlgn="auto" latinLnBrk="0" hangingPunct="1">
            <a:lnSpc>
              <a:spcPct val="100000"/>
            </a:lnSpc>
            <a:spcBef>
              <a:spcPts val="0"/>
            </a:spcBef>
            <a:spcAft>
              <a:spcPts val="0"/>
            </a:spcAft>
            <a:buClrTx/>
            <a:buSzTx/>
            <a:buFontTx/>
            <a:buNone/>
            <a:tabLst/>
            <a:defRPr/>
          </a:pPr>
          <a:r>
            <a:rPr lang="en-US" sz="1100" b="1" i="0"/>
            <a:t>Notes:</a:t>
          </a:r>
          <a:r>
            <a:rPr lang="en-US" sz="1100" i="1"/>
            <a:t> </a:t>
          </a:r>
          <a:r>
            <a:rPr lang="en-US" sz="1100"/>
            <a:t>Please see Chapter 12 of the </a:t>
          </a:r>
          <a:r>
            <a:rPr lang="en-US" sz="1100" i="1"/>
            <a:t>FLW Standard </a:t>
          </a:r>
          <a:r>
            <a:rPr lang="en-US" sz="1100"/>
            <a:t>for further guidance.</a:t>
          </a:r>
        </a:p>
        <a:p>
          <a:pPr marL="0" marR="0" indent="0" defTabSz="914400" eaLnBrk="1" fontAlgn="auto" latinLnBrk="0" hangingPunct="1">
            <a:lnSpc>
              <a:spcPct val="100000"/>
            </a:lnSpc>
            <a:spcBef>
              <a:spcPts val="0"/>
            </a:spcBef>
            <a:spcAft>
              <a:spcPts val="0"/>
            </a:spcAft>
            <a:buClrTx/>
            <a:buSzTx/>
            <a:buFontTx/>
            <a:buNone/>
            <a:tabLst/>
            <a:defRPr/>
          </a:pPr>
          <a:endParaRPr lang="en-US" sz="1100"/>
        </a:p>
        <a:p>
          <a:r>
            <a:rPr lang="en-US" sz="1100"/>
            <a:t>Cells with red corners contain additional information. Scroll your mouse over them and content will appear.</a:t>
          </a:r>
        </a:p>
        <a:p>
          <a:endParaRPr lang="en-US" sz="1100">
            <a:solidFill>
              <a:srgbClr val="FF0000"/>
            </a:solidFill>
          </a:endParaRPr>
        </a:p>
        <a:p>
          <a:r>
            <a:rPr lang="en-US" sz="1100">
              <a:solidFill>
                <a:sysClr val="windowText" lastClr="000000"/>
              </a:solidFill>
            </a:rPr>
            <a:t>To create</a:t>
          </a:r>
          <a:r>
            <a:rPr lang="en-US" sz="1100" baseline="0">
              <a:solidFill>
                <a:sysClr val="windowText" lastClr="000000"/>
              </a:solidFill>
            </a:rPr>
            <a:t> a line break in the large cell below, press Alt+Enter.</a:t>
          </a:r>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600075</xdr:colOff>
          <xdr:row>3</xdr:row>
          <xdr:rowOff>257175</xdr:rowOff>
        </xdr:to>
        <xdr:sp macro="" textlink="">
          <xdr:nvSpPr>
            <xdr:cNvPr id="9220" name="Drop Down 4"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209550</xdr:rowOff>
        </xdr:from>
        <xdr:to>
          <xdr:col>5</xdr:col>
          <xdr:colOff>133350</xdr:colOff>
          <xdr:row>27</xdr:row>
          <xdr:rowOff>942975</xdr:rowOff>
        </xdr:to>
        <xdr:sp macro="" textlink="">
          <xdr:nvSpPr>
            <xdr:cNvPr id="9221" name="Button 5"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VI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27</xdr:row>
          <xdr:rowOff>209550</xdr:rowOff>
        </xdr:from>
        <xdr:to>
          <xdr:col>9</xdr:col>
          <xdr:colOff>476250</xdr:colOff>
          <xdr:row>27</xdr:row>
          <xdr:rowOff>942975</xdr:rowOff>
        </xdr:to>
        <xdr:sp macro="" textlink="">
          <xdr:nvSpPr>
            <xdr:cNvPr id="9222" name="Button 6"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10</xdr:row>
          <xdr:rowOff>180975</xdr:rowOff>
        </xdr:from>
        <xdr:to>
          <xdr:col>2</xdr:col>
          <xdr:colOff>1190625</xdr:colOff>
          <xdr:row>11</xdr:row>
          <xdr:rowOff>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114301</xdr:colOff>
      <xdr:row>2</xdr:row>
      <xdr:rowOff>133348</xdr:rowOff>
    </xdr:from>
    <xdr:to>
      <xdr:col>10</xdr:col>
      <xdr:colOff>0</xdr:colOff>
      <xdr:row>6</xdr:row>
      <xdr:rowOff>123825</xdr:rowOff>
    </xdr:to>
    <xdr:sp macro="" textlink="">
      <xdr:nvSpPr>
        <xdr:cNvPr id="3" name="Rectangle 2"/>
        <xdr:cNvSpPr/>
      </xdr:nvSpPr>
      <xdr:spPr>
        <a:xfrm>
          <a:off x="4276726" y="619123"/>
          <a:ext cx="4152899" cy="1362077"/>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2</xdr:row>
      <xdr:rowOff>171451</xdr:rowOff>
    </xdr:from>
    <xdr:to>
      <xdr:col>9</xdr:col>
      <xdr:colOff>533400</xdr:colOff>
      <xdr:row>6</xdr:row>
      <xdr:rowOff>133351</xdr:rowOff>
    </xdr:to>
    <xdr:sp macro="" textlink="">
      <xdr:nvSpPr>
        <xdr:cNvPr id="4" name="TextBox 3"/>
        <xdr:cNvSpPr txBox="1"/>
      </xdr:nvSpPr>
      <xdr:spPr>
        <a:xfrm>
          <a:off x="4305300" y="657226"/>
          <a:ext cx="4048125"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Requirement: </a:t>
          </a:r>
          <a:r>
            <a:rPr lang="en-US" sz="1100" i="1">
              <a:solidFill>
                <a:schemeClr val="dk1"/>
              </a:solidFill>
              <a:effectLst/>
              <a:latin typeface="+mn-lt"/>
              <a:ea typeface="+mn-ea"/>
              <a:cs typeface="+mn-cs"/>
            </a:rPr>
            <a:t>If tracking the amount of FLW over time and/or setting an FLW reduction target, select a base year, identify the scope of the target, and recalculate the base year FLW inventory when necessary.</a:t>
          </a:r>
        </a:p>
        <a:p>
          <a:pPr marL="0" marR="0" indent="0" defTabSz="914400" eaLnBrk="1" fontAlgn="auto" latinLnBrk="0" hangingPunct="1">
            <a:lnSpc>
              <a:spcPct val="100000"/>
            </a:lnSpc>
            <a:spcBef>
              <a:spcPts val="0"/>
            </a:spcBef>
            <a:spcAft>
              <a:spcPts val="0"/>
            </a:spcAft>
            <a:buClrTx/>
            <a:buSzTx/>
            <a:buFontTx/>
            <a:buNone/>
            <a:tabLst/>
            <a:defRPr/>
          </a:pPr>
          <a:endParaRPr lang="en-US" sz="1100" b="1" i="0"/>
        </a:p>
        <a:p>
          <a:pPr marL="0" marR="0" indent="0" defTabSz="914400" eaLnBrk="1" fontAlgn="auto" latinLnBrk="0" hangingPunct="1">
            <a:lnSpc>
              <a:spcPct val="100000"/>
            </a:lnSpc>
            <a:spcBef>
              <a:spcPts val="0"/>
            </a:spcBef>
            <a:spcAft>
              <a:spcPts val="0"/>
            </a:spcAft>
            <a:buClrTx/>
            <a:buSzTx/>
            <a:buFontTx/>
            <a:buNone/>
            <a:tabLst/>
            <a:defRPr/>
          </a:pPr>
          <a:r>
            <a:rPr lang="en-US" sz="1100" b="1" i="0"/>
            <a:t>Note:</a:t>
          </a:r>
          <a:r>
            <a:rPr lang="en-US" sz="1100" i="1"/>
            <a:t> </a:t>
          </a:r>
          <a:r>
            <a:rPr lang="en-US" sz="1100"/>
            <a:t>Please see Chapter 14 of the </a:t>
          </a:r>
          <a:r>
            <a:rPr lang="en-US" sz="1100" i="1"/>
            <a:t>FLW Standard </a:t>
          </a:r>
          <a:r>
            <a:rPr lang="en-US" sz="1100"/>
            <a:t>for further guidance.</a:t>
          </a:r>
          <a:r>
            <a:rPr lang="en-US" sz="1100">
              <a:solidFill>
                <a:srgbClr val="FF0000"/>
              </a:solidFill>
            </a:rPr>
            <a:t> </a:t>
          </a: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371475</xdr:rowOff>
        </xdr:from>
        <xdr:to>
          <xdr:col>2</xdr:col>
          <xdr:colOff>1190625</xdr:colOff>
          <xdr:row>14</xdr:row>
          <xdr:rowOff>0</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600075</xdr:rowOff>
        </xdr:from>
        <xdr:to>
          <xdr:col>3</xdr:col>
          <xdr:colOff>9525</xdr:colOff>
          <xdr:row>4</xdr:row>
          <xdr:rowOff>0</xdr:rowOff>
        </xdr:to>
        <xdr:sp macro="" textlink="">
          <xdr:nvSpPr>
            <xdr:cNvPr id="8197" name="Drop Down 5" hidden="1">
              <a:extLst>
                <a:ext uri="{63B3BB69-23CF-44E3-9099-C40C66FF867C}">
                  <a14:compatExt spid="_x0000_s8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23</xdr:row>
          <xdr:rowOff>209550</xdr:rowOff>
        </xdr:from>
        <xdr:to>
          <xdr:col>1</xdr:col>
          <xdr:colOff>2571750</xdr:colOff>
          <xdr:row>23</xdr:row>
          <xdr:rowOff>942975</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VII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23</xdr:row>
          <xdr:rowOff>209550</xdr:rowOff>
        </xdr:from>
        <xdr:to>
          <xdr:col>5</xdr:col>
          <xdr:colOff>219075</xdr:colOff>
          <xdr:row>23</xdr:row>
          <xdr:rowOff>942975</xdr:rowOff>
        </xdr:to>
        <xdr:sp macro="" textlink="">
          <xdr:nvSpPr>
            <xdr:cNvPr id="8199" name="Button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0</xdr:colOff>
          <xdr:row>8</xdr:row>
          <xdr:rowOff>0</xdr:rowOff>
        </xdr:to>
        <xdr:sp macro="" textlink="">
          <xdr:nvSpPr>
            <xdr:cNvPr id="8201" name="Drop Down 9" hidden="1">
              <a:extLst>
                <a:ext uri="{63B3BB69-23CF-44E3-9099-C40C66FF867C}">
                  <a14:compatExt spid="_x0000_s8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95250</xdr:colOff>
      <xdr:row>1</xdr:row>
      <xdr:rowOff>9522</xdr:rowOff>
    </xdr:from>
    <xdr:to>
      <xdr:col>5</xdr:col>
      <xdr:colOff>4410075</xdr:colOff>
      <xdr:row>4</xdr:row>
      <xdr:rowOff>161925</xdr:rowOff>
    </xdr:to>
    <xdr:sp macro="" textlink="">
      <xdr:nvSpPr>
        <xdr:cNvPr id="2" name="Rectangle 1"/>
        <xdr:cNvSpPr/>
      </xdr:nvSpPr>
      <xdr:spPr>
        <a:xfrm>
          <a:off x="2924175" y="200022"/>
          <a:ext cx="8458200" cy="1181103"/>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142874</xdr:colOff>
      <xdr:row>1</xdr:row>
      <xdr:rowOff>76199</xdr:rowOff>
    </xdr:from>
    <xdr:to>
      <xdr:col>5</xdr:col>
      <xdr:colOff>4448174</xdr:colOff>
      <xdr:row>5</xdr:row>
      <xdr:rowOff>200025</xdr:rowOff>
    </xdr:to>
    <xdr:sp macro="" textlink="">
      <xdr:nvSpPr>
        <xdr:cNvPr id="3" name="TextBox 2"/>
        <xdr:cNvSpPr txBox="1"/>
      </xdr:nvSpPr>
      <xdr:spPr>
        <a:xfrm>
          <a:off x="2971799" y="266699"/>
          <a:ext cx="8448675" cy="1762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t>Notes:</a:t>
          </a:r>
          <a:r>
            <a:rPr lang="en-US" sz="1100" i="1"/>
            <a:t> </a:t>
          </a:r>
          <a:r>
            <a:rPr lang="en-US" sz="1100" b="0" i="0" u="none" strike="noStrike" baseline="0" smtClean="0">
              <a:solidFill>
                <a:schemeClr val="dk1"/>
              </a:solidFill>
              <a:latin typeface="+mn-lt"/>
              <a:ea typeface="+mn-ea"/>
              <a:cs typeface="+mn-cs"/>
            </a:rPr>
            <a:t>Recording causes and drivers is not a requirement of the </a:t>
          </a:r>
          <a:r>
            <a:rPr lang="en-US" sz="1100" b="0" i="1" u="none" strike="noStrike" baseline="0" smtClean="0">
              <a:solidFill>
                <a:schemeClr val="dk1"/>
              </a:solidFill>
              <a:latin typeface="+mn-lt"/>
              <a:ea typeface="+mn-ea"/>
              <a:cs typeface="+mn-cs"/>
            </a:rPr>
            <a:t>FLW Standard</a:t>
          </a:r>
          <a:r>
            <a:rPr lang="en-US" sz="1100" b="0" i="0" u="none" strike="noStrike" baseline="0" smtClean="0">
              <a:solidFill>
                <a:schemeClr val="dk1"/>
              </a:solidFill>
              <a:latin typeface="+mn-lt"/>
              <a:ea typeface="+mn-ea"/>
              <a:cs typeface="+mn-cs"/>
            </a:rPr>
            <a:t>, but entities are strongly recommended to do so. This information can help entities identify and understand what is generating their FLW, and inform FLW prevention and reduction strategies.</a:t>
          </a:r>
        </a:p>
        <a:p>
          <a:endParaRPr lang="en-US" sz="1100" b="0" i="0" u="none" strike="noStrike" baseline="0" smtClean="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t>Please see Chapter 11 of the </a:t>
          </a:r>
          <a:r>
            <a:rPr lang="en-US" sz="1100" i="1"/>
            <a:t>FLW Standard </a:t>
          </a:r>
          <a:r>
            <a:rPr lang="en-US" sz="1100"/>
            <a:t>for further guidance</a:t>
          </a:r>
          <a:r>
            <a:rPr lang="en-US" sz="1100" baseline="0"/>
            <a:t> and Table 11.3 for an illustrative example of the table below.</a:t>
          </a:r>
          <a:endParaRPr lang="en-US"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Cells with red corners contain additional information. Scroll your mouse over them and content will appear.</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1</xdr:col>
          <xdr:colOff>9525</xdr:colOff>
          <xdr:row>19</xdr:row>
          <xdr:rowOff>219075</xdr:rowOff>
        </xdr:from>
        <xdr:to>
          <xdr:col>1</xdr:col>
          <xdr:colOff>2571750</xdr:colOff>
          <xdr:row>19</xdr:row>
          <xdr:rowOff>952500</xdr:rowOff>
        </xdr:to>
        <xdr:sp macro="" textlink="">
          <xdr:nvSpPr>
            <xdr:cNvPr id="43012" name="Button 4" hidden="1">
              <a:extLst>
                <a:ext uri="{63B3BB69-23CF-44E3-9099-C40C66FF867C}">
                  <a14:compatExt spid="_x0000_s430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Proceed to Tab VIII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19</xdr:row>
          <xdr:rowOff>219075</xdr:rowOff>
        </xdr:from>
        <xdr:to>
          <xdr:col>4</xdr:col>
          <xdr:colOff>19050</xdr:colOff>
          <xdr:row>19</xdr:row>
          <xdr:rowOff>952500</xdr:rowOff>
        </xdr:to>
        <xdr:sp macro="" textlink="">
          <xdr:nvSpPr>
            <xdr:cNvPr id="43013" name="Button 5" hidden="1">
              <a:extLst>
                <a:ext uri="{63B3BB69-23CF-44E3-9099-C40C66FF867C}">
                  <a14:compatExt spid="_x0000_s430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xdr:col>
      <xdr:colOff>211667</xdr:colOff>
      <xdr:row>2</xdr:row>
      <xdr:rowOff>148166</xdr:rowOff>
    </xdr:from>
    <xdr:to>
      <xdr:col>15</xdr:col>
      <xdr:colOff>814917</xdr:colOff>
      <xdr:row>8</xdr:row>
      <xdr:rowOff>317500</xdr:rowOff>
    </xdr:to>
    <xdr:sp macro="" textlink="">
      <xdr:nvSpPr>
        <xdr:cNvPr id="2" name="Rectangle 1"/>
        <xdr:cNvSpPr/>
      </xdr:nvSpPr>
      <xdr:spPr>
        <a:xfrm>
          <a:off x="3767667" y="634999"/>
          <a:ext cx="9239250" cy="1322918"/>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275168</xdr:colOff>
      <xdr:row>2</xdr:row>
      <xdr:rowOff>127000</xdr:rowOff>
    </xdr:from>
    <xdr:to>
      <xdr:col>16</xdr:col>
      <xdr:colOff>190502</xdr:colOff>
      <xdr:row>8</xdr:row>
      <xdr:rowOff>306916</xdr:rowOff>
    </xdr:to>
    <xdr:sp macro="" textlink="">
      <xdr:nvSpPr>
        <xdr:cNvPr id="3" name="TextBox 2"/>
        <xdr:cNvSpPr txBox="1"/>
      </xdr:nvSpPr>
      <xdr:spPr>
        <a:xfrm>
          <a:off x="3831168" y="613833"/>
          <a:ext cx="9398001"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t>Notes:</a:t>
          </a:r>
          <a:r>
            <a:rPr lang="en-US" sz="1100" i="1"/>
            <a:t> </a:t>
          </a:r>
          <a:r>
            <a:rPr lang="en-US" sz="1100" b="0" i="0" u="none" strike="noStrike" baseline="0" smtClean="0">
              <a:solidFill>
                <a:schemeClr val="dk1"/>
              </a:solidFill>
              <a:latin typeface="+mn-lt"/>
              <a:ea typeface="+mn-ea"/>
              <a:cs typeface="+mn-cs"/>
            </a:rPr>
            <a:t>Disaggregating inventory results by food category and lifecycle stage is not a requirement of the </a:t>
          </a:r>
          <a:r>
            <a:rPr lang="en-US" sz="1100" b="0" i="1" u="none" strike="noStrike" baseline="0" smtClean="0">
              <a:solidFill>
                <a:schemeClr val="dk1"/>
              </a:solidFill>
              <a:latin typeface="+mn-lt"/>
              <a:ea typeface="+mn-ea"/>
              <a:cs typeface="+mn-cs"/>
            </a:rPr>
            <a:t>FLW Standard</a:t>
          </a:r>
          <a:r>
            <a:rPr lang="en-US" sz="1100" b="0" i="0" u="none" strike="noStrike" baseline="0" smtClean="0">
              <a:solidFill>
                <a:schemeClr val="dk1"/>
              </a:solidFill>
              <a:latin typeface="+mn-lt"/>
              <a:ea typeface="+mn-ea"/>
              <a:cs typeface="+mn-cs"/>
            </a:rPr>
            <a:t>, but entities may find it useful to do so. Entities may also disaggregate results in other ways (e.g., by geography or organizational unit[s]) but a template to do so is not provided here.  </a:t>
          </a:r>
        </a:p>
        <a:p>
          <a:endParaRPr lang="en-US" sz="1100" b="0" i="0" u="none" strike="noStrike" baseline="0" smtClean="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t>If</a:t>
          </a:r>
          <a:r>
            <a:rPr lang="en-US" sz="1100" baseline="0"/>
            <a:t> the inventory did not disaggregate data by food category or by lifecycle stage, you may enter data directly in the pink cells in column P (all food categories aggregated) or row 32 (all lifecycle stages aggregated). Please note, however, that the formulas in those pink cells will then no longer work.</a:t>
          </a:r>
          <a:endParaRPr lang="en-US"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Cells with red corners contain additional information. Scroll your mouse over them and content will appear.</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238125</xdr:colOff>
          <xdr:row>41</xdr:row>
          <xdr:rowOff>209550</xdr:rowOff>
        </xdr:from>
        <xdr:to>
          <xdr:col>2</xdr:col>
          <xdr:colOff>600075</xdr:colOff>
          <xdr:row>41</xdr:row>
          <xdr:rowOff>942975</xdr:rowOff>
        </xdr:to>
        <xdr:sp macro="" textlink="">
          <xdr:nvSpPr>
            <xdr:cNvPr id="10264" name="Button 24" hidden="1">
              <a:extLst>
                <a:ext uri="{63B3BB69-23CF-44E3-9099-C40C66FF867C}">
                  <a14:compatExt spid="_x0000_s102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FINISHED - go to Summary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371475</xdr:colOff>
      <xdr:row>0</xdr:row>
      <xdr:rowOff>161926</xdr:rowOff>
    </xdr:from>
    <xdr:to>
      <xdr:col>5</xdr:col>
      <xdr:colOff>0</xdr:colOff>
      <xdr:row>2</xdr:row>
      <xdr:rowOff>38101</xdr:rowOff>
    </xdr:to>
    <xdr:sp macro="" textlink="">
      <xdr:nvSpPr>
        <xdr:cNvPr id="2" name="Rectangle 1"/>
        <xdr:cNvSpPr/>
      </xdr:nvSpPr>
      <xdr:spPr>
        <a:xfrm>
          <a:off x="5133975" y="161926"/>
          <a:ext cx="6362700" cy="361950"/>
        </a:xfrm>
        <a:prstGeom prst="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434977</xdr:colOff>
      <xdr:row>1</xdr:row>
      <xdr:rowOff>24341</xdr:rowOff>
    </xdr:from>
    <xdr:to>
      <xdr:col>5</xdr:col>
      <xdr:colOff>28576</xdr:colOff>
      <xdr:row>2</xdr:row>
      <xdr:rowOff>0</xdr:rowOff>
    </xdr:to>
    <xdr:sp macro="" textlink="">
      <xdr:nvSpPr>
        <xdr:cNvPr id="3" name="TextBox 2"/>
        <xdr:cNvSpPr txBox="1"/>
      </xdr:nvSpPr>
      <xdr:spPr>
        <a:xfrm>
          <a:off x="5197477" y="214841"/>
          <a:ext cx="6327774" cy="270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a:t>Note:</a:t>
          </a:r>
          <a:r>
            <a:rPr lang="en-US" sz="1100" i="1"/>
            <a:t> </a:t>
          </a:r>
          <a:r>
            <a:rPr lang="en-US" sz="1100" b="0" i="0" u="none" strike="noStrike" baseline="0" smtClean="0">
              <a:solidFill>
                <a:schemeClr val="dk1"/>
              </a:solidFill>
              <a:latin typeface="+mn-lt"/>
              <a:ea typeface="+mn-ea"/>
              <a:cs typeface="+mn-cs"/>
            </a:rPr>
            <a:t>A comprehensive set of definitions is provided in the </a:t>
          </a:r>
          <a:r>
            <a:rPr lang="en-US" sz="1100" b="0" i="1" u="none" strike="noStrike" baseline="0" smtClean="0">
              <a:solidFill>
                <a:schemeClr val="dk1"/>
              </a:solidFill>
              <a:latin typeface="+mn-lt"/>
              <a:ea typeface="+mn-ea"/>
              <a:cs typeface="+mn-cs"/>
            </a:rPr>
            <a:t>FLW Standard</a:t>
          </a:r>
          <a:r>
            <a:rPr lang="en-US" sz="1100" b="0" i="0" u="none" strike="noStrike" baseline="0" smtClean="0">
              <a:solidFill>
                <a:schemeClr val="dk1"/>
              </a:solidFill>
              <a:latin typeface="+mn-lt"/>
              <a:ea typeface="+mn-ea"/>
              <a:cs typeface="+mn-cs"/>
            </a:rPr>
            <a:t>.</a:t>
          </a: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1</xdr:col>
          <xdr:colOff>9525</xdr:colOff>
          <xdr:row>20</xdr:row>
          <xdr:rowOff>209550</xdr:rowOff>
        </xdr:from>
        <xdr:to>
          <xdr:col>2</xdr:col>
          <xdr:colOff>933450</xdr:colOff>
          <xdr:row>20</xdr:row>
          <xdr:rowOff>942975</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Go to Summary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hyperlink" Target="http://unstats.un.org/unsd/cr/registry/regcst.asp?Cl=27&amp;Lg=1" TargetMode="External"/><Relationship Id="rId21" Type="http://schemas.openxmlformats.org/officeDocument/2006/relationships/ctrlProp" Target="../ctrlProps/ctrlProp25.xml"/><Relationship Id="rId7" Type="http://schemas.openxmlformats.org/officeDocument/2006/relationships/hyperlink" Target="http://unstats.un.org/unsd/cr/registry/cpc-21.asp" TargetMode="Externa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hyperlink" Target="http://www.unspsc.org/"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www.gs1.org/1/productssolutions/gdsn/gpc/browser/index.html" TargetMode="External"/><Relationship Id="rId6" Type="http://schemas.openxmlformats.org/officeDocument/2006/relationships/hyperlink" Target="http://unstats.un.org/unsd/cr/ctryreg/default.asp?Lg=1" TargetMode="External"/><Relationship Id="rId11" Type="http://schemas.openxmlformats.org/officeDocument/2006/relationships/ctrlProp" Target="../ctrlProps/ctrlProp15.xml"/><Relationship Id="rId5" Type="http://schemas.openxmlformats.org/officeDocument/2006/relationships/hyperlink" Target="http://www.fao.org/gsfaonline/additives/search.html" TargetMode="External"/><Relationship Id="rId15" Type="http://schemas.openxmlformats.org/officeDocument/2006/relationships/ctrlProp" Target="../ctrlProps/ctrlProp19.xml"/><Relationship Id="rId10" Type="http://schemas.openxmlformats.org/officeDocument/2006/relationships/vmlDrawing" Target="../drawings/vmlDrawing4.vml"/><Relationship Id="rId19" Type="http://schemas.openxmlformats.org/officeDocument/2006/relationships/ctrlProp" Target="../ctrlProps/ctrlProp23.xml"/><Relationship Id="rId4" Type="http://schemas.openxmlformats.org/officeDocument/2006/relationships/hyperlink" Target="http://unstats.un.org/unsd/methods/m49/m49regin.htm" TargetMode="External"/><Relationship Id="rId9" Type="http://schemas.openxmlformats.org/officeDocument/2006/relationships/drawing" Target="../drawings/drawing4.xml"/><Relationship Id="rId14" Type="http://schemas.openxmlformats.org/officeDocument/2006/relationships/ctrlProp" Target="../ctrlProps/ctrlProp18.xml"/><Relationship Id="rId2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2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6.vml"/><Relationship Id="rId7" Type="http://schemas.openxmlformats.org/officeDocument/2006/relationships/ctrlProp" Target="../ctrlProps/ctrlProp33.xml"/><Relationship Id="rId12" Type="http://schemas.openxmlformats.org/officeDocument/2006/relationships/comments" Target="../comments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8.vml"/><Relationship Id="rId7" Type="http://schemas.openxmlformats.org/officeDocument/2006/relationships/ctrlProp" Target="../ctrlProps/ctrlProp4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3.xml"/><Relationship Id="rId5" Type="http://schemas.openxmlformats.org/officeDocument/2006/relationships/ctrlProp" Target="../ctrlProps/ctrlProp42.xml"/><Relationship Id="rId10" Type="http://schemas.openxmlformats.org/officeDocument/2006/relationships/comments" Target="../comments5.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omments" Target="../comments6.xml"/><Relationship Id="rId4"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comments" Target="../comments7.xml"/><Relationship Id="rId2" Type="http://schemas.openxmlformats.org/officeDocument/2006/relationships/hyperlink" Target="http://www.fao.org/gsfaonline/additives/search.html" TargetMode="External"/><Relationship Id="rId1" Type="http://schemas.openxmlformats.org/officeDocument/2006/relationships/hyperlink" Target="http://unstats.un.org/unsd/cr/registry/regcst.asp?Cl=27&amp;Lg=1" TargetMode="External"/><Relationship Id="rId6" Type="http://schemas.openxmlformats.org/officeDocument/2006/relationships/ctrlProp" Target="../ctrlProps/ctrlProp49.xml"/><Relationship Id="rId5" Type="http://schemas.openxmlformats.org/officeDocument/2006/relationships/vmlDrawing" Target="../drawings/vmlDrawing10.v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41"/>
  <sheetViews>
    <sheetView tabSelected="1" zoomScaleNormal="100" workbookViewId="0"/>
  </sheetViews>
  <sheetFormatPr defaultRowHeight="15" x14ac:dyDescent="0.25"/>
  <cols>
    <col min="1" max="1" width="3.7109375" style="2" customWidth="1"/>
    <col min="2" max="2" width="121.5703125" style="3" customWidth="1"/>
    <col min="3" max="3" width="3.7109375" style="2" customWidth="1"/>
    <col min="4" max="4" width="10.85546875" style="7" customWidth="1"/>
    <col min="5" max="5" width="9.85546875" bestFit="1" customWidth="1"/>
    <col min="6" max="6" width="11.28515625" customWidth="1"/>
    <col min="7" max="7" width="12.42578125" customWidth="1"/>
    <col min="13" max="13" width="10.7109375" customWidth="1"/>
  </cols>
  <sheetData>
    <row r="1" spans="1:13" s="2" customFormat="1" x14ac:dyDescent="0.25">
      <c r="A1" s="76"/>
      <c r="B1" s="227"/>
      <c r="C1" s="78"/>
      <c r="D1" s="24"/>
      <c r="E1" s="4"/>
      <c r="F1" s="4"/>
      <c r="G1" s="4"/>
      <c r="H1" s="4"/>
      <c r="I1" s="4"/>
      <c r="J1" s="4"/>
      <c r="K1" s="4"/>
      <c r="L1" s="4"/>
      <c r="M1" s="4"/>
    </row>
    <row r="2" spans="1:13" ht="65.25" customHeight="1" x14ac:dyDescent="0.25">
      <c r="A2" s="79"/>
      <c r="B2" s="236"/>
      <c r="C2" s="228"/>
      <c r="D2" s="320"/>
      <c r="E2" s="26"/>
      <c r="F2" s="26"/>
      <c r="G2" s="26"/>
      <c r="H2" s="26"/>
      <c r="I2" s="26"/>
      <c r="J2" s="26"/>
      <c r="K2" s="26"/>
      <c r="L2" s="26"/>
      <c r="M2" s="26"/>
    </row>
    <row r="3" spans="1:13" x14ac:dyDescent="0.25">
      <c r="A3" s="79"/>
      <c r="B3" s="237"/>
      <c r="C3" s="83"/>
      <c r="D3" s="24"/>
      <c r="E3" s="4"/>
      <c r="F3" s="4"/>
      <c r="G3" s="4"/>
      <c r="H3" s="4"/>
      <c r="I3" s="4"/>
      <c r="J3" s="4"/>
      <c r="K3" s="4"/>
      <c r="L3" s="4"/>
      <c r="M3" s="4"/>
    </row>
    <row r="4" spans="1:13" x14ac:dyDescent="0.25">
      <c r="A4" s="79"/>
      <c r="B4" s="238" t="s">
        <v>239</v>
      </c>
      <c r="C4" s="83"/>
      <c r="D4" s="24"/>
      <c r="E4" s="4"/>
      <c r="F4" s="4"/>
      <c r="G4" s="4"/>
      <c r="H4" s="4"/>
      <c r="I4" s="4"/>
      <c r="J4" s="4"/>
      <c r="K4" s="4"/>
      <c r="L4" s="4"/>
      <c r="M4" s="4"/>
    </row>
    <row r="5" spans="1:13" ht="30" customHeight="1" x14ac:dyDescent="0.25">
      <c r="A5" s="79"/>
      <c r="B5" s="258" t="s">
        <v>180</v>
      </c>
      <c r="C5" s="229"/>
      <c r="D5" s="321"/>
      <c r="E5" s="25"/>
      <c r="F5" s="25"/>
      <c r="G5" s="25"/>
      <c r="H5" s="25"/>
      <c r="I5" s="25"/>
      <c r="J5" s="25"/>
      <c r="K5" s="25"/>
      <c r="L5" s="25"/>
      <c r="M5" s="25"/>
    </row>
    <row r="6" spans="1:13" x14ac:dyDescent="0.25">
      <c r="A6" s="79"/>
      <c r="B6" s="259" t="s">
        <v>181</v>
      </c>
      <c r="C6" s="83"/>
      <c r="D6" s="24"/>
      <c r="E6" s="4"/>
      <c r="F6" s="4"/>
      <c r="G6" s="19"/>
      <c r="H6" s="19"/>
      <c r="I6" s="19"/>
      <c r="J6" s="19"/>
      <c r="K6" s="19"/>
      <c r="L6" s="19"/>
      <c r="M6" s="20"/>
    </row>
    <row r="7" spans="1:13" s="6" customFormat="1" ht="30" customHeight="1" x14ac:dyDescent="0.25">
      <c r="A7" s="79"/>
      <c r="B7" s="260" t="s">
        <v>276</v>
      </c>
      <c r="C7" s="230"/>
      <c r="D7" s="275"/>
      <c r="E7" s="19"/>
      <c r="F7" s="19"/>
      <c r="G7" s="19"/>
      <c r="H7" s="19"/>
      <c r="I7" s="19"/>
      <c r="J7" s="19"/>
      <c r="K7" s="19"/>
      <c r="L7" s="19"/>
      <c r="M7" s="20"/>
    </row>
    <row r="8" spans="1:13" s="6" customFormat="1" ht="30" x14ac:dyDescent="0.25">
      <c r="A8" s="79"/>
      <c r="B8" s="258" t="s">
        <v>275</v>
      </c>
      <c r="C8" s="230"/>
      <c r="D8" s="275"/>
      <c r="E8" s="19"/>
      <c r="F8" s="19"/>
      <c r="G8" s="19"/>
      <c r="H8" s="19"/>
      <c r="I8" s="19"/>
      <c r="J8" s="19"/>
      <c r="K8" s="19"/>
      <c r="L8" s="19"/>
      <c r="M8" s="20"/>
    </row>
    <row r="9" spans="1:13" s="6" customFormat="1" x14ac:dyDescent="0.25">
      <c r="A9" s="79"/>
      <c r="B9" s="258"/>
      <c r="C9" s="230"/>
      <c r="D9" s="275"/>
      <c r="E9" s="409"/>
      <c r="F9" s="409"/>
      <c r="G9" s="409"/>
      <c r="H9" s="409"/>
      <c r="I9" s="409"/>
      <c r="J9" s="409"/>
      <c r="K9" s="409"/>
      <c r="L9" s="409"/>
      <c r="M9" s="20"/>
    </row>
    <row r="10" spans="1:13" s="6" customFormat="1" x14ac:dyDescent="0.25">
      <c r="A10" s="79"/>
      <c r="B10" s="240" t="s">
        <v>240</v>
      </c>
      <c r="C10" s="231"/>
      <c r="D10" s="322"/>
      <c r="E10" s="21"/>
      <c r="F10" s="21"/>
      <c r="G10" s="21"/>
      <c r="H10" s="21"/>
      <c r="I10" s="21"/>
      <c r="J10" s="21"/>
      <c r="K10" s="21"/>
      <c r="L10" s="21"/>
      <c r="M10" s="21"/>
    </row>
    <row r="11" spans="1:13" s="6" customFormat="1" x14ac:dyDescent="0.25">
      <c r="A11" s="232"/>
      <c r="B11" s="260" t="s">
        <v>235</v>
      </c>
      <c r="C11" s="231"/>
      <c r="D11" s="322"/>
      <c r="E11" s="21"/>
      <c r="F11" s="21"/>
      <c r="G11" s="21"/>
      <c r="H11" s="21"/>
      <c r="I11" s="21"/>
      <c r="J11" s="21"/>
      <c r="K11" s="21"/>
      <c r="L11" s="21"/>
      <c r="M11" s="21"/>
    </row>
    <row r="12" spans="1:13" s="6" customFormat="1" ht="30" customHeight="1" x14ac:dyDescent="0.25">
      <c r="A12" s="79"/>
      <c r="B12" s="260" t="s">
        <v>219</v>
      </c>
      <c r="C12" s="233"/>
      <c r="D12" s="323"/>
      <c r="E12" s="22"/>
      <c r="F12" s="22"/>
      <c r="G12" s="22"/>
      <c r="H12" s="22"/>
      <c r="I12" s="22"/>
      <c r="J12" s="22"/>
      <c r="K12" s="22"/>
      <c r="L12" s="22"/>
      <c r="M12" s="22"/>
    </row>
    <row r="13" spans="1:13" s="6" customFormat="1" ht="15" customHeight="1" x14ac:dyDescent="0.25">
      <c r="A13" s="79"/>
      <c r="B13" s="260" t="s">
        <v>182</v>
      </c>
      <c r="C13" s="233"/>
      <c r="D13" s="323"/>
      <c r="E13" s="22"/>
      <c r="F13" s="22"/>
      <c r="G13" s="22"/>
      <c r="H13" s="22"/>
      <c r="I13" s="22"/>
      <c r="J13" s="22"/>
      <c r="K13" s="22"/>
      <c r="L13" s="22"/>
      <c r="M13" s="22"/>
    </row>
    <row r="14" spans="1:13" s="6" customFormat="1" ht="30" customHeight="1" x14ac:dyDescent="0.25">
      <c r="A14" s="79"/>
      <c r="B14" s="260" t="s">
        <v>218</v>
      </c>
      <c r="C14" s="233"/>
      <c r="D14" s="323"/>
      <c r="E14" s="22"/>
      <c r="F14" s="22"/>
      <c r="G14" s="22"/>
      <c r="H14" s="22"/>
      <c r="I14" s="22"/>
      <c r="J14" s="22"/>
      <c r="K14" s="22"/>
      <c r="L14" s="22"/>
      <c r="M14" s="22"/>
    </row>
    <row r="15" spans="1:13" s="6" customFormat="1" ht="30" customHeight="1" x14ac:dyDescent="0.25">
      <c r="A15" s="79"/>
      <c r="B15" s="260" t="s">
        <v>236</v>
      </c>
      <c r="C15" s="233"/>
      <c r="D15" s="323"/>
      <c r="E15" s="22"/>
      <c r="F15" s="22"/>
      <c r="G15" s="22"/>
      <c r="H15" s="22"/>
      <c r="I15" s="22"/>
      <c r="J15" s="22"/>
      <c r="K15" s="22"/>
      <c r="L15" s="22"/>
      <c r="M15" s="22"/>
    </row>
    <row r="16" spans="1:13" s="6" customFormat="1" ht="30" customHeight="1" x14ac:dyDescent="0.25">
      <c r="A16" s="79"/>
      <c r="B16" s="258" t="s">
        <v>237</v>
      </c>
      <c r="C16" s="233"/>
      <c r="D16" s="323"/>
      <c r="E16" s="22"/>
      <c r="F16" s="22"/>
      <c r="G16" s="22"/>
      <c r="H16" s="22"/>
      <c r="I16" s="22"/>
      <c r="J16" s="22"/>
      <c r="K16" s="22"/>
      <c r="L16" s="22"/>
      <c r="M16" s="22"/>
    </row>
    <row r="17" spans="1:13" s="6" customFormat="1" x14ac:dyDescent="0.25">
      <c r="A17" s="79"/>
      <c r="B17" s="239"/>
      <c r="C17" s="83"/>
      <c r="D17" s="24"/>
      <c r="E17" s="4"/>
      <c r="F17" s="4"/>
      <c r="G17" s="4"/>
      <c r="H17" s="4"/>
      <c r="I17" s="4"/>
      <c r="J17" s="4"/>
      <c r="K17" s="4"/>
      <c r="L17" s="4"/>
      <c r="M17" s="4"/>
    </row>
    <row r="18" spans="1:13" x14ac:dyDescent="0.25">
      <c r="A18" s="79"/>
      <c r="B18" s="238" t="s">
        <v>238</v>
      </c>
      <c r="C18" s="234"/>
      <c r="D18" s="24"/>
      <c r="E18" s="2"/>
      <c r="F18" s="2"/>
      <c r="G18" s="2"/>
      <c r="H18" s="4"/>
      <c r="I18" s="4"/>
      <c r="J18" s="4"/>
      <c r="K18" s="4"/>
      <c r="L18" s="4"/>
      <c r="M18" s="4"/>
    </row>
    <row r="19" spans="1:13" x14ac:dyDescent="0.25">
      <c r="A19" s="79"/>
      <c r="B19" s="259" t="s">
        <v>183</v>
      </c>
      <c r="C19" s="83"/>
      <c r="D19" s="24"/>
      <c r="E19" s="2"/>
      <c r="F19" s="2"/>
      <c r="G19" s="2"/>
      <c r="H19" s="4"/>
      <c r="I19" s="4"/>
      <c r="J19" s="4"/>
      <c r="K19" s="4"/>
      <c r="L19" s="4"/>
      <c r="M19" s="4"/>
    </row>
    <row r="20" spans="1:13" x14ac:dyDescent="0.25">
      <c r="A20" s="79"/>
      <c r="B20" s="259" t="s">
        <v>184</v>
      </c>
      <c r="C20" s="83"/>
      <c r="D20" s="24"/>
      <c r="E20" s="2"/>
      <c r="F20" s="2"/>
      <c r="G20" s="2"/>
      <c r="H20" s="4"/>
      <c r="I20" s="4"/>
      <c r="J20" s="4"/>
      <c r="K20" s="4"/>
      <c r="L20" s="4"/>
      <c r="M20" s="4"/>
    </row>
    <row r="21" spans="1:13" x14ac:dyDescent="0.25">
      <c r="A21" s="79"/>
      <c r="B21" s="259" t="s">
        <v>185</v>
      </c>
      <c r="C21" s="83"/>
      <c r="D21" s="24"/>
      <c r="E21" s="2"/>
      <c r="F21" s="2"/>
      <c r="G21" s="2"/>
      <c r="H21" s="4"/>
      <c r="I21" s="4"/>
      <c r="J21" s="4"/>
      <c r="K21" s="4"/>
      <c r="L21" s="4"/>
      <c r="M21" s="4"/>
    </row>
    <row r="22" spans="1:13" x14ac:dyDescent="0.25">
      <c r="A22" s="79"/>
      <c r="B22" s="259" t="s">
        <v>186</v>
      </c>
      <c r="C22" s="83"/>
      <c r="D22" s="24"/>
      <c r="E22" s="2"/>
      <c r="F22" s="2"/>
      <c r="G22" s="2"/>
      <c r="H22" s="4"/>
      <c r="I22" s="4"/>
      <c r="J22" s="4"/>
      <c r="K22" s="4"/>
      <c r="L22" s="4"/>
      <c r="M22" s="4"/>
    </row>
    <row r="23" spans="1:13" x14ac:dyDescent="0.25">
      <c r="A23" s="79"/>
      <c r="B23" s="259" t="s">
        <v>222</v>
      </c>
      <c r="C23" s="83"/>
      <c r="D23" s="24"/>
      <c r="E23" s="4"/>
      <c r="F23" s="4"/>
      <c r="G23" s="4"/>
      <c r="H23" s="4"/>
      <c r="I23" s="4"/>
      <c r="J23" s="4"/>
      <c r="K23" s="4"/>
      <c r="L23" s="4"/>
      <c r="M23" s="4"/>
    </row>
    <row r="24" spans="1:13" x14ac:dyDescent="0.25">
      <c r="A24" s="79"/>
      <c r="B24" s="259" t="s">
        <v>223</v>
      </c>
      <c r="C24" s="83"/>
      <c r="D24" s="24"/>
      <c r="E24" s="4"/>
      <c r="F24" s="4"/>
      <c r="G24" s="4"/>
      <c r="H24" s="4"/>
      <c r="I24" s="4"/>
      <c r="J24" s="4"/>
      <c r="K24" s="4"/>
      <c r="L24" s="4"/>
      <c r="M24" s="4"/>
    </row>
    <row r="25" spans="1:13" s="6" customFormat="1" x14ac:dyDescent="0.25">
      <c r="A25" s="79"/>
      <c r="B25" s="258" t="s">
        <v>220</v>
      </c>
      <c r="C25" s="83"/>
      <c r="D25" s="24"/>
      <c r="E25" s="4"/>
      <c r="F25" s="4"/>
      <c r="G25" s="4"/>
      <c r="H25" s="4"/>
      <c r="I25" s="4"/>
      <c r="J25" s="4"/>
      <c r="K25" s="4"/>
      <c r="L25" s="4"/>
      <c r="M25" s="4"/>
    </row>
    <row r="26" spans="1:13" x14ac:dyDescent="0.25">
      <c r="A26" s="79"/>
      <c r="B26" s="259" t="s">
        <v>221</v>
      </c>
      <c r="C26" s="83"/>
      <c r="D26" s="24"/>
      <c r="E26" s="4"/>
      <c r="F26" s="4"/>
      <c r="G26" s="4"/>
      <c r="H26" s="4"/>
      <c r="I26" s="4"/>
      <c r="J26" s="4"/>
      <c r="K26" s="4"/>
      <c r="L26" s="4"/>
      <c r="M26" s="4"/>
    </row>
    <row r="27" spans="1:13" x14ac:dyDescent="0.25">
      <c r="A27" s="79"/>
      <c r="B27" s="239"/>
      <c r="C27" s="83"/>
      <c r="D27" s="24"/>
      <c r="E27" s="4"/>
      <c r="F27" s="4"/>
      <c r="G27" s="4"/>
      <c r="H27" s="4"/>
      <c r="I27" s="4"/>
      <c r="J27" s="4"/>
      <c r="K27" s="4"/>
      <c r="L27" s="4"/>
      <c r="M27" s="4"/>
    </row>
    <row r="28" spans="1:13" s="2" customFormat="1" x14ac:dyDescent="0.25">
      <c r="A28" s="79"/>
      <c r="B28" s="238" t="s">
        <v>241</v>
      </c>
      <c r="C28" s="83"/>
      <c r="D28" s="24"/>
      <c r="E28" s="4"/>
      <c r="F28" s="4"/>
      <c r="G28" s="4"/>
      <c r="H28" s="4"/>
      <c r="I28" s="4"/>
      <c r="J28" s="4"/>
      <c r="K28" s="4"/>
      <c r="L28" s="4"/>
      <c r="M28" s="4"/>
    </row>
    <row r="29" spans="1:13" s="2" customFormat="1" x14ac:dyDescent="0.25">
      <c r="A29" s="79"/>
      <c r="B29" s="258" t="s">
        <v>224</v>
      </c>
      <c r="C29" s="83"/>
      <c r="D29" s="24"/>
      <c r="E29" s="4"/>
      <c r="F29" s="4"/>
      <c r="G29" s="4"/>
      <c r="H29" s="4"/>
      <c r="I29" s="4"/>
      <c r="J29" s="4"/>
      <c r="K29" s="4"/>
      <c r="L29" s="4"/>
      <c r="M29" s="4"/>
    </row>
    <row r="30" spans="1:13" s="2" customFormat="1" ht="45" customHeight="1" x14ac:dyDescent="0.25">
      <c r="A30" s="79"/>
      <c r="B30" s="258" t="s">
        <v>187</v>
      </c>
      <c r="C30" s="80"/>
      <c r="D30" s="321"/>
      <c r="E30" s="23"/>
      <c r="F30" s="23"/>
      <c r="G30" s="23"/>
      <c r="H30" s="23"/>
      <c r="I30" s="23"/>
      <c r="J30" s="23"/>
      <c r="K30" s="23"/>
      <c r="L30" s="23"/>
      <c r="M30" s="23"/>
    </row>
    <row r="31" spans="1:13" s="2" customFormat="1" ht="30" customHeight="1" x14ac:dyDescent="0.25">
      <c r="A31" s="79"/>
      <c r="B31" s="258" t="s">
        <v>189</v>
      </c>
      <c r="C31" s="80"/>
      <c r="D31" s="321"/>
      <c r="E31" s="23"/>
      <c r="F31" s="23"/>
      <c r="G31" s="23"/>
      <c r="H31" s="23"/>
      <c r="I31" s="23"/>
      <c r="J31" s="23"/>
      <c r="K31" s="23"/>
      <c r="L31" s="23"/>
      <c r="M31" s="23"/>
    </row>
    <row r="32" spans="1:13" ht="30" customHeight="1" x14ac:dyDescent="0.25">
      <c r="A32" s="79"/>
      <c r="B32" s="259" t="s">
        <v>188</v>
      </c>
      <c r="C32" s="229"/>
      <c r="D32" s="321"/>
      <c r="E32" s="25"/>
      <c r="F32" s="25"/>
      <c r="G32" s="25"/>
      <c r="H32" s="25"/>
      <c r="I32" s="25"/>
      <c r="J32" s="25"/>
      <c r="K32" s="25"/>
      <c r="L32" s="25"/>
      <c r="M32" s="25"/>
    </row>
    <row r="33" spans="1:13" x14ac:dyDescent="0.25">
      <c r="A33" s="79"/>
      <c r="B33" s="259" t="s">
        <v>226</v>
      </c>
      <c r="C33" s="229"/>
      <c r="D33" s="321"/>
      <c r="E33" s="25"/>
      <c r="F33" s="25"/>
      <c r="G33" s="25"/>
      <c r="H33" s="25"/>
      <c r="I33" s="25"/>
      <c r="J33" s="25"/>
      <c r="K33" s="25"/>
      <c r="L33" s="25"/>
      <c r="M33" s="25"/>
    </row>
    <row r="34" spans="1:13" x14ac:dyDescent="0.25">
      <c r="A34" s="79"/>
      <c r="B34" s="259" t="s">
        <v>231</v>
      </c>
      <c r="C34" s="230"/>
      <c r="D34" s="275"/>
      <c r="E34" s="19"/>
      <c r="F34" s="19"/>
      <c r="G34" s="19"/>
      <c r="H34" s="19"/>
      <c r="I34" s="19"/>
      <c r="J34" s="19"/>
      <c r="K34" s="19"/>
      <c r="L34" s="19"/>
      <c r="M34" s="19"/>
    </row>
    <row r="35" spans="1:13" x14ac:dyDescent="0.25">
      <c r="A35" s="79"/>
      <c r="B35" s="241"/>
      <c r="C35" s="83"/>
      <c r="D35" s="24"/>
      <c r="E35" s="4"/>
      <c r="F35" s="4"/>
      <c r="G35" s="4"/>
      <c r="H35" s="4"/>
      <c r="I35" s="4"/>
      <c r="J35" s="4"/>
      <c r="K35" s="4"/>
      <c r="L35" s="4"/>
      <c r="M35" s="4"/>
    </row>
    <row r="36" spans="1:13" s="2" customFormat="1" x14ac:dyDescent="0.25">
      <c r="A36" s="82"/>
      <c r="B36" s="235"/>
      <c r="C36" s="112"/>
      <c r="D36" s="24"/>
      <c r="E36" s="4"/>
      <c r="F36" s="4"/>
      <c r="G36" s="4"/>
      <c r="H36" s="4"/>
      <c r="I36" s="4"/>
      <c r="J36" s="4"/>
      <c r="K36" s="4"/>
      <c r="L36" s="4"/>
      <c r="M36" s="4"/>
    </row>
    <row r="37" spans="1:13" s="2" customFormat="1" x14ac:dyDescent="0.25">
      <c r="A37" s="4"/>
      <c r="B37" s="55"/>
      <c r="C37" s="4"/>
      <c r="D37" s="24"/>
      <c r="E37" s="4"/>
      <c r="F37" s="4"/>
      <c r="G37" s="4"/>
      <c r="H37" s="4"/>
      <c r="I37" s="4"/>
      <c r="J37" s="4"/>
      <c r="K37" s="4"/>
      <c r="L37" s="4"/>
      <c r="M37" s="4"/>
    </row>
    <row r="38" spans="1:13" x14ac:dyDescent="0.25">
      <c r="B38" s="257"/>
    </row>
    <row r="39" spans="1:13" s="6" customFormat="1" x14ac:dyDescent="0.25">
      <c r="A39" s="2"/>
      <c r="C39" s="2"/>
      <c r="D39" s="7"/>
    </row>
    <row r="40" spans="1:13" s="6" customFormat="1" x14ac:dyDescent="0.25">
      <c r="A40" s="2"/>
      <c r="C40" s="2"/>
      <c r="D40" s="7"/>
    </row>
    <row r="41" spans="1:13" s="6" customFormat="1" x14ac:dyDescent="0.25">
      <c r="A41" s="2"/>
      <c r="C41" s="2"/>
      <c r="D41" s="7"/>
    </row>
  </sheetData>
  <pageMargins left="0.7" right="0.7" top="0.75" bottom="0.75" header="0.3" footer="0.3"/>
  <pageSetup scale="4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oToTabI">
                <anchor moveWithCells="1" sizeWithCells="1">
                  <from>
                    <xdr:col>1</xdr:col>
                    <xdr:colOff>3114675</xdr:colOff>
                    <xdr:row>16</xdr:row>
                    <xdr:rowOff>85725</xdr:rowOff>
                  </from>
                  <to>
                    <xdr:col>1</xdr:col>
                    <xdr:colOff>5172075</xdr:colOff>
                    <xdr:row>19</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84"/>
  <sheetViews>
    <sheetView zoomScaleNormal="100" workbookViewId="0"/>
  </sheetViews>
  <sheetFormatPr defaultRowHeight="15" x14ac:dyDescent="0.25"/>
  <cols>
    <col min="1" max="1" width="3.7109375" style="56" customWidth="1"/>
    <col min="2" max="8" width="12.7109375" style="2" customWidth="1"/>
    <col min="9" max="9" width="29.140625" style="2" customWidth="1"/>
    <col min="10" max="10" width="3.7109375" style="14" customWidth="1"/>
    <col min="11" max="11" width="26.85546875" style="14" customWidth="1"/>
    <col min="12" max="13" width="15.7109375" style="2" customWidth="1"/>
    <col min="14" max="14" width="40.7109375" style="2" customWidth="1"/>
    <col min="15" max="15" width="12.7109375" style="2" customWidth="1"/>
    <col min="16" max="16" width="11.85546875" style="2" customWidth="1"/>
    <col min="17" max="17" width="14.85546875" style="2" customWidth="1"/>
    <col min="18" max="16384" width="9.140625" style="2"/>
  </cols>
  <sheetData>
    <row r="1" spans="1:17" ht="15" customHeight="1" x14ac:dyDescent="0.25">
      <c r="A1" s="120"/>
      <c r="B1" s="77"/>
      <c r="C1" s="77"/>
      <c r="D1" s="77"/>
      <c r="E1" s="77"/>
      <c r="F1" s="77"/>
      <c r="G1" s="77"/>
      <c r="H1" s="77"/>
      <c r="I1" s="77"/>
      <c r="J1" s="398"/>
    </row>
    <row r="2" spans="1:17" ht="23.25" x14ac:dyDescent="0.35">
      <c r="A2" s="121" t="s">
        <v>106</v>
      </c>
      <c r="B2" s="268" t="s">
        <v>105</v>
      </c>
      <c r="C2" s="269"/>
      <c r="D2" s="269"/>
      <c r="E2" s="269"/>
      <c r="F2" s="269"/>
      <c r="G2" s="269"/>
      <c r="H2" s="269"/>
      <c r="I2" s="270"/>
      <c r="J2" s="151"/>
      <c r="K2" s="324"/>
      <c r="L2" s="4"/>
      <c r="M2" s="4"/>
      <c r="N2" s="4"/>
      <c r="O2" s="4"/>
      <c r="Q2" s="4"/>
    </row>
    <row r="3" spans="1:17" x14ac:dyDescent="0.25">
      <c r="A3" s="121"/>
      <c r="B3" s="271"/>
      <c r="C3" s="62"/>
      <c r="D3" s="62"/>
      <c r="E3" s="62"/>
      <c r="F3" s="62"/>
      <c r="G3" s="62"/>
      <c r="H3" s="62"/>
      <c r="I3" s="272"/>
      <c r="J3" s="151"/>
      <c r="K3" s="24"/>
      <c r="L3" s="4"/>
      <c r="M3" s="4"/>
      <c r="N3" s="4"/>
      <c r="O3" s="4"/>
      <c r="Q3" s="4"/>
    </row>
    <row r="4" spans="1:17" ht="15" customHeight="1" x14ac:dyDescent="0.25">
      <c r="A4" s="399"/>
      <c r="B4" s="411" t="s">
        <v>86</v>
      </c>
      <c r="C4" s="412"/>
      <c r="D4" s="413">
        <f>'I. General info'!C4</f>
        <v>0</v>
      </c>
      <c r="E4" s="414"/>
      <c r="F4" s="414"/>
      <c r="G4" s="461" t="s">
        <v>198</v>
      </c>
      <c r="H4" s="461"/>
      <c r="I4" s="460">
        <f>'I. General info'!C8</f>
        <v>0</v>
      </c>
      <c r="J4" s="151"/>
      <c r="K4" s="24"/>
      <c r="L4" s="4"/>
      <c r="M4" s="4"/>
      <c r="N4" s="4"/>
      <c r="O4" s="4"/>
      <c r="Q4" s="4"/>
    </row>
    <row r="5" spans="1:17" ht="15" customHeight="1" x14ac:dyDescent="0.25">
      <c r="A5" s="399"/>
      <c r="B5" s="410" t="s">
        <v>81</v>
      </c>
      <c r="C5" s="412"/>
      <c r="D5" s="418">
        <f>'II. Scope and results'!C8</f>
        <v>0</v>
      </c>
      <c r="E5" s="415" t="s">
        <v>82</v>
      </c>
      <c r="F5" s="418">
        <f>'II. Scope and results'!D8</f>
        <v>0</v>
      </c>
      <c r="G5" s="416"/>
      <c r="H5" s="416"/>
      <c r="I5" s="417"/>
      <c r="J5" s="151"/>
      <c r="K5" s="24"/>
      <c r="L5" s="4"/>
      <c r="N5" s="4"/>
      <c r="O5" s="4"/>
      <c r="Q5" s="4"/>
    </row>
    <row r="6" spans="1:17" ht="15" customHeight="1" x14ac:dyDescent="0.25">
      <c r="A6" s="399"/>
      <c r="B6" s="410"/>
      <c r="C6" s="412"/>
      <c r="D6" s="418"/>
      <c r="E6" s="415"/>
      <c r="F6" s="418"/>
      <c r="G6" s="416"/>
      <c r="H6" s="416"/>
      <c r="I6" s="417"/>
      <c r="J6" s="151"/>
      <c r="K6" s="24"/>
      <c r="L6" s="4"/>
      <c r="M6" s="4"/>
      <c r="N6" s="4"/>
      <c r="O6" s="4"/>
      <c r="Q6" s="4"/>
    </row>
    <row r="7" spans="1:17" ht="15.75" x14ac:dyDescent="0.25">
      <c r="A7" s="121"/>
      <c r="B7" s="410" t="s">
        <v>199</v>
      </c>
      <c r="C7" s="412"/>
      <c r="D7" s="412"/>
      <c r="E7" s="412"/>
      <c r="F7" s="419">
        <f>'II. Scope and results'!C5</f>
        <v>0</v>
      </c>
      <c r="G7" s="420" t="str">
        <f>INDEX('II. Scope and results'!N10:N13, 'II. Scope and results'!D5)</f>
        <v>lbs</v>
      </c>
      <c r="H7" s="412"/>
      <c r="I7" s="421"/>
      <c r="J7" s="151"/>
      <c r="K7" s="24"/>
      <c r="L7" s="4"/>
      <c r="M7" s="4"/>
      <c r="N7" s="4"/>
      <c r="O7" s="4"/>
      <c r="Q7" s="4"/>
    </row>
    <row r="8" spans="1:17" ht="15.75" x14ac:dyDescent="0.25">
      <c r="A8" s="121"/>
      <c r="B8" s="422"/>
      <c r="C8" s="412"/>
      <c r="D8" s="412"/>
      <c r="E8" s="412"/>
      <c r="F8" s="412"/>
      <c r="G8" s="412"/>
      <c r="H8" s="412"/>
      <c r="I8" s="421"/>
      <c r="J8" s="151"/>
      <c r="K8" s="24"/>
      <c r="L8" s="4"/>
      <c r="M8" s="4"/>
      <c r="N8" s="4"/>
      <c r="O8" s="4"/>
      <c r="Q8" s="4"/>
    </row>
    <row r="9" spans="1:17" ht="15.75" x14ac:dyDescent="0.25">
      <c r="A9" s="121"/>
      <c r="B9" s="422"/>
      <c r="C9" s="412"/>
      <c r="D9" s="445"/>
      <c r="E9" s="446"/>
      <c r="F9" s="447" t="s">
        <v>230</v>
      </c>
      <c r="G9" s="448"/>
      <c r="H9" s="448"/>
      <c r="I9" s="421"/>
      <c r="J9" s="151"/>
      <c r="K9" s="24"/>
      <c r="L9" s="4"/>
      <c r="M9" s="4"/>
      <c r="N9" s="4"/>
      <c r="O9" s="4"/>
      <c r="Q9" s="4"/>
    </row>
    <row r="10" spans="1:17" ht="15.75" x14ac:dyDescent="0.25">
      <c r="A10" s="121"/>
      <c r="B10" s="444" t="s">
        <v>232</v>
      </c>
      <c r="C10" s="424"/>
      <c r="D10" s="425"/>
      <c r="E10" s="426"/>
      <c r="F10" s="427" t="s">
        <v>227</v>
      </c>
      <c r="G10" s="428"/>
      <c r="H10" s="428"/>
      <c r="I10" s="429"/>
      <c r="J10" s="151"/>
      <c r="K10" s="24"/>
      <c r="L10" s="4"/>
      <c r="M10" s="4"/>
      <c r="N10" s="4"/>
      <c r="O10" s="4"/>
      <c r="Q10" s="4"/>
    </row>
    <row r="11" spans="1:17" ht="15.75" x14ac:dyDescent="0.25">
      <c r="A11" s="121"/>
      <c r="B11" s="430" t="s">
        <v>104</v>
      </c>
      <c r="C11" s="423"/>
      <c r="D11" s="431"/>
      <c r="E11" s="432"/>
      <c r="F11" s="418"/>
      <c r="G11" s="412"/>
      <c r="H11" s="412"/>
      <c r="I11" s="421"/>
      <c r="J11" s="151"/>
      <c r="K11" s="24"/>
      <c r="L11" s="4"/>
      <c r="M11" s="4"/>
      <c r="N11" s="4"/>
      <c r="O11" s="4"/>
      <c r="Q11" s="4"/>
    </row>
    <row r="12" spans="1:17" ht="15.75" x14ac:dyDescent="0.25">
      <c r="A12" s="400" t="str">
        <f>'II. Scope and results'!C11</f>
        <v>No</v>
      </c>
      <c r="B12" s="422"/>
      <c r="C12" s="412" t="s">
        <v>29</v>
      </c>
      <c r="D12" s="412"/>
      <c r="E12" s="421"/>
      <c r="F12" s="433" t="str">
        <f>'II. Scope and results'!D11</f>
        <v>--</v>
      </c>
      <c r="G12" s="412"/>
      <c r="H12" s="412"/>
      <c r="I12" s="421"/>
      <c r="J12" s="151"/>
      <c r="K12" s="24"/>
      <c r="L12" s="4"/>
      <c r="M12" s="4"/>
      <c r="N12" s="4"/>
      <c r="O12" s="4"/>
      <c r="Q12" s="4"/>
    </row>
    <row r="13" spans="1:17" ht="15.75" x14ac:dyDescent="0.25">
      <c r="A13" s="400" t="str">
        <f>'II. Scope and results'!C12</f>
        <v>No</v>
      </c>
      <c r="B13" s="410"/>
      <c r="C13" s="412" t="s">
        <v>32</v>
      </c>
      <c r="D13" s="412"/>
      <c r="E13" s="421"/>
      <c r="F13" s="433" t="str">
        <f>'II. Scope and results'!D12</f>
        <v>--</v>
      </c>
      <c r="G13" s="412"/>
      <c r="H13" s="412"/>
      <c r="I13" s="421"/>
      <c r="J13" s="151"/>
      <c r="K13" s="24"/>
      <c r="L13" s="4"/>
      <c r="M13" s="4"/>
      <c r="N13" s="4"/>
      <c r="O13" s="4"/>
      <c r="Q13" s="4"/>
    </row>
    <row r="14" spans="1:17" ht="15.75" x14ac:dyDescent="0.25">
      <c r="A14" s="121"/>
      <c r="B14" s="410"/>
      <c r="C14" s="434"/>
      <c r="D14" s="412"/>
      <c r="E14" s="421"/>
      <c r="F14" s="412"/>
      <c r="G14" s="412"/>
      <c r="H14" s="412"/>
      <c r="I14" s="421"/>
      <c r="J14" s="151"/>
      <c r="K14" s="24"/>
      <c r="L14" s="4"/>
      <c r="M14" s="4"/>
      <c r="N14" s="4"/>
      <c r="O14" s="4"/>
      <c r="Q14" s="4"/>
    </row>
    <row r="15" spans="1:17" ht="30" customHeight="1" x14ac:dyDescent="0.25">
      <c r="A15" s="121"/>
      <c r="B15" s="411" t="s">
        <v>103</v>
      </c>
      <c r="C15" s="434"/>
      <c r="D15" s="412"/>
      <c r="E15" s="421"/>
      <c r="F15" s="412"/>
      <c r="G15" s="412"/>
      <c r="H15" s="464" t="s">
        <v>107</v>
      </c>
      <c r="I15" s="465"/>
      <c r="J15" s="151"/>
      <c r="K15" s="24"/>
      <c r="L15" s="4"/>
      <c r="M15" s="24"/>
      <c r="N15" s="4"/>
      <c r="O15" s="4"/>
      <c r="Q15" s="4"/>
    </row>
    <row r="16" spans="1:17" ht="15" customHeight="1" x14ac:dyDescent="0.25">
      <c r="A16" s="401" t="str">
        <f>'II. Scope and results'!C19</f>
        <v>No</v>
      </c>
      <c r="B16" s="422"/>
      <c r="C16" s="462" t="s">
        <v>87</v>
      </c>
      <c r="D16" s="462"/>
      <c r="E16" s="463"/>
      <c r="F16" s="455">
        <f>'II. Scope and results'!D19</f>
        <v>0</v>
      </c>
      <c r="G16" s="412"/>
      <c r="H16" s="435" t="str">
        <f>'II. Scope and results'!F19</f>
        <v>Yes</v>
      </c>
      <c r="I16" s="421"/>
      <c r="J16" s="151"/>
      <c r="K16" s="24"/>
      <c r="L16" s="4"/>
      <c r="M16" s="4"/>
      <c r="N16" s="4"/>
      <c r="O16" s="4"/>
      <c r="Q16" s="4"/>
    </row>
    <row r="17" spans="1:17" ht="30" customHeight="1" x14ac:dyDescent="0.25">
      <c r="A17" s="399" t="str">
        <f>'II. Scope and results'!C20</f>
        <v>No</v>
      </c>
      <c r="B17" s="411"/>
      <c r="C17" s="462" t="s">
        <v>88</v>
      </c>
      <c r="D17" s="462"/>
      <c r="E17" s="463"/>
      <c r="F17" s="455">
        <f>'II. Scope and results'!D20</f>
        <v>0</v>
      </c>
      <c r="G17" s="436"/>
      <c r="H17" s="435" t="str">
        <f>'II. Scope and results'!F20</f>
        <v>Yes</v>
      </c>
      <c r="I17" s="421"/>
      <c r="J17" s="151"/>
      <c r="L17" s="4"/>
      <c r="M17" s="4"/>
      <c r="N17" s="4"/>
      <c r="O17" s="4"/>
      <c r="Q17" s="4"/>
    </row>
    <row r="18" spans="1:17" ht="15" customHeight="1" x14ac:dyDescent="0.25">
      <c r="A18" s="399" t="str">
        <f>'II. Scope and results'!C21</f>
        <v>No</v>
      </c>
      <c r="B18" s="411"/>
      <c r="C18" s="462" t="s">
        <v>89</v>
      </c>
      <c r="D18" s="462"/>
      <c r="E18" s="463"/>
      <c r="F18" s="455">
        <f>'II. Scope and results'!D21</f>
        <v>0</v>
      </c>
      <c r="G18" s="451"/>
      <c r="H18" s="435">
        <f>'II. Scope and results'!F21</f>
        <v>0</v>
      </c>
      <c r="I18" s="421"/>
      <c r="J18" s="151"/>
      <c r="K18" s="24"/>
      <c r="L18" s="4"/>
      <c r="M18" s="4"/>
      <c r="N18" s="4"/>
      <c r="O18" s="4"/>
      <c r="Q18" s="4"/>
    </row>
    <row r="19" spans="1:17" ht="15" customHeight="1" x14ac:dyDescent="0.25">
      <c r="A19" s="399" t="str">
        <f>'II. Scope and results'!C22</f>
        <v>No</v>
      </c>
      <c r="B19" s="411"/>
      <c r="C19" s="462" t="s">
        <v>90</v>
      </c>
      <c r="D19" s="462"/>
      <c r="E19" s="463"/>
      <c r="F19" s="455">
        <f>'II. Scope and results'!D22</f>
        <v>0</v>
      </c>
      <c r="G19" s="412"/>
      <c r="H19" s="435">
        <f>'II. Scope and results'!F22</f>
        <v>0</v>
      </c>
      <c r="I19" s="421"/>
      <c r="J19" s="151"/>
      <c r="K19" s="24"/>
      <c r="L19" s="4"/>
      <c r="M19" s="4"/>
      <c r="N19" s="4"/>
      <c r="O19" s="4"/>
      <c r="Q19" s="4"/>
    </row>
    <row r="20" spans="1:17" ht="15" customHeight="1" x14ac:dyDescent="0.25">
      <c r="A20" s="399" t="str">
        <f>'II. Scope and results'!C23</f>
        <v>No</v>
      </c>
      <c r="B20" s="411"/>
      <c r="C20" s="462" t="s">
        <v>94</v>
      </c>
      <c r="D20" s="462"/>
      <c r="E20" s="463"/>
      <c r="F20" s="455">
        <f>'II. Scope and results'!D23</f>
        <v>0</v>
      </c>
      <c r="G20" s="412"/>
      <c r="H20" s="435">
        <f>'II. Scope and results'!F23</f>
        <v>0</v>
      </c>
      <c r="I20" s="421"/>
      <c r="J20" s="151"/>
      <c r="K20" s="24"/>
      <c r="L20" s="4"/>
      <c r="M20" s="4"/>
      <c r="N20" s="4"/>
      <c r="O20" s="4"/>
      <c r="Q20" s="4"/>
    </row>
    <row r="21" spans="1:17" ht="15" customHeight="1" x14ac:dyDescent="0.25">
      <c r="A21" s="399" t="str">
        <f>'II. Scope and results'!C24</f>
        <v>No</v>
      </c>
      <c r="B21" s="411"/>
      <c r="C21" s="462" t="s">
        <v>4</v>
      </c>
      <c r="D21" s="462"/>
      <c r="E21" s="463"/>
      <c r="F21" s="455">
        <f>'II. Scope and results'!D24</f>
        <v>0</v>
      </c>
      <c r="G21" s="412"/>
      <c r="H21" s="435" t="str">
        <f>'II. Scope and results'!F24</f>
        <v>Yes</v>
      </c>
      <c r="I21" s="421"/>
      <c r="J21" s="151"/>
      <c r="K21" s="24"/>
      <c r="L21" s="4"/>
      <c r="M21" s="4"/>
      <c r="N21" s="4"/>
      <c r="O21" s="4"/>
      <c r="Q21" s="4"/>
    </row>
    <row r="22" spans="1:17" ht="15" customHeight="1" x14ac:dyDescent="0.25">
      <c r="A22" s="399" t="str">
        <f>'II. Scope and results'!C25</f>
        <v>No</v>
      </c>
      <c r="B22" s="411"/>
      <c r="C22" s="462" t="s">
        <v>3</v>
      </c>
      <c r="D22" s="462"/>
      <c r="E22" s="463"/>
      <c r="F22" s="455">
        <f>'II. Scope and results'!D25</f>
        <v>0</v>
      </c>
      <c r="G22" s="451"/>
      <c r="H22" s="435">
        <f>'II. Scope and results'!F25</f>
        <v>0</v>
      </c>
      <c r="I22" s="421"/>
      <c r="J22" s="151"/>
      <c r="K22" s="24"/>
      <c r="L22" s="4"/>
      <c r="M22" s="4"/>
      <c r="N22" s="4"/>
      <c r="O22" s="4"/>
      <c r="Q22" s="4"/>
    </row>
    <row r="23" spans="1:17" ht="15" customHeight="1" x14ac:dyDescent="0.25">
      <c r="A23" s="399" t="str">
        <f>'II. Scope and results'!C26</f>
        <v>No</v>
      </c>
      <c r="B23" s="411"/>
      <c r="C23" s="462" t="s">
        <v>91</v>
      </c>
      <c r="D23" s="462"/>
      <c r="E23" s="463"/>
      <c r="F23" s="455">
        <f>'II. Scope and results'!D26</f>
        <v>0</v>
      </c>
      <c r="G23" s="451"/>
      <c r="H23" s="435" t="str">
        <f>'II. Scope and results'!F26</f>
        <v>Yes</v>
      </c>
      <c r="I23" s="452"/>
      <c r="J23" s="151"/>
      <c r="K23" s="24"/>
      <c r="L23" s="4"/>
      <c r="M23" s="4"/>
      <c r="N23" s="4"/>
      <c r="O23" s="4"/>
      <c r="Q23" s="4"/>
    </row>
    <row r="24" spans="1:17" ht="15" customHeight="1" x14ac:dyDescent="0.25">
      <c r="A24" s="399" t="str">
        <f>'II. Scope and results'!C27</f>
        <v>No</v>
      </c>
      <c r="B24" s="411"/>
      <c r="C24" s="462" t="s">
        <v>92</v>
      </c>
      <c r="D24" s="462"/>
      <c r="E24" s="463"/>
      <c r="F24" s="455">
        <f>'II. Scope and results'!D27</f>
        <v>0</v>
      </c>
      <c r="G24" s="451"/>
      <c r="H24" s="435" t="str">
        <f>'II. Scope and results'!F27</f>
        <v>No</v>
      </c>
      <c r="I24" s="452"/>
      <c r="J24" s="151"/>
      <c r="K24" s="24"/>
      <c r="L24" s="4"/>
      <c r="M24" s="4"/>
      <c r="N24" s="4"/>
      <c r="O24" s="4"/>
      <c r="Q24" s="4"/>
    </row>
    <row r="25" spans="1:17" ht="15" customHeight="1" x14ac:dyDescent="0.25">
      <c r="A25" s="399" t="str">
        <f>'II. Scope and results'!C28</f>
        <v>No</v>
      </c>
      <c r="B25" s="411"/>
      <c r="C25" s="462" t="s">
        <v>93</v>
      </c>
      <c r="D25" s="462"/>
      <c r="E25" s="463"/>
      <c r="F25" s="455">
        <f>'II. Scope and results'!D28</f>
        <v>0</v>
      </c>
      <c r="G25" s="451"/>
      <c r="H25" s="435">
        <f>'II. Scope and results'!F28</f>
        <v>0</v>
      </c>
      <c r="I25" s="452"/>
      <c r="J25" s="151"/>
      <c r="K25" s="24"/>
      <c r="L25" s="4"/>
      <c r="M25" s="4"/>
      <c r="N25" s="4"/>
      <c r="O25" s="4"/>
      <c r="Q25" s="4"/>
    </row>
    <row r="26" spans="1:17" ht="15.75" x14ac:dyDescent="0.25">
      <c r="A26" s="399" t="str">
        <f>'II. Scope and results'!C29</f>
        <v>No</v>
      </c>
      <c r="B26" s="411"/>
      <c r="C26" s="462" t="str">
        <f>'II. Scope and results'!B29</f>
        <v>Other (describe destination):</v>
      </c>
      <c r="D26" s="462"/>
      <c r="E26" s="463"/>
      <c r="F26" s="439">
        <f>'II. Scope and results'!D29</f>
        <v>0</v>
      </c>
      <c r="G26" s="451"/>
      <c r="H26" s="435">
        <f>'II. Scope and results'!F29</f>
        <v>0</v>
      </c>
      <c r="I26" s="452"/>
      <c r="J26" s="151"/>
      <c r="K26" s="24"/>
      <c r="L26" s="4"/>
      <c r="M26" s="4"/>
      <c r="N26" s="4"/>
      <c r="O26" s="4"/>
      <c r="Q26" s="4"/>
    </row>
    <row r="27" spans="1:17" ht="30" customHeight="1" x14ac:dyDescent="0.25">
      <c r="A27" s="399" t="str">
        <f>'II. Scope and results'!C31</f>
        <v>No</v>
      </c>
      <c r="B27" s="411"/>
      <c r="C27" s="462" t="str">
        <f>'II. Scope and results'!B31</f>
        <v>Unknown (Path: on-site removal or use of FLW)</v>
      </c>
      <c r="D27" s="462"/>
      <c r="E27" s="463"/>
      <c r="F27" s="433">
        <f>'II. Scope and results'!D31</f>
        <v>0</v>
      </c>
      <c r="G27" s="451"/>
      <c r="H27" s="435">
        <f>'II. Scope and results'!F31</f>
        <v>0</v>
      </c>
      <c r="I27" s="452"/>
      <c r="J27" s="151"/>
      <c r="K27" s="24"/>
      <c r="L27" s="4"/>
      <c r="M27" s="4"/>
      <c r="N27" s="4"/>
      <c r="O27" s="4"/>
      <c r="Q27" s="4"/>
    </row>
    <row r="28" spans="1:17" ht="30" customHeight="1" x14ac:dyDescent="0.25">
      <c r="A28" s="399" t="str">
        <f>'II. Scope and results'!C32</f>
        <v>No</v>
      </c>
      <c r="B28" s="411"/>
      <c r="C28" s="462" t="str">
        <f>'II. Scope and results'!B32</f>
        <v>Unknown (Path: other entity collects/hauls FLW off site)</v>
      </c>
      <c r="D28" s="462"/>
      <c r="E28" s="463"/>
      <c r="F28" s="433">
        <f>'II. Scope and results'!D32</f>
        <v>0</v>
      </c>
      <c r="G28" s="437"/>
      <c r="H28" s="435">
        <f>'II. Scope and results'!F32</f>
        <v>0</v>
      </c>
      <c r="I28" s="438"/>
      <c r="J28" s="151"/>
      <c r="K28" s="24"/>
      <c r="L28" s="4"/>
      <c r="M28" s="4"/>
      <c r="N28" s="4"/>
      <c r="O28" s="4"/>
      <c r="Q28" s="4"/>
    </row>
    <row r="29" spans="1:17" ht="30" customHeight="1" x14ac:dyDescent="0.25">
      <c r="A29" s="399" t="str">
        <f>'II. Scope and results'!C33</f>
        <v>No</v>
      </c>
      <c r="B29" s="411"/>
      <c r="C29" s="462" t="str">
        <f>'II. Scope and results'!B33</f>
        <v>Unknown (Path: other, typically informal)</v>
      </c>
      <c r="D29" s="462"/>
      <c r="E29" s="463"/>
      <c r="F29" s="433">
        <f>'II. Scope and results'!D33</f>
        <v>0</v>
      </c>
      <c r="G29" s="437"/>
      <c r="H29" s="435">
        <f>'II. Scope and results'!F33</f>
        <v>0</v>
      </c>
      <c r="I29" s="438"/>
      <c r="J29" s="151"/>
      <c r="K29" s="24"/>
      <c r="L29" s="4"/>
      <c r="M29" s="4"/>
      <c r="N29" s="4"/>
      <c r="O29" s="4"/>
      <c r="Q29" s="4"/>
    </row>
    <row r="30" spans="1:17" ht="15" customHeight="1" x14ac:dyDescent="0.25">
      <c r="A30" s="399"/>
      <c r="B30" s="411"/>
      <c r="C30" s="412"/>
      <c r="D30" s="437"/>
      <c r="E30" s="437"/>
      <c r="F30" s="437"/>
      <c r="G30" s="437"/>
      <c r="H30" s="437"/>
      <c r="I30" s="438"/>
      <c r="J30" s="151"/>
      <c r="K30" s="24"/>
      <c r="L30" s="4"/>
      <c r="M30" s="4"/>
      <c r="N30" s="4"/>
      <c r="O30" s="4"/>
      <c r="Q30" s="4"/>
    </row>
    <row r="31" spans="1:17" ht="15.75" x14ac:dyDescent="0.25">
      <c r="A31" s="121"/>
      <c r="B31" s="410" t="s">
        <v>102</v>
      </c>
      <c r="C31" s="412"/>
      <c r="D31" s="412"/>
      <c r="E31" s="412"/>
      <c r="F31" s="412"/>
      <c r="G31" s="412"/>
      <c r="H31" s="412"/>
      <c r="I31" s="421"/>
      <c r="J31" s="151"/>
      <c r="K31" s="24"/>
      <c r="L31" s="4"/>
      <c r="M31" s="4"/>
      <c r="N31" s="4"/>
      <c r="O31" s="4"/>
      <c r="Q31" s="4"/>
    </row>
    <row r="32" spans="1:17" ht="15" customHeight="1" x14ac:dyDescent="0.25">
      <c r="A32" s="121"/>
      <c r="B32" s="422"/>
      <c r="C32" s="434" t="s">
        <v>83</v>
      </c>
      <c r="D32" s="412"/>
      <c r="E32" s="468">
        <f>'II. Scope and results'!C37</f>
        <v>0</v>
      </c>
      <c r="F32" s="468"/>
      <c r="G32" s="468"/>
      <c r="H32" s="468"/>
      <c r="I32" s="469"/>
      <c r="J32" s="151"/>
      <c r="K32" s="24"/>
      <c r="L32" s="4"/>
      <c r="M32" s="14"/>
      <c r="N32" s="4"/>
      <c r="O32" s="4"/>
      <c r="Q32" s="4"/>
    </row>
    <row r="33" spans="1:17" ht="15" customHeight="1" x14ac:dyDescent="0.25">
      <c r="A33" s="121"/>
      <c r="B33" s="422"/>
      <c r="C33" s="434" t="s">
        <v>280</v>
      </c>
      <c r="D33" s="412"/>
      <c r="E33" s="468">
        <f>'II. Scope and results'!C38</f>
        <v>0</v>
      </c>
      <c r="F33" s="468"/>
      <c r="G33" s="468"/>
      <c r="H33" s="468"/>
      <c r="I33" s="469"/>
      <c r="J33" s="151"/>
      <c r="K33" s="24"/>
      <c r="L33" s="4"/>
      <c r="N33" s="4"/>
      <c r="O33" s="4"/>
      <c r="Q33" s="4"/>
    </row>
    <row r="34" spans="1:17" ht="15" customHeight="1" x14ac:dyDescent="0.25">
      <c r="A34" s="121"/>
      <c r="B34" s="422"/>
      <c r="C34" s="434" t="s">
        <v>84</v>
      </c>
      <c r="D34" s="412"/>
      <c r="E34" s="468">
        <f>'II. Scope and results'!C39</f>
        <v>0</v>
      </c>
      <c r="F34" s="468"/>
      <c r="G34" s="468"/>
      <c r="H34" s="468"/>
      <c r="I34" s="469"/>
      <c r="J34" s="151"/>
      <c r="K34" s="24"/>
      <c r="L34" s="4"/>
      <c r="N34" s="4"/>
      <c r="O34" s="4"/>
      <c r="Q34" s="4"/>
    </row>
    <row r="35" spans="1:17" ht="15" customHeight="1" x14ac:dyDescent="0.25">
      <c r="A35" s="402"/>
      <c r="B35" s="422"/>
      <c r="C35" s="434" t="s">
        <v>85</v>
      </c>
      <c r="D35" s="412"/>
      <c r="E35" s="466">
        <f>'II. Scope and results'!C40</f>
        <v>0</v>
      </c>
      <c r="F35" s="466"/>
      <c r="G35" s="466"/>
      <c r="H35" s="466"/>
      <c r="I35" s="467"/>
      <c r="J35" s="151"/>
      <c r="K35" s="253"/>
      <c r="L35" s="4"/>
      <c r="N35" s="4"/>
      <c r="O35" s="4"/>
      <c r="Q35" s="4"/>
    </row>
    <row r="36" spans="1:17" ht="15" customHeight="1" x14ac:dyDescent="0.25">
      <c r="A36" s="400"/>
      <c r="B36" s="422"/>
      <c r="C36" s="434"/>
      <c r="D36" s="412"/>
      <c r="E36" s="412"/>
      <c r="F36" s="453"/>
      <c r="G36" s="433"/>
      <c r="H36" s="433"/>
      <c r="I36" s="456"/>
      <c r="J36" s="151"/>
      <c r="K36" s="254"/>
      <c r="L36" s="4"/>
      <c r="M36" s="4"/>
    </row>
    <row r="37" spans="1:17" ht="15" customHeight="1" x14ac:dyDescent="0.25">
      <c r="A37" s="400"/>
      <c r="B37" s="410" t="s">
        <v>268</v>
      </c>
      <c r="C37" s="434"/>
      <c r="D37" s="412"/>
      <c r="E37" s="412"/>
      <c r="F37" s="453"/>
      <c r="G37" s="433"/>
      <c r="H37" s="433"/>
      <c r="I37" s="456"/>
      <c r="J37" s="151"/>
      <c r="K37" s="254"/>
      <c r="L37" s="4"/>
      <c r="M37" s="4"/>
    </row>
    <row r="38" spans="1:17" ht="15" customHeight="1" x14ac:dyDescent="0.25">
      <c r="A38" s="400"/>
      <c r="B38" s="422"/>
      <c r="C38" s="412" t="s">
        <v>269</v>
      </c>
      <c r="D38" s="412"/>
      <c r="E38" s="412"/>
      <c r="F38" s="457"/>
      <c r="G38" s="433"/>
      <c r="H38" s="454" t="s">
        <v>271</v>
      </c>
      <c r="I38" s="456"/>
      <c r="J38" s="151"/>
      <c r="K38" s="254"/>
      <c r="L38" s="4"/>
      <c r="M38" s="4"/>
    </row>
    <row r="39" spans="1:17" ht="15" customHeight="1" x14ac:dyDescent="0.25">
      <c r="A39" s="400"/>
      <c r="B39" s="422"/>
      <c r="C39" s="412" t="s">
        <v>270</v>
      </c>
      <c r="D39" s="412"/>
      <c r="E39" s="412"/>
      <c r="F39" s="457"/>
      <c r="G39" s="433"/>
      <c r="H39" s="454" t="s">
        <v>272</v>
      </c>
      <c r="I39" s="456"/>
      <c r="J39" s="151"/>
      <c r="K39" s="254"/>
      <c r="L39" s="4"/>
      <c r="M39" s="4"/>
    </row>
    <row r="40" spans="1:17" ht="15" customHeight="1" x14ac:dyDescent="0.25">
      <c r="A40" s="400"/>
      <c r="B40" s="458"/>
      <c r="C40" s="412" t="s">
        <v>277</v>
      </c>
      <c r="D40" s="412"/>
      <c r="E40" s="412"/>
      <c r="F40" s="457"/>
      <c r="G40" s="433"/>
      <c r="H40" s="454" t="s">
        <v>272</v>
      </c>
      <c r="I40" s="456"/>
      <c r="J40" s="151"/>
      <c r="K40" s="254"/>
      <c r="L40" s="4"/>
      <c r="M40" s="4"/>
      <c r="N40" s="4"/>
    </row>
    <row r="41" spans="1:17" ht="15" customHeight="1" x14ac:dyDescent="0.25">
      <c r="A41" s="400"/>
      <c r="B41" s="458"/>
      <c r="C41" s="412" t="s">
        <v>278</v>
      </c>
      <c r="D41" s="412"/>
      <c r="E41" s="412"/>
      <c r="F41" s="457"/>
      <c r="G41" s="433"/>
      <c r="H41" s="454" t="s">
        <v>273</v>
      </c>
      <c r="I41" s="456"/>
      <c r="J41" s="151"/>
      <c r="K41" s="254"/>
      <c r="L41" s="4"/>
      <c r="M41" s="4"/>
      <c r="N41" s="4"/>
    </row>
    <row r="42" spans="1:17" ht="15" customHeight="1" x14ac:dyDescent="0.25">
      <c r="A42" s="400"/>
      <c r="B42" s="458"/>
      <c r="C42" s="412" t="s">
        <v>279</v>
      </c>
      <c r="D42" s="412"/>
      <c r="E42" s="412"/>
      <c r="F42" s="457"/>
      <c r="G42" s="433"/>
      <c r="H42" s="454" t="s">
        <v>274</v>
      </c>
      <c r="I42" s="456"/>
      <c r="J42" s="151"/>
      <c r="K42" s="254"/>
      <c r="L42" s="4"/>
      <c r="M42" s="4"/>
      <c r="N42" s="4"/>
    </row>
    <row r="43" spans="1:17" ht="15" customHeight="1" x14ac:dyDescent="0.25">
      <c r="A43" s="400"/>
      <c r="B43" s="459"/>
      <c r="C43" s="440"/>
      <c r="D43" s="424"/>
      <c r="E43" s="424"/>
      <c r="F43" s="441"/>
      <c r="G43" s="442"/>
      <c r="H43" s="442"/>
      <c r="I43" s="443"/>
      <c r="J43" s="151"/>
      <c r="K43" s="254"/>
      <c r="L43" s="4"/>
      <c r="M43" s="4"/>
      <c r="N43" s="4"/>
    </row>
    <row r="44" spans="1:17" ht="15" customHeight="1" x14ac:dyDescent="0.25">
      <c r="A44" s="403"/>
      <c r="B44" s="66"/>
      <c r="C44" s="64"/>
      <c r="D44" s="64"/>
      <c r="E44" s="64"/>
      <c r="F44" s="102"/>
      <c r="G44" s="65"/>
      <c r="H44" s="65"/>
      <c r="I44" s="65"/>
      <c r="J44" s="151"/>
      <c r="K44" s="24"/>
      <c r="L44" s="4"/>
      <c r="M44" s="4"/>
      <c r="N44" s="4"/>
    </row>
    <row r="45" spans="1:17" ht="169.5" customHeight="1" x14ac:dyDescent="0.25">
      <c r="A45" s="404"/>
      <c r="B45" s="396"/>
      <c r="C45" s="107"/>
      <c r="D45" s="107"/>
      <c r="E45" s="107"/>
      <c r="F45" s="107"/>
      <c r="G45" s="397"/>
      <c r="H45" s="397"/>
      <c r="I45" s="397"/>
      <c r="J45" s="160"/>
      <c r="K45" s="24" t="s">
        <v>0</v>
      </c>
      <c r="L45" s="24"/>
      <c r="M45" s="4"/>
      <c r="N45" s="4"/>
    </row>
    <row r="46" spans="1:17" x14ac:dyDescent="0.25">
      <c r="A46" s="57"/>
      <c r="B46" s="395"/>
      <c r="C46" s="4"/>
      <c r="D46" s="4"/>
      <c r="E46" s="4"/>
      <c r="F46" s="4"/>
      <c r="G46" s="29"/>
      <c r="H46" s="29"/>
      <c r="I46" s="29"/>
      <c r="J46" s="24"/>
      <c r="K46" s="24"/>
      <c r="L46" s="24"/>
      <c r="M46" s="4"/>
      <c r="N46" s="4"/>
    </row>
    <row r="47" spans="1:17" ht="15" customHeight="1" x14ac:dyDescent="0.25">
      <c r="A47" s="57"/>
      <c r="B47" s="57" t="str">
        <f>IF(AND(B49="",B50="",B51="",B52="",B53="",B54="",B55="",B56="",B57="",B58="",B59=""),"Template is complete!","Information was not provided for the following requirements (please see messages below):")</f>
        <v>Information was not provided for the following requirements (please see messages below):</v>
      </c>
      <c r="C47" s="24"/>
      <c r="D47" s="24"/>
      <c r="E47" s="45"/>
      <c r="F47" s="4"/>
      <c r="G47" s="24"/>
      <c r="H47" s="24"/>
      <c r="I47" s="24"/>
      <c r="J47" s="24"/>
      <c r="K47" s="24"/>
      <c r="L47" s="4"/>
      <c r="M47" s="4"/>
      <c r="N47" s="4"/>
      <c r="O47" s="4"/>
      <c r="Q47" s="4"/>
    </row>
    <row r="48" spans="1:17" ht="15" customHeight="1" x14ac:dyDescent="0.25">
      <c r="A48" s="57"/>
      <c r="B48" s="57"/>
      <c r="C48" s="24"/>
      <c r="D48" s="24"/>
      <c r="E48" s="45"/>
      <c r="F48" s="4"/>
      <c r="G48" s="24"/>
      <c r="H48" s="24"/>
      <c r="I48" s="24"/>
      <c r="J48" s="24"/>
      <c r="K48" s="24"/>
      <c r="L48" s="4"/>
      <c r="M48" s="4"/>
      <c r="N48" s="4"/>
      <c r="O48" s="4"/>
      <c r="Q48" s="4"/>
    </row>
    <row r="49" spans="1:14" ht="15" customHeight="1" x14ac:dyDescent="0.25">
      <c r="A49" s="57"/>
      <c r="B49" s="57" t="str">
        <f>IF('II. Scope and results'!C5=0,"Please report the total physical amount of FLW expressed as weight (go to Tab II, item 1)","")</f>
        <v>Please report the total physical amount of FLW expressed as weight (go to Tab II, item 1)</v>
      </c>
      <c r="C49" s="4"/>
      <c r="D49" s="4"/>
      <c r="E49" s="4"/>
      <c r="F49" s="4"/>
      <c r="G49" s="4"/>
      <c r="H49" s="4"/>
      <c r="I49" s="4"/>
      <c r="J49" s="24"/>
      <c r="K49" s="24"/>
      <c r="L49" s="4"/>
      <c r="M49" s="4"/>
      <c r="N49" s="4"/>
    </row>
    <row r="50" spans="1:14" x14ac:dyDescent="0.25">
      <c r="A50" s="57"/>
      <c r="B50" s="57" t="str">
        <f>IF(OR('II. Scope and results'!C8="", 'II. Scope and results'!D8=""),"Please report timeframe (go to Tab II, item 1)","")</f>
        <v>Please report timeframe (go to Tab II, item 1)</v>
      </c>
      <c r="C50" s="4"/>
      <c r="D50" s="4"/>
      <c r="E50" s="4"/>
      <c r="F50" s="4"/>
      <c r="G50" s="4"/>
      <c r="H50" s="4"/>
      <c r="I50" s="4"/>
      <c r="J50" s="24"/>
      <c r="K50" s="24"/>
      <c r="L50" s="4"/>
      <c r="M50" s="4"/>
      <c r="N50" s="4"/>
    </row>
    <row r="51" spans="1:14" x14ac:dyDescent="0.25">
      <c r="B51" s="57" t="str">
        <f>IF(AND('II. Scope and results'!C11="No", 'II. Scope and results'!C12="No"),"Please report at least one material type (go to Tab II, item 2)","")</f>
        <v>Please report at least one material type (go to Tab II, item 2)</v>
      </c>
      <c r="C51" s="4"/>
      <c r="D51" s="4"/>
      <c r="E51" s="4"/>
      <c r="F51" s="4"/>
      <c r="G51" s="4"/>
      <c r="H51" s="4"/>
      <c r="I51" s="4"/>
      <c r="J51" s="24"/>
      <c r="K51" s="24"/>
      <c r="L51" s="4"/>
      <c r="M51" s="4"/>
      <c r="N51" s="4"/>
    </row>
    <row r="52" spans="1:14" x14ac:dyDescent="0.25">
      <c r="B52" s="57" t="str">
        <f>IF(AND('II. Scope and results'!C19="No", 'II. Scope and results'!C20="No", 'II. Scope and results'!C21="No", 'II. Scope and results'!C22="No", 'II. Scope and results'!C23="No", 'II. Scope and results'!C24="No", 'II. Scope and results'!C25="No", 'II. Scope and results'!C26="No", 'II. Scope and results'!C27="No", 'II. Scope and results'!C28="No", 'II. Scope and results'!C29="No", 'II. Scope and results'!C31="No", 'II. Scope and results'!C32="No", 'II. Scope and results'!C33="No"),"Please report at least one destination (go to Tab II, item 3)","")</f>
        <v>Please report at least one destination (go to Tab II, item 3)</v>
      </c>
      <c r="C52" s="4"/>
      <c r="D52" s="4"/>
      <c r="E52" s="4"/>
      <c r="F52" s="4"/>
      <c r="G52" s="4"/>
      <c r="H52" s="4"/>
      <c r="I52" s="4"/>
      <c r="J52" s="24"/>
      <c r="K52" s="24"/>
      <c r="L52" s="4"/>
      <c r="M52" s="4"/>
      <c r="N52" s="4"/>
    </row>
    <row r="53" spans="1:14" x14ac:dyDescent="0.25">
      <c r="B53" s="57" t="str">
        <f>IF(OR('II. Scope and results'!C37="", 'II. Scope and results'!C38="", 'II. Scope and results'!C39="", 'II. Scope and results'!C40=""),"Please report all four dimensions of inventory boundary (go to Tab II, item 4)","")</f>
        <v>Please report all four dimensions of inventory boundary (go to Tab II, item 4)</v>
      </c>
      <c r="C53" s="4"/>
      <c r="D53" s="4"/>
      <c r="E53" s="4"/>
      <c r="F53" s="4"/>
      <c r="G53" s="4"/>
      <c r="H53" s="4"/>
      <c r="I53" s="4"/>
      <c r="J53" s="24"/>
      <c r="K53" s="24"/>
      <c r="L53" s="4"/>
      <c r="M53" s="4"/>
      <c r="N53" s="4"/>
    </row>
    <row r="54" spans="1:14" x14ac:dyDescent="0.25">
      <c r="B54" s="57" t="str">
        <f>IF(OR('II. Scope and results'!C44=FALSE, 'II. Scope and results'!C45=FALSE, 'II. Scope and results'!C46=FALSE),"Please confirm all 3 'related issues' (go to Tab II, rows 44-46)","")</f>
        <v>Please confirm all 3 'related issues' (go to Tab II, rows 44-46)</v>
      </c>
      <c r="C54" s="4"/>
      <c r="D54" s="4"/>
      <c r="E54" s="4"/>
      <c r="F54" s="4"/>
      <c r="G54" s="4"/>
      <c r="H54" s="4"/>
      <c r="I54" s="4"/>
      <c r="J54" s="24"/>
      <c r="K54" s="24"/>
      <c r="L54" s="4"/>
      <c r="M54" s="4"/>
      <c r="N54" s="4"/>
    </row>
    <row r="55" spans="1:14" x14ac:dyDescent="0.25">
      <c r="B55" s="57" t="str">
        <f>IF(AND('III. Methods-data sources'!C8="", 'III. Methods-data sources'!C10="", 'III. Methods-data sources'!C15=""),"Please describe the quantification method(s) used (go to Tab III)","")</f>
        <v>Please describe the quantification method(s) used (go to Tab III)</v>
      </c>
      <c r="C55" s="4"/>
      <c r="D55" s="4"/>
      <c r="E55" s="4"/>
      <c r="F55" s="4"/>
      <c r="G55" s="4"/>
      <c r="H55" s="4"/>
      <c r="I55" s="4"/>
      <c r="J55" s="24"/>
      <c r="K55" s="24"/>
      <c r="L55" s="4"/>
      <c r="M55" s="4"/>
      <c r="N55" s="4"/>
    </row>
    <row r="56" spans="1:14" x14ac:dyDescent="0.25">
      <c r="B56" s="57" t="str">
        <f>IF(OR(AND('IV. Data collection-calculation'!C4=1,'IV. Data collection-calculation'!C5=""), AND('IV. Data collection-calculation'!C9=1,'IV. Data collection-calculation'!C10=""), AND('IV. Data collection-calculation'!C12=1, 'IV. Data collection-calculation'!C13="")),"Please describe approach and calculations used if sampling and scaling up data, separating the weight of FLW from non-FLW materials, and/or estimating original weight of FLW (go to Tab IV, rows 4-14)","")</f>
        <v/>
      </c>
      <c r="C56" s="4"/>
      <c r="D56" s="4"/>
      <c r="E56" s="4"/>
      <c r="F56" s="4"/>
      <c r="G56" s="4"/>
      <c r="H56" s="4"/>
      <c r="I56" s="4"/>
      <c r="J56" s="24"/>
      <c r="K56" s="24"/>
      <c r="L56" s="4"/>
      <c r="M56" s="4"/>
      <c r="N56" s="4"/>
    </row>
    <row r="57" spans="1:14" x14ac:dyDescent="0.25">
      <c r="B57" s="57" t="str">
        <f>IF(AND('IV. Data collection-calculation'!C17="", 'IV. Data collection-calculation'!C18=""),"Please provide a qualitative description and/or quantitative assessment of the uncertainty around FLW inventory results (go to Tab IV, rows 17-18)","")</f>
        <v>Please provide a qualitative description and/or quantitative assessment of the uncertainty around FLW inventory results (go to Tab IV, rows 17-18)</v>
      </c>
      <c r="C57" s="4"/>
      <c r="D57" s="4"/>
      <c r="E57" s="4"/>
      <c r="F57" s="4"/>
      <c r="G57" s="4"/>
      <c r="H57" s="4"/>
      <c r="I57" s="4"/>
      <c r="J57" s="24"/>
      <c r="K57" s="24"/>
      <c r="L57" s="4"/>
      <c r="M57" s="4"/>
      <c r="N57" s="4"/>
    </row>
    <row r="58" spans="1:14" x14ac:dyDescent="0.25">
      <c r="B58" s="57" t="str">
        <f>IF(AND('V. Review and assurance'!F4=1,'V. Review and assurance'!B14=""),"Please create an assurance statement (go to Tab V)","")</f>
        <v/>
      </c>
      <c r="C58" s="4"/>
      <c r="D58" s="4"/>
      <c r="E58" s="4"/>
      <c r="F58" s="4"/>
      <c r="G58" s="4"/>
      <c r="H58" s="4"/>
      <c r="I58" s="4"/>
      <c r="J58" s="24"/>
      <c r="K58" s="24"/>
      <c r="L58" s="4"/>
      <c r="M58" s="4"/>
      <c r="N58" s="4"/>
    </row>
    <row r="59" spans="1:14" x14ac:dyDescent="0.25">
      <c r="B59" s="57" t="str">
        <f>IF(AND('VI. Targets-tracking'!C4=1,'VI. Targets-tracking'!C6="",'VI. Targets-tracking'!C9=""),"Please complete Tab VI (Setting targets and tracking changes over time)","")</f>
        <v/>
      </c>
      <c r="C59" s="4"/>
      <c r="D59" s="4"/>
      <c r="E59" s="4"/>
      <c r="F59" s="57"/>
      <c r="G59" s="4"/>
      <c r="H59" s="4"/>
      <c r="I59" s="4"/>
      <c r="J59" s="4"/>
      <c r="K59" s="24"/>
      <c r="L59" s="4"/>
      <c r="M59" s="4"/>
      <c r="N59" s="4"/>
    </row>
    <row r="60" spans="1:14" ht="15" customHeight="1" x14ac:dyDescent="0.25">
      <c r="F60" s="56"/>
      <c r="J60" s="2"/>
    </row>
    <row r="61" spans="1:14" x14ac:dyDescent="0.25">
      <c r="F61" s="56"/>
      <c r="J61" s="2"/>
    </row>
    <row r="62" spans="1:14" x14ac:dyDescent="0.25">
      <c r="J62" s="2"/>
    </row>
    <row r="63" spans="1:14" x14ac:dyDescent="0.25">
      <c r="B63" s="24"/>
      <c r="J63" s="2"/>
    </row>
    <row r="64" spans="1:14" x14ac:dyDescent="0.25">
      <c r="J64" s="2"/>
    </row>
    <row r="72" spans="6:6" x14ac:dyDescent="0.25">
      <c r="F72" s="56"/>
    </row>
    <row r="73" spans="6:6" x14ac:dyDescent="0.25">
      <c r="F73" s="56"/>
    </row>
    <row r="74" spans="6:6" x14ac:dyDescent="0.25">
      <c r="F74" s="56"/>
    </row>
    <row r="75" spans="6:6" x14ac:dyDescent="0.25">
      <c r="F75" s="56"/>
    </row>
    <row r="76" spans="6:6" x14ac:dyDescent="0.25">
      <c r="F76" s="56"/>
    </row>
    <row r="77" spans="6:6" x14ac:dyDescent="0.25">
      <c r="F77" s="56"/>
    </row>
    <row r="78" spans="6:6" x14ac:dyDescent="0.25">
      <c r="F78" s="56"/>
    </row>
    <row r="79" spans="6:6" x14ac:dyDescent="0.25">
      <c r="F79" s="56"/>
    </row>
    <row r="80" spans="6:6" x14ac:dyDescent="0.25">
      <c r="F80" s="56"/>
    </row>
    <row r="81" spans="6:6" x14ac:dyDescent="0.25">
      <c r="F81" s="56"/>
    </row>
    <row r="82" spans="6:6" x14ac:dyDescent="0.25">
      <c r="F82" s="56"/>
    </row>
    <row r="83" spans="6:6" x14ac:dyDescent="0.25">
      <c r="F83" s="56"/>
    </row>
    <row r="84" spans="6:6" x14ac:dyDescent="0.25">
      <c r="F84" s="56"/>
    </row>
  </sheetData>
  <autoFilter ref="A1:A84"/>
  <mergeCells count="20">
    <mergeCell ref="E35:I35"/>
    <mergeCell ref="E32:I32"/>
    <mergeCell ref="E33:I33"/>
    <mergeCell ref="E34:I34"/>
    <mergeCell ref="C18:E18"/>
    <mergeCell ref="C19:E19"/>
    <mergeCell ref="C20:E20"/>
    <mergeCell ref="C23:E23"/>
    <mergeCell ref="C24:E24"/>
    <mergeCell ref="C25:E25"/>
    <mergeCell ref="C26:E26"/>
    <mergeCell ref="C27:E27"/>
    <mergeCell ref="C28:E28"/>
    <mergeCell ref="C29:E29"/>
    <mergeCell ref="G4:H4"/>
    <mergeCell ref="C16:E16"/>
    <mergeCell ref="C17:E17"/>
    <mergeCell ref="C21:E21"/>
    <mergeCell ref="C22:E22"/>
    <mergeCell ref="H15:I15"/>
  </mergeCells>
  <dataValidations count="4">
    <dataValidation allowBlank="1" showErrorMessage="1" promptTitle="Instructions" prompt="Describe level for which FLW amount is being reported._x000a__x000a_For example, a hierarchy for a business could be &quot;location, site, or organization.&quot;" sqref="E35 A35 K35"/>
    <dataValidation allowBlank="1" showErrorMessage="1" promptTitle="Definition" prompt="How many and which industry or life-cycle stage  segments are being measured" sqref="C33"/>
    <dataValidation allowBlank="1" showErrorMessage="1" promptTitle="Definition" prompt="Geographic borders on which measurement is focused" sqref="C34"/>
    <dataValidation allowBlank="1" showErrorMessage="1" promptTitle="Definition" prompt="If inventory is of a business or at consumption level, unit(s) about which information is being reported" sqref="C3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714" r:id="rId4" name="Button 18">
              <controlPr defaultSize="0" print="0" autoFill="0" autoPict="0" macro="[0]!ErrorsRed">
                <anchor moveWithCells="1" sizeWithCells="1">
                  <from>
                    <xdr:col>1</xdr:col>
                    <xdr:colOff>28575</xdr:colOff>
                    <xdr:row>44</xdr:row>
                    <xdr:rowOff>1057275</xdr:rowOff>
                  </from>
                  <to>
                    <xdr:col>4</xdr:col>
                    <xdr:colOff>628650</xdr:colOff>
                    <xdr:row>44</xdr:row>
                    <xdr:rowOff>1971675</xdr:rowOff>
                  </to>
                </anchor>
              </controlPr>
            </control>
          </mc:Choice>
        </mc:AlternateContent>
        <mc:AlternateContent xmlns:mc="http://schemas.openxmlformats.org/markup-compatibility/2006">
          <mc:Choice Requires="x14">
            <control shapeId="29715" r:id="rId5" name="Button 19">
              <controlPr defaultSize="0" print="0" autoFill="0" autoPict="0" macro="[0]!ErrorsReset">
                <anchor moveWithCells="1" sizeWithCells="1">
                  <from>
                    <xdr:col>5</xdr:col>
                    <xdr:colOff>123825</xdr:colOff>
                    <xdr:row>44</xdr:row>
                    <xdr:rowOff>1076325</xdr:rowOff>
                  </from>
                  <to>
                    <xdr:col>7</xdr:col>
                    <xdr:colOff>523875</xdr:colOff>
                    <xdr:row>44</xdr:row>
                    <xdr:rowOff>1990725</xdr:rowOff>
                  </to>
                </anchor>
              </controlPr>
            </control>
          </mc:Choice>
        </mc:AlternateContent>
        <mc:AlternateContent xmlns:mc="http://schemas.openxmlformats.org/markup-compatibility/2006">
          <mc:Choice Requires="x14">
            <control shapeId="29716" r:id="rId6" name="Button 20">
              <controlPr defaultSize="0" print="0" autoFill="0" autoPict="0" macro="[0]!GoToTabIII">
                <anchor moveWithCells="1" sizeWithCells="1">
                  <from>
                    <xdr:col>3</xdr:col>
                    <xdr:colOff>161925</xdr:colOff>
                    <xdr:row>44</xdr:row>
                    <xdr:rowOff>323850</xdr:rowOff>
                  </from>
                  <to>
                    <xdr:col>4</xdr:col>
                    <xdr:colOff>152400</xdr:colOff>
                    <xdr:row>44</xdr:row>
                    <xdr:rowOff>876300</xdr:rowOff>
                  </to>
                </anchor>
              </controlPr>
            </control>
          </mc:Choice>
        </mc:AlternateContent>
        <mc:AlternateContent xmlns:mc="http://schemas.openxmlformats.org/markup-compatibility/2006">
          <mc:Choice Requires="x14">
            <control shapeId="29717" r:id="rId7" name="Button 21">
              <controlPr defaultSize="0" print="0" autoFill="0" autoPict="0" macro="[0]!GoToTabI">
                <anchor moveWithCells="1" sizeWithCells="1">
                  <from>
                    <xdr:col>1</xdr:col>
                    <xdr:colOff>28575</xdr:colOff>
                    <xdr:row>44</xdr:row>
                    <xdr:rowOff>314325</xdr:rowOff>
                  </from>
                  <to>
                    <xdr:col>2</xdr:col>
                    <xdr:colOff>19050</xdr:colOff>
                    <xdr:row>44</xdr:row>
                    <xdr:rowOff>876300</xdr:rowOff>
                  </to>
                </anchor>
              </controlPr>
            </control>
          </mc:Choice>
        </mc:AlternateContent>
        <mc:AlternateContent xmlns:mc="http://schemas.openxmlformats.org/markup-compatibility/2006">
          <mc:Choice Requires="x14">
            <control shapeId="29718" r:id="rId8" name="Button 22">
              <controlPr defaultSize="0" print="0" autoFill="0" autoPict="0" macro="[0]!GoToTabII">
                <anchor moveWithCells="1" sizeWithCells="1">
                  <from>
                    <xdr:col>2</xdr:col>
                    <xdr:colOff>85725</xdr:colOff>
                    <xdr:row>44</xdr:row>
                    <xdr:rowOff>314325</xdr:rowOff>
                  </from>
                  <to>
                    <xdr:col>3</xdr:col>
                    <xdr:colOff>76200</xdr:colOff>
                    <xdr:row>44</xdr:row>
                    <xdr:rowOff>876300</xdr:rowOff>
                  </to>
                </anchor>
              </controlPr>
            </control>
          </mc:Choice>
        </mc:AlternateContent>
        <mc:AlternateContent xmlns:mc="http://schemas.openxmlformats.org/markup-compatibility/2006">
          <mc:Choice Requires="x14">
            <control shapeId="29719" r:id="rId9" name="Button 23">
              <controlPr defaultSize="0" print="0" autoFill="0" autoPict="0" macro="[0]!GoToTabIV">
                <anchor moveWithCells="1" sizeWithCells="1">
                  <from>
                    <xdr:col>4</xdr:col>
                    <xdr:colOff>219075</xdr:colOff>
                    <xdr:row>44</xdr:row>
                    <xdr:rowOff>314325</xdr:rowOff>
                  </from>
                  <to>
                    <xdr:col>5</xdr:col>
                    <xdr:colOff>209550</xdr:colOff>
                    <xdr:row>44</xdr:row>
                    <xdr:rowOff>876300</xdr:rowOff>
                  </to>
                </anchor>
              </controlPr>
            </control>
          </mc:Choice>
        </mc:AlternateContent>
        <mc:AlternateContent xmlns:mc="http://schemas.openxmlformats.org/markup-compatibility/2006">
          <mc:Choice Requires="x14">
            <control shapeId="29720" r:id="rId10" name="Button 24">
              <controlPr defaultSize="0" print="0" autoFill="0" autoPict="0" macro="[0]!GoToTabV">
                <anchor moveWithCells="1" sizeWithCells="1">
                  <from>
                    <xdr:col>5</xdr:col>
                    <xdr:colOff>276225</xdr:colOff>
                    <xdr:row>44</xdr:row>
                    <xdr:rowOff>323850</xdr:rowOff>
                  </from>
                  <to>
                    <xdr:col>6</xdr:col>
                    <xdr:colOff>266700</xdr:colOff>
                    <xdr:row>44</xdr:row>
                    <xdr:rowOff>885825</xdr:rowOff>
                  </to>
                </anchor>
              </controlPr>
            </control>
          </mc:Choice>
        </mc:AlternateContent>
        <mc:AlternateContent xmlns:mc="http://schemas.openxmlformats.org/markup-compatibility/2006">
          <mc:Choice Requires="x14">
            <control shapeId="29721" r:id="rId11" name="Button 25">
              <controlPr defaultSize="0" print="0" autoFill="0" autoPict="0" macro="[0]!GoToTabVI">
                <anchor moveWithCells="1" sizeWithCells="1">
                  <from>
                    <xdr:col>6</xdr:col>
                    <xdr:colOff>342900</xdr:colOff>
                    <xdr:row>44</xdr:row>
                    <xdr:rowOff>314325</xdr:rowOff>
                  </from>
                  <to>
                    <xdr:col>7</xdr:col>
                    <xdr:colOff>333375</xdr:colOff>
                    <xdr:row>44</xdr:row>
                    <xdr:rowOff>876300</xdr:rowOff>
                  </to>
                </anchor>
              </controlPr>
            </control>
          </mc:Choice>
        </mc:AlternateContent>
        <mc:AlternateContent xmlns:mc="http://schemas.openxmlformats.org/markup-compatibility/2006">
          <mc:Choice Requires="x14">
            <control shapeId="29722" r:id="rId12" name="Button 26">
              <controlPr defaultSize="0" print="0" autoFill="0" autoPict="0" macro="[0]!GoToTabVII">
                <anchor moveWithCells="1" sizeWithCells="1">
                  <from>
                    <xdr:col>7</xdr:col>
                    <xdr:colOff>409575</xdr:colOff>
                    <xdr:row>44</xdr:row>
                    <xdr:rowOff>323850</xdr:rowOff>
                  </from>
                  <to>
                    <xdr:col>8</xdr:col>
                    <xdr:colOff>400050</xdr:colOff>
                    <xdr:row>44</xdr:row>
                    <xdr:rowOff>885825</xdr:rowOff>
                  </to>
                </anchor>
              </controlPr>
            </control>
          </mc:Choice>
        </mc:AlternateContent>
        <mc:AlternateContent xmlns:mc="http://schemas.openxmlformats.org/markup-compatibility/2006">
          <mc:Choice Requires="x14">
            <control shapeId="29723" r:id="rId13" name="Button 27">
              <controlPr defaultSize="0" print="0" autoFill="0" autoPict="0" macro="[0]!GoToTabVIII">
                <anchor moveWithCells="1" sizeWithCells="1">
                  <from>
                    <xdr:col>8</xdr:col>
                    <xdr:colOff>466725</xdr:colOff>
                    <xdr:row>44</xdr:row>
                    <xdr:rowOff>314325</xdr:rowOff>
                  </from>
                  <to>
                    <xdr:col>8</xdr:col>
                    <xdr:colOff>1171575</xdr:colOff>
                    <xdr:row>44</xdr:row>
                    <xdr:rowOff>876300</xdr:rowOff>
                  </to>
                </anchor>
              </controlPr>
            </control>
          </mc:Choice>
        </mc:AlternateContent>
        <mc:AlternateContent xmlns:mc="http://schemas.openxmlformats.org/markup-compatibility/2006">
          <mc:Choice Requires="x14">
            <control shapeId="29724" r:id="rId14" name="Button 28">
              <controlPr defaultSize="0" print="0" autoFill="0" autoPict="0" macro="[0]!GoToGlossary">
                <anchor moveWithCells="1" sizeWithCells="1">
                  <from>
                    <xdr:col>8</xdr:col>
                    <xdr:colOff>1257300</xdr:colOff>
                    <xdr:row>44</xdr:row>
                    <xdr:rowOff>314325</xdr:rowOff>
                  </from>
                  <to>
                    <xdr:col>9</xdr:col>
                    <xdr:colOff>19050</xdr:colOff>
                    <xdr:row>44</xdr:row>
                    <xdr:rowOff>876300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7"/>
  <sheetViews>
    <sheetView zoomScaleNormal="100" workbookViewId="0">
      <selection activeCell="C4" sqref="C4"/>
    </sheetView>
  </sheetViews>
  <sheetFormatPr defaultRowHeight="15" x14ac:dyDescent="0.25"/>
  <cols>
    <col min="1" max="1" width="3.7109375" style="6" customWidth="1"/>
    <col min="2" max="2" width="39.85546875" customWidth="1"/>
    <col min="3" max="3" width="57.28515625" customWidth="1"/>
    <col min="4" max="4" width="3.7109375" customWidth="1"/>
    <col min="5" max="5" width="9.140625" hidden="1" customWidth="1"/>
    <col min="6" max="6" width="9.140625" style="7"/>
    <col min="7" max="7" width="19" customWidth="1"/>
  </cols>
  <sheetData>
    <row r="1" spans="1:10" s="6" customFormat="1" ht="15" customHeight="1" x14ac:dyDescent="0.25">
      <c r="A1" s="76"/>
      <c r="B1" s="77"/>
      <c r="C1" s="77"/>
      <c r="D1" s="78"/>
      <c r="F1" s="7"/>
    </row>
    <row r="2" spans="1:10" ht="23.25" x14ac:dyDescent="0.35">
      <c r="A2" s="79"/>
      <c r="B2" s="30" t="s">
        <v>11</v>
      </c>
      <c r="C2" s="70"/>
      <c r="D2" s="71"/>
    </row>
    <row r="3" spans="1:10" x14ac:dyDescent="0.25">
      <c r="A3" s="79"/>
      <c r="B3" s="70"/>
      <c r="C3" s="70"/>
      <c r="D3" s="71"/>
      <c r="G3" s="1"/>
      <c r="H3" s="1"/>
    </row>
    <row r="4" spans="1:10" ht="30" x14ac:dyDescent="0.25">
      <c r="A4" s="79"/>
      <c r="B4" s="32" t="s">
        <v>9</v>
      </c>
      <c r="C4" s="119"/>
      <c r="D4" s="80"/>
      <c r="E4" s="23"/>
      <c r="F4" s="321"/>
      <c r="G4" s="23"/>
      <c r="H4" s="1"/>
    </row>
    <row r="5" spans="1:10" x14ac:dyDescent="0.25">
      <c r="A5" s="79"/>
      <c r="B5" s="246"/>
      <c r="C5" s="70"/>
      <c r="D5" s="71"/>
      <c r="G5" s="1"/>
      <c r="H5" s="1"/>
    </row>
    <row r="6" spans="1:10" ht="30" customHeight="1" x14ac:dyDescent="0.25">
      <c r="A6" s="79"/>
      <c r="B6" s="242" t="s">
        <v>10</v>
      </c>
      <c r="C6" s="273"/>
      <c r="D6" s="71"/>
      <c r="F6" s="11"/>
      <c r="G6" s="10"/>
      <c r="H6" s="1"/>
    </row>
    <row r="7" spans="1:10" x14ac:dyDescent="0.25">
      <c r="A7" s="79"/>
      <c r="B7" s="246"/>
      <c r="C7" s="70"/>
      <c r="D7" s="71"/>
      <c r="F7" s="405"/>
      <c r="G7" s="10"/>
      <c r="H7" s="1"/>
    </row>
    <row r="8" spans="1:10" x14ac:dyDescent="0.25">
      <c r="A8" s="79"/>
      <c r="B8" s="242" t="s">
        <v>56</v>
      </c>
      <c r="C8" s="274"/>
      <c r="D8" s="81"/>
      <c r="E8" s="47" t="s">
        <v>1</v>
      </c>
      <c r="F8" s="406"/>
      <c r="G8" s="47"/>
      <c r="H8" s="1"/>
    </row>
    <row r="9" spans="1:10" x14ac:dyDescent="0.25">
      <c r="A9" s="79"/>
      <c r="B9" s="246"/>
      <c r="C9" s="70"/>
      <c r="D9" s="71"/>
      <c r="E9" s="2" t="s">
        <v>2</v>
      </c>
      <c r="F9" s="11"/>
      <c r="G9" s="10"/>
      <c r="H9" s="1"/>
    </row>
    <row r="10" spans="1:10" s="6" customFormat="1" x14ac:dyDescent="0.25">
      <c r="A10" s="79"/>
      <c r="B10" s="246"/>
      <c r="C10" s="74"/>
      <c r="D10" s="71"/>
      <c r="F10" s="407"/>
      <c r="G10" s="10"/>
      <c r="H10" s="1"/>
    </row>
    <row r="11" spans="1:10" s="6" customFormat="1" x14ac:dyDescent="0.25">
      <c r="A11" s="79"/>
      <c r="B11" s="242" t="s">
        <v>23</v>
      </c>
      <c r="C11" s="13">
        <v>2</v>
      </c>
      <c r="D11" s="71"/>
      <c r="E11" s="2"/>
      <c r="F11" s="11"/>
      <c r="G11" s="10"/>
      <c r="H11" s="10"/>
      <c r="I11" s="8"/>
      <c r="J11" s="8"/>
    </row>
    <row r="12" spans="1:10" s="6" customFormat="1" x14ac:dyDescent="0.25">
      <c r="A12" s="79"/>
      <c r="B12" s="246"/>
      <c r="C12" s="70"/>
      <c r="D12" s="71"/>
      <c r="F12" s="11"/>
      <c r="G12" s="10"/>
      <c r="H12" s="9"/>
      <c r="I12" s="8"/>
      <c r="J12" s="8"/>
    </row>
    <row r="13" spans="1:10" x14ac:dyDescent="0.25">
      <c r="A13" s="79"/>
      <c r="B13" s="242" t="s">
        <v>24</v>
      </c>
      <c r="C13" s="16"/>
      <c r="D13" s="71"/>
      <c r="F13" s="14"/>
      <c r="G13" s="8"/>
    </row>
    <row r="14" spans="1:10" x14ac:dyDescent="0.25">
      <c r="A14" s="79"/>
      <c r="B14" s="246"/>
      <c r="C14" s="70"/>
      <c r="D14" s="71"/>
      <c r="F14" s="11" t="s">
        <v>0</v>
      </c>
      <c r="G14" s="8"/>
    </row>
    <row r="15" spans="1:10" ht="31.5" customHeight="1" x14ac:dyDescent="0.25">
      <c r="A15" s="79"/>
      <c r="B15" s="32" t="s">
        <v>257</v>
      </c>
      <c r="C15" s="58"/>
      <c r="D15" s="71"/>
      <c r="G15" s="3"/>
    </row>
    <row r="16" spans="1:10" ht="90" customHeight="1" x14ac:dyDescent="0.25">
      <c r="A16" s="82"/>
      <c r="B16" s="74"/>
      <c r="C16" s="73"/>
      <c r="D16" s="72"/>
    </row>
    <row r="17" spans="3:3" x14ac:dyDescent="0.25">
      <c r="C17" s="14"/>
    </row>
  </sheetData>
  <conditionalFormatting sqref="C13">
    <cfRule type="expression" dxfId="104" priority="2">
      <formula>C11=2</formula>
    </cfRule>
  </conditionalFormatting>
  <conditionalFormatting sqref="C15">
    <cfRule type="expression" dxfId="103" priority="1">
      <formula>C11=2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Line="0" autoPict="0">
                <anchor moveWithCells="1">
                  <from>
                    <xdr:col>2</xdr:col>
                    <xdr:colOff>0</xdr:colOff>
                    <xdr:row>10</xdr:row>
                    <xdr:rowOff>0</xdr:rowOff>
                  </from>
                  <to>
                    <xdr:col>3</xdr:col>
                    <xdr:colOff>19050</xdr:colOff>
                    <xdr:row>11</xdr:row>
                    <xdr:rowOff>0</xdr:rowOff>
                  </to>
                </anchor>
              </controlPr>
            </control>
          </mc:Choice>
        </mc:AlternateContent>
        <mc:AlternateContent xmlns:mc="http://schemas.openxmlformats.org/markup-compatibility/2006">
          <mc:Choice Requires="x14">
            <control shapeId="2056" r:id="rId5" name="Button 8">
              <controlPr defaultSize="0" print="0" autoFill="0" autoPict="0" macro="[0]!GoToTabII">
                <anchor moveWithCells="1" sizeWithCells="1">
                  <from>
                    <xdr:col>1</xdr:col>
                    <xdr:colOff>9525</xdr:colOff>
                    <xdr:row>15</xdr:row>
                    <xdr:rowOff>219075</xdr:rowOff>
                  </from>
                  <to>
                    <xdr:col>1</xdr:col>
                    <xdr:colOff>2571750</xdr:colOff>
                    <xdr:row>15</xdr:row>
                    <xdr:rowOff>952500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53"/>
  <sheetViews>
    <sheetView zoomScale="90" zoomScaleNormal="90" workbookViewId="0"/>
  </sheetViews>
  <sheetFormatPr defaultRowHeight="15" x14ac:dyDescent="0.25"/>
  <cols>
    <col min="1" max="1" width="3.7109375" style="123" customWidth="1"/>
    <col min="2" max="2" width="60.140625" customWidth="1"/>
    <col min="3" max="4" width="15.7109375" customWidth="1"/>
    <col min="5" max="5" width="3.7109375" style="6" customWidth="1"/>
    <col min="6" max="6" width="15.7109375" customWidth="1"/>
    <col min="7" max="7" width="15.7109375" style="7" customWidth="1"/>
    <col min="8" max="8" width="15.7109375" customWidth="1"/>
    <col min="9" max="11" width="12.7109375" customWidth="1"/>
    <col min="12" max="12" width="10.7109375" hidden="1" customWidth="1"/>
    <col min="13" max="13" width="11.140625" hidden="1" customWidth="1"/>
    <col min="14" max="14" width="10.42578125" hidden="1" customWidth="1"/>
    <col min="15" max="15" width="3.7109375" customWidth="1"/>
    <col min="16" max="16" width="9.140625" style="7"/>
  </cols>
  <sheetData>
    <row r="1" spans="1:19" s="6" customFormat="1" ht="15" customHeight="1" x14ac:dyDescent="0.25">
      <c r="A1" s="120"/>
      <c r="B1" s="77"/>
      <c r="C1" s="77"/>
      <c r="D1" s="77"/>
      <c r="E1" s="77"/>
      <c r="F1" s="77"/>
      <c r="G1" s="117"/>
      <c r="H1" s="77"/>
      <c r="I1" s="77"/>
      <c r="J1" s="77"/>
      <c r="K1" s="77"/>
      <c r="L1" s="77"/>
      <c r="M1" s="77"/>
      <c r="N1" s="77"/>
      <c r="O1" s="78"/>
      <c r="P1" s="7"/>
    </row>
    <row r="2" spans="1:19" ht="23.25" x14ac:dyDescent="0.35">
      <c r="A2" s="121"/>
      <c r="B2" s="33" t="s">
        <v>108</v>
      </c>
      <c r="C2" s="66"/>
      <c r="D2" s="64"/>
      <c r="E2" s="64"/>
      <c r="F2" s="64"/>
      <c r="G2" s="66"/>
      <c r="H2" s="64"/>
      <c r="I2" s="64"/>
      <c r="J2" s="64"/>
      <c r="K2" s="85"/>
      <c r="L2" s="85"/>
      <c r="M2" s="64"/>
      <c r="N2" s="64"/>
      <c r="O2" s="83"/>
      <c r="P2" s="252"/>
    </row>
    <row r="3" spans="1:19" s="8" customFormat="1" ht="15" customHeight="1" x14ac:dyDescent="0.25">
      <c r="A3" s="121"/>
      <c r="B3" s="84"/>
      <c r="C3" s="250"/>
      <c r="D3" s="64"/>
      <c r="E3" s="64"/>
      <c r="F3" s="64"/>
      <c r="G3" s="86"/>
      <c r="H3" s="86"/>
      <c r="I3" s="86"/>
      <c r="J3" s="86"/>
      <c r="K3" s="86"/>
      <c r="L3" s="86"/>
      <c r="M3" s="64"/>
      <c r="N3" s="64"/>
      <c r="O3" s="83"/>
      <c r="P3" s="158"/>
    </row>
    <row r="4" spans="1:19" s="8" customFormat="1" ht="32.25" x14ac:dyDescent="0.3">
      <c r="A4" s="121"/>
      <c r="B4" s="64"/>
      <c r="C4" s="70"/>
      <c r="D4" s="276" t="s">
        <v>190</v>
      </c>
      <c r="E4" s="277"/>
      <c r="F4" s="87"/>
      <c r="G4" s="66"/>
      <c r="H4" s="70"/>
      <c r="I4" s="70"/>
      <c r="J4" s="70"/>
      <c r="K4" s="70"/>
      <c r="L4" s="70"/>
      <c r="M4" s="64"/>
      <c r="N4" s="64"/>
      <c r="O4" s="83"/>
      <c r="P4" s="158"/>
    </row>
    <row r="5" spans="1:19" s="8" customFormat="1" ht="21" x14ac:dyDescent="0.35">
      <c r="A5" s="121"/>
      <c r="B5" s="34" t="s">
        <v>179</v>
      </c>
      <c r="C5" s="48"/>
      <c r="D5" s="87">
        <v>1</v>
      </c>
      <c r="E5" s="87"/>
      <c r="F5" s="87"/>
      <c r="G5" s="66"/>
      <c r="H5" s="70"/>
      <c r="I5" s="70"/>
      <c r="J5" s="70"/>
      <c r="K5" s="70"/>
      <c r="L5" s="70"/>
      <c r="M5" s="64"/>
      <c r="N5" s="64"/>
      <c r="O5" s="83"/>
      <c r="P5" s="158"/>
    </row>
    <row r="6" spans="1:19" s="8" customFormat="1" x14ac:dyDescent="0.25">
      <c r="A6" s="121"/>
      <c r="B6" s="66"/>
      <c r="C6" s="70"/>
      <c r="D6" s="87"/>
      <c r="E6" s="87"/>
      <c r="F6" s="87"/>
      <c r="G6" s="66"/>
      <c r="H6" s="70"/>
      <c r="I6" s="70"/>
      <c r="J6" s="64"/>
      <c r="K6" s="64"/>
      <c r="L6" s="64"/>
      <c r="M6" s="64"/>
      <c r="N6" s="64"/>
      <c r="O6" s="83"/>
      <c r="P6" s="158"/>
    </row>
    <row r="7" spans="1:19" s="8" customFormat="1" ht="15" customHeight="1" x14ac:dyDescent="0.25">
      <c r="A7" s="121"/>
      <c r="B7" s="66"/>
      <c r="C7" s="51" t="s">
        <v>111</v>
      </c>
      <c r="D7" s="51" t="s">
        <v>112</v>
      </c>
      <c r="E7" s="87"/>
      <c r="F7" s="88"/>
      <c r="G7" s="89"/>
      <c r="H7" s="90"/>
      <c r="I7" s="90"/>
      <c r="J7" s="64"/>
      <c r="K7" s="64"/>
      <c r="L7" s="64"/>
      <c r="M7" s="64"/>
      <c r="N7" s="64"/>
      <c r="O7" s="83"/>
      <c r="P7" s="158"/>
    </row>
    <row r="8" spans="1:19" s="8" customFormat="1" ht="21" customHeight="1" x14ac:dyDescent="0.35">
      <c r="A8" s="121"/>
      <c r="B8" s="35" t="s">
        <v>122</v>
      </c>
      <c r="C8" s="118"/>
      <c r="D8" s="54"/>
      <c r="E8" s="75"/>
      <c r="F8" s="75"/>
      <c r="G8" s="91"/>
      <c r="H8" s="67"/>
      <c r="I8" s="67"/>
      <c r="J8" s="64"/>
      <c r="K8" s="64"/>
      <c r="L8" s="64"/>
      <c r="M8" s="64"/>
      <c r="N8" s="64"/>
      <c r="O8" s="83"/>
      <c r="P8" s="158"/>
    </row>
    <row r="9" spans="1:19" s="8" customFormat="1" ht="27" customHeight="1" x14ac:dyDescent="0.25">
      <c r="A9" s="121"/>
      <c r="B9" s="66"/>
      <c r="C9" s="66"/>
      <c r="D9" s="70"/>
      <c r="E9" s="70"/>
      <c r="F9" s="70"/>
      <c r="G9" s="66"/>
      <c r="H9" s="67"/>
      <c r="I9" s="67"/>
      <c r="J9" s="64"/>
      <c r="K9" s="64"/>
      <c r="L9" s="64"/>
      <c r="M9" s="64"/>
      <c r="N9" s="64"/>
      <c r="O9" s="83"/>
      <c r="P9" s="158"/>
    </row>
    <row r="10" spans="1:19" s="8" customFormat="1" ht="67.5" customHeight="1" x14ac:dyDescent="0.25">
      <c r="A10" s="121"/>
      <c r="B10" s="52" t="s">
        <v>259</v>
      </c>
      <c r="C10" s="125" t="s">
        <v>191</v>
      </c>
      <c r="D10" s="125" t="s">
        <v>258</v>
      </c>
      <c r="E10" s="326"/>
      <c r="F10" s="251"/>
      <c r="G10" s="89"/>
      <c r="H10" s="63"/>
      <c r="I10" s="63"/>
      <c r="J10" s="64"/>
      <c r="K10" s="64"/>
      <c r="L10" s="64"/>
      <c r="M10" s="64" t="s">
        <v>1</v>
      </c>
      <c r="N10" s="64" t="s">
        <v>16</v>
      </c>
      <c r="O10" s="83"/>
      <c r="P10" s="275"/>
    </row>
    <row r="11" spans="1:19" s="8" customFormat="1" ht="15" customHeight="1" x14ac:dyDescent="0.25">
      <c r="A11" s="121"/>
      <c r="B11" s="46" t="s">
        <v>29</v>
      </c>
      <c r="C11" s="61" t="s">
        <v>2</v>
      </c>
      <c r="D11" s="579" t="s">
        <v>281</v>
      </c>
      <c r="E11" s="101"/>
      <c r="F11" s="92"/>
      <c r="G11" s="89"/>
      <c r="H11" s="63"/>
      <c r="I11" s="63"/>
      <c r="J11" s="64"/>
      <c r="K11" s="64"/>
      <c r="L11" s="64"/>
      <c r="M11" s="64" t="s">
        <v>2</v>
      </c>
      <c r="N11" s="64" t="s">
        <v>17</v>
      </c>
      <c r="O11" s="83"/>
      <c r="P11" s="158"/>
      <c r="S11" s="8" t="s">
        <v>0</v>
      </c>
    </row>
    <row r="12" spans="1:19" s="8" customFormat="1" ht="15" customHeight="1" x14ac:dyDescent="0.25">
      <c r="A12" s="121"/>
      <c r="B12" s="46" t="s">
        <v>32</v>
      </c>
      <c r="C12" s="61" t="s">
        <v>2</v>
      </c>
      <c r="D12" s="579" t="s">
        <v>281</v>
      </c>
      <c r="E12" s="101"/>
      <c r="F12" s="92"/>
      <c r="G12" s="127"/>
      <c r="H12" s="63"/>
      <c r="I12" s="63"/>
      <c r="J12" s="64"/>
      <c r="K12" s="64"/>
      <c r="L12" s="64"/>
      <c r="M12" s="64" t="s">
        <v>243</v>
      </c>
      <c r="N12" s="64" t="s">
        <v>15</v>
      </c>
      <c r="O12" s="83"/>
      <c r="P12" s="158"/>
    </row>
    <row r="13" spans="1:19" s="6" customFormat="1" ht="30" x14ac:dyDescent="0.25">
      <c r="A13" s="121"/>
      <c r="B13" s="408" t="s">
        <v>260</v>
      </c>
      <c r="C13" s="64"/>
      <c r="D13" s="64"/>
      <c r="E13" s="64"/>
      <c r="F13" s="261"/>
      <c r="G13" s="261"/>
      <c r="H13" s="68"/>
      <c r="I13" s="68"/>
      <c r="J13" s="68"/>
      <c r="K13" s="68"/>
      <c r="L13" s="64"/>
      <c r="M13" s="64"/>
      <c r="N13" s="64" t="s">
        <v>109</v>
      </c>
      <c r="O13" s="83"/>
      <c r="P13" s="252"/>
    </row>
    <row r="14" spans="1:19" s="6" customFormat="1" ht="15.75" thickBot="1" x14ac:dyDescent="0.3">
      <c r="A14" s="121"/>
      <c r="B14" s="333"/>
      <c r="C14" s="64"/>
      <c r="D14" s="64"/>
      <c r="E14" s="64"/>
      <c r="F14" s="68"/>
      <c r="G14" s="261"/>
      <c r="H14" s="68"/>
      <c r="I14" s="68"/>
      <c r="J14" s="68"/>
      <c r="K14" s="68"/>
      <c r="L14" s="64"/>
      <c r="M14" s="64"/>
      <c r="N14" s="64"/>
      <c r="O14" s="83"/>
      <c r="P14" s="252"/>
    </row>
    <row r="15" spans="1:19" s="6" customFormat="1" ht="30" customHeight="1" thickBot="1" x14ac:dyDescent="0.3">
      <c r="A15" s="121"/>
      <c r="B15" s="66"/>
      <c r="C15" s="473" t="s">
        <v>113</v>
      </c>
      <c r="D15" s="474"/>
      <c r="E15" s="265"/>
      <c r="F15" s="475" t="s">
        <v>200</v>
      </c>
      <c r="G15" s="476"/>
      <c r="H15" s="476"/>
      <c r="I15" s="476"/>
      <c r="J15" s="476"/>
      <c r="K15" s="477"/>
      <c r="L15" s="70"/>
      <c r="M15" s="64"/>
      <c r="N15" s="64"/>
      <c r="O15" s="83"/>
      <c r="P15" s="252"/>
    </row>
    <row r="16" spans="1:19" ht="96" x14ac:dyDescent="0.25">
      <c r="A16" s="121"/>
      <c r="B16" s="372" t="s">
        <v>242</v>
      </c>
      <c r="C16" s="379" t="s">
        <v>116</v>
      </c>
      <c r="D16" s="380" t="s">
        <v>261</v>
      </c>
      <c r="E16" s="266"/>
      <c r="F16" s="334" t="s">
        <v>194</v>
      </c>
      <c r="G16" s="338" t="s">
        <v>195</v>
      </c>
      <c r="H16" s="339" t="s">
        <v>196</v>
      </c>
      <c r="I16" s="338" t="s">
        <v>117</v>
      </c>
      <c r="J16" s="358" t="s">
        <v>118</v>
      </c>
      <c r="K16" s="339" t="s">
        <v>119</v>
      </c>
      <c r="L16" s="94"/>
      <c r="M16" s="64"/>
      <c r="N16" s="64"/>
      <c r="O16" s="83"/>
      <c r="P16" s="252"/>
      <c r="R16" t="s">
        <v>0</v>
      </c>
    </row>
    <row r="17" spans="1:16" ht="45.75" x14ac:dyDescent="0.25">
      <c r="A17" s="121"/>
      <c r="B17" s="373" t="s">
        <v>262</v>
      </c>
      <c r="C17" s="381"/>
      <c r="D17" s="382">
        <f>SUM(D19:D33)</f>
        <v>0</v>
      </c>
      <c r="E17" s="101"/>
      <c r="F17" s="335"/>
      <c r="G17" s="340">
        <f>SUM(G19:G29)</f>
        <v>0</v>
      </c>
      <c r="H17" s="341">
        <f>SUM(H19:H29)</f>
        <v>0</v>
      </c>
      <c r="I17" s="359"/>
      <c r="J17" s="87"/>
      <c r="K17" s="360"/>
      <c r="L17" s="95"/>
      <c r="M17" s="64"/>
      <c r="N17" s="64"/>
      <c r="O17" s="83"/>
      <c r="P17" s="252"/>
    </row>
    <row r="18" spans="1:16" ht="30" customHeight="1" x14ac:dyDescent="0.25">
      <c r="A18" s="121"/>
      <c r="B18" s="374" t="s">
        <v>171</v>
      </c>
      <c r="C18" s="383" t="s">
        <v>2</v>
      </c>
      <c r="D18" s="384"/>
      <c r="E18" s="256"/>
      <c r="F18" s="335"/>
      <c r="G18" s="342"/>
      <c r="H18" s="343"/>
      <c r="I18" s="361"/>
      <c r="J18" s="87"/>
      <c r="K18" s="362"/>
      <c r="L18" s="96"/>
      <c r="M18" s="64"/>
      <c r="N18" s="64"/>
      <c r="O18" s="83"/>
      <c r="P18" s="24"/>
    </row>
    <row r="19" spans="1:16" x14ac:dyDescent="0.25">
      <c r="A19" s="121" t="str">
        <f>C19</f>
        <v>No</v>
      </c>
      <c r="B19" s="375" t="s">
        <v>87</v>
      </c>
      <c r="C19" s="385" t="s">
        <v>2</v>
      </c>
      <c r="D19" s="386"/>
      <c r="E19" s="101"/>
      <c r="F19" s="336" t="s">
        <v>1</v>
      </c>
      <c r="G19" s="344">
        <f>D19</f>
        <v>0</v>
      </c>
      <c r="H19" s="345"/>
      <c r="I19" s="363"/>
      <c r="J19" s="98"/>
      <c r="K19" s="364"/>
      <c r="L19" s="97"/>
      <c r="M19" s="64"/>
      <c r="N19" s="64"/>
      <c r="O19" s="83"/>
      <c r="P19" s="371"/>
    </row>
    <row r="20" spans="1:16" x14ac:dyDescent="0.25">
      <c r="A20" s="121" t="str">
        <f t="shared" ref="A20:A29" si="0">C20</f>
        <v>No</v>
      </c>
      <c r="B20" s="376" t="s">
        <v>88</v>
      </c>
      <c r="C20" s="385" t="s">
        <v>2</v>
      </c>
      <c r="D20" s="386"/>
      <c r="E20" s="101"/>
      <c r="F20" s="336" t="s">
        <v>1</v>
      </c>
      <c r="G20" s="346">
        <f>D20</f>
        <v>0</v>
      </c>
      <c r="H20" s="347"/>
      <c r="I20" s="363"/>
      <c r="J20" s="98"/>
      <c r="K20" s="364"/>
      <c r="L20" s="97"/>
      <c r="M20" s="64"/>
      <c r="N20" s="64"/>
      <c r="O20" s="83"/>
      <c r="P20" s="252"/>
    </row>
    <row r="21" spans="1:16" x14ac:dyDescent="0.25">
      <c r="A21" s="121" t="str">
        <f t="shared" si="0"/>
        <v>No</v>
      </c>
      <c r="B21" s="376" t="s">
        <v>89</v>
      </c>
      <c r="C21" s="385" t="s">
        <v>2</v>
      </c>
      <c r="D21" s="386"/>
      <c r="E21" s="101"/>
      <c r="F21" s="336"/>
      <c r="G21" s="346"/>
      <c r="H21" s="348"/>
      <c r="I21" s="365"/>
      <c r="J21" s="263"/>
      <c r="K21" s="366"/>
      <c r="L21" s="97"/>
      <c r="M21" s="64"/>
      <c r="N21" s="64"/>
      <c r="O21" s="83"/>
      <c r="P21" s="252"/>
    </row>
    <row r="22" spans="1:16" x14ac:dyDescent="0.25">
      <c r="A22" s="121" t="str">
        <f t="shared" si="0"/>
        <v>No</v>
      </c>
      <c r="B22" s="376" t="s">
        <v>90</v>
      </c>
      <c r="C22" s="385" t="s">
        <v>2</v>
      </c>
      <c r="D22" s="386"/>
      <c r="E22" s="101"/>
      <c r="F22" s="336"/>
      <c r="G22" s="344"/>
      <c r="H22" s="349"/>
      <c r="I22" s="365"/>
      <c r="J22" s="263"/>
      <c r="K22" s="366"/>
      <c r="L22" s="97"/>
      <c r="M22" s="64"/>
      <c r="N22" s="64"/>
      <c r="O22" s="83"/>
      <c r="P22" s="252"/>
    </row>
    <row r="23" spans="1:16" x14ac:dyDescent="0.25">
      <c r="A23" s="121" t="str">
        <f t="shared" si="0"/>
        <v>No</v>
      </c>
      <c r="B23" s="375" t="s">
        <v>94</v>
      </c>
      <c r="C23" s="385" t="s">
        <v>2</v>
      </c>
      <c r="D23" s="386"/>
      <c r="E23" s="101"/>
      <c r="F23" s="336"/>
      <c r="G23" s="350"/>
      <c r="H23" s="349"/>
      <c r="I23" s="365"/>
      <c r="J23" s="263"/>
      <c r="K23" s="366"/>
      <c r="L23" s="97"/>
      <c r="M23" s="64"/>
      <c r="N23" s="64"/>
      <c r="O23" s="83"/>
      <c r="P23" s="158"/>
    </row>
    <row r="24" spans="1:16" x14ac:dyDescent="0.25">
      <c r="A24" s="121" t="str">
        <f t="shared" si="0"/>
        <v>No</v>
      </c>
      <c r="B24" s="375" t="s">
        <v>4</v>
      </c>
      <c r="C24" s="385" t="s">
        <v>2</v>
      </c>
      <c r="D24" s="386"/>
      <c r="E24" s="101"/>
      <c r="F24" s="336" t="s">
        <v>1</v>
      </c>
      <c r="G24" s="346">
        <f>D24</f>
        <v>0</v>
      </c>
      <c r="H24" s="343"/>
      <c r="I24" s="363"/>
      <c r="J24" s="98"/>
      <c r="K24" s="362"/>
      <c r="L24" s="97"/>
      <c r="M24" s="64"/>
      <c r="N24" s="64"/>
      <c r="O24" s="83"/>
      <c r="P24" s="252"/>
    </row>
    <row r="25" spans="1:16" x14ac:dyDescent="0.25">
      <c r="A25" s="121" t="str">
        <f t="shared" si="0"/>
        <v>No</v>
      </c>
      <c r="B25" s="375" t="s">
        <v>3</v>
      </c>
      <c r="C25" s="385" t="s">
        <v>2</v>
      </c>
      <c r="D25" s="386"/>
      <c r="E25" s="101"/>
      <c r="F25" s="336"/>
      <c r="G25" s="350"/>
      <c r="H25" s="351"/>
      <c r="I25" s="365"/>
      <c r="J25" s="263"/>
      <c r="K25" s="366"/>
      <c r="L25" s="97"/>
      <c r="M25" s="64"/>
      <c r="N25" s="64"/>
      <c r="O25" s="83"/>
      <c r="P25" s="252"/>
    </row>
    <row r="26" spans="1:16" x14ac:dyDescent="0.25">
      <c r="A26" s="121" t="str">
        <f t="shared" si="0"/>
        <v>No</v>
      </c>
      <c r="B26" s="375" t="s">
        <v>91</v>
      </c>
      <c r="C26" s="385" t="s">
        <v>2</v>
      </c>
      <c r="D26" s="386"/>
      <c r="E26" s="101"/>
      <c r="F26" s="336" t="s">
        <v>1</v>
      </c>
      <c r="G26" s="346">
        <f>D26</f>
        <v>0</v>
      </c>
      <c r="H26" s="352"/>
      <c r="I26" s="363"/>
      <c r="J26" s="98"/>
      <c r="K26" s="367"/>
      <c r="L26" s="97"/>
      <c r="M26" s="64"/>
      <c r="N26" s="64"/>
      <c r="O26" s="83"/>
      <c r="P26" s="252"/>
    </row>
    <row r="27" spans="1:16" x14ac:dyDescent="0.25">
      <c r="A27" s="121" t="str">
        <f t="shared" si="0"/>
        <v>No</v>
      </c>
      <c r="B27" s="375" t="s">
        <v>92</v>
      </c>
      <c r="C27" s="385" t="s">
        <v>2</v>
      </c>
      <c r="D27" s="386"/>
      <c r="E27" s="101"/>
      <c r="F27" s="336" t="s">
        <v>2</v>
      </c>
      <c r="G27" s="353"/>
      <c r="H27" s="354">
        <f>D27</f>
        <v>0</v>
      </c>
      <c r="I27" s="363"/>
      <c r="J27" s="98"/>
      <c r="K27" s="367"/>
      <c r="L27" s="97"/>
      <c r="M27" s="64"/>
      <c r="N27" s="64"/>
      <c r="O27" s="83"/>
      <c r="P27" s="252"/>
    </row>
    <row r="28" spans="1:16" x14ac:dyDescent="0.25">
      <c r="A28" s="121" t="str">
        <f t="shared" si="0"/>
        <v>No</v>
      </c>
      <c r="B28" s="375" t="s">
        <v>95</v>
      </c>
      <c r="C28" s="385" t="s">
        <v>2</v>
      </c>
      <c r="D28" s="386"/>
      <c r="E28" s="101"/>
      <c r="F28" s="336"/>
      <c r="G28" s="350"/>
      <c r="H28" s="355"/>
      <c r="I28" s="365"/>
      <c r="J28" s="263"/>
      <c r="K28" s="366"/>
      <c r="L28" s="97"/>
      <c r="M28" s="64"/>
      <c r="N28" s="64"/>
      <c r="O28" s="83"/>
      <c r="P28" s="252"/>
    </row>
    <row r="29" spans="1:16" ht="15.75" thickBot="1" x14ac:dyDescent="0.3">
      <c r="A29" s="121" t="str">
        <f t="shared" si="0"/>
        <v>No</v>
      </c>
      <c r="B29" s="375" t="s">
        <v>234</v>
      </c>
      <c r="C29" s="385" t="s">
        <v>2</v>
      </c>
      <c r="D29" s="386"/>
      <c r="E29" s="101"/>
      <c r="F29" s="337"/>
      <c r="G29" s="356"/>
      <c r="H29" s="357"/>
      <c r="I29" s="368"/>
      <c r="J29" s="369"/>
      <c r="K29" s="370"/>
      <c r="L29" s="97"/>
      <c r="M29" s="64"/>
      <c r="N29" s="64"/>
      <c r="O29" s="83"/>
      <c r="P29" s="252"/>
    </row>
    <row r="30" spans="1:16" s="6" customFormat="1" x14ac:dyDescent="0.25">
      <c r="A30" s="121" t="s">
        <v>2</v>
      </c>
      <c r="B30" s="264" t="s">
        <v>225</v>
      </c>
      <c r="C30" s="387" t="s">
        <v>2</v>
      </c>
      <c r="D30" s="343"/>
      <c r="E30" s="101"/>
      <c r="F30" s="64"/>
      <c r="G30" s="103"/>
      <c r="H30" s="103"/>
      <c r="I30" s="97"/>
      <c r="J30" s="99"/>
      <c r="K30" s="99"/>
      <c r="L30" s="97"/>
      <c r="M30" s="64"/>
      <c r="N30" s="64"/>
      <c r="O30" s="83"/>
      <c r="P30" s="24"/>
    </row>
    <row r="31" spans="1:16" s="6" customFormat="1" x14ac:dyDescent="0.25">
      <c r="A31" s="121" t="str">
        <f t="shared" ref="A31:A33" si="1">C31</f>
        <v>No</v>
      </c>
      <c r="B31" s="377" t="s">
        <v>193</v>
      </c>
      <c r="C31" s="385" t="s">
        <v>2</v>
      </c>
      <c r="D31" s="386"/>
      <c r="E31" s="101"/>
      <c r="F31" s="87"/>
      <c r="G31" s="104"/>
      <c r="H31" s="332"/>
      <c r="I31" s="144"/>
      <c r="J31" s="99"/>
      <c r="K31" s="99"/>
      <c r="L31" s="97"/>
      <c r="M31" s="64"/>
      <c r="N31" s="64"/>
      <c r="O31" s="83"/>
      <c r="P31" s="158"/>
    </row>
    <row r="32" spans="1:16" s="6" customFormat="1" x14ac:dyDescent="0.25">
      <c r="A32" s="121" t="str">
        <f t="shared" si="1"/>
        <v>No</v>
      </c>
      <c r="B32" s="377" t="s">
        <v>178</v>
      </c>
      <c r="C32" s="385" t="s">
        <v>2</v>
      </c>
      <c r="D32" s="386"/>
      <c r="E32" s="101"/>
      <c r="F32" s="87"/>
      <c r="G32" s="104"/>
      <c r="H32" s="332"/>
      <c r="I32" s="144"/>
      <c r="J32" s="99"/>
      <c r="K32" s="99"/>
      <c r="L32" s="97"/>
      <c r="M32" s="64"/>
      <c r="N32" s="64"/>
      <c r="O32" s="83"/>
      <c r="P32" s="252"/>
    </row>
    <row r="33" spans="1:16" s="6" customFormat="1" ht="15.75" thickBot="1" x14ac:dyDescent="0.3">
      <c r="A33" s="121" t="str">
        <f t="shared" si="1"/>
        <v>No</v>
      </c>
      <c r="B33" s="378" t="s">
        <v>192</v>
      </c>
      <c r="C33" s="388" t="s">
        <v>2</v>
      </c>
      <c r="D33" s="389"/>
      <c r="E33" s="101"/>
      <c r="F33" s="87"/>
      <c r="G33" s="104"/>
      <c r="H33" s="332"/>
      <c r="I33" s="97"/>
      <c r="J33" s="99"/>
      <c r="K33" s="99"/>
      <c r="L33" s="97"/>
      <c r="M33" s="64"/>
      <c r="N33" s="64"/>
      <c r="O33" s="83"/>
      <c r="P33" s="252"/>
    </row>
    <row r="34" spans="1:16" ht="30" customHeight="1" x14ac:dyDescent="0.25">
      <c r="A34" s="121"/>
      <c r="B34" s="66"/>
      <c r="C34" s="124"/>
      <c r="D34" s="64"/>
      <c r="E34" s="64"/>
      <c r="F34" s="66"/>
      <c r="G34" s="66"/>
      <c r="H34" s="64"/>
      <c r="I34" s="64"/>
      <c r="J34" s="64"/>
      <c r="K34" s="64"/>
      <c r="L34" s="64"/>
      <c r="M34" s="64"/>
      <c r="N34" s="64"/>
      <c r="O34" s="83"/>
      <c r="P34" s="252"/>
    </row>
    <row r="35" spans="1:16" s="6" customFormat="1" x14ac:dyDescent="0.25">
      <c r="A35" s="121"/>
      <c r="B35" s="106"/>
      <c r="C35" s="106"/>
      <c r="D35" s="64"/>
      <c r="E35" s="64"/>
      <c r="F35" s="64"/>
      <c r="G35" s="66"/>
      <c r="H35" s="64"/>
      <c r="I35" s="64"/>
      <c r="J35" s="64"/>
      <c r="K35" s="64"/>
      <c r="L35" s="64"/>
      <c r="M35" s="64"/>
      <c r="N35" s="64"/>
      <c r="O35" s="100"/>
      <c r="P35" s="252"/>
    </row>
    <row r="36" spans="1:16" ht="36" x14ac:dyDescent="0.25">
      <c r="A36" s="121"/>
      <c r="B36" s="267" t="s">
        <v>228</v>
      </c>
      <c r="C36" s="325"/>
      <c r="D36" s="105"/>
      <c r="E36" s="105"/>
      <c r="F36" s="105"/>
      <c r="G36" s="105"/>
      <c r="H36" s="497" t="s">
        <v>197</v>
      </c>
      <c r="I36" s="498"/>
      <c r="J36" s="498"/>
      <c r="K36" s="499"/>
      <c r="L36" s="64"/>
      <c r="M36" s="64"/>
      <c r="N36" s="64"/>
      <c r="O36" s="108"/>
      <c r="P36" s="252"/>
    </row>
    <row r="37" spans="1:16" ht="30" customHeight="1" x14ac:dyDescent="0.25">
      <c r="A37" s="121"/>
      <c r="B37" s="53" t="s">
        <v>12</v>
      </c>
      <c r="C37" s="478"/>
      <c r="D37" s="479"/>
      <c r="E37" s="479"/>
      <c r="F37" s="479"/>
      <c r="G37" s="480"/>
      <c r="H37" s="60" t="s">
        <v>46</v>
      </c>
      <c r="I37" s="60" t="s">
        <v>115</v>
      </c>
      <c r="J37" s="59" t="s">
        <v>7</v>
      </c>
      <c r="K37" s="60" t="s">
        <v>13</v>
      </c>
      <c r="L37" s="64"/>
      <c r="M37" s="64"/>
      <c r="N37" s="64"/>
      <c r="O37" s="83"/>
      <c r="P37" s="252"/>
    </row>
    <row r="38" spans="1:16" ht="30" customHeight="1" x14ac:dyDescent="0.25">
      <c r="A38" s="121"/>
      <c r="B38" s="53" t="s">
        <v>133</v>
      </c>
      <c r="C38" s="478"/>
      <c r="D38" s="479"/>
      <c r="E38" s="479"/>
      <c r="F38" s="479"/>
      <c r="G38" s="480"/>
      <c r="H38" s="487" t="s">
        <v>8</v>
      </c>
      <c r="I38" s="488"/>
      <c r="J38" s="489" t="s">
        <v>114</v>
      </c>
      <c r="K38" s="490"/>
      <c r="L38" s="64"/>
      <c r="M38" s="64"/>
      <c r="N38" s="64"/>
      <c r="O38" s="83"/>
      <c r="P38" s="252"/>
    </row>
    <row r="39" spans="1:16" ht="30" customHeight="1" x14ac:dyDescent="0.25">
      <c r="A39" s="121"/>
      <c r="B39" s="53" t="s">
        <v>5</v>
      </c>
      <c r="C39" s="481"/>
      <c r="D39" s="482"/>
      <c r="E39" s="482"/>
      <c r="F39" s="482"/>
      <c r="G39" s="483"/>
      <c r="H39" s="489" t="s">
        <v>14</v>
      </c>
      <c r="I39" s="491"/>
      <c r="J39" s="491"/>
      <c r="K39" s="490"/>
      <c r="L39" s="64"/>
      <c r="M39" s="109"/>
      <c r="N39" s="64"/>
      <c r="O39" s="83"/>
      <c r="P39" s="252"/>
    </row>
    <row r="40" spans="1:16" ht="30" customHeight="1" x14ac:dyDescent="0.25">
      <c r="A40" s="121"/>
      <c r="B40" s="53" t="s">
        <v>6</v>
      </c>
      <c r="C40" s="484"/>
      <c r="D40" s="485"/>
      <c r="E40" s="485"/>
      <c r="F40" s="485"/>
      <c r="G40" s="486"/>
      <c r="H40" s="492" t="s">
        <v>244</v>
      </c>
      <c r="I40" s="493"/>
      <c r="J40" s="493"/>
      <c r="K40" s="494"/>
      <c r="L40" s="64"/>
      <c r="M40" s="109"/>
      <c r="N40" s="64"/>
      <c r="O40" s="83"/>
      <c r="P40" s="252"/>
    </row>
    <row r="41" spans="1:16" x14ac:dyDescent="0.25">
      <c r="A41" s="121"/>
      <c r="B41" s="64"/>
      <c r="C41" s="64"/>
      <c r="D41" s="64"/>
      <c r="E41" s="64"/>
      <c r="F41" s="64"/>
      <c r="G41" s="66"/>
      <c r="H41" s="64"/>
      <c r="I41" s="64"/>
      <c r="J41" s="64"/>
      <c r="K41" s="64"/>
      <c r="L41" s="64"/>
      <c r="M41" s="64"/>
      <c r="N41" s="64"/>
      <c r="O41" s="83"/>
      <c r="P41" s="252"/>
    </row>
    <row r="42" spans="1:16" s="6" customFormat="1" x14ac:dyDescent="0.25">
      <c r="A42" s="121"/>
      <c r="B42" s="64"/>
      <c r="C42" s="64"/>
      <c r="D42" s="64"/>
      <c r="E42" s="64"/>
      <c r="F42" s="64"/>
      <c r="G42" s="66"/>
      <c r="H42" s="64"/>
      <c r="I42" s="64"/>
      <c r="J42" s="64"/>
      <c r="K42" s="64"/>
      <c r="L42" s="64"/>
      <c r="M42" s="64"/>
      <c r="N42" s="64"/>
      <c r="O42" s="83"/>
      <c r="P42" s="252"/>
    </row>
    <row r="43" spans="1:16" s="6" customFormat="1" ht="18.75" x14ac:dyDescent="0.3">
      <c r="A43" s="121"/>
      <c r="B43" s="262" t="s">
        <v>229</v>
      </c>
      <c r="C43" s="64"/>
      <c r="D43" s="64"/>
      <c r="E43" s="64"/>
      <c r="F43" s="64"/>
      <c r="G43" s="66"/>
      <c r="H43" s="64"/>
      <c r="I43" s="64"/>
      <c r="J43" s="64"/>
      <c r="K43" s="64"/>
      <c r="L43" s="64"/>
      <c r="M43" s="64"/>
      <c r="N43" s="64"/>
      <c r="O43" s="83"/>
      <c r="P43" s="252"/>
    </row>
    <row r="44" spans="1:16" s="6" customFormat="1" ht="30" x14ac:dyDescent="0.25">
      <c r="A44" s="121"/>
      <c r="B44" s="31" t="s">
        <v>96</v>
      </c>
      <c r="C44" s="49" t="b">
        <v>0</v>
      </c>
      <c r="D44" s="113"/>
      <c r="E44" s="113"/>
      <c r="F44" s="113"/>
      <c r="G44" s="114"/>
      <c r="H44" s="70"/>
      <c r="I44" s="70"/>
      <c r="J44" s="64"/>
      <c r="K44" s="64"/>
      <c r="L44" s="64"/>
      <c r="M44" s="64"/>
      <c r="N44" s="64"/>
      <c r="O44" s="83"/>
      <c r="P44" s="7"/>
    </row>
    <row r="45" spans="1:16" ht="45" x14ac:dyDescent="0.25">
      <c r="A45" s="121"/>
      <c r="B45" s="36" t="s">
        <v>110</v>
      </c>
      <c r="C45" s="50" t="b">
        <v>0</v>
      </c>
      <c r="D45" s="115"/>
      <c r="E45" s="115"/>
      <c r="F45" s="88"/>
      <c r="G45" s="66"/>
      <c r="H45" s="66"/>
      <c r="I45" s="70"/>
      <c r="J45" s="110"/>
      <c r="K45" s="110"/>
      <c r="L45" s="110"/>
      <c r="M45" s="64"/>
      <c r="N45" s="109"/>
      <c r="O45" s="111"/>
      <c r="P45" s="252"/>
    </row>
    <row r="46" spans="1:16" ht="30" customHeight="1" x14ac:dyDescent="0.25">
      <c r="A46" s="121"/>
      <c r="B46" s="31" t="s">
        <v>97</v>
      </c>
      <c r="C46" s="49" t="b">
        <v>0</v>
      </c>
      <c r="D46" s="66"/>
      <c r="E46" s="66"/>
      <c r="F46" s="70"/>
      <c r="G46" s="64"/>
      <c r="H46" s="64"/>
      <c r="I46" s="64"/>
      <c r="J46" s="64"/>
      <c r="K46" s="64"/>
      <c r="L46" s="64"/>
      <c r="M46" s="64"/>
      <c r="N46" s="64"/>
      <c r="O46" s="83"/>
    </row>
    <row r="47" spans="1:16" x14ac:dyDescent="0.25">
      <c r="A47" s="121"/>
      <c r="B47" s="64"/>
      <c r="C47" s="64"/>
      <c r="D47" s="64"/>
      <c r="E47" s="64"/>
      <c r="F47" s="64"/>
      <c r="G47" s="64"/>
      <c r="H47" s="64"/>
      <c r="I47" s="64"/>
      <c r="J47" s="64"/>
      <c r="K47" s="64"/>
      <c r="L47" s="64"/>
      <c r="M47" s="64"/>
      <c r="N47" s="64"/>
      <c r="O47" s="83"/>
    </row>
    <row r="48" spans="1:16" s="8" customFormat="1" ht="57" customHeight="1" x14ac:dyDescent="0.3">
      <c r="A48" s="121"/>
      <c r="B48" s="328" t="s">
        <v>233</v>
      </c>
      <c r="C48" s="116">
        <v>2</v>
      </c>
      <c r="D48" s="495"/>
      <c r="E48" s="495"/>
      <c r="F48" s="496"/>
      <c r="G48" s="496"/>
      <c r="H48" s="496"/>
      <c r="I48" s="63"/>
      <c r="J48" s="64"/>
      <c r="K48" s="64"/>
      <c r="L48" s="64"/>
      <c r="M48" s="64"/>
      <c r="N48" s="64"/>
      <c r="O48" s="83"/>
      <c r="P48" s="158"/>
    </row>
    <row r="49" spans="1:16" s="6" customFormat="1" ht="90" customHeight="1" x14ac:dyDescent="0.25">
      <c r="A49" s="121"/>
      <c r="B49" s="32" t="s">
        <v>120</v>
      </c>
      <c r="C49" s="500"/>
      <c r="D49" s="500"/>
      <c r="E49" s="500"/>
      <c r="F49" s="500"/>
      <c r="G49" s="500"/>
      <c r="H49" s="500"/>
      <c r="I49" s="63"/>
      <c r="J49" s="64"/>
      <c r="K49" s="64"/>
      <c r="L49" s="64"/>
      <c r="M49" s="64"/>
      <c r="N49" s="64"/>
      <c r="O49" s="83"/>
      <c r="P49" s="252"/>
    </row>
    <row r="50" spans="1:16" s="6" customFormat="1" ht="45" customHeight="1" x14ac:dyDescent="0.25">
      <c r="A50" s="121"/>
      <c r="B50" s="32" t="s">
        <v>74</v>
      </c>
      <c r="C50" s="501">
        <v>2</v>
      </c>
      <c r="D50" s="502"/>
      <c r="E50" s="502"/>
      <c r="F50" s="502"/>
      <c r="G50" s="502"/>
      <c r="H50" s="502"/>
      <c r="I50" s="93"/>
      <c r="J50" s="64"/>
      <c r="K50" s="64"/>
      <c r="L50" s="64"/>
      <c r="M50" s="64"/>
      <c r="N50" s="64"/>
      <c r="O50" s="83"/>
      <c r="P50" s="7"/>
    </row>
    <row r="51" spans="1:16" s="6" customFormat="1" ht="90" customHeight="1" x14ac:dyDescent="0.25">
      <c r="A51" s="121"/>
      <c r="B51" s="32" t="s">
        <v>121</v>
      </c>
      <c r="C51" s="470"/>
      <c r="D51" s="471"/>
      <c r="E51" s="471"/>
      <c r="F51" s="471"/>
      <c r="G51" s="471"/>
      <c r="H51" s="472"/>
      <c r="I51" s="66"/>
      <c r="J51" s="64"/>
      <c r="K51" s="64"/>
      <c r="L51" s="64"/>
      <c r="M51" s="64"/>
      <c r="N51" s="64"/>
      <c r="O51" s="83"/>
      <c r="P51" s="7"/>
    </row>
    <row r="52" spans="1:16" s="6" customFormat="1" ht="90" customHeight="1" x14ac:dyDescent="0.25">
      <c r="A52" s="122"/>
      <c r="B52" s="107"/>
      <c r="C52" s="107"/>
      <c r="D52" s="107"/>
      <c r="E52" s="107"/>
      <c r="F52" s="107"/>
      <c r="G52" s="107"/>
      <c r="H52" s="107"/>
      <c r="I52" s="107"/>
      <c r="J52" s="107"/>
      <c r="K52" s="107"/>
      <c r="L52" s="107"/>
      <c r="M52" s="107"/>
      <c r="N52" s="107"/>
      <c r="O52" s="112"/>
      <c r="P52" s="7"/>
    </row>
    <row r="53" spans="1:16" ht="15" customHeight="1" x14ac:dyDescent="0.25">
      <c r="D53" s="2"/>
      <c r="E53" s="2"/>
    </row>
  </sheetData>
  <autoFilter ref="A1:A53"/>
  <mergeCells count="15">
    <mergeCell ref="C51:H51"/>
    <mergeCell ref="C15:D15"/>
    <mergeCell ref="F15:K15"/>
    <mergeCell ref="C38:G38"/>
    <mergeCell ref="C39:G39"/>
    <mergeCell ref="C40:G40"/>
    <mergeCell ref="H38:I38"/>
    <mergeCell ref="J38:K38"/>
    <mergeCell ref="H39:K39"/>
    <mergeCell ref="H40:K40"/>
    <mergeCell ref="D48:H48"/>
    <mergeCell ref="C37:G37"/>
    <mergeCell ref="H36:K36"/>
    <mergeCell ref="C49:H49"/>
    <mergeCell ref="C50:H50"/>
  </mergeCells>
  <conditionalFormatting sqref="C51:H51">
    <cfRule type="expression" dxfId="81" priority="82">
      <formula>$C$50&lt;&gt;1</formula>
    </cfRule>
  </conditionalFormatting>
  <conditionalFormatting sqref="D19 G19">
    <cfRule type="expression" dxfId="80" priority="74">
      <formula>$C$19="No"</formula>
    </cfRule>
  </conditionalFormatting>
  <conditionalFormatting sqref="D20 G20">
    <cfRule type="expression" dxfId="79" priority="73">
      <formula>$C$20="No"</formula>
    </cfRule>
  </conditionalFormatting>
  <conditionalFormatting sqref="D21 F21:H21">
    <cfRule type="expression" dxfId="78" priority="72">
      <formula>$C$21="No"</formula>
    </cfRule>
  </conditionalFormatting>
  <conditionalFormatting sqref="D22 F22:H22">
    <cfRule type="expression" dxfId="77" priority="71">
      <formula>$C$22="No"</formula>
    </cfRule>
  </conditionalFormatting>
  <conditionalFormatting sqref="D23 F23:H23">
    <cfRule type="expression" dxfId="76" priority="70">
      <formula>$C$23="No"</formula>
    </cfRule>
  </conditionalFormatting>
  <conditionalFormatting sqref="D24 G24">
    <cfRule type="expression" dxfId="75" priority="69">
      <formula>$C$24="No"</formula>
    </cfRule>
  </conditionalFormatting>
  <conditionalFormatting sqref="D25 F25:H25">
    <cfRule type="expression" dxfId="74" priority="68">
      <formula>$C$25="No"</formula>
    </cfRule>
  </conditionalFormatting>
  <conditionalFormatting sqref="D26 G26">
    <cfRule type="expression" dxfId="73" priority="67">
      <formula>$C$26="No"</formula>
    </cfRule>
  </conditionalFormatting>
  <conditionalFormatting sqref="D27 H27">
    <cfRule type="expression" dxfId="72" priority="66">
      <formula>$C$27="No"</formula>
    </cfRule>
  </conditionalFormatting>
  <conditionalFormatting sqref="D28 F28:H28">
    <cfRule type="expression" dxfId="71" priority="65">
      <formula>$C$28="No"</formula>
    </cfRule>
  </conditionalFormatting>
  <conditionalFormatting sqref="D29 F29:H29">
    <cfRule type="expression" dxfId="70" priority="64">
      <formula>$C$29="No"</formula>
    </cfRule>
  </conditionalFormatting>
  <conditionalFormatting sqref="D32">
    <cfRule type="expression" dxfId="69" priority="62">
      <formula>$C$32="No"</formula>
    </cfRule>
  </conditionalFormatting>
  <conditionalFormatting sqref="D33">
    <cfRule type="expression" dxfId="68" priority="61">
      <formula>$C$33="No"</formula>
    </cfRule>
  </conditionalFormatting>
  <conditionalFormatting sqref="G21 J21:K21">
    <cfRule type="expression" dxfId="67" priority="60">
      <formula>$F$21&lt;&gt;"Yes"</formula>
    </cfRule>
  </conditionalFormatting>
  <conditionalFormatting sqref="G22 J22:K22">
    <cfRule type="expression" dxfId="66" priority="59">
      <formula>$F$22&lt;&gt;"Yes"</formula>
    </cfRule>
  </conditionalFormatting>
  <conditionalFormatting sqref="G23 J23:K23">
    <cfRule type="expression" dxfId="65" priority="58">
      <formula>$F$23&lt;&gt;"Yes"</formula>
    </cfRule>
  </conditionalFormatting>
  <conditionalFormatting sqref="G25 J25:K25">
    <cfRule type="expression" dxfId="64" priority="57">
      <formula>$F$25&lt;&gt;"Yes"</formula>
    </cfRule>
  </conditionalFormatting>
  <conditionalFormatting sqref="G28 J28:K28">
    <cfRule type="expression" dxfId="63" priority="56">
      <formula>$F$28&lt;&gt;"Yes"</formula>
    </cfRule>
  </conditionalFormatting>
  <conditionalFormatting sqref="C49:H49">
    <cfRule type="expression" dxfId="62" priority="53">
      <formula>$C$48&lt;&gt;1</formula>
    </cfRule>
  </conditionalFormatting>
  <conditionalFormatting sqref="G29 J29:K29">
    <cfRule type="expression" dxfId="61" priority="52">
      <formula>$F$29&lt;&gt;"Yes"</formula>
    </cfRule>
  </conditionalFormatting>
  <conditionalFormatting sqref="F19">
    <cfRule type="expression" dxfId="60" priority="45">
      <formula>$C$19="No"</formula>
    </cfRule>
  </conditionalFormatting>
  <conditionalFormatting sqref="F20">
    <cfRule type="expression" dxfId="59" priority="44">
      <formula>$C$20="No"</formula>
    </cfRule>
  </conditionalFormatting>
  <conditionalFormatting sqref="F24">
    <cfRule type="expression" dxfId="58" priority="43">
      <formula>$C$24="No"</formula>
    </cfRule>
  </conditionalFormatting>
  <conditionalFormatting sqref="F26">
    <cfRule type="expression" dxfId="57" priority="42">
      <formula>$C$26="No"</formula>
    </cfRule>
  </conditionalFormatting>
  <conditionalFormatting sqref="F27">
    <cfRule type="expression" dxfId="56" priority="41">
      <formula>$C$27="No"</formula>
    </cfRule>
  </conditionalFormatting>
  <conditionalFormatting sqref="I21">
    <cfRule type="expression" dxfId="55" priority="35">
      <formula>$F$21&lt;&gt;"Yes"</formula>
    </cfRule>
  </conditionalFormatting>
  <conditionalFormatting sqref="H21">
    <cfRule type="expression" dxfId="54" priority="14">
      <formula>OR($F$21="", $F$21="Don't know")</formula>
    </cfRule>
  </conditionalFormatting>
  <conditionalFormatting sqref="H22">
    <cfRule type="expression" dxfId="53" priority="13">
      <formula>OR($F$22="", $F$22="Don't know")</formula>
    </cfRule>
  </conditionalFormatting>
  <conditionalFormatting sqref="I22">
    <cfRule type="expression" dxfId="52" priority="12">
      <formula>$F$22&lt;&gt;"Yes"</formula>
    </cfRule>
  </conditionalFormatting>
  <conditionalFormatting sqref="I23">
    <cfRule type="expression" dxfId="51" priority="11">
      <formula>$F$23&lt;&gt;"Yes"</formula>
    </cfRule>
  </conditionalFormatting>
  <conditionalFormatting sqref="H23">
    <cfRule type="expression" dxfId="50" priority="10">
      <formula>OR($F$23="", $F$23="Don't know")</formula>
    </cfRule>
  </conditionalFormatting>
  <conditionalFormatting sqref="I25">
    <cfRule type="expression" dxfId="49" priority="9">
      <formula>$F$25&lt;&gt;"Yes"</formula>
    </cfRule>
  </conditionalFormatting>
  <conditionalFormatting sqref="H25">
    <cfRule type="expression" dxfId="48" priority="8">
      <formula>OR($F$25="", $F$25="Don't know")</formula>
    </cfRule>
  </conditionalFormatting>
  <conditionalFormatting sqref="H28">
    <cfRule type="expression" dxfId="47" priority="7">
      <formula>OR($F$28="", $F$28="Don't know")</formula>
    </cfRule>
  </conditionalFormatting>
  <conditionalFormatting sqref="I28">
    <cfRule type="expression" dxfId="46" priority="6">
      <formula>$F$28&lt;&gt;"Yes"</formula>
    </cfRule>
  </conditionalFormatting>
  <conditionalFormatting sqref="H29">
    <cfRule type="expression" dxfId="45" priority="5">
      <formula>$F$29=""</formula>
    </cfRule>
  </conditionalFormatting>
  <conditionalFormatting sqref="I29">
    <cfRule type="expression" dxfId="44" priority="4">
      <formula>$F$29&lt;&gt;"Yes"</formula>
    </cfRule>
  </conditionalFormatting>
  <conditionalFormatting sqref="D31">
    <cfRule type="expression" dxfId="43" priority="3">
      <formula>$C$31="No"</formula>
    </cfRule>
  </conditionalFormatting>
  <conditionalFormatting sqref="D12">
    <cfRule type="expression" dxfId="41" priority="2">
      <formula>$C$12="No"</formula>
    </cfRule>
  </conditionalFormatting>
  <conditionalFormatting sqref="D11">
    <cfRule type="expression" dxfId="42" priority="1">
      <formula>$C$11="No"</formula>
    </cfRule>
  </conditionalFormatting>
  <dataValidations xWindow="391" yWindow="228" count="33">
    <dataValidation allowBlank="1" showErrorMessage="1" promptTitle="Definition" prompt="Total inventory time period" sqref="B8"/>
    <dataValidation allowBlank="1" showErrorMessage="1" promptTitle="Definition" prompt="Specific food(s) being measured_x000a__x000a_Note: If inventory includes food reported separately, describe how determined ‘intention’ " sqref="B37"/>
    <dataValidation allowBlank="1" showErrorMessage="1" promptTitle="Definition" prompt="How many and which industry or life-cycle stage  segments are being measured" sqref="B38"/>
    <dataValidation allowBlank="1" showErrorMessage="1" promptTitle="Definition" prompt="Geographic borders on which measurement is focused" sqref="B39"/>
    <dataValidation allowBlank="1" showErrorMessage="1" promptTitle="Definition" prompt="If inventory is of a business or at consumption level, unit(s) about which information is being reported" sqref="B40"/>
    <dataValidation allowBlank="1" showErrorMessage="1" promptTitle="Instructions" prompt="Define the boundary of this FLW inventory for the 4 dimensions noted below._x000a__x000a_Describe using globally accepted categories or other established hierarchies. If none exist, describe clearly._x000a_" sqref="B36 B43"/>
    <dataValidation allowBlank="1" showErrorMessage="1" promptTitle="Definition" prompt="Material recovery refers to conversion of digested solids or other material outputs into useable products, such as fertilizer, bedding for livestock or soil amendments." sqref="K16"/>
    <dataValidation allowBlank="1" showErrorMessage="1" promptTitle="Definition" prompt="To enter" sqref="B29:B30"/>
    <dataValidation allowBlank="1" showErrorMessage="1" promptTitle="Definition" prompt="The natural biological degradation and purification process in which bacteria that thrive in oxygen-rich environments break down and digest biodegradable material. Composting refers to the production of organic material that can be used as soil amendment." sqref="B21"/>
    <dataValidation allowBlank="1" showErrorMessage="1" promptTitle="Definition" prompt="A process where bacteria break down biodegradable matter in the absence of oxygen. This generates biogas and nutrient-rich matter. Codigestion refers to the simultaneous anaerobic digestion of multiple organic wastes in one digester." sqref="B22"/>
    <dataValidation allowBlank="1" showErrorMessage="1" promptTitle="Definition" prompt="Conversion to industrial products. Examples include creating fibers for packaging material, bioplastics including polylactic acid (PLA), or rendering fat, oil and grease into a raw material to make biodiesel, soaps, or cosmetics." sqref="B20"/>
    <dataValidation allowBlank="1" showErrorMessage="1" promptTitle="Definition" prompt="Used directly by farmers or processed to feed domestic animals." sqref="B19"/>
    <dataValidation allowBlank="1" showErrorMessage="1" promptTitle="Instructions" prompt="List food category code(s)._x000a__x000a_For multi-ingredient products, include priority ingredients, i.e., top ingredients for a product by mass or other disclosed criteria, e.g., impact. (adapted from The Sustainability Consortium)" sqref="C37"/>
    <dataValidation allowBlank="1" showErrorMessage="1" promptTitle="Instructions" prompt="List all relevant International Standard Industrial Classification (ISIC) of All Economic Activities, Rev. 4 code(s) for the industries included in the FLW inventory." sqref="C38"/>
    <dataValidation allowBlank="1" showErrorMessage="1" promptTitle="Instructions" prompt="Use geographic coding hierarchy of UN for regions and nations._x000a__x000a_Add codes specific to a particular nation as needed; for example, US Census Bureau (CBSA code)." sqref="C39"/>
    <dataValidation allowBlank="1" showErrorMessage="1" promptTitle="Instructions" prompt="Describe level for which FLW amount is being reported._x000a__x000a_For example, a hierarchy for a business could be &quot;location, site, or organization.&quot;" sqref="C40"/>
    <dataValidation allowBlank="1" showErrorMessage="1" promptTitle="Definition" prompt="Down the sewer, with or without processing or treatment first. Sewer may go to an advanced wastewater treatment plant or be discharged without processing." sqref="B28"/>
    <dataValidation allowBlank="1" showErrorMessage="1" promptTitle="Definition" prompt="Refers to abandonment on land or sea. This includes open dumps (e.g., uncovered or unlined) as well as fish discards, which are the portion of total catch that is thrown away or slipped. [Add additional details on fish from FAO.]" sqref="B27"/>
    <dataValidation allowBlank="1" showErrorMessage="1" promptTitle="Definition" prompt="Unharvested crops left in field or tilled under._x000a_" sqref="B26"/>
    <dataValidation allowBlank="1" showErrorMessage="1" promptTitle="Definition" prompt="An area of land or an excavated site that is specifically designed and built to receive wastes." sqref="B25"/>
    <dataValidation allowBlank="1" showErrorMessage="1" promptTitle="Definition" prompt="The spreading, spraying, injection, or incorporation of biosolids (e.g., treated sewage sludge) including derived materials, onto or below the surface of the land to take advantage of the soil enhancing qualities of the biosolids." sqref="B24"/>
    <dataValidation allowBlank="1" showErrorMessage="1" promptTitle="Definition" prompt="A biological process in which carbohydrates (such as glucose, fructose, and sucrose) are converted into cellular energy and thereby produce ethanol and metabolic waste products." sqref="B23"/>
    <dataValidation allowBlank="1" showErrorMessage="1" promptTitle="Definition" prompt="Energy recovery refers to the conversion of FLW into useable heat, electricity, or fuel through a variety of processes, including combustion, gasification, pyrolization, anaerobic digestion, and landfill gas (LFG) recovery." sqref="G16:H16 J16"/>
    <dataValidation showInputMessage="1" showErrorMessage="1" sqref="C4:C6"/>
    <dataValidation allowBlank="1" showErrorMessage="1" promptTitle="Examples" prompt="- Pay fee_x000a_- Sell or give away" sqref="C16"/>
    <dataValidation allowBlank="1" showErrorMessage="1" promptTitle="Definition" prompt="Includes down the drain (e.g., sink)" sqref="I16"/>
    <dataValidation allowBlank="1" showErrorMessage="1" promptTitle="Examples" prompt="- Litter_x000a_- Informal removal off-site (e.g., left on side of road)" sqref="L16"/>
    <dataValidation allowBlank="1" showErrorMessage="1" promptTitle="Instructions" prompt="An entity is required to report what is known about destinations (amount if known; an x if quantity is unknown)." sqref="B16"/>
    <dataValidation allowBlank="1" showErrorMessage="1" promptTitle="Definition" prompt="What is being measured as removed from the food supply chain: food and associated inedible parts combined or either material type separately?" sqref="B10:B14 B48"/>
    <dataValidation type="list" allowBlank="1" showInputMessage="1" showErrorMessage="1" sqref="C19:C29 C11:C12 C31:C33">
      <formula1>$M$10:$M$11</formula1>
    </dataValidation>
    <dataValidation allowBlank="1" showErrorMessage="1" promptTitle="Note" prompt="In the U.S., a ton equals 2,000 pounds. In non-U.S. measurements, a ton equals 2,240 pounds. A tonne, also known as a metric ton, is a unit of mass equaling 1,000 kilograms." sqref="B5:B6 D4:E4"/>
    <dataValidation type="list" allowBlank="1" showInputMessage="1" showErrorMessage="1" sqref="K29">
      <formula1>$M$9:$M$12</formula1>
    </dataValidation>
    <dataValidation type="list" allowBlank="1" showInputMessage="1" showErrorMessage="1" sqref="F21:F23 F25 F28:F29 I21:K23 I29:J29 I25:K25 I28:K28">
      <formula1>$M$9:$M$12</formula1>
    </dataValidation>
  </dataValidations>
  <hyperlinks>
    <hyperlink ref="J37" r:id="rId1"/>
    <hyperlink ref="K37" r:id="rId2"/>
    <hyperlink ref="H38" r:id="rId3"/>
    <hyperlink ref="H39" r:id="rId4"/>
    <hyperlink ref="H37" r:id="rId5"/>
    <hyperlink ref="J38" r:id="rId6" display="http://unstats.un.org/unsd/cr/ctryreg/default.asp?Lg=1"/>
    <hyperlink ref="I37" r:id="rId7"/>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339" r:id="rId11" name="Drop Down 267">
              <controlPr defaultSize="0" autoLine="0" autoPict="0">
                <anchor moveWithCells="1">
                  <from>
                    <xdr:col>3</xdr:col>
                    <xdr:colOff>9525</xdr:colOff>
                    <xdr:row>4</xdr:row>
                    <xdr:rowOff>0</xdr:rowOff>
                  </from>
                  <to>
                    <xdr:col>5</xdr:col>
                    <xdr:colOff>152400</xdr:colOff>
                    <xdr:row>5</xdr:row>
                    <xdr:rowOff>0</xdr:rowOff>
                  </to>
                </anchor>
              </controlPr>
            </control>
          </mc:Choice>
        </mc:AlternateContent>
        <mc:AlternateContent xmlns:mc="http://schemas.openxmlformats.org/markup-compatibility/2006">
          <mc:Choice Requires="x14">
            <control shapeId="3342" r:id="rId12" name="Drop Down 270">
              <controlPr defaultSize="0" autoLine="0" autoPict="0">
                <anchor moveWithCells="1">
                  <from>
                    <xdr:col>1</xdr:col>
                    <xdr:colOff>4010025</xdr:colOff>
                    <xdr:row>49</xdr:row>
                    <xdr:rowOff>361950</xdr:rowOff>
                  </from>
                  <to>
                    <xdr:col>3</xdr:col>
                    <xdr:colOff>314325</xdr:colOff>
                    <xdr:row>50</xdr:row>
                    <xdr:rowOff>0</xdr:rowOff>
                  </to>
                </anchor>
              </controlPr>
            </control>
          </mc:Choice>
        </mc:AlternateContent>
        <mc:AlternateContent xmlns:mc="http://schemas.openxmlformats.org/markup-compatibility/2006">
          <mc:Choice Requires="x14">
            <control shapeId="3361" r:id="rId13" name="Check Box 289">
              <controlPr defaultSize="0" autoFill="0" autoLine="0" autoPict="0">
                <anchor moveWithCells="1">
                  <from>
                    <xdr:col>2</xdr:col>
                    <xdr:colOff>438150</xdr:colOff>
                    <xdr:row>43</xdr:row>
                    <xdr:rowOff>28575</xdr:rowOff>
                  </from>
                  <to>
                    <xdr:col>3</xdr:col>
                    <xdr:colOff>171450</xdr:colOff>
                    <xdr:row>44</xdr:row>
                    <xdr:rowOff>0</xdr:rowOff>
                  </to>
                </anchor>
              </controlPr>
            </control>
          </mc:Choice>
        </mc:AlternateContent>
        <mc:AlternateContent xmlns:mc="http://schemas.openxmlformats.org/markup-compatibility/2006">
          <mc:Choice Requires="x14">
            <control shapeId="3362" r:id="rId14" name="Check Box 290">
              <controlPr defaultSize="0" autoFill="0" autoLine="0" autoPict="0">
                <anchor moveWithCells="1">
                  <from>
                    <xdr:col>2</xdr:col>
                    <xdr:colOff>438150</xdr:colOff>
                    <xdr:row>44</xdr:row>
                    <xdr:rowOff>76200</xdr:rowOff>
                  </from>
                  <to>
                    <xdr:col>3</xdr:col>
                    <xdr:colOff>180975</xdr:colOff>
                    <xdr:row>44</xdr:row>
                    <xdr:rowOff>485775</xdr:rowOff>
                  </to>
                </anchor>
              </controlPr>
            </control>
          </mc:Choice>
        </mc:AlternateContent>
        <mc:AlternateContent xmlns:mc="http://schemas.openxmlformats.org/markup-compatibility/2006">
          <mc:Choice Requires="x14">
            <control shapeId="3364" r:id="rId15" name="Check Box 292">
              <controlPr defaultSize="0" autoFill="0" autoLine="0" autoPict="0">
                <anchor moveWithCells="1">
                  <from>
                    <xdr:col>2</xdr:col>
                    <xdr:colOff>438150</xdr:colOff>
                    <xdr:row>45</xdr:row>
                    <xdr:rowOff>114300</xdr:rowOff>
                  </from>
                  <to>
                    <xdr:col>3</xdr:col>
                    <xdr:colOff>200025</xdr:colOff>
                    <xdr:row>45</xdr:row>
                    <xdr:rowOff>247650</xdr:rowOff>
                  </to>
                </anchor>
              </controlPr>
            </control>
          </mc:Choice>
        </mc:AlternateContent>
        <mc:AlternateContent xmlns:mc="http://schemas.openxmlformats.org/markup-compatibility/2006">
          <mc:Choice Requires="x14">
            <control shapeId="3379" r:id="rId16" name="Drop Down 307">
              <controlPr defaultSize="0" autoLine="0" autoPict="0">
                <anchor moveWithCells="1">
                  <from>
                    <xdr:col>2</xdr:col>
                    <xdr:colOff>0</xdr:colOff>
                    <xdr:row>47</xdr:row>
                    <xdr:rowOff>523875</xdr:rowOff>
                  </from>
                  <to>
                    <xdr:col>3</xdr:col>
                    <xdr:colOff>314325</xdr:colOff>
                    <xdr:row>48</xdr:row>
                    <xdr:rowOff>0</xdr:rowOff>
                  </to>
                </anchor>
              </controlPr>
            </control>
          </mc:Choice>
        </mc:AlternateContent>
        <mc:AlternateContent xmlns:mc="http://schemas.openxmlformats.org/markup-compatibility/2006">
          <mc:Choice Requires="x14">
            <control shapeId="3380" r:id="rId17" name="Button 308">
              <controlPr defaultSize="0" print="0" autoFill="0" autoPict="0" macro="[0]!HIDE_NEW">
                <anchor moveWithCells="1" sizeWithCells="1">
                  <from>
                    <xdr:col>1</xdr:col>
                    <xdr:colOff>19050</xdr:colOff>
                    <xdr:row>33</xdr:row>
                    <xdr:rowOff>28575</xdr:rowOff>
                  </from>
                  <to>
                    <xdr:col>1</xdr:col>
                    <xdr:colOff>1943100</xdr:colOff>
                    <xdr:row>34</xdr:row>
                    <xdr:rowOff>47625</xdr:rowOff>
                  </to>
                </anchor>
              </controlPr>
            </control>
          </mc:Choice>
        </mc:AlternateContent>
        <mc:AlternateContent xmlns:mc="http://schemas.openxmlformats.org/markup-compatibility/2006">
          <mc:Choice Requires="x14">
            <control shapeId="3381" r:id="rId18" name="Button 309">
              <controlPr defaultSize="0" print="0" autoFill="0" autoPict="0" macro="[0]!_xludf.UNHIDE">
                <anchor moveWithCells="1" sizeWithCells="1">
                  <from>
                    <xdr:col>1</xdr:col>
                    <xdr:colOff>1990725</xdr:colOff>
                    <xdr:row>33</xdr:row>
                    <xdr:rowOff>28575</xdr:rowOff>
                  </from>
                  <to>
                    <xdr:col>2</xdr:col>
                    <xdr:colOff>0</xdr:colOff>
                    <xdr:row>34</xdr:row>
                    <xdr:rowOff>47625</xdr:rowOff>
                  </to>
                </anchor>
              </controlPr>
            </control>
          </mc:Choice>
        </mc:AlternateContent>
        <mc:AlternateContent xmlns:mc="http://schemas.openxmlformats.org/markup-compatibility/2006">
          <mc:Choice Requires="x14">
            <control shapeId="3383" r:id="rId19" name="Button 311">
              <controlPr defaultSize="0" print="0" autoFill="0" autoPict="0" macro="[0]!ClearAllDestInfo">
                <anchor moveWithCells="1" sizeWithCells="1">
                  <from>
                    <xdr:col>2</xdr:col>
                    <xdr:colOff>9525</xdr:colOff>
                    <xdr:row>17</xdr:row>
                    <xdr:rowOff>28575</xdr:rowOff>
                  </from>
                  <to>
                    <xdr:col>3</xdr:col>
                    <xdr:colOff>1038225</xdr:colOff>
                    <xdr:row>17</xdr:row>
                    <xdr:rowOff>371475</xdr:rowOff>
                  </to>
                </anchor>
              </controlPr>
            </control>
          </mc:Choice>
        </mc:AlternateContent>
        <mc:AlternateContent xmlns:mc="http://schemas.openxmlformats.org/markup-compatibility/2006">
          <mc:Choice Requires="x14">
            <control shapeId="3434" r:id="rId20" name="Button 362">
              <controlPr defaultSize="0" print="0" autoFill="0" autoPict="0" macro="[0]!GenerateUpdateSummary">
                <anchor moveWithCells="1" sizeWithCells="1">
                  <from>
                    <xdr:col>1</xdr:col>
                    <xdr:colOff>9525</xdr:colOff>
                    <xdr:row>51</xdr:row>
                    <xdr:rowOff>219075</xdr:rowOff>
                  </from>
                  <to>
                    <xdr:col>1</xdr:col>
                    <xdr:colOff>2571750</xdr:colOff>
                    <xdr:row>51</xdr:row>
                    <xdr:rowOff>952500</xdr:rowOff>
                  </to>
                </anchor>
              </controlPr>
            </control>
          </mc:Choice>
        </mc:AlternateContent>
        <mc:AlternateContent xmlns:mc="http://schemas.openxmlformats.org/markup-compatibility/2006">
          <mc:Choice Requires="x14">
            <control shapeId="3436" r:id="rId21" name="Button 364">
              <controlPr defaultSize="0" print="0" autoFill="0" autoPict="0" macro="[0]!GoToTabIII">
                <anchor moveWithCells="1" sizeWithCells="1">
                  <from>
                    <xdr:col>1</xdr:col>
                    <xdr:colOff>2771775</xdr:colOff>
                    <xdr:row>51</xdr:row>
                    <xdr:rowOff>219075</xdr:rowOff>
                  </from>
                  <to>
                    <xdr:col>3</xdr:col>
                    <xdr:colOff>276225</xdr:colOff>
                    <xdr:row>51</xdr:row>
                    <xdr:rowOff>952500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F16"/>
  <sheetViews>
    <sheetView zoomScaleNormal="100" workbookViewId="0"/>
  </sheetViews>
  <sheetFormatPr defaultRowHeight="15" x14ac:dyDescent="0.25"/>
  <cols>
    <col min="1" max="1" width="3.7109375" style="6" customWidth="1"/>
    <col min="2" max="2" width="55.28515625" customWidth="1"/>
    <col min="3" max="3" width="18.140625" customWidth="1"/>
    <col min="4" max="4" width="93.85546875" customWidth="1"/>
    <col min="5" max="5" width="3.7109375" customWidth="1"/>
    <col min="6" max="6" width="9.140625" hidden="1" customWidth="1"/>
  </cols>
  <sheetData>
    <row r="1" spans="1:6" s="6" customFormat="1" x14ac:dyDescent="0.25">
      <c r="A1" s="76"/>
      <c r="B1" s="77"/>
      <c r="C1" s="77"/>
      <c r="D1" s="77"/>
      <c r="E1" s="78"/>
    </row>
    <row r="2" spans="1:6" ht="23.25" x14ac:dyDescent="0.35">
      <c r="A2" s="79"/>
      <c r="B2" s="132" t="s">
        <v>123</v>
      </c>
      <c r="C2" s="39"/>
      <c r="D2" s="126"/>
      <c r="E2" s="83"/>
    </row>
    <row r="3" spans="1:6" s="6" customFormat="1" ht="23.25" x14ac:dyDescent="0.35">
      <c r="A3" s="79"/>
      <c r="B3" s="133"/>
      <c r="C3" s="64"/>
      <c r="D3" s="126"/>
      <c r="E3" s="83"/>
    </row>
    <row r="4" spans="1:6" x14ac:dyDescent="0.25">
      <c r="A4" s="79"/>
      <c r="B4" s="70"/>
      <c r="C4" s="66"/>
      <c r="D4" s="126"/>
      <c r="E4" s="71"/>
    </row>
    <row r="5" spans="1:6" s="6" customFormat="1" x14ac:dyDescent="0.25">
      <c r="A5" s="79"/>
      <c r="B5" s="66"/>
      <c r="C5" s="66"/>
      <c r="D5" s="126"/>
      <c r="E5" s="71"/>
    </row>
    <row r="6" spans="1:6" ht="42" customHeight="1" x14ac:dyDescent="0.35">
      <c r="A6" s="79"/>
      <c r="B6" s="52" t="s">
        <v>124</v>
      </c>
      <c r="C6" s="131">
        <v>2</v>
      </c>
      <c r="D6" s="130"/>
      <c r="E6" s="71"/>
    </row>
    <row r="7" spans="1:6" x14ac:dyDescent="0.25">
      <c r="A7" s="79"/>
      <c r="B7" s="102"/>
      <c r="C7" s="128"/>
      <c r="D7" s="128"/>
      <c r="E7" s="71"/>
    </row>
    <row r="8" spans="1:6" ht="30" customHeight="1" x14ac:dyDescent="0.25">
      <c r="A8" s="79"/>
      <c r="B8" s="242" t="s">
        <v>202</v>
      </c>
      <c r="C8" s="484"/>
      <c r="D8" s="486"/>
      <c r="E8" s="71"/>
      <c r="F8" t="s">
        <v>1</v>
      </c>
    </row>
    <row r="9" spans="1:6" x14ac:dyDescent="0.25">
      <c r="A9" s="79"/>
      <c r="B9" s="70"/>
      <c r="C9" s="128"/>
      <c r="D9" s="128"/>
      <c r="E9" s="71"/>
      <c r="F9" t="s">
        <v>2</v>
      </c>
    </row>
    <row r="10" spans="1:6" ht="47.25" customHeight="1" x14ac:dyDescent="0.25">
      <c r="A10" s="79"/>
      <c r="B10" s="32" t="s">
        <v>203</v>
      </c>
      <c r="C10" s="484"/>
      <c r="D10" s="486"/>
      <c r="E10" s="71"/>
    </row>
    <row r="11" spans="1:6" x14ac:dyDescent="0.25">
      <c r="A11" s="79"/>
      <c r="B11" s="70"/>
      <c r="C11" s="128"/>
      <c r="D11" s="128"/>
      <c r="E11" s="71"/>
    </row>
    <row r="12" spans="1:6" x14ac:dyDescent="0.25">
      <c r="A12" s="79"/>
      <c r="B12" s="70"/>
      <c r="C12" s="128"/>
      <c r="D12" s="128"/>
      <c r="E12" s="71"/>
    </row>
    <row r="13" spans="1:6" ht="42" x14ac:dyDescent="0.35">
      <c r="A13" s="79"/>
      <c r="B13" s="52" t="s">
        <v>125</v>
      </c>
      <c r="C13" s="131">
        <v>2</v>
      </c>
      <c r="D13" s="128"/>
      <c r="E13" s="71"/>
    </row>
    <row r="14" spans="1:6" x14ac:dyDescent="0.25">
      <c r="A14" s="79"/>
      <c r="B14" s="70"/>
      <c r="C14" s="128"/>
      <c r="D14" s="128"/>
      <c r="E14" s="71"/>
    </row>
    <row r="15" spans="1:6" ht="45" customHeight="1" x14ac:dyDescent="0.25">
      <c r="A15" s="79"/>
      <c r="B15" s="134" t="s">
        <v>201</v>
      </c>
      <c r="C15" s="503"/>
      <c r="D15" s="504"/>
      <c r="E15" s="83"/>
    </row>
    <row r="16" spans="1:6" ht="90" customHeight="1" x14ac:dyDescent="0.25">
      <c r="A16" s="82"/>
      <c r="B16" s="129"/>
      <c r="C16" s="107"/>
      <c r="D16" s="107"/>
      <c r="E16" s="112"/>
    </row>
  </sheetData>
  <mergeCells count="3">
    <mergeCell ref="C15:D15"/>
    <mergeCell ref="C8:D8"/>
    <mergeCell ref="C10:D10"/>
  </mergeCells>
  <conditionalFormatting sqref="C8:D8">
    <cfRule type="expression" dxfId="102" priority="11">
      <formula>C6=2</formula>
    </cfRule>
  </conditionalFormatting>
  <conditionalFormatting sqref="C10:D10">
    <cfRule type="expression" dxfId="101" priority="10">
      <formula>C6=2</formula>
    </cfRule>
  </conditionalFormatting>
  <conditionalFormatting sqref="C15:D15">
    <cfRule type="expression" dxfId="100" priority="1">
      <formula>$C$13=2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anchor moveWithCells="1">
                  <from>
                    <xdr:col>2</xdr:col>
                    <xdr:colOff>9525</xdr:colOff>
                    <xdr:row>5</xdr:row>
                    <xdr:rowOff>257175</xdr:rowOff>
                  </from>
                  <to>
                    <xdr:col>2</xdr:col>
                    <xdr:colOff>742950</xdr:colOff>
                    <xdr:row>6</xdr:row>
                    <xdr:rowOff>0</xdr:rowOff>
                  </to>
                </anchor>
              </controlPr>
            </control>
          </mc:Choice>
        </mc:AlternateContent>
        <mc:AlternateContent xmlns:mc="http://schemas.openxmlformats.org/markup-compatibility/2006">
          <mc:Choice Requires="x14">
            <control shapeId="6148" r:id="rId5" name="Drop Down 4">
              <controlPr defaultSize="0" autoLine="0" autoPict="0">
                <anchor moveWithCells="1">
                  <from>
                    <xdr:col>2</xdr:col>
                    <xdr:colOff>0</xdr:colOff>
                    <xdr:row>12</xdr:row>
                    <xdr:rowOff>257175</xdr:rowOff>
                  </from>
                  <to>
                    <xdr:col>2</xdr:col>
                    <xdr:colOff>733425</xdr:colOff>
                    <xdr:row>13</xdr:row>
                    <xdr:rowOff>0</xdr:rowOff>
                  </to>
                </anchor>
              </controlPr>
            </control>
          </mc:Choice>
        </mc:AlternateContent>
        <mc:AlternateContent xmlns:mc="http://schemas.openxmlformats.org/markup-compatibility/2006">
          <mc:Choice Requires="x14">
            <control shapeId="6157" r:id="rId6" name="Button 13">
              <controlPr defaultSize="0" print="0" autoFill="0" autoPict="0" macro="[0]!GoToTabIV">
                <anchor moveWithCells="1" sizeWithCells="1">
                  <from>
                    <xdr:col>1</xdr:col>
                    <xdr:colOff>9525</xdr:colOff>
                    <xdr:row>15</xdr:row>
                    <xdr:rowOff>219075</xdr:rowOff>
                  </from>
                  <to>
                    <xdr:col>1</xdr:col>
                    <xdr:colOff>2571750</xdr:colOff>
                    <xdr:row>15</xdr:row>
                    <xdr:rowOff>952500</xdr:rowOff>
                  </to>
                </anchor>
              </controlPr>
            </control>
          </mc:Choice>
        </mc:AlternateContent>
        <mc:AlternateContent xmlns:mc="http://schemas.openxmlformats.org/markup-compatibility/2006">
          <mc:Choice Requires="x14">
            <control shapeId="6158" r:id="rId7" name="Button 14">
              <controlPr defaultSize="0" print="0" autoFill="0" autoPict="0" macro="[0]!GoToSummary">
                <anchor moveWithCells="1" sizeWithCells="1">
                  <from>
                    <xdr:col>1</xdr:col>
                    <xdr:colOff>2781300</xdr:colOff>
                    <xdr:row>15</xdr:row>
                    <xdr:rowOff>219075</xdr:rowOff>
                  </from>
                  <to>
                    <xdr:col>3</xdr:col>
                    <xdr:colOff>447675</xdr:colOff>
                    <xdr:row>15</xdr:row>
                    <xdr:rowOff>952500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B26"/>
  <sheetViews>
    <sheetView zoomScaleNormal="100" workbookViewId="0"/>
  </sheetViews>
  <sheetFormatPr defaultRowHeight="15" x14ac:dyDescent="0.25"/>
  <cols>
    <col min="1" max="1" width="3.7109375" style="6" customWidth="1"/>
    <col min="2" max="2" width="60" customWidth="1"/>
    <col min="3" max="4" width="15.7109375" customWidth="1"/>
    <col min="13" max="13" width="0.7109375" customWidth="1"/>
    <col min="14" max="14" width="0.5703125" customWidth="1"/>
    <col min="15" max="15" width="3.7109375" customWidth="1"/>
    <col min="16" max="16" width="9.140625" style="2" hidden="1" customWidth="1"/>
    <col min="17" max="17" width="9.140625" style="2" customWidth="1"/>
    <col min="18" max="18" width="9.140625" style="2"/>
    <col min="19" max="19" width="16.28515625" style="2" customWidth="1"/>
    <col min="20" max="20" width="21.7109375" customWidth="1"/>
  </cols>
  <sheetData>
    <row r="1" spans="1:28" s="6" customFormat="1" x14ac:dyDescent="0.25">
      <c r="A1" s="76"/>
      <c r="B1" s="77"/>
      <c r="C1" s="77"/>
      <c r="D1" s="77"/>
      <c r="E1" s="77"/>
      <c r="F1" s="77"/>
      <c r="G1" s="77"/>
      <c r="H1" s="77"/>
      <c r="I1" s="77"/>
      <c r="J1" s="77"/>
      <c r="K1" s="77"/>
      <c r="L1" s="77"/>
      <c r="M1" s="77"/>
      <c r="N1" s="77"/>
      <c r="O1" s="78"/>
      <c r="P1" s="2"/>
      <c r="Q1" s="2"/>
      <c r="R1" s="2"/>
      <c r="S1" s="2"/>
    </row>
    <row r="2" spans="1:28" ht="23.25" x14ac:dyDescent="0.35">
      <c r="A2" s="79"/>
      <c r="B2" s="37" t="s">
        <v>75</v>
      </c>
      <c r="C2" s="38"/>
      <c r="D2" s="64"/>
      <c r="E2" s="126"/>
      <c r="F2" s="126"/>
      <c r="G2" s="126"/>
      <c r="H2" s="126"/>
      <c r="I2" s="126"/>
      <c r="J2" s="126"/>
      <c r="K2" s="126"/>
      <c r="L2" s="126"/>
      <c r="M2" s="64"/>
      <c r="N2" s="64"/>
      <c r="O2" s="83"/>
    </row>
    <row r="3" spans="1:28" ht="148.5" customHeight="1" x14ac:dyDescent="0.25">
      <c r="A3" s="79"/>
      <c r="B3" s="149"/>
      <c r="C3" s="64"/>
      <c r="D3" s="64"/>
      <c r="E3" s="126"/>
      <c r="F3" s="126"/>
      <c r="G3" s="126"/>
      <c r="H3" s="126"/>
      <c r="I3" s="126"/>
      <c r="J3" s="126"/>
      <c r="K3" s="126"/>
      <c r="L3" s="126"/>
      <c r="M3" s="126"/>
      <c r="N3" s="126"/>
      <c r="O3" s="83"/>
      <c r="Q3" s="14"/>
    </row>
    <row r="4" spans="1:28" ht="42" x14ac:dyDescent="0.25">
      <c r="A4" s="79"/>
      <c r="B4" s="148" t="s">
        <v>263</v>
      </c>
      <c r="C4" s="137">
        <v>2</v>
      </c>
      <c r="D4" s="66"/>
      <c r="E4" s="172"/>
      <c r="F4" s="64"/>
      <c r="G4" s="64"/>
      <c r="H4" s="64"/>
      <c r="I4" s="64"/>
      <c r="J4" s="64"/>
      <c r="K4" s="64"/>
      <c r="L4" s="64"/>
      <c r="M4" s="64"/>
      <c r="N4" s="64"/>
      <c r="O4" s="83"/>
    </row>
    <row r="5" spans="1:28" s="6" customFormat="1" ht="19.5" customHeight="1" x14ac:dyDescent="0.25">
      <c r="A5" s="79"/>
      <c r="B5" s="135" t="s">
        <v>204</v>
      </c>
      <c r="C5" s="503"/>
      <c r="D5" s="505"/>
      <c r="E5" s="505"/>
      <c r="F5" s="505"/>
      <c r="G5" s="505"/>
      <c r="H5" s="505"/>
      <c r="I5" s="505"/>
      <c r="J5" s="505"/>
      <c r="K5" s="505"/>
      <c r="L5" s="505"/>
      <c r="M5" s="505"/>
      <c r="N5" s="504"/>
      <c r="O5" s="83"/>
      <c r="P5" s="2" t="s">
        <v>1</v>
      </c>
      <c r="R5" s="2"/>
      <c r="S5" s="2"/>
    </row>
    <row r="6" spans="1:28" s="6" customFormat="1" x14ac:dyDescent="0.25">
      <c r="A6" s="79"/>
      <c r="B6" s="513" t="s">
        <v>126</v>
      </c>
      <c r="C6" s="51" t="s">
        <v>111</v>
      </c>
      <c r="D6" s="51" t="s">
        <v>112</v>
      </c>
      <c r="E6" s="66"/>
      <c r="F6" s="64"/>
      <c r="G6" s="64"/>
      <c r="H6" s="64"/>
      <c r="I6" s="64"/>
      <c r="J6" s="64"/>
      <c r="K6" s="64"/>
      <c r="L6" s="64"/>
      <c r="M6" s="64"/>
      <c r="N6" s="64"/>
      <c r="O6" s="83"/>
      <c r="P6" s="2" t="s">
        <v>2</v>
      </c>
      <c r="Q6" s="2"/>
      <c r="R6" s="2"/>
      <c r="S6" s="2"/>
    </row>
    <row r="7" spans="1:28" s="6" customFormat="1" ht="15" customHeight="1" x14ac:dyDescent="0.25">
      <c r="A7" s="79"/>
      <c r="B7" s="514"/>
      <c r="C7" s="118"/>
      <c r="D7" s="54"/>
      <c r="E7" s="66"/>
      <c r="F7" s="64"/>
      <c r="G7" s="64"/>
      <c r="H7" s="64"/>
      <c r="I7" s="64"/>
      <c r="J7" s="64"/>
      <c r="K7" s="64"/>
      <c r="L7" s="64"/>
      <c r="M7" s="64"/>
      <c r="N7" s="64"/>
      <c r="O7" s="83"/>
      <c r="P7" s="139" t="s">
        <v>79</v>
      </c>
      <c r="Q7" s="2"/>
      <c r="R7" s="2"/>
      <c r="S7" s="2"/>
    </row>
    <row r="8" spans="1:28" s="6" customFormat="1" x14ac:dyDescent="0.25">
      <c r="A8" s="79"/>
      <c r="B8" s="243"/>
      <c r="C8" s="143"/>
      <c r="D8" s="143"/>
      <c r="E8" s="143"/>
      <c r="F8" s="143"/>
      <c r="G8" s="143"/>
      <c r="H8" s="143"/>
      <c r="I8" s="143"/>
      <c r="J8" s="143"/>
      <c r="K8" s="143"/>
      <c r="L8" s="143"/>
      <c r="M8" s="143"/>
      <c r="N8" s="143"/>
      <c r="O8" s="83"/>
      <c r="P8" s="139"/>
      <c r="Q8" s="2"/>
      <c r="R8" s="2"/>
      <c r="S8" s="2"/>
    </row>
    <row r="9" spans="1:28" ht="64.5" customHeight="1" x14ac:dyDescent="0.25">
      <c r="A9" s="79"/>
      <c r="B9" s="449" t="s">
        <v>264</v>
      </c>
      <c r="C9" s="137">
        <v>2</v>
      </c>
      <c r="D9" s="245"/>
      <c r="E9" s="142"/>
      <c r="F9" s="64"/>
      <c r="G9" s="64"/>
      <c r="H9" s="64"/>
      <c r="I9" s="64"/>
      <c r="J9" s="64"/>
      <c r="K9" s="64"/>
      <c r="L9" s="64"/>
      <c r="M9" s="64"/>
      <c r="N9" s="64"/>
      <c r="O9" s="111"/>
      <c r="P9" s="141"/>
      <c r="Q9" s="140"/>
      <c r="R9" s="140"/>
      <c r="S9" s="4"/>
      <c r="T9" s="1"/>
      <c r="U9" s="1"/>
      <c r="V9" s="1"/>
      <c r="W9" s="1"/>
      <c r="X9" s="1"/>
      <c r="Y9" s="1"/>
      <c r="Z9" s="1"/>
      <c r="AA9" s="1"/>
      <c r="AB9" s="1"/>
    </row>
    <row r="10" spans="1:28" ht="45" customHeight="1" x14ac:dyDescent="0.25">
      <c r="A10" s="79"/>
      <c r="B10" s="32" t="s">
        <v>173</v>
      </c>
      <c r="C10" s="484"/>
      <c r="D10" s="485"/>
      <c r="E10" s="485"/>
      <c r="F10" s="485"/>
      <c r="G10" s="485"/>
      <c r="H10" s="485"/>
      <c r="I10" s="485"/>
      <c r="J10" s="485"/>
      <c r="K10" s="485"/>
      <c r="L10" s="485"/>
      <c r="M10" s="485"/>
      <c r="N10" s="486"/>
      <c r="O10" s="83"/>
      <c r="P10" s="27"/>
      <c r="Q10" s="4"/>
      <c r="R10" s="4"/>
      <c r="S10" s="4"/>
      <c r="T10" s="1"/>
      <c r="U10" s="1"/>
      <c r="V10" s="1"/>
      <c r="W10" s="1"/>
      <c r="X10" s="1"/>
      <c r="Y10" s="1"/>
      <c r="Z10" s="1"/>
      <c r="AA10" s="1"/>
      <c r="AB10" s="1"/>
    </row>
    <row r="11" spans="1:28" x14ac:dyDescent="0.25">
      <c r="A11" s="79"/>
      <c r="B11" s="152"/>
      <c r="C11" s="510"/>
      <c r="D11" s="510"/>
      <c r="E11" s="510"/>
      <c r="F11" s="510"/>
      <c r="G11" s="510"/>
      <c r="H11" s="510"/>
      <c r="I11" s="510"/>
      <c r="J11" s="510"/>
      <c r="K11" s="510"/>
      <c r="L11" s="510"/>
      <c r="M11" s="510"/>
      <c r="N11" s="64"/>
      <c r="O11" s="83"/>
      <c r="P11" s="139"/>
    </row>
    <row r="12" spans="1:28" ht="63" x14ac:dyDescent="0.25">
      <c r="A12" s="79"/>
      <c r="B12" s="449" t="s">
        <v>265</v>
      </c>
      <c r="C12" s="124">
        <v>2</v>
      </c>
      <c r="D12" s="138"/>
      <c r="E12" s="64"/>
      <c r="F12" s="515"/>
      <c r="G12" s="515"/>
      <c r="H12" s="515"/>
      <c r="I12" s="515"/>
      <c r="J12" s="515"/>
      <c r="K12" s="515"/>
      <c r="L12" s="515"/>
      <c r="M12" s="515"/>
      <c r="N12" s="515"/>
      <c r="O12" s="83"/>
    </row>
    <row r="13" spans="1:28" s="6" customFormat="1" ht="45" customHeight="1" x14ac:dyDescent="0.25">
      <c r="A13" s="79"/>
      <c r="B13" s="32" t="s">
        <v>174</v>
      </c>
      <c r="C13" s="478"/>
      <c r="D13" s="479"/>
      <c r="E13" s="479"/>
      <c r="F13" s="479"/>
      <c r="G13" s="479"/>
      <c r="H13" s="479"/>
      <c r="I13" s="479"/>
      <c r="J13" s="479"/>
      <c r="K13" s="479"/>
      <c r="L13" s="479"/>
      <c r="M13" s="479"/>
      <c r="N13" s="480"/>
      <c r="O13" s="83"/>
      <c r="P13" s="2"/>
      <c r="Q13" s="2"/>
      <c r="R13" s="2"/>
      <c r="S13" s="2"/>
    </row>
    <row r="14" spans="1:28" s="6" customFormat="1" x14ac:dyDescent="0.25">
      <c r="A14" s="79"/>
      <c r="B14" s="150"/>
      <c r="C14" s="64"/>
      <c r="D14" s="64"/>
      <c r="E14" s="64"/>
      <c r="F14" s="64"/>
      <c r="G14" s="64"/>
      <c r="H14" s="64"/>
      <c r="I14" s="64"/>
      <c r="J14" s="64"/>
      <c r="K14" s="64"/>
      <c r="L14" s="64"/>
      <c r="M14" s="64"/>
      <c r="N14" s="64"/>
      <c r="O14" s="83"/>
      <c r="P14" s="5"/>
      <c r="Q14" s="2"/>
      <c r="R14" s="2"/>
      <c r="S14" s="2"/>
    </row>
    <row r="15" spans="1:28" ht="42" x14ac:dyDescent="0.35">
      <c r="A15" s="79"/>
      <c r="B15" s="52" t="s">
        <v>266</v>
      </c>
      <c r="C15" s="145"/>
      <c r="D15" s="144"/>
      <c r="E15" s="69"/>
      <c r="F15" s="69"/>
      <c r="G15" s="69"/>
      <c r="H15" s="69"/>
      <c r="I15" s="69"/>
      <c r="J15" s="69"/>
      <c r="K15" s="69"/>
      <c r="L15" s="69"/>
      <c r="M15" s="69"/>
      <c r="N15" s="69"/>
      <c r="O15" s="83"/>
    </row>
    <row r="16" spans="1:28" s="6" customFormat="1" ht="30" x14ac:dyDescent="0.25">
      <c r="A16" s="79"/>
      <c r="B16" s="244" t="s">
        <v>205</v>
      </c>
      <c r="C16" s="288" t="b">
        <v>0</v>
      </c>
      <c r="D16" s="284"/>
      <c r="E16" s="288" t="b">
        <v>0</v>
      </c>
      <c r="F16" s="285"/>
      <c r="G16" s="286"/>
      <c r="H16" s="287"/>
      <c r="I16" s="327"/>
      <c r="J16" s="69"/>
      <c r="K16" s="69"/>
      <c r="L16" s="69"/>
      <c r="M16" s="69"/>
      <c r="N16" s="69"/>
      <c r="O16" s="83"/>
      <c r="Q16" s="2"/>
      <c r="R16" s="2"/>
      <c r="S16" s="2"/>
    </row>
    <row r="17" spans="1:20" ht="45" customHeight="1" x14ac:dyDescent="0.25">
      <c r="A17" s="79"/>
      <c r="B17" s="146" t="s">
        <v>245</v>
      </c>
      <c r="C17" s="511"/>
      <c r="D17" s="511"/>
      <c r="E17" s="512"/>
      <c r="F17" s="512"/>
      <c r="G17" s="512"/>
      <c r="H17" s="512"/>
      <c r="I17" s="512"/>
      <c r="J17" s="512"/>
      <c r="K17" s="512"/>
      <c r="L17" s="512"/>
      <c r="M17" s="512"/>
      <c r="N17" s="512"/>
      <c r="O17" s="83"/>
      <c r="S17" s="28"/>
      <c r="T17" s="3"/>
    </row>
    <row r="18" spans="1:20" ht="45" customHeight="1" x14ac:dyDescent="0.25">
      <c r="A18" s="79"/>
      <c r="B18" s="146" t="s">
        <v>246</v>
      </c>
      <c r="C18" s="509"/>
      <c r="D18" s="509"/>
      <c r="E18" s="509"/>
      <c r="F18" s="509"/>
      <c r="G18" s="509"/>
      <c r="H18" s="509"/>
      <c r="I18" s="509"/>
      <c r="J18" s="509"/>
      <c r="K18" s="509"/>
      <c r="L18" s="509"/>
      <c r="M18" s="509"/>
      <c r="N18" s="509"/>
      <c r="O18" s="83"/>
    </row>
    <row r="19" spans="1:20" s="6" customFormat="1" x14ac:dyDescent="0.25">
      <c r="A19" s="79"/>
      <c r="B19" s="150"/>
      <c r="C19" s="64"/>
      <c r="D19" s="64"/>
      <c r="E19" s="66"/>
      <c r="F19" s="64"/>
      <c r="G19" s="64"/>
      <c r="H19" s="64"/>
      <c r="I19" s="64"/>
      <c r="J19" s="64"/>
      <c r="K19" s="64"/>
      <c r="L19" s="64"/>
      <c r="M19" s="64"/>
      <c r="N19" s="64"/>
      <c r="O19" s="83"/>
      <c r="P19" s="2"/>
      <c r="Q19" s="2"/>
      <c r="R19" s="2"/>
      <c r="S19" s="2"/>
    </row>
    <row r="20" spans="1:20" s="6" customFormat="1" ht="42" x14ac:dyDescent="0.25">
      <c r="A20" s="79"/>
      <c r="B20" s="450" t="s">
        <v>267</v>
      </c>
      <c r="C20" s="289">
        <v>2</v>
      </c>
      <c r="D20" s="66"/>
      <c r="E20" s="142"/>
      <c r="F20" s="64"/>
      <c r="G20" s="64"/>
      <c r="H20" s="64"/>
      <c r="I20" s="64"/>
      <c r="J20" s="64"/>
      <c r="K20" s="64"/>
      <c r="L20" s="64"/>
      <c r="M20" s="64"/>
      <c r="N20" s="64"/>
      <c r="O20" s="83"/>
      <c r="P20" s="2"/>
      <c r="Q20" s="2"/>
      <c r="R20" s="2"/>
      <c r="S20" s="2"/>
    </row>
    <row r="21" spans="1:20" s="6" customFormat="1" x14ac:dyDescent="0.25">
      <c r="A21" s="79"/>
      <c r="B21" s="279" t="s">
        <v>247</v>
      </c>
      <c r="C21" s="282"/>
      <c r="D21" s="282"/>
      <c r="E21" s="282"/>
      <c r="F21" s="282"/>
      <c r="G21" s="282"/>
      <c r="H21" s="283"/>
      <c r="I21" s="278"/>
      <c r="J21" s="278"/>
      <c r="K21" s="278"/>
      <c r="L21" s="278"/>
      <c r="M21" s="278"/>
      <c r="N21" s="278"/>
      <c r="O21" s="151"/>
      <c r="P21" s="139"/>
      <c r="Q21" s="2"/>
      <c r="R21" s="2"/>
      <c r="S21" s="2"/>
    </row>
    <row r="22" spans="1:20" s="6" customFormat="1" x14ac:dyDescent="0.25">
      <c r="A22" s="79"/>
      <c r="B22" s="280" t="s">
        <v>77</v>
      </c>
      <c r="C22" s="506"/>
      <c r="D22" s="507"/>
      <c r="E22" s="507"/>
      <c r="F22" s="507"/>
      <c r="G22" s="507"/>
      <c r="H22" s="507"/>
      <c r="I22" s="507"/>
      <c r="J22" s="507"/>
      <c r="K22" s="507"/>
      <c r="L22" s="507"/>
      <c r="M22" s="507"/>
      <c r="N22" s="508"/>
      <c r="O22" s="151"/>
      <c r="P22" s="139"/>
      <c r="Q22" s="2"/>
      <c r="R22" s="2"/>
      <c r="S22" s="2"/>
    </row>
    <row r="23" spans="1:20" x14ac:dyDescent="0.25">
      <c r="A23" s="79"/>
      <c r="B23" s="280" t="s">
        <v>76</v>
      </c>
      <c r="C23" s="506"/>
      <c r="D23" s="507"/>
      <c r="E23" s="507"/>
      <c r="F23" s="507"/>
      <c r="G23" s="507"/>
      <c r="H23" s="507"/>
      <c r="I23" s="507"/>
      <c r="J23" s="507"/>
      <c r="K23" s="507"/>
      <c r="L23" s="507"/>
      <c r="M23" s="507"/>
      <c r="N23" s="508"/>
      <c r="O23" s="83"/>
      <c r="P23" s="139"/>
    </row>
    <row r="24" spans="1:20" x14ac:dyDescent="0.25">
      <c r="A24" s="79"/>
      <c r="B24" s="281" t="s">
        <v>78</v>
      </c>
      <c r="C24" s="506"/>
      <c r="D24" s="507"/>
      <c r="E24" s="507"/>
      <c r="F24" s="507"/>
      <c r="G24" s="507"/>
      <c r="H24" s="507"/>
      <c r="I24" s="507"/>
      <c r="J24" s="507"/>
      <c r="K24" s="507"/>
      <c r="L24" s="507"/>
      <c r="M24" s="507"/>
      <c r="N24" s="508"/>
      <c r="O24" s="83"/>
      <c r="P24" s="139"/>
    </row>
    <row r="25" spans="1:20" x14ac:dyDescent="0.25">
      <c r="A25" s="79"/>
      <c r="B25" s="280" t="s">
        <v>38</v>
      </c>
      <c r="C25" s="506"/>
      <c r="D25" s="507"/>
      <c r="E25" s="507"/>
      <c r="F25" s="507"/>
      <c r="G25" s="507"/>
      <c r="H25" s="507"/>
      <c r="I25" s="507"/>
      <c r="J25" s="507"/>
      <c r="K25" s="507"/>
      <c r="L25" s="507"/>
      <c r="M25" s="507"/>
      <c r="N25" s="508"/>
      <c r="O25" s="83"/>
      <c r="P25" s="139"/>
    </row>
    <row r="26" spans="1:20" s="6" customFormat="1" ht="90" customHeight="1" x14ac:dyDescent="0.25">
      <c r="A26" s="82"/>
      <c r="B26" s="290"/>
      <c r="C26" s="107"/>
      <c r="D26" s="105"/>
      <c r="E26" s="105"/>
      <c r="F26" s="107"/>
      <c r="G26" s="107"/>
      <c r="H26" s="107"/>
      <c r="I26" s="107"/>
      <c r="J26" s="107"/>
      <c r="K26" s="107"/>
      <c r="L26" s="107"/>
      <c r="M26" s="107"/>
      <c r="N26" s="107"/>
      <c r="O26" s="112"/>
      <c r="P26" s="2"/>
      <c r="Q26" s="2"/>
      <c r="R26" s="2"/>
      <c r="S26" s="2"/>
    </row>
  </sheetData>
  <mergeCells count="12">
    <mergeCell ref="B6:B7"/>
    <mergeCell ref="C25:N25"/>
    <mergeCell ref="C10:N10"/>
    <mergeCell ref="F12:N12"/>
    <mergeCell ref="C13:N13"/>
    <mergeCell ref="C5:N5"/>
    <mergeCell ref="C22:N22"/>
    <mergeCell ref="C23:N23"/>
    <mergeCell ref="C24:N24"/>
    <mergeCell ref="C18:N18"/>
    <mergeCell ref="C11:M11"/>
    <mergeCell ref="C17:N17"/>
  </mergeCells>
  <conditionalFormatting sqref="C22">
    <cfRule type="expression" dxfId="99" priority="23">
      <formula>C20=2</formula>
    </cfRule>
  </conditionalFormatting>
  <conditionalFormatting sqref="C10">
    <cfRule type="expression" dxfId="98" priority="19">
      <formula>C9=2</formula>
    </cfRule>
  </conditionalFormatting>
  <conditionalFormatting sqref="C5">
    <cfRule type="expression" dxfId="97" priority="80">
      <formula>C4=2</formula>
    </cfRule>
  </conditionalFormatting>
  <conditionalFormatting sqref="C23">
    <cfRule type="expression" dxfId="96" priority="11">
      <formula>C20=2</formula>
    </cfRule>
  </conditionalFormatting>
  <conditionalFormatting sqref="C24">
    <cfRule type="expression" dxfId="95" priority="10">
      <formula>C20=2</formula>
    </cfRule>
  </conditionalFormatting>
  <conditionalFormatting sqref="C25">
    <cfRule type="expression" dxfId="94" priority="9">
      <formula>C20=2</formula>
    </cfRule>
  </conditionalFormatting>
  <conditionalFormatting sqref="C13">
    <cfRule type="expression" dxfId="93" priority="83">
      <formula>C12&lt;&gt;1</formula>
    </cfRule>
  </conditionalFormatting>
  <conditionalFormatting sqref="C7">
    <cfRule type="expression" dxfId="92" priority="8">
      <formula>C4=2</formula>
    </cfRule>
  </conditionalFormatting>
  <conditionalFormatting sqref="D7">
    <cfRule type="expression" dxfId="91" priority="7">
      <formula>C4=2</formula>
    </cfRule>
  </conditionalFormatting>
  <conditionalFormatting sqref="C17">
    <cfRule type="expression" dxfId="90" priority="84">
      <formula>$C$16=FALSE</formula>
    </cfRule>
  </conditionalFormatting>
  <conditionalFormatting sqref="C18">
    <cfRule type="expression" dxfId="89" priority="1">
      <formula>$E$16=FALSE</formula>
    </cfRule>
  </conditionalFormatting>
  <dataValidations count="3">
    <dataValidation allowBlank="1" showErrorMessage="1" promptTitle="Instructions:" prompt="Please use a scale of 1-10 to indicate your estimated level of uncertainty, from &quot;1&quot; indicating answers based on best guesses to &quot;10&quot; indicating actual measures that are believed to be very accurate." sqref="B15:B16"/>
    <dataValidation allowBlank="1" showErrorMessage="1" promptTitle="Instructions" prompt="Include assumptions or factors used." sqref="B12"/>
    <dataValidation allowBlank="1" showErrorMessage="1" promptTitle="Definition" prompt="Total inventory time period" sqref="B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Drop Down 4">
              <controlPr defaultSize="0" autoLine="0" autoPict="0">
                <anchor moveWithCells="1">
                  <from>
                    <xdr:col>2</xdr:col>
                    <xdr:colOff>0</xdr:colOff>
                    <xdr:row>3</xdr:row>
                    <xdr:rowOff>257175</xdr:rowOff>
                  </from>
                  <to>
                    <xdr:col>3</xdr:col>
                    <xdr:colOff>142875</xdr:colOff>
                    <xdr:row>4</xdr:row>
                    <xdr:rowOff>0</xdr:rowOff>
                  </to>
                </anchor>
              </controlPr>
            </control>
          </mc:Choice>
        </mc:AlternateContent>
        <mc:AlternateContent xmlns:mc="http://schemas.openxmlformats.org/markup-compatibility/2006">
          <mc:Choice Requires="x14">
            <control shapeId="5126" r:id="rId5" name="Drop Down 6">
              <controlPr defaultSize="0" autoLine="0" autoPict="0">
                <anchor moveWithCells="1">
                  <from>
                    <xdr:col>2</xdr:col>
                    <xdr:colOff>0</xdr:colOff>
                    <xdr:row>8</xdr:row>
                    <xdr:rowOff>542925</xdr:rowOff>
                  </from>
                  <to>
                    <xdr:col>3</xdr:col>
                    <xdr:colOff>142875</xdr:colOff>
                    <xdr:row>9</xdr:row>
                    <xdr:rowOff>0</xdr:rowOff>
                  </to>
                </anchor>
              </controlPr>
            </control>
          </mc:Choice>
        </mc:AlternateContent>
        <mc:AlternateContent xmlns:mc="http://schemas.openxmlformats.org/markup-compatibility/2006">
          <mc:Choice Requires="x14">
            <control shapeId="5133" r:id="rId6" name="Drop Down 13">
              <controlPr defaultSize="0" autoLine="0" autoPict="0">
                <anchor moveWithCells="1">
                  <from>
                    <xdr:col>2</xdr:col>
                    <xdr:colOff>0</xdr:colOff>
                    <xdr:row>11</xdr:row>
                    <xdr:rowOff>523875</xdr:rowOff>
                  </from>
                  <to>
                    <xdr:col>3</xdr:col>
                    <xdr:colOff>142875</xdr:colOff>
                    <xdr:row>12</xdr:row>
                    <xdr:rowOff>0</xdr:rowOff>
                  </to>
                </anchor>
              </controlPr>
            </control>
          </mc:Choice>
        </mc:AlternateContent>
        <mc:AlternateContent xmlns:mc="http://schemas.openxmlformats.org/markup-compatibility/2006">
          <mc:Choice Requires="x14">
            <control shapeId="5143" r:id="rId7" name="Check Box 23">
              <controlPr defaultSize="0" autoFill="0" autoLine="0" autoPict="0">
                <anchor moveWithCells="1">
                  <from>
                    <xdr:col>2</xdr:col>
                    <xdr:colOff>400050</xdr:colOff>
                    <xdr:row>15</xdr:row>
                    <xdr:rowOff>85725</xdr:rowOff>
                  </from>
                  <to>
                    <xdr:col>4</xdr:col>
                    <xdr:colOff>66675</xdr:colOff>
                    <xdr:row>16</xdr:row>
                    <xdr:rowOff>0</xdr:rowOff>
                  </to>
                </anchor>
              </controlPr>
            </control>
          </mc:Choice>
        </mc:AlternateContent>
        <mc:AlternateContent xmlns:mc="http://schemas.openxmlformats.org/markup-compatibility/2006">
          <mc:Choice Requires="x14">
            <control shapeId="5144" r:id="rId8" name="Check Box 24">
              <controlPr defaultSize="0" autoFill="0" autoLine="0" autoPict="0">
                <anchor moveWithCells="1">
                  <from>
                    <xdr:col>4</xdr:col>
                    <xdr:colOff>466725</xdr:colOff>
                    <xdr:row>15</xdr:row>
                    <xdr:rowOff>57150</xdr:rowOff>
                  </from>
                  <to>
                    <xdr:col>7</xdr:col>
                    <xdr:colOff>400050</xdr:colOff>
                    <xdr:row>16</xdr:row>
                    <xdr:rowOff>0</xdr:rowOff>
                  </to>
                </anchor>
              </controlPr>
            </control>
          </mc:Choice>
        </mc:AlternateContent>
        <mc:AlternateContent xmlns:mc="http://schemas.openxmlformats.org/markup-compatibility/2006">
          <mc:Choice Requires="x14">
            <control shapeId="5125" r:id="rId9" name="Drop Down 5">
              <controlPr defaultSize="0" autoLine="0" autoPict="0">
                <anchor moveWithCells="1">
                  <from>
                    <xdr:col>2</xdr:col>
                    <xdr:colOff>0</xdr:colOff>
                    <xdr:row>18</xdr:row>
                    <xdr:rowOff>180975</xdr:rowOff>
                  </from>
                  <to>
                    <xdr:col>3</xdr:col>
                    <xdr:colOff>142875</xdr:colOff>
                    <xdr:row>20</xdr:row>
                    <xdr:rowOff>0</xdr:rowOff>
                  </to>
                </anchor>
              </controlPr>
            </control>
          </mc:Choice>
        </mc:AlternateContent>
        <mc:AlternateContent xmlns:mc="http://schemas.openxmlformats.org/markup-compatibility/2006">
          <mc:Choice Requires="x14">
            <control shapeId="5146" r:id="rId10" name="Button 26">
              <controlPr defaultSize="0" print="0" autoFill="0" autoPict="0" macro="[0]!GoToTabV">
                <anchor moveWithCells="1" sizeWithCells="1">
                  <from>
                    <xdr:col>1</xdr:col>
                    <xdr:colOff>9525</xdr:colOff>
                    <xdr:row>25</xdr:row>
                    <xdr:rowOff>200025</xdr:rowOff>
                  </from>
                  <to>
                    <xdr:col>1</xdr:col>
                    <xdr:colOff>2571750</xdr:colOff>
                    <xdr:row>25</xdr:row>
                    <xdr:rowOff>933450</xdr:rowOff>
                  </to>
                </anchor>
              </controlPr>
            </control>
          </mc:Choice>
        </mc:AlternateContent>
        <mc:AlternateContent xmlns:mc="http://schemas.openxmlformats.org/markup-compatibility/2006">
          <mc:Choice Requires="x14">
            <control shapeId="5147" r:id="rId11" name="Button 27">
              <controlPr defaultSize="0" print="0" autoFill="0" autoPict="0" macro="[0]!GoToSummary">
                <anchor moveWithCells="1" sizeWithCells="1">
                  <from>
                    <xdr:col>1</xdr:col>
                    <xdr:colOff>2790825</xdr:colOff>
                    <xdr:row>25</xdr:row>
                    <xdr:rowOff>200025</xdr:rowOff>
                  </from>
                  <to>
                    <xdr:col>4</xdr:col>
                    <xdr:colOff>257175</xdr:colOff>
                    <xdr:row>25</xdr:row>
                    <xdr:rowOff>933450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U28"/>
  <sheetViews>
    <sheetView workbookViewId="0"/>
  </sheetViews>
  <sheetFormatPr defaultRowHeight="15" x14ac:dyDescent="0.25"/>
  <cols>
    <col min="1" max="1" width="3.7109375" style="6" customWidth="1"/>
    <col min="9" max="9" width="11.5703125" customWidth="1"/>
    <col min="20" max="20" width="3.7109375" customWidth="1"/>
    <col min="21" max="21" width="0" hidden="1" customWidth="1"/>
  </cols>
  <sheetData>
    <row r="1" spans="1:21" s="6" customFormat="1" x14ac:dyDescent="0.25">
      <c r="A1" s="76"/>
      <c r="B1" s="77"/>
      <c r="C1" s="77"/>
      <c r="D1" s="77"/>
      <c r="E1" s="77"/>
      <c r="F1" s="77"/>
      <c r="G1" s="77"/>
      <c r="H1" s="77"/>
      <c r="I1" s="77"/>
      <c r="J1" s="77"/>
      <c r="K1" s="77"/>
      <c r="L1" s="77"/>
      <c r="M1" s="77"/>
      <c r="N1" s="77"/>
      <c r="O1" s="77"/>
      <c r="P1" s="77"/>
      <c r="Q1" s="77"/>
      <c r="R1" s="77"/>
      <c r="S1" s="77"/>
      <c r="T1" s="78"/>
    </row>
    <row r="2" spans="1:21" ht="23.25" x14ac:dyDescent="0.35">
      <c r="A2" s="79"/>
      <c r="B2" s="41" t="s">
        <v>127</v>
      </c>
      <c r="C2" s="42"/>
      <c r="D2" s="42"/>
      <c r="E2" s="39"/>
      <c r="F2" s="42"/>
      <c r="G2" s="155"/>
      <c r="H2" s="156"/>
      <c r="I2" s="154"/>
      <c r="J2" s="154"/>
      <c r="K2" s="154"/>
      <c r="L2" s="154"/>
      <c r="M2" s="154"/>
      <c r="N2" s="154"/>
      <c r="O2" s="154"/>
      <c r="P2" s="154"/>
      <c r="Q2" s="154"/>
      <c r="R2" s="154"/>
      <c r="S2" s="64"/>
      <c r="T2" s="83"/>
    </row>
    <row r="3" spans="1:21" s="6" customFormat="1" ht="15" customHeight="1" x14ac:dyDescent="0.25">
      <c r="A3" s="79"/>
      <c r="B3" s="64"/>
      <c r="C3" s="64"/>
      <c r="D3" s="64"/>
      <c r="E3" s="64"/>
      <c r="F3" s="64"/>
      <c r="G3" s="64"/>
      <c r="H3" s="153"/>
      <c r="I3" s="153"/>
      <c r="J3" s="153"/>
      <c r="K3" s="153"/>
      <c r="L3" s="153"/>
      <c r="M3" s="153"/>
      <c r="N3" s="153"/>
      <c r="O3" s="153"/>
      <c r="P3" s="153"/>
      <c r="Q3" s="153"/>
      <c r="R3" s="153"/>
      <c r="S3" s="64"/>
      <c r="T3" s="83"/>
    </row>
    <row r="4" spans="1:21" s="6" customFormat="1" ht="21" x14ac:dyDescent="0.25">
      <c r="A4" s="79"/>
      <c r="B4" s="40" t="s">
        <v>176</v>
      </c>
      <c r="C4" s="249"/>
      <c r="D4" s="42"/>
      <c r="E4" s="39"/>
      <c r="F4" s="88">
        <v>2</v>
      </c>
      <c r="G4" s="88"/>
      <c r="H4" s="153"/>
      <c r="I4" s="153"/>
      <c r="J4" s="153"/>
      <c r="K4" s="153"/>
      <c r="L4" s="153"/>
      <c r="M4" s="153"/>
      <c r="N4" s="153"/>
      <c r="O4" s="153"/>
      <c r="P4" s="153"/>
      <c r="Q4" s="153"/>
      <c r="R4" s="153"/>
      <c r="S4" s="64"/>
      <c r="T4" s="83"/>
      <c r="U4" s="6" t="s">
        <v>1</v>
      </c>
    </row>
    <row r="5" spans="1:21" s="6" customFormat="1" ht="15" customHeight="1" x14ac:dyDescent="0.25">
      <c r="A5" s="79"/>
      <c r="B5" s="64"/>
      <c r="C5" s="64"/>
      <c r="D5" s="64"/>
      <c r="E5" s="64"/>
      <c r="F5" s="64"/>
      <c r="G5" s="64"/>
      <c r="H5" s="153"/>
      <c r="I5" s="153"/>
      <c r="J5" s="153"/>
      <c r="K5" s="153"/>
      <c r="L5" s="153"/>
      <c r="M5" s="153"/>
      <c r="N5" s="153"/>
      <c r="O5" s="153"/>
      <c r="P5" s="153"/>
      <c r="Q5" s="153"/>
      <c r="R5" s="153"/>
      <c r="S5" s="64"/>
      <c r="T5" s="83"/>
      <c r="U5" s="6" t="s">
        <v>2</v>
      </c>
    </row>
    <row r="6" spans="1:21" s="248" customFormat="1" ht="15" customHeight="1" x14ac:dyDescent="0.25">
      <c r="A6" s="232"/>
      <c r="B6" s="65"/>
      <c r="C6" s="65"/>
      <c r="D6" s="65"/>
      <c r="E6" s="65"/>
      <c r="F6" s="65"/>
      <c r="G6" s="65"/>
      <c r="H6" s="153"/>
      <c r="I6" s="153"/>
      <c r="J6" s="153"/>
      <c r="K6" s="153"/>
      <c r="L6" s="153"/>
      <c r="M6" s="153"/>
      <c r="N6" s="153"/>
      <c r="O6" s="153"/>
      <c r="P6" s="153"/>
      <c r="Q6" s="153"/>
      <c r="R6" s="153"/>
      <c r="S6" s="65"/>
      <c r="T6" s="247"/>
    </row>
    <row r="7" spans="1:21" ht="15" customHeight="1" x14ac:dyDescent="0.25">
      <c r="A7" s="79"/>
      <c r="B7" s="525" t="s">
        <v>39</v>
      </c>
      <c r="C7" s="526"/>
      <c r="D7" s="526"/>
      <c r="E7" s="526"/>
      <c r="F7" s="526"/>
      <c r="G7" s="526"/>
      <c r="H7" s="526"/>
      <c r="I7" s="527"/>
      <c r="J7" s="64"/>
      <c r="K7" s="64"/>
      <c r="L7" s="64"/>
      <c r="M7" s="64"/>
      <c r="N7" s="64"/>
      <c r="O7" s="64"/>
      <c r="P7" s="64"/>
      <c r="Q7" s="64"/>
      <c r="R7" s="64"/>
      <c r="S7" s="64"/>
      <c r="T7" s="83"/>
    </row>
    <row r="8" spans="1:21" x14ac:dyDescent="0.25">
      <c r="A8" s="79"/>
      <c r="B8" s="528" t="s">
        <v>206</v>
      </c>
      <c r="C8" s="529"/>
      <c r="D8" s="529"/>
      <c r="E8" s="529"/>
      <c r="F8" s="529"/>
      <c r="G8" s="529"/>
      <c r="H8" s="529"/>
      <c r="I8" s="530"/>
      <c r="J8" s="64"/>
      <c r="K8" s="64"/>
      <c r="L8" s="64"/>
      <c r="M8" s="64"/>
      <c r="N8" s="64"/>
      <c r="O8" s="64"/>
      <c r="P8" s="64"/>
      <c r="Q8" s="64"/>
      <c r="R8" s="64"/>
      <c r="S8" s="64"/>
      <c r="T8" s="83"/>
    </row>
    <row r="9" spans="1:21" x14ac:dyDescent="0.25">
      <c r="A9" s="79"/>
      <c r="B9" s="528" t="s">
        <v>207</v>
      </c>
      <c r="C9" s="529"/>
      <c r="D9" s="529"/>
      <c r="E9" s="529"/>
      <c r="F9" s="529"/>
      <c r="G9" s="529"/>
      <c r="H9" s="529"/>
      <c r="I9" s="530"/>
      <c r="J9" s="64"/>
      <c r="K9" s="64"/>
      <c r="L9" s="64"/>
      <c r="M9" s="64"/>
      <c r="N9" s="64"/>
      <c r="O9" s="64"/>
      <c r="P9" s="64"/>
      <c r="Q9" s="64"/>
      <c r="R9" s="64"/>
      <c r="S9" s="64"/>
      <c r="T9" s="83"/>
    </row>
    <row r="10" spans="1:21" x14ac:dyDescent="0.25">
      <c r="A10" s="79"/>
      <c r="B10" s="528" t="s">
        <v>208</v>
      </c>
      <c r="C10" s="529"/>
      <c r="D10" s="529"/>
      <c r="E10" s="529"/>
      <c r="F10" s="529"/>
      <c r="G10" s="529"/>
      <c r="H10" s="529"/>
      <c r="I10" s="530"/>
      <c r="J10" s="64"/>
      <c r="K10" s="64"/>
      <c r="L10" s="64"/>
      <c r="M10" s="64"/>
      <c r="N10" s="64"/>
      <c r="O10" s="64"/>
      <c r="P10" s="64"/>
      <c r="Q10" s="64"/>
      <c r="R10" s="64"/>
      <c r="S10" s="64"/>
      <c r="T10" s="83"/>
    </row>
    <row r="11" spans="1:21" x14ac:dyDescent="0.25">
      <c r="A11" s="79"/>
      <c r="B11" s="528" t="s">
        <v>209</v>
      </c>
      <c r="C11" s="529"/>
      <c r="D11" s="529"/>
      <c r="E11" s="529"/>
      <c r="F11" s="529"/>
      <c r="G11" s="529"/>
      <c r="H11" s="529"/>
      <c r="I11" s="530"/>
      <c r="J11" s="64"/>
      <c r="K11" s="64"/>
      <c r="L11" s="64"/>
      <c r="M11" s="64"/>
      <c r="N11" s="64"/>
      <c r="O11" s="64"/>
      <c r="P11" s="64"/>
      <c r="Q11" s="64"/>
      <c r="R11" s="64"/>
      <c r="S11" s="64"/>
      <c r="T11" s="83"/>
    </row>
    <row r="12" spans="1:21" x14ac:dyDescent="0.25">
      <c r="A12" s="79"/>
      <c r="B12" s="531" t="s">
        <v>210</v>
      </c>
      <c r="C12" s="532"/>
      <c r="D12" s="532"/>
      <c r="E12" s="532"/>
      <c r="F12" s="532"/>
      <c r="G12" s="532"/>
      <c r="H12" s="532"/>
      <c r="I12" s="533"/>
      <c r="J12" s="64"/>
      <c r="K12" s="64"/>
      <c r="L12" s="64"/>
      <c r="M12" s="64"/>
      <c r="N12" s="64"/>
      <c r="O12" s="64"/>
      <c r="P12" s="64"/>
      <c r="Q12" s="64"/>
      <c r="R12" s="64"/>
      <c r="S12" s="64"/>
      <c r="T12" s="83"/>
    </row>
    <row r="13" spans="1:21" x14ac:dyDescent="0.25">
      <c r="A13" s="79"/>
      <c r="B13" s="64"/>
      <c r="C13" s="64"/>
      <c r="D13" s="64"/>
      <c r="E13" s="64"/>
      <c r="F13" s="64"/>
      <c r="G13" s="64"/>
      <c r="H13" s="64"/>
      <c r="I13" s="64"/>
      <c r="J13" s="64"/>
      <c r="K13" s="64"/>
      <c r="L13" s="64"/>
      <c r="M13" s="64"/>
      <c r="N13" s="64"/>
      <c r="O13" s="64"/>
      <c r="P13" s="64"/>
      <c r="Q13" s="64"/>
      <c r="R13" s="64"/>
      <c r="S13" s="64"/>
      <c r="T13" s="83"/>
    </row>
    <row r="14" spans="1:21" x14ac:dyDescent="0.25">
      <c r="A14" s="79"/>
      <c r="B14" s="516"/>
      <c r="C14" s="517"/>
      <c r="D14" s="517"/>
      <c r="E14" s="517"/>
      <c r="F14" s="517"/>
      <c r="G14" s="517"/>
      <c r="H14" s="517"/>
      <c r="I14" s="517"/>
      <c r="J14" s="517"/>
      <c r="K14" s="517"/>
      <c r="L14" s="517"/>
      <c r="M14" s="517"/>
      <c r="N14" s="517"/>
      <c r="O14" s="517"/>
      <c r="P14" s="517"/>
      <c r="Q14" s="517"/>
      <c r="R14" s="517"/>
      <c r="S14" s="518"/>
      <c r="T14" s="83"/>
    </row>
    <row r="15" spans="1:21" x14ac:dyDescent="0.25">
      <c r="A15" s="79"/>
      <c r="B15" s="519"/>
      <c r="C15" s="520"/>
      <c r="D15" s="520"/>
      <c r="E15" s="520"/>
      <c r="F15" s="520"/>
      <c r="G15" s="520"/>
      <c r="H15" s="520"/>
      <c r="I15" s="520"/>
      <c r="J15" s="520"/>
      <c r="K15" s="520"/>
      <c r="L15" s="520"/>
      <c r="M15" s="520"/>
      <c r="N15" s="520"/>
      <c r="O15" s="520"/>
      <c r="P15" s="520"/>
      <c r="Q15" s="520"/>
      <c r="R15" s="520"/>
      <c r="S15" s="521"/>
      <c r="T15" s="83"/>
    </row>
    <row r="16" spans="1:21" x14ac:dyDescent="0.25">
      <c r="A16" s="79"/>
      <c r="B16" s="519"/>
      <c r="C16" s="520"/>
      <c r="D16" s="520"/>
      <c r="E16" s="520"/>
      <c r="F16" s="520"/>
      <c r="G16" s="520"/>
      <c r="H16" s="520"/>
      <c r="I16" s="520"/>
      <c r="J16" s="520"/>
      <c r="K16" s="520"/>
      <c r="L16" s="520"/>
      <c r="M16" s="520"/>
      <c r="N16" s="520"/>
      <c r="O16" s="520"/>
      <c r="P16" s="520"/>
      <c r="Q16" s="520"/>
      <c r="R16" s="520"/>
      <c r="S16" s="521"/>
      <c r="T16" s="83"/>
    </row>
    <row r="17" spans="1:20" x14ac:dyDescent="0.25">
      <c r="A17" s="79"/>
      <c r="B17" s="519"/>
      <c r="C17" s="520"/>
      <c r="D17" s="520"/>
      <c r="E17" s="520"/>
      <c r="F17" s="520"/>
      <c r="G17" s="520"/>
      <c r="H17" s="520"/>
      <c r="I17" s="520"/>
      <c r="J17" s="520"/>
      <c r="K17" s="520"/>
      <c r="L17" s="520"/>
      <c r="M17" s="520"/>
      <c r="N17" s="520"/>
      <c r="O17" s="520"/>
      <c r="P17" s="520"/>
      <c r="Q17" s="520"/>
      <c r="R17" s="520"/>
      <c r="S17" s="521"/>
      <c r="T17" s="83"/>
    </row>
    <row r="18" spans="1:20" x14ac:dyDescent="0.25">
      <c r="A18" s="79"/>
      <c r="B18" s="519"/>
      <c r="C18" s="520"/>
      <c r="D18" s="520"/>
      <c r="E18" s="520"/>
      <c r="F18" s="520"/>
      <c r="G18" s="520"/>
      <c r="H18" s="520"/>
      <c r="I18" s="520"/>
      <c r="J18" s="520"/>
      <c r="K18" s="520"/>
      <c r="L18" s="520"/>
      <c r="M18" s="520"/>
      <c r="N18" s="520"/>
      <c r="O18" s="520"/>
      <c r="P18" s="520"/>
      <c r="Q18" s="520"/>
      <c r="R18" s="520"/>
      <c r="S18" s="521"/>
      <c r="T18" s="83"/>
    </row>
    <row r="19" spans="1:20" x14ac:dyDescent="0.25">
      <c r="A19" s="79"/>
      <c r="B19" s="519"/>
      <c r="C19" s="520"/>
      <c r="D19" s="520"/>
      <c r="E19" s="520"/>
      <c r="F19" s="520"/>
      <c r="G19" s="520"/>
      <c r="H19" s="520"/>
      <c r="I19" s="520"/>
      <c r="J19" s="520"/>
      <c r="K19" s="520"/>
      <c r="L19" s="520"/>
      <c r="M19" s="520"/>
      <c r="N19" s="520"/>
      <c r="O19" s="520"/>
      <c r="P19" s="520"/>
      <c r="Q19" s="520"/>
      <c r="R19" s="520"/>
      <c r="S19" s="521"/>
      <c r="T19" s="83"/>
    </row>
    <row r="20" spans="1:20" x14ac:dyDescent="0.25">
      <c r="A20" s="79"/>
      <c r="B20" s="519"/>
      <c r="C20" s="520"/>
      <c r="D20" s="520"/>
      <c r="E20" s="520"/>
      <c r="F20" s="520"/>
      <c r="G20" s="520"/>
      <c r="H20" s="520"/>
      <c r="I20" s="520"/>
      <c r="J20" s="520"/>
      <c r="K20" s="520"/>
      <c r="L20" s="520"/>
      <c r="M20" s="520"/>
      <c r="N20" s="520"/>
      <c r="O20" s="520"/>
      <c r="P20" s="520"/>
      <c r="Q20" s="520"/>
      <c r="R20" s="520"/>
      <c r="S20" s="521"/>
      <c r="T20" s="83"/>
    </row>
    <row r="21" spans="1:20" x14ac:dyDescent="0.25">
      <c r="A21" s="79"/>
      <c r="B21" s="519"/>
      <c r="C21" s="520"/>
      <c r="D21" s="520"/>
      <c r="E21" s="520"/>
      <c r="F21" s="520"/>
      <c r="G21" s="520"/>
      <c r="H21" s="520"/>
      <c r="I21" s="520"/>
      <c r="J21" s="520"/>
      <c r="K21" s="520"/>
      <c r="L21" s="520"/>
      <c r="M21" s="520"/>
      <c r="N21" s="520"/>
      <c r="O21" s="520"/>
      <c r="P21" s="520"/>
      <c r="Q21" s="520"/>
      <c r="R21" s="520"/>
      <c r="S21" s="521"/>
      <c r="T21" s="83"/>
    </row>
    <row r="22" spans="1:20" x14ac:dyDescent="0.25">
      <c r="A22" s="79"/>
      <c r="B22" s="519"/>
      <c r="C22" s="520"/>
      <c r="D22" s="520"/>
      <c r="E22" s="520"/>
      <c r="F22" s="520"/>
      <c r="G22" s="520"/>
      <c r="H22" s="520"/>
      <c r="I22" s="520"/>
      <c r="J22" s="520"/>
      <c r="K22" s="520"/>
      <c r="L22" s="520"/>
      <c r="M22" s="520"/>
      <c r="N22" s="520"/>
      <c r="O22" s="520"/>
      <c r="P22" s="520"/>
      <c r="Q22" s="520"/>
      <c r="R22" s="520"/>
      <c r="S22" s="521"/>
      <c r="T22" s="83"/>
    </row>
    <row r="23" spans="1:20" x14ac:dyDescent="0.25">
      <c r="A23" s="79"/>
      <c r="B23" s="519"/>
      <c r="C23" s="520"/>
      <c r="D23" s="520"/>
      <c r="E23" s="520"/>
      <c r="F23" s="520"/>
      <c r="G23" s="520"/>
      <c r="H23" s="520"/>
      <c r="I23" s="520"/>
      <c r="J23" s="520"/>
      <c r="K23" s="520"/>
      <c r="L23" s="520"/>
      <c r="M23" s="520"/>
      <c r="N23" s="520"/>
      <c r="O23" s="520"/>
      <c r="P23" s="520"/>
      <c r="Q23" s="520"/>
      <c r="R23" s="520"/>
      <c r="S23" s="521"/>
      <c r="T23" s="83"/>
    </row>
    <row r="24" spans="1:20" x14ac:dyDescent="0.25">
      <c r="A24" s="79"/>
      <c r="B24" s="519"/>
      <c r="C24" s="520"/>
      <c r="D24" s="520"/>
      <c r="E24" s="520"/>
      <c r="F24" s="520"/>
      <c r="G24" s="520"/>
      <c r="H24" s="520"/>
      <c r="I24" s="520"/>
      <c r="J24" s="520"/>
      <c r="K24" s="520"/>
      <c r="L24" s="520"/>
      <c r="M24" s="520"/>
      <c r="N24" s="520"/>
      <c r="O24" s="520"/>
      <c r="P24" s="520"/>
      <c r="Q24" s="520"/>
      <c r="R24" s="520"/>
      <c r="S24" s="521"/>
      <c r="T24" s="83"/>
    </row>
    <row r="25" spans="1:20" x14ac:dyDescent="0.25">
      <c r="A25" s="79"/>
      <c r="B25" s="519"/>
      <c r="C25" s="520"/>
      <c r="D25" s="520"/>
      <c r="E25" s="520"/>
      <c r="F25" s="520"/>
      <c r="G25" s="520"/>
      <c r="H25" s="520"/>
      <c r="I25" s="520"/>
      <c r="J25" s="520"/>
      <c r="K25" s="520"/>
      <c r="L25" s="520"/>
      <c r="M25" s="520"/>
      <c r="N25" s="520"/>
      <c r="O25" s="520"/>
      <c r="P25" s="520"/>
      <c r="Q25" s="520"/>
      <c r="R25" s="520"/>
      <c r="S25" s="521"/>
      <c r="T25" s="83"/>
    </row>
    <row r="26" spans="1:20" x14ac:dyDescent="0.25">
      <c r="A26" s="79"/>
      <c r="B26" s="519"/>
      <c r="C26" s="520"/>
      <c r="D26" s="520"/>
      <c r="E26" s="520"/>
      <c r="F26" s="520"/>
      <c r="G26" s="520"/>
      <c r="H26" s="520"/>
      <c r="I26" s="520"/>
      <c r="J26" s="520"/>
      <c r="K26" s="520"/>
      <c r="L26" s="520"/>
      <c r="M26" s="520"/>
      <c r="N26" s="520"/>
      <c r="O26" s="520"/>
      <c r="P26" s="520"/>
      <c r="Q26" s="520"/>
      <c r="R26" s="520"/>
      <c r="S26" s="521"/>
      <c r="T26" s="83"/>
    </row>
    <row r="27" spans="1:20" x14ac:dyDescent="0.25">
      <c r="A27" s="79"/>
      <c r="B27" s="522"/>
      <c r="C27" s="523"/>
      <c r="D27" s="523"/>
      <c r="E27" s="523"/>
      <c r="F27" s="523"/>
      <c r="G27" s="523"/>
      <c r="H27" s="523"/>
      <c r="I27" s="523"/>
      <c r="J27" s="523"/>
      <c r="K27" s="523"/>
      <c r="L27" s="523"/>
      <c r="M27" s="523"/>
      <c r="N27" s="523"/>
      <c r="O27" s="523"/>
      <c r="P27" s="523"/>
      <c r="Q27" s="523"/>
      <c r="R27" s="523"/>
      <c r="S27" s="524"/>
      <c r="T27" s="83"/>
    </row>
    <row r="28" spans="1:20" ht="90" customHeight="1" x14ac:dyDescent="0.25">
      <c r="A28" s="82"/>
      <c r="B28" s="107"/>
      <c r="C28" s="107"/>
      <c r="D28" s="107"/>
      <c r="E28" s="107"/>
      <c r="F28" s="107"/>
      <c r="G28" s="107"/>
      <c r="H28" s="107"/>
      <c r="I28" s="107"/>
      <c r="J28" s="107"/>
      <c r="K28" s="107"/>
      <c r="L28" s="107"/>
      <c r="M28" s="107"/>
      <c r="N28" s="107"/>
      <c r="O28" s="107"/>
      <c r="P28" s="107"/>
      <c r="Q28" s="107"/>
      <c r="R28" s="107"/>
      <c r="S28" s="107"/>
      <c r="T28" s="112"/>
    </row>
  </sheetData>
  <mergeCells count="7">
    <mergeCell ref="B14:S27"/>
    <mergeCell ref="B7:I7"/>
    <mergeCell ref="B8:I8"/>
    <mergeCell ref="B9:I9"/>
    <mergeCell ref="B10:I10"/>
    <mergeCell ref="B11:I11"/>
    <mergeCell ref="B12:I12"/>
  </mergeCells>
  <conditionalFormatting sqref="B21:S27">
    <cfRule type="expression" dxfId="88" priority="1">
      <formula>F10=2</formula>
    </cfRule>
  </conditionalFormatting>
  <conditionalFormatting sqref="B14:S19">
    <cfRule type="expression" dxfId="87" priority="85">
      <formula>F4=2</formula>
    </cfRule>
  </conditionalFormatting>
  <conditionalFormatting sqref="B20:S20">
    <cfRule type="expression" dxfId="86" priority="87">
      <formula>#REF!=2</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5</xdr:col>
                    <xdr:colOff>9525</xdr:colOff>
                    <xdr:row>3</xdr:row>
                    <xdr:rowOff>0</xdr:rowOff>
                  </from>
                  <to>
                    <xdr:col>6</xdr:col>
                    <xdr:colOff>600075</xdr:colOff>
                    <xdr:row>3</xdr:row>
                    <xdr:rowOff>257175</xdr:rowOff>
                  </to>
                </anchor>
              </controlPr>
            </control>
          </mc:Choice>
        </mc:AlternateContent>
        <mc:AlternateContent xmlns:mc="http://schemas.openxmlformats.org/markup-compatibility/2006">
          <mc:Choice Requires="x14">
            <control shapeId="9221" r:id="rId5" name="Button 5">
              <controlPr defaultSize="0" print="0" autoFill="0" autoPict="0" macro="[0]!GoToTabVI">
                <anchor moveWithCells="1" sizeWithCells="1">
                  <from>
                    <xdr:col>1</xdr:col>
                    <xdr:colOff>9525</xdr:colOff>
                    <xdr:row>27</xdr:row>
                    <xdr:rowOff>209550</xdr:rowOff>
                  </from>
                  <to>
                    <xdr:col>5</xdr:col>
                    <xdr:colOff>133350</xdr:colOff>
                    <xdr:row>27</xdr:row>
                    <xdr:rowOff>942975</xdr:rowOff>
                  </to>
                </anchor>
              </controlPr>
            </control>
          </mc:Choice>
        </mc:AlternateContent>
        <mc:AlternateContent xmlns:mc="http://schemas.openxmlformats.org/markup-compatibility/2006">
          <mc:Choice Requires="x14">
            <control shapeId="9222" r:id="rId6" name="Button 6">
              <controlPr defaultSize="0" print="0" autoFill="0" autoPict="0" macro="[0]!GoToSummary">
                <anchor moveWithCells="1" sizeWithCells="1">
                  <from>
                    <xdr:col>5</xdr:col>
                    <xdr:colOff>352425</xdr:colOff>
                    <xdr:row>27</xdr:row>
                    <xdr:rowOff>209550</xdr:rowOff>
                  </from>
                  <to>
                    <xdr:col>9</xdr:col>
                    <xdr:colOff>476250</xdr:colOff>
                    <xdr:row>27</xdr:row>
                    <xdr:rowOff>942975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25"/>
  <sheetViews>
    <sheetView workbookViewId="0"/>
  </sheetViews>
  <sheetFormatPr defaultRowHeight="15" x14ac:dyDescent="0.25"/>
  <cols>
    <col min="1" max="1" width="3.7109375" style="6" customWidth="1"/>
    <col min="2" max="2" width="40.7109375" customWidth="1"/>
    <col min="3" max="3" width="18" customWidth="1"/>
    <col min="11" max="11" width="3.7109375" customWidth="1"/>
    <col min="12" max="12" width="9.140625" hidden="1" customWidth="1"/>
  </cols>
  <sheetData>
    <row r="1" spans="1:16" s="6" customFormat="1" x14ac:dyDescent="0.25">
      <c r="A1" s="76"/>
      <c r="B1" s="77"/>
      <c r="C1" s="77"/>
      <c r="D1" s="77"/>
      <c r="E1" s="77"/>
      <c r="F1" s="77"/>
      <c r="G1" s="77"/>
      <c r="H1" s="77"/>
      <c r="I1" s="77"/>
      <c r="J1" s="77"/>
      <c r="K1" s="78"/>
    </row>
    <row r="2" spans="1:16" ht="23.25" x14ac:dyDescent="0.35">
      <c r="A2" s="79"/>
      <c r="B2" s="41" t="s">
        <v>128</v>
      </c>
      <c r="C2" s="43"/>
      <c r="D2" s="43"/>
      <c r="E2" s="43"/>
      <c r="F2" s="43"/>
      <c r="G2" s="42"/>
      <c r="H2" s="39"/>
      <c r="I2" s="64"/>
      <c r="J2" s="64"/>
      <c r="K2" s="83"/>
    </row>
    <row r="3" spans="1:16" x14ac:dyDescent="0.25">
      <c r="A3" s="79"/>
      <c r="B3" s="63"/>
      <c r="C3" s="64"/>
      <c r="D3" s="64"/>
      <c r="E3" s="64"/>
      <c r="F3" s="64"/>
      <c r="G3" s="68"/>
      <c r="H3" s="68"/>
      <c r="I3" s="68"/>
      <c r="J3" s="68"/>
      <c r="K3" s="83"/>
      <c r="L3" s="2"/>
      <c r="M3" s="2"/>
      <c r="N3" s="2"/>
      <c r="O3" s="2"/>
      <c r="P3" s="2"/>
    </row>
    <row r="4" spans="1:16" s="6" customFormat="1" ht="63" x14ac:dyDescent="0.25">
      <c r="A4" s="79"/>
      <c r="B4" s="148" t="s">
        <v>177</v>
      </c>
      <c r="C4" s="64">
        <v>2</v>
      </c>
      <c r="D4" s="64"/>
      <c r="E4" s="64"/>
      <c r="F4" s="64"/>
      <c r="G4" s="68"/>
      <c r="H4" s="68"/>
      <c r="I4" s="68"/>
      <c r="J4" s="68"/>
      <c r="K4" s="83"/>
      <c r="L4" s="2"/>
      <c r="M4" s="2"/>
      <c r="N4"/>
      <c r="O4" s="2"/>
      <c r="P4" s="2"/>
    </row>
    <row r="5" spans="1:16" x14ac:dyDescent="0.25">
      <c r="A5" s="79"/>
      <c r="B5" s="63"/>
      <c r="C5" s="64"/>
      <c r="D5" s="64"/>
      <c r="E5" s="64"/>
      <c r="F5" s="64"/>
      <c r="G5" s="68"/>
      <c r="H5" s="68"/>
      <c r="I5" s="68"/>
      <c r="J5" s="68"/>
      <c r="K5" s="83"/>
      <c r="L5" s="2"/>
    </row>
    <row r="6" spans="1:16" x14ac:dyDescent="0.25">
      <c r="A6" s="79"/>
      <c r="B6" s="44" t="s">
        <v>40</v>
      </c>
      <c r="C6" s="15"/>
      <c r="D6" s="64"/>
      <c r="E6" s="64"/>
      <c r="F6" s="64"/>
      <c r="G6" s="68"/>
      <c r="H6" s="68"/>
      <c r="I6" s="68"/>
      <c r="J6" s="68"/>
      <c r="K6" s="83"/>
    </row>
    <row r="7" spans="1:16" s="6" customFormat="1" x14ac:dyDescent="0.25">
      <c r="A7" s="79"/>
      <c r="B7" s="157"/>
      <c r="C7" s="64"/>
      <c r="D7" s="64"/>
      <c r="E7" s="64"/>
      <c r="F7" s="64"/>
      <c r="G7" s="64"/>
      <c r="H7" s="64"/>
      <c r="I7" s="64"/>
      <c r="J7" s="64"/>
      <c r="K7" s="83"/>
    </row>
    <row r="8" spans="1:16" s="6" customFormat="1" x14ac:dyDescent="0.25">
      <c r="A8" s="79"/>
      <c r="B8" s="44" t="s">
        <v>248</v>
      </c>
      <c r="C8" s="64">
        <v>2</v>
      </c>
      <c r="D8" s="64"/>
      <c r="E8" s="64"/>
      <c r="F8" s="64"/>
      <c r="G8" s="64"/>
      <c r="H8" s="64"/>
      <c r="I8" s="64"/>
      <c r="J8" s="64"/>
      <c r="K8" s="83"/>
    </row>
    <row r="9" spans="1:16" ht="30" customHeight="1" x14ac:dyDescent="0.25">
      <c r="A9" s="79"/>
      <c r="B9" s="136" t="s">
        <v>249</v>
      </c>
      <c r="C9" s="534"/>
      <c r="D9" s="535"/>
      <c r="E9" s="535"/>
      <c r="F9" s="535"/>
      <c r="G9" s="535"/>
      <c r="H9" s="535"/>
      <c r="I9" s="535"/>
      <c r="J9" s="536"/>
      <c r="K9" s="83"/>
    </row>
    <row r="10" spans="1:16" x14ac:dyDescent="0.25">
      <c r="A10" s="79"/>
      <c r="B10" s="157"/>
      <c r="C10" s="64"/>
      <c r="D10" s="64"/>
      <c r="E10" s="64"/>
      <c r="F10" s="64"/>
      <c r="G10" s="64"/>
      <c r="H10" s="64"/>
      <c r="I10" s="64"/>
      <c r="J10" s="64"/>
      <c r="K10" s="83"/>
      <c r="L10" t="s">
        <v>43</v>
      </c>
    </row>
    <row r="11" spans="1:16" s="6" customFormat="1" ht="30" x14ac:dyDescent="0.25">
      <c r="A11" s="79"/>
      <c r="B11" s="44" t="s">
        <v>41</v>
      </c>
      <c r="C11" s="124">
        <v>2</v>
      </c>
      <c r="D11" s="64"/>
      <c r="E11" s="64"/>
      <c r="F11" s="64"/>
      <c r="G11" s="64"/>
      <c r="H11" s="64"/>
      <c r="I11" s="64"/>
      <c r="J11" s="64"/>
      <c r="K11" s="83"/>
      <c r="L11" s="6" t="s">
        <v>72</v>
      </c>
    </row>
    <row r="12" spans="1:16" s="6" customFormat="1" ht="30" x14ac:dyDescent="0.25">
      <c r="A12" s="79"/>
      <c r="B12" s="44" t="s">
        <v>42</v>
      </c>
      <c r="C12" s="537"/>
      <c r="D12" s="538"/>
      <c r="E12" s="538"/>
      <c r="F12" s="538"/>
      <c r="G12" s="538"/>
      <c r="H12" s="538"/>
      <c r="I12" s="538"/>
      <c r="J12" s="539"/>
      <c r="K12" s="83"/>
    </row>
    <row r="13" spans="1:16" s="6" customFormat="1" x14ac:dyDescent="0.25">
      <c r="A13" s="79"/>
      <c r="B13" s="157"/>
      <c r="C13" s="64"/>
      <c r="D13" s="64"/>
      <c r="E13" s="64"/>
      <c r="F13" s="64"/>
      <c r="G13" s="64"/>
      <c r="H13" s="64"/>
      <c r="I13" s="64"/>
      <c r="J13" s="64"/>
      <c r="K13" s="83"/>
      <c r="L13" s="6" t="s">
        <v>1</v>
      </c>
    </row>
    <row r="14" spans="1:16" s="6" customFormat="1" ht="45" x14ac:dyDescent="0.25">
      <c r="A14" s="79"/>
      <c r="B14" s="136" t="s">
        <v>211</v>
      </c>
      <c r="C14" s="124">
        <v>2</v>
      </c>
      <c r="D14" s="64"/>
      <c r="E14" s="64"/>
      <c r="F14" s="64"/>
      <c r="G14" s="64"/>
      <c r="H14" s="64"/>
      <c r="I14" s="64"/>
      <c r="J14" s="64"/>
      <c r="K14" s="83"/>
      <c r="L14" s="6" t="s">
        <v>2</v>
      </c>
    </row>
    <row r="15" spans="1:16" ht="60" customHeight="1" x14ac:dyDescent="0.25">
      <c r="A15" s="79"/>
      <c r="B15" s="136" t="s">
        <v>175</v>
      </c>
      <c r="C15" s="540"/>
      <c r="D15" s="541"/>
      <c r="E15" s="541"/>
      <c r="F15" s="541"/>
      <c r="G15" s="541"/>
      <c r="H15" s="541"/>
      <c r="I15" s="541"/>
      <c r="J15" s="542"/>
      <c r="K15" s="83"/>
    </row>
    <row r="16" spans="1:16" s="6" customFormat="1" ht="15" customHeight="1" x14ac:dyDescent="0.25">
      <c r="A16" s="79"/>
      <c r="B16" s="543"/>
      <c r="C16" s="543"/>
      <c r="D16" s="543"/>
      <c r="E16" s="543"/>
      <c r="F16" s="543"/>
      <c r="G16" s="543"/>
      <c r="H16" s="543"/>
      <c r="I16" s="543"/>
      <c r="J16" s="543"/>
      <c r="K16" s="83"/>
    </row>
    <row r="17" spans="1:15" s="6" customFormat="1" ht="15" customHeight="1" x14ac:dyDescent="0.25">
      <c r="A17" s="79"/>
      <c r="B17" s="390" t="s">
        <v>250</v>
      </c>
      <c r="C17" s="544"/>
      <c r="D17" s="544"/>
      <c r="E17" s="544"/>
      <c r="F17" s="544"/>
      <c r="G17" s="544"/>
      <c r="H17" s="544"/>
      <c r="I17" s="544"/>
      <c r="J17" s="544"/>
      <c r="K17" s="83"/>
    </row>
    <row r="18" spans="1:15" s="6" customFormat="1" ht="30" x14ac:dyDescent="0.25">
      <c r="A18" s="79"/>
      <c r="B18" s="391" t="s">
        <v>251</v>
      </c>
      <c r="C18" s="545"/>
      <c r="D18" s="545"/>
      <c r="E18" s="545"/>
      <c r="F18" s="545"/>
      <c r="G18" s="545"/>
      <c r="H18" s="545"/>
      <c r="I18" s="545"/>
      <c r="J18" s="545"/>
      <c r="K18" s="83"/>
    </row>
    <row r="19" spans="1:15" s="6" customFormat="1" ht="30" x14ac:dyDescent="0.25">
      <c r="A19" s="79"/>
      <c r="B19" s="391" t="s">
        <v>252</v>
      </c>
      <c r="C19" s="545"/>
      <c r="D19" s="545"/>
      <c r="E19" s="545"/>
      <c r="F19" s="545"/>
      <c r="G19" s="545"/>
      <c r="H19" s="545"/>
      <c r="I19" s="545"/>
      <c r="J19" s="545"/>
      <c r="K19" s="83"/>
    </row>
    <row r="20" spans="1:15" s="6" customFormat="1" ht="45" x14ac:dyDescent="0.25">
      <c r="A20" s="79"/>
      <c r="B20" s="391" t="s">
        <v>253</v>
      </c>
      <c r="C20" s="545"/>
      <c r="D20" s="545"/>
      <c r="E20" s="545"/>
      <c r="F20" s="545"/>
      <c r="G20" s="545"/>
      <c r="H20" s="545"/>
      <c r="I20" s="545"/>
      <c r="J20" s="545"/>
      <c r="K20" s="83"/>
    </row>
    <row r="21" spans="1:15" s="6" customFormat="1" ht="45" x14ac:dyDescent="0.25">
      <c r="A21" s="79"/>
      <c r="B21" s="391" t="s">
        <v>254</v>
      </c>
      <c r="C21" s="545"/>
      <c r="D21" s="545"/>
      <c r="E21" s="545"/>
      <c r="F21" s="545"/>
      <c r="G21" s="545"/>
      <c r="H21" s="545"/>
      <c r="I21" s="545"/>
      <c r="J21" s="545"/>
      <c r="K21" s="83"/>
    </row>
    <row r="22" spans="1:15" s="6" customFormat="1" ht="30" x14ac:dyDescent="0.25">
      <c r="A22" s="79"/>
      <c r="B22" s="391" t="s">
        <v>255</v>
      </c>
      <c r="C22" s="545"/>
      <c r="D22" s="545"/>
      <c r="E22" s="545"/>
      <c r="F22" s="545"/>
      <c r="G22" s="545"/>
      <c r="H22" s="545"/>
      <c r="I22" s="545"/>
      <c r="J22" s="545"/>
      <c r="K22" s="83"/>
    </row>
    <row r="23" spans="1:15" ht="60" customHeight="1" x14ac:dyDescent="0.25">
      <c r="A23" s="79"/>
      <c r="B23" s="392" t="s">
        <v>256</v>
      </c>
      <c r="C23" s="546"/>
      <c r="D23" s="546"/>
      <c r="E23" s="546"/>
      <c r="F23" s="546"/>
      <c r="G23" s="546"/>
      <c r="H23" s="546"/>
      <c r="I23" s="546"/>
      <c r="J23" s="546"/>
      <c r="K23" s="83"/>
    </row>
    <row r="24" spans="1:15" ht="90" customHeight="1" x14ac:dyDescent="0.25">
      <c r="A24" s="82"/>
      <c r="B24" s="159"/>
      <c r="C24" s="105"/>
      <c r="D24" s="105"/>
      <c r="E24" s="105"/>
      <c r="F24" s="105"/>
      <c r="G24" s="105"/>
      <c r="H24" s="105"/>
      <c r="I24" s="105"/>
      <c r="J24" s="105"/>
      <c r="K24" s="160"/>
      <c r="L24" s="7"/>
      <c r="M24" s="7"/>
      <c r="N24" s="7"/>
      <c r="O24" s="7"/>
    </row>
    <row r="25" spans="1:15" x14ac:dyDescent="0.25">
      <c r="B25" s="11"/>
    </row>
  </sheetData>
  <mergeCells count="5">
    <mergeCell ref="C9:J9"/>
    <mergeCell ref="C12:J12"/>
    <mergeCell ref="C15:J15"/>
    <mergeCell ref="B16:J16"/>
    <mergeCell ref="C17:J23"/>
  </mergeCells>
  <conditionalFormatting sqref="C12">
    <cfRule type="expression" dxfId="85" priority="4">
      <formula>$C$11=2</formula>
    </cfRule>
  </conditionalFormatting>
  <conditionalFormatting sqref="C6 C9 C12 C15 C17">
    <cfRule type="expression" dxfId="84" priority="3">
      <formula>$C$4=2</formula>
    </cfRule>
  </conditionalFormatting>
  <conditionalFormatting sqref="C15:J15">
    <cfRule type="expression" dxfId="83" priority="2">
      <formula>$C$14=2</formula>
    </cfRule>
  </conditionalFormatting>
  <conditionalFormatting sqref="C9">
    <cfRule type="expression" dxfId="82" priority="1">
      <formula>$C$8=2</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2</xdr:col>
                    <xdr:colOff>9525</xdr:colOff>
                    <xdr:row>10</xdr:row>
                    <xdr:rowOff>180975</xdr:rowOff>
                  </from>
                  <to>
                    <xdr:col>2</xdr:col>
                    <xdr:colOff>1190625</xdr:colOff>
                    <xdr:row>11</xdr:row>
                    <xdr:rowOff>0</xdr:rowOff>
                  </to>
                </anchor>
              </controlPr>
            </control>
          </mc:Choice>
        </mc:AlternateContent>
        <mc:AlternateContent xmlns:mc="http://schemas.openxmlformats.org/markup-compatibility/2006">
          <mc:Choice Requires="x14">
            <control shapeId="8196" r:id="rId5" name="Drop Down 4">
              <controlPr defaultSize="0" autoLine="0" autoPict="0">
                <anchor moveWithCells="1">
                  <from>
                    <xdr:col>2</xdr:col>
                    <xdr:colOff>9525</xdr:colOff>
                    <xdr:row>13</xdr:row>
                    <xdr:rowOff>371475</xdr:rowOff>
                  </from>
                  <to>
                    <xdr:col>2</xdr:col>
                    <xdr:colOff>1190625</xdr:colOff>
                    <xdr:row>14</xdr:row>
                    <xdr:rowOff>0</xdr:rowOff>
                  </to>
                </anchor>
              </controlPr>
            </control>
          </mc:Choice>
        </mc:AlternateContent>
        <mc:AlternateContent xmlns:mc="http://schemas.openxmlformats.org/markup-compatibility/2006">
          <mc:Choice Requires="x14">
            <control shapeId="8197" r:id="rId6" name="Drop Down 5">
              <controlPr defaultSize="0" autoLine="0" autoPict="0">
                <anchor moveWithCells="1">
                  <from>
                    <xdr:col>2</xdr:col>
                    <xdr:colOff>9525</xdr:colOff>
                    <xdr:row>3</xdr:row>
                    <xdr:rowOff>600075</xdr:rowOff>
                  </from>
                  <to>
                    <xdr:col>3</xdr:col>
                    <xdr:colOff>9525</xdr:colOff>
                    <xdr:row>4</xdr:row>
                    <xdr:rowOff>0</xdr:rowOff>
                  </to>
                </anchor>
              </controlPr>
            </control>
          </mc:Choice>
        </mc:AlternateContent>
        <mc:AlternateContent xmlns:mc="http://schemas.openxmlformats.org/markup-compatibility/2006">
          <mc:Choice Requires="x14">
            <control shapeId="8198" r:id="rId7" name="Button 6">
              <controlPr defaultSize="0" print="0" autoFill="0" autoPict="0" macro="[0]!GoToTabVII">
                <anchor moveWithCells="1" sizeWithCells="1">
                  <from>
                    <xdr:col>1</xdr:col>
                    <xdr:colOff>9525</xdr:colOff>
                    <xdr:row>23</xdr:row>
                    <xdr:rowOff>209550</xdr:rowOff>
                  </from>
                  <to>
                    <xdr:col>1</xdr:col>
                    <xdr:colOff>2571750</xdr:colOff>
                    <xdr:row>23</xdr:row>
                    <xdr:rowOff>942975</xdr:rowOff>
                  </to>
                </anchor>
              </controlPr>
            </control>
          </mc:Choice>
        </mc:AlternateContent>
        <mc:AlternateContent xmlns:mc="http://schemas.openxmlformats.org/markup-compatibility/2006">
          <mc:Choice Requires="x14">
            <control shapeId="8199" r:id="rId8" name="Button 7">
              <controlPr defaultSize="0" print="0" autoFill="0" autoPict="0" macro="[0]!GoToSummary">
                <anchor moveWithCells="1" sizeWithCells="1">
                  <from>
                    <xdr:col>2</xdr:col>
                    <xdr:colOff>76200</xdr:colOff>
                    <xdr:row>23</xdr:row>
                    <xdr:rowOff>209550</xdr:rowOff>
                  </from>
                  <to>
                    <xdr:col>5</xdr:col>
                    <xdr:colOff>219075</xdr:colOff>
                    <xdr:row>23</xdr:row>
                    <xdr:rowOff>942975</xdr:rowOff>
                  </to>
                </anchor>
              </controlPr>
            </control>
          </mc:Choice>
        </mc:AlternateContent>
        <mc:AlternateContent xmlns:mc="http://schemas.openxmlformats.org/markup-compatibility/2006">
          <mc:Choice Requires="x14">
            <control shapeId="8201" r:id="rId9" name="Drop Down 9">
              <controlPr defaultSize="0" autoLine="0" autoPict="0">
                <anchor moveWithCells="1">
                  <from>
                    <xdr:col>2</xdr:col>
                    <xdr:colOff>0</xdr:colOff>
                    <xdr:row>7</xdr:row>
                    <xdr:rowOff>0</xdr:rowOff>
                  </from>
                  <to>
                    <xdr:col>3</xdr:col>
                    <xdr:colOff>0</xdr:colOff>
                    <xdr:row>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H20"/>
  <sheetViews>
    <sheetView workbookViewId="0">
      <selection activeCell="B10" sqref="B10"/>
    </sheetView>
  </sheetViews>
  <sheetFormatPr defaultRowHeight="15" x14ac:dyDescent="0.25"/>
  <cols>
    <col min="1" max="1" width="3.7109375" style="6" customWidth="1"/>
    <col min="2" max="2" width="38.7109375" customWidth="1"/>
    <col min="3" max="5" width="20.7109375" customWidth="1"/>
    <col min="6" max="6" width="67.140625" customWidth="1"/>
    <col min="7" max="7" width="3.7109375" customWidth="1"/>
  </cols>
  <sheetData>
    <row r="1" spans="1:8" x14ac:dyDescent="0.25">
      <c r="A1" s="76"/>
      <c r="B1" s="77"/>
      <c r="C1" s="77"/>
      <c r="D1" s="77"/>
      <c r="E1" s="77"/>
      <c r="F1" s="77"/>
      <c r="G1" s="78"/>
    </row>
    <row r="2" spans="1:8" ht="23.25" x14ac:dyDescent="0.35">
      <c r="A2" s="79"/>
      <c r="B2" s="329" t="s">
        <v>101</v>
      </c>
      <c r="C2" s="66"/>
      <c r="D2" s="64"/>
      <c r="E2" s="64"/>
      <c r="F2" s="64"/>
      <c r="G2" s="83"/>
    </row>
    <row r="3" spans="1:8" ht="39" customHeight="1" x14ac:dyDescent="0.25">
      <c r="A3" s="79"/>
      <c r="B3" s="66"/>
      <c r="C3" s="64"/>
      <c r="D3" s="64"/>
      <c r="E3" s="64"/>
      <c r="F3" s="64"/>
      <c r="G3" s="83"/>
    </row>
    <row r="4" spans="1:8" s="6" customFormat="1" ht="18.75" x14ac:dyDescent="0.3">
      <c r="A4" s="79"/>
      <c r="B4" s="393"/>
      <c r="C4" s="394"/>
      <c r="D4" s="394"/>
      <c r="E4" s="64"/>
      <c r="F4" s="64"/>
      <c r="G4" s="83"/>
    </row>
    <row r="5" spans="1:8" s="6" customFormat="1" x14ac:dyDescent="0.25">
      <c r="A5" s="79"/>
      <c r="B5" s="64"/>
      <c r="C5" s="64"/>
      <c r="D5" s="64"/>
      <c r="E5" s="64"/>
      <c r="F5" s="64"/>
      <c r="G5" s="83"/>
    </row>
    <row r="6" spans="1:8" s="6" customFormat="1" ht="18.75" x14ac:dyDescent="0.3">
      <c r="A6" s="79"/>
      <c r="B6" s="291" t="s">
        <v>130</v>
      </c>
      <c r="C6" s="64"/>
      <c r="D6" s="64"/>
      <c r="E6" s="64"/>
      <c r="F6" s="64"/>
      <c r="G6" s="83"/>
    </row>
    <row r="7" spans="1:8" s="6" customFormat="1" x14ac:dyDescent="0.25">
      <c r="A7" s="79"/>
      <c r="B7" s="292" t="s">
        <v>131</v>
      </c>
      <c r="C7" s="293"/>
      <c r="D7" s="294"/>
      <c r="E7" s="293"/>
      <c r="F7" s="295"/>
      <c r="G7" s="83"/>
      <c r="H7" s="2"/>
    </row>
    <row r="8" spans="1:8" s="6" customFormat="1" x14ac:dyDescent="0.25">
      <c r="A8" s="79"/>
      <c r="B8" s="64"/>
      <c r="C8" s="64"/>
      <c r="D8" s="171"/>
      <c r="E8" s="64"/>
      <c r="F8" s="64"/>
      <c r="G8" s="83"/>
    </row>
    <row r="9" spans="1:8" x14ac:dyDescent="0.25">
      <c r="A9" s="79"/>
      <c r="B9" s="296" t="s">
        <v>129</v>
      </c>
      <c r="C9" s="296" t="s">
        <v>98</v>
      </c>
      <c r="D9" s="296" t="s">
        <v>99</v>
      </c>
      <c r="E9" s="296" t="s">
        <v>100</v>
      </c>
      <c r="F9" s="297" t="s">
        <v>172</v>
      </c>
      <c r="G9" s="83"/>
    </row>
    <row r="10" spans="1:8" x14ac:dyDescent="0.25">
      <c r="A10" s="79"/>
      <c r="B10" s="166"/>
      <c r="C10" s="168"/>
      <c r="D10" s="164"/>
      <c r="E10" s="164"/>
      <c r="F10" s="169"/>
      <c r="G10" s="83"/>
    </row>
    <row r="11" spans="1:8" x14ac:dyDescent="0.25">
      <c r="A11" s="79"/>
      <c r="B11" s="166"/>
      <c r="C11" s="168"/>
      <c r="D11" s="164"/>
      <c r="E11" s="164"/>
      <c r="F11" s="169"/>
      <c r="G11" s="83"/>
    </row>
    <row r="12" spans="1:8" x14ac:dyDescent="0.25">
      <c r="A12" s="79"/>
      <c r="B12" s="166"/>
      <c r="C12" s="168"/>
      <c r="D12" s="164"/>
      <c r="E12" s="164"/>
      <c r="F12" s="169"/>
      <c r="G12" s="83"/>
    </row>
    <row r="13" spans="1:8" x14ac:dyDescent="0.25">
      <c r="A13" s="79"/>
      <c r="B13" s="166"/>
      <c r="C13" s="168"/>
      <c r="D13" s="164"/>
      <c r="E13" s="164"/>
      <c r="F13" s="169"/>
      <c r="G13" s="83"/>
    </row>
    <row r="14" spans="1:8" x14ac:dyDescent="0.25">
      <c r="A14" s="79"/>
      <c r="B14" s="147"/>
      <c r="C14" s="170"/>
      <c r="D14" s="147"/>
      <c r="E14" s="147"/>
      <c r="F14" s="163"/>
      <c r="G14" s="83"/>
    </row>
    <row r="15" spans="1:8" x14ac:dyDescent="0.25">
      <c r="A15" s="79"/>
      <c r="B15" s="147"/>
      <c r="C15" s="170"/>
      <c r="D15" s="147"/>
      <c r="E15" s="147"/>
      <c r="F15" s="163"/>
      <c r="G15" s="83"/>
    </row>
    <row r="16" spans="1:8" x14ac:dyDescent="0.25">
      <c r="A16" s="79"/>
      <c r="B16" s="147"/>
      <c r="C16" s="170"/>
      <c r="D16" s="147"/>
      <c r="E16" s="147"/>
      <c r="F16" s="163"/>
      <c r="G16" s="83"/>
    </row>
    <row r="17" spans="1:7" x14ac:dyDescent="0.25">
      <c r="A17" s="79"/>
      <c r="B17" s="147"/>
      <c r="C17" s="170"/>
      <c r="D17" s="147"/>
      <c r="E17" s="147"/>
      <c r="F17" s="163"/>
      <c r="G17" s="83"/>
    </row>
    <row r="18" spans="1:7" x14ac:dyDescent="0.25">
      <c r="A18" s="79"/>
      <c r="B18" s="147"/>
      <c r="C18" s="170"/>
      <c r="D18" s="147"/>
      <c r="E18" s="147"/>
      <c r="F18" s="163"/>
      <c r="G18" s="83"/>
    </row>
    <row r="19" spans="1:7" x14ac:dyDescent="0.25">
      <c r="A19" s="79"/>
      <c r="B19" s="147"/>
      <c r="C19" s="170"/>
      <c r="D19" s="147"/>
      <c r="E19" s="147"/>
      <c r="F19" s="163"/>
      <c r="G19" s="83"/>
    </row>
    <row r="20" spans="1:7" ht="90" customHeight="1" x14ac:dyDescent="0.25">
      <c r="A20" s="82"/>
      <c r="B20" s="107"/>
      <c r="C20" s="107"/>
      <c r="D20" s="107"/>
      <c r="E20" s="107"/>
      <c r="F20" s="107"/>
      <c r="G20" s="112"/>
    </row>
  </sheetData>
  <dataValidations count="2">
    <dataValidation allowBlank="1" showErrorMessage="1" promptTitle="Note" prompt="In the U.S., a ton equals 2,000 pounds. In non-U.S. measurements, a ton equals 2,240 pounds. A tonne, also known as a metric ton, is a unit of mass equaling 1,000 kilograms." sqref="B6 B4"/>
    <dataValidation showInputMessage="1" showErrorMessage="1" sqref="C4:D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2" r:id="rId3" name="Button 4">
              <controlPr defaultSize="0" print="0" autoFill="0" autoPict="0" macro="[0]!GoToTabVIII">
                <anchor moveWithCells="1" sizeWithCells="1">
                  <from>
                    <xdr:col>1</xdr:col>
                    <xdr:colOff>9525</xdr:colOff>
                    <xdr:row>19</xdr:row>
                    <xdr:rowOff>219075</xdr:rowOff>
                  </from>
                  <to>
                    <xdr:col>1</xdr:col>
                    <xdr:colOff>2571750</xdr:colOff>
                    <xdr:row>19</xdr:row>
                    <xdr:rowOff>952500</xdr:rowOff>
                  </to>
                </anchor>
              </controlPr>
            </control>
          </mc:Choice>
        </mc:AlternateContent>
        <mc:AlternateContent xmlns:mc="http://schemas.openxmlformats.org/markup-compatibility/2006">
          <mc:Choice Requires="x14">
            <control shapeId="43013" r:id="rId4" name="Button 5">
              <controlPr defaultSize="0" print="0" autoFill="0" autoPict="0" macro="[0]!GoToSummary">
                <anchor moveWithCells="1" sizeWithCells="1">
                  <from>
                    <xdr:col>2</xdr:col>
                    <xdr:colOff>219075</xdr:colOff>
                    <xdr:row>19</xdr:row>
                    <xdr:rowOff>219075</xdr:rowOff>
                  </from>
                  <to>
                    <xdr:col>4</xdr:col>
                    <xdr:colOff>19050</xdr:colOff>
                    <xdr:row>19</xdr:row>
                    <xdr:rowOff>952500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42"/>
  <sheetViews>
    <sheetView zoomScale="90" zoomScaleNormal="90" workbookViewId="0"/>
  </sheetViews>
  <sheetFormatPr defaultRowHeight="15" x14ac:dyDescent="0.25"/>
  <cols>
    <col min="1" max="1" width="3.7109375" style="6" customWidth="1"/>
    <col min="2" max="2" width="24.85546875" customWidth="1"/>
    <col min="3" max="3" width="20.28515625" style="6" customWidth="1"/>
    <col min="4" max="15" width="10.7109375" customWidth="1"/>
    <col min="16" max="16" width="12.7109375" customWidth="1"/>
    <col min="17" max="17" width="3.7109375" customWidth="1"/>
  </cols>
  <sheetData>
    <row r="1" spans="1:17" s="6" customFormat="1" x14ac:dyDescent="0.25">
      <c r="A1" s="127"/>
      <c r="B1" s="127"/>
      <c r="C1" s="127"/>
      <c r="D1" s="127"/>
      <c r="E1" s="127"/>
      <c r="F1" s="127"/>
      <c r="G1" s="127"/>
      <c r="H1" s="127"/>
      <c r="I1" s="127"/>
      <c r="J1" s="127"/>
      <c r="K1" s="127"/>
      <c r="L1" s="127"/>
      <c r="M1" s="127"/>
      <c r="N1" s="127"/>
      <c r="O1" s="127"/>
      <c r="P1" s="127"/>
      <c r="Q1" s="127"/>
    </row>
    <row r="2" spans="1:17" ht="23.25" x14ac:dyDescent="0.35">
      <c r="A2" s="127"/>
      <c r="B2" s="330" t="s">
        <v>132</v>
      </c>
      <c r="C2" s="331"/>
      <c r="D2" s="293"/>
      <c r="E2" s="293"/>
      <c r="F2" s="293"/>
      <c r="G2" s="293"/>
      <c r="H2" s="293"/>
      <c r="I2" s="293"/>
      <c r="J2" s="295"/>
      <c r="K2" s="127"/>
      <c r="L2" s="172"/>
      <c r="M2" s="127"/>
      <c r="N2" s="127"/>
      <c r="O2" s="127"/>
      <c r="P2" s="127"/>
      <c r="Q2" s="127"/>
    </row>
    <row r="3" spans="1:17" s="6" customFormat="1" x14ac:dyDescent="0.25">
      <c r="A3" s="127"/>
      <c r="B3" s="142"/>
      <c r="C3" s="142"/>
      <c r="D3" s="65"/>
      <c r="E3" s="65"/>
      <c r="F3" s="65"/>
      <c r="G3" s="65"/>
      <c r="H3" s="65"/>
      <c r="I3" s="65"/>
      <c r="J3" s="65"/>
      <c r="K3" s="127"/>
      <c r="L3" s="172"/>
      <c r="M3" s="127"/>
      <c r="N3" s="127"/>
      <c r="O3" s="127"/>
      <c r="P3" s="127"/>
      <c r="Q3" s="127"/>
    </row>
    <row r="4" spans="1:17" s="6" customFormat="1" ht="15.75" x14ac:dyDescent="0.25">
      <c r="A4" s="127"/>
      <c r="B4" s="201" t="s">
        <v>179</v>
      </c>
      <c r="C4" s="161">
        <f>'II. Scope and results'!C5</f>
        <v>0</v>
      </c>
      <c r="D4" s="65"/>
      <c r="E4" s="65"/>
      <c r="F4" s="65"/>
      <c r="G4" s="65"/>
      <c r="H4" s="65"/>
      <c r="I4" s="65"/>
      <c r="J4" s="65"/>
      <c r="K4" s="127"/>
      <c r="L4" s="172"/>
      <c r="M4" s="127"/>
      <c r="N4" s="127"/>
      <c r="O4" s="127"/>
      <c r="P4" s="127"/>
      <c r="Q4" s="127"/>
    </row>
    <row r="5" spans="1:17" s="6" customFormat="1" x14ac:dyDescent="0.25">
      <c r="A5" s="127"/>
      <c r="B5" s="64"/>
      <c r="C5" s="162" t="str">
        <f>INDEX('II. Scope and results'!N10:N13,'II. Scope and results'!D5)</f>
        <v>lbs</v>
      </c>
      <c r="D5" s="65"/>
      <c r="E5" s="65"/>
      <c r="F5" s="65"/>
      <c r="G5" s="65"/>
      <c r="H5" s="65"/>
      <c r="I5" s="65"/>
      <c r="J5" s="65"/>
      <c r="K5" s="127"/>
      <c r="L5" s="172"/>
      <c r="M5" s="127"/>
      <c r="N5" s="127"/>
      <c r="O5" s="127"/>
      <c r="P5" s="127"/>
      <c r="Q5" s="127"/>
    </row>
    <row r="6" spans="1:17" s="6" customFormat="1" x14ac:dyDescent="0.25">
      <c r="A6" s="127"/>
      <c r="B6" s="127"/>
      <c r="C6" s="127"/>
      <c r="D6" s="65"/>
      <c r="E6" s="65"/>
      <c r="F6" s="65"/>
      <c r="G6" s="65"/>
      <c r="H6" s="65"/>
      <c r="I6" s="65"/>
      <c r="J6" s="65"/>
      <c r="K6" s="127"/>
      <c r="L6" s="172"/>
      <c r="M6" s="127"/>
      <c r="N6" s="127"/>
      <c r="O6" s="127"/>
      <c r="P6" s="127"/>
      <c r="Q6" s="127"/>
    </row>
    <row r="7" spans="1:17" s="6" customFormat="1" x14ac:dyDescent="0.25">
      <c r="A7" s="127"/>
      <c r="B7" s="127"/>
      <c r="C7" s="127"/>
      <c r="D7" s="65"/>
      <c r="E7" s="65"/>
      <c r="F7" s="65"/>
      <c r="G7" s="65"/>
      <c r="H7" s="65"/>
      <c r="I7" s="65"/>
      <c r="J7" s="65"/>
      <c r="K7" s="127"/>
      <c r="L7" s="172"/>
      <c r="M7" s="127"/>
      <c r="N7" s="127"/>
      <c r="O7" s="127"/>
      <c r="P7" s="127"/>
      <c r="Q7" s="127"/>
    </row>
    <row r="8" spans="1:17" s="6" customFormat="1" x14ac:dyDescent="0.25">
      <c r="A8" s="127"/>
      <c r="B8" s="127"/>
      <c r="C8" s="127"/>
      <c r="D8" s="65"/>
      <c r="E8" s="65"/>
      <c r="F8" s="65"/>
      <c r="G8" s="65"/>
      <c r="H8" s="65"/>
      <c r="I8" s="65"/>
      <c r="J8" s="65"/>
      <c r="K8" s="127"/>
      <c r="L8" s="172"/>
      <c r="M8" s="127"/>
      <c r="N8" s="127"/>
      <c r="O8" s="127"/>
      <c r="P8" s="127"/>
      <c r="Q8" s="127"/>
    </row>
    <row r="9" spans="1:17" ht="31.5" customHeight="1" thickBot="1" x14ac:dyDescent="0.3">
      <c r="A9" s="127"/>
      <c r="B9" s="142"/>
      <c r="C9" s="142"/>
      <c r="D9" s="127"/>
      <c r="E9" s="127"/>
      <c r="F9" s="127"/>
      <c r="G9" s="127"/>
      <c r="H9" s="127"/>
      <c r="I9" s="127"/>
      <c r="J9" s="127"/>
      <c r="K9" s="127"/>
      <c r="L9" s="127"/>
      <c r="M9" s="127"/>
      <c r="N9" s="127"/>
      <c r="O9" s="127"/>
      <c r="P9" s="127"/>
      <c r="Q9" s="127"/>
    </row>
    <row r="10" spans="1:17" ht="19.5" thickBot="1" x14ac:dyDescent="0.35">
      <c r="A10" s="127"/>
      <c r="B10" s="127"/>
      <c r="C10" s="64"/>
      <c r="D10" s="565" t="s">
        <v>64</v>
      </c>
      <c r="E10" s="566"/>
      <c r="F10" s="566"/>
      <c r="G10" s="566"/>
      <c r="H10" s="566"/>
      <c r="I10" s="566"/>
      <c r="J10" s="566"/>
      <c r="K10" s="566"/>
      <c r="L10" s="566"/>
      <c r="M10" s="566"/>
      <c r="N10" s="566"/>
      <c r="O10" s="567"/>
      <c r="P10" s="64"/>
      <c r="Q10" s="127"/>
    </row>
    <row r="11" spans="1:17" ht="15.75" thickBot="1" x14ac:dyDescent="0.3">
      <c r="A11" s="127"/>
      <c r="B11" s="64"/>
      <c r="C11" s="301" t="s">
        <v>65</v>
      </c>
      <c r="D11" s="298" t="s">
        <v>48</v>
      </c>
      <c r="E11" s="299">
        <v>2</v>
      </c>
      <c r="F11" s="299">
        <v>4</v>
      </c>
      <c r="G11" s="299" t="s">
        <v>52</v>
      </c>
      <c r="H11" s="299" t="s">
        <v>50</v>
      </c>
      <c r="I11" s="299">
        <v>8</v>
      </c>
      <c r="J11" s="299">
        <v>9</v>
      </c>
      <c r="K11" s="299">
        <v>10</v>
      </c>
      <c r="L11" s="299" t="s">
        <v>54</v>
      </c>
      <c r="M11" s="299">
        <v>14</v>
      </c>
      <c r="N11" s="299">
        <v>15</v>
      </c>
      <c r="O11" s="300">
        <v>16</v>
      </c>
      <c r="P11" s="64"/>
      <c r="Q11" s="127"/>
    </row>
    <row r="12" spans="1:17" ht="91.5" thickBot="1" x14ac:dyDescent="0.35">
      <c r="A12" s="127"/>
      <c r="B12" s="306" t="s">
        <v>213</v>
      </c>
      <c r="C12" s="302" t="s">
        <v>73</v>
      </c>
      <c r="D12" s="303" t="s">
        <v>49</v>
      </c>
      <c r="E12" s="304" t="s">
        <v>18</v>
      </c>
      <c r="F12" s="304" t="s">
        <v>19</v>
      </c>
      <c r="G12" s="304" t="s">
        <v>66</v>
      </c>
      <c r="H12" s="304" t="s">
        <v>45</v>
      </c>
      <c r="I12" s="304" t="s">
        <v>51</v>
      </c>
      <c r="J12" s="304" t="s">
        <v>67</v>
      </c>
      <c r="K12" s="304" t="s">
        <v>20</v>
      </c>
      <c r="L12" s="304" t="s">
        <v>44</v>
      </c>
      <c r="M12" s="304" t="s">
        <v>21</v>
      </c>
      <c r="N12" s="304" t="s">
        <v>53</v>
      </c>
      <c r="O12" s="305" t="s">
        <v>22</v>
      </c>
      <c r="P12" s="314" t="s">
        <v>47</v>
      </c>
      <c r="Q12" s="127"/>
    </row>
    <row r="13" spans="1:17" ht="30" x14ac:dyDescent="0.25">
      <c r="A13" s="127"/>
      <c r="B13" s="568" t="s">
        <v>58</v>
      </c>
      <c r="C13" s="308" t="s">
        <v>135</v>
      </c>
      <c r="D13" s="174" t="s">
        <v>0</v>
      </c>
      <c r="E13" s="175"/>
      <c r="F13" s="175"/>
      <c r="G13" s="175"/>
      <c r="H13" s="175"/>
      <c r="I13" s="175"/>
      <c r="J13" s="175"/>
      <c r="K13" s="175"/>
      <c r="L13" s="175"/>
      <c r="M13" s="175"/>
      <c r="N13" s="175"/>
      <c r="O13" s="176"/>
      <c r="P13" s="177">
        <f>SUM(D13:O13)</f>
        <v>0</v>
      </c>
      <c r="Q13" s="127"/>
    </row>
    <row r="14" spans="1:17" x14ac:dyDescent="0.25">
      <c r="A14" s="127"/>
      <c r="B14" s="569"/>
      <c r="C14" s="309" t="s">
        <v>57</v>
      </c>
      <c r="D14" s="178"/>
      <c r="E14" s="179"/>
      <c r="F14" s="179"/>
      <c r="G14" s="179"/>
      <c r="H14" s="179"/>
      <c r="I14" s="179"/>
      <c r="J14" s="179"/>
      <c r="K14" s="179"/>
      <c r="L14" s="179"/>
      <c r="M14" s="179"/>
      <c r="N14" s="179"/>
      <c r="O14" s="180"/>
      <c r="P14" s="181">
        <f>SUM(D14:O14)</f>
        <v>0</v>
      </c>
      <c r="Q14" s="127"/>
    </row>
    <row r="15" spans="1:17" ht="15.75" thickBot="1" x14ac:dyDescent="0.3">
      <c r="A15" s="127"/>
      <c r="B15" s="570"/>
      <c r="C15" s="310" t="s">
        <v>80</v>
      </c>
      <c r="D15" s="182"/>
      <c r="E15" s="183"/>
      <c r="F15" s="183"/>
      <c r="G15" s="183"/>
      <c r="H15" s="183"/>
      <c r="I15" s="183"/>
      <c r="J15" s="183"/>
      <c r="K15" s="183"/>
      <c r="L15" s="183"/>
      <c r="M15" s="183"/>
      <c r="N15" s="183"/>
      <c r="O15" s="184"/>
      <c r="P15" s="185">
        <f>SUM(D15:O15)</f>
        <v>0</v>
      </c>
      <c r="Q15" s="127"/>
    </row>
    <row r="16" spans="1:17" ht="30" x14ac:dyDescent="0.25">
      <c r="A16" s="127"/>
      <c r="B16" s="571" t="s">
        <v>59</v>
      </c>
      <c r="C16" s="308" t="s">
        <v>135</v>
      </c>
      <c r="D16" s="174"/>
      <c r="E16" s="175"/>
      <c r="F16" s="175"/>
      <c r="G16" s="175"/>
      <c r="H16" s="175"/>
      <c r="I16" s="175"/>
      <c r="J16" s="175"/>
      <c r="K16" s="175"/>
      <c r="L16" s="175"/>
      <c r="M16" s="175"/>
      <c r="N16" s="175"/>
      <c r="O16" s="176"/>
      <c r="P16" s="177">
        <f>SUM(D16:O16)</f>
        <v>0</v>
      </c>
      <c r="Q16" s="127"/>
    </row>
    <row r="17" spans="1:19" x14ac:dyDescent="0.25">
      <c r="A17" s="127"/>
      <c r="B17" s="572"/>
      <c r="C17" s="309" t="s">
        <v>57</v>
      </c>
      <c r="D17" s="178"/>
      <c r="E17" s="179"/>
      <c r="F17" s="179"/>
      <c r="G17" s="179"/>
      <c r="H17" s="179"/>
      <c r="I17" s="179"/>
      <c r="J17" s="179"/>
      <c r="K17" s="179"/>
      <c r="L17" s="179"/>
      <c r="M17" s="179"/>
      <c r="N17" s="179"/>
      <c r="O17" s="180"/>
      <c r="P17" s="181">
        <f>SUM(D17:O17)</f>
        <v>0</v>
      </c>
      <c r="Q17" s="127"/>
    </row>
    <row r="18" spans="1:19" ht="15.75" thickBot="1" x14ac:dyDescent="0.3">
      <c r="A18" s="127"/>
      <c r="B18" s="573"/>
      <c r="C18" s="310" t="s">
        <v>80</v>
      </c>
      <c r="D18" s="182"/>
      <c r="E18" s="183"/>
      <c r="F18" s="183"/>
      <c r="G18" s="183"/>
      <c r="H18" s="183"/>
      <c r="I18" s="183"/>
      <c r="J18" s="183"/>
      <c r="K18" s="183"/>
      <c r="L18" s="183"/>
      <c r="M18" s="183"/>
      <c r="N18" s="183"/>
      <c r="O18" s="184"/>
      <c r="P18" s="185">
        <f t="shared" ref="P18:P31" si="0">SUM(D18:O18)</f>
        <v>0</v>
      </c>
      <c r="Q18" s="127"/>
    </row>
    <row r="19" spans="1:19" ht="30" x14ac:dyDescent="0.25">
      <c r="A19" s="127"/>
      <c r="B19" s="571" t="s">
        <v>60</v>
      </c>
      <c r="C19" s="308" t="s">
        <v>135</v>
      </c>
      <c r="D19" s="209"/>
      <c r="E19" s="210"/>
      <c r="F19" s="210"/>
      <c r="G19" s="210"/>
      <c r="H19" s="210"/>
      <c r="I19" s="210"/>
      <c r="J19" s="210"/>
      <c r="K19" s="210"/>
      <c r="L19" s="210"/>
      <c r="M19" s="210"/>
      <c r="N19" s="210"/>
      <c r="O19" s="211"/>
      <c r="P19" s="177">
        <f t="shared" si="0"/>
        <v>0</v>
      </c>
      <c r="Q19" s="127"/>
    </row>
    <row r="20" spans="1:19" x14ac:dyDescent="0.25">
      <c r="A20" s="127"/>
      <c r="B20" s="572"/>
      <c r="C20" s="309" t="s">
        <v>57</v>
      </c>
      <c r="D20" s="212"/>
      <c r="E20" s="167"/>
      <c r="F20" s="167"/>
      <c r="G20" s="167"/>
      <c r="H20" s="167"/>
      <c r="I20" s="167"/>
      <c r="J20" s="167"/>
      <c r="K20" s="167"/>
      <c r="L20" s="167"/>
      <c r="M20" s="167"/>
      <c r="N20" s="167"/>
      <c r="O20" s="213"/>
      <c r="P20" s="181">
        <f t="shared" si="0"/>
        <v>0</v>
      </c>
      <c r="Q20" s="127"/>
    </row>
    <row r="21" spans="1:19" ht="15.75" thickBot="1" x14ac:dyDescent="0.3">
      <c r="A21" s="127"/>
      <c r="B21" s="573"/>
      <c r="C21" s="311" t="s">
        <v>80</v>
      </c>
      <c r="D21" s="214"/>
      <c r="E21" s="215"/>
      <c r="F21" s="215"/>
      <c r="G21" s="215"/>
      <c r="H21" s="215"/>
      <c r="I21" s="215"/>
      <c r="J21" s="215"/>
      <c r="K21" s="215"/>
      <c r="L21" s="215"/>
      <c r="M21" s="215"/>
      <c r="N21" s="215"/>
      <c r="O21" s="216"/>
      <c r="P21" s="202">
        <f t="shared" si="0"/>
        <v>0</v>
      </c>
      <c r="Q21" s="127"/>
    </row>
    <row r="22" spans="1:19" ht="30" x14ac:dyDescent="0.25">
      <c r="A22" s="127"/>
      <c r="B22" s="574" t="s">
        <v>61</v>
      </c>
      <c r="C22" s="312" t="s">
        <v>135</v>
      </c>
      <c r="D22" s="208"/>
      <c r="E22" s="207"/>
      <c r="F22" s="207"/>
      <c r="G22" s="207"/>
      <c r="H22" s="207"/>
      <c r="I22" s="207"/>
      <c r="J22" s="207"/>
      <c r="K22" s="207"/>
      <c r="L22" s="207"/>
      <c r="M22" s="207"/>
      <c r="N22" s="207"/>
      <c r="O22" s="220"/>
      <c r="P22" s="177">
        <f t="shared" si="0"/>
        <v>0</v>
      </c>
      <c r="Q22" s="127"/>
      <c r="S22" s="18"/>
    </row>
    <row r="23" spans="1:19" x14ac:dyDescent="0.25">
      <c r="A23" s="127"/>
      <c r="B23" s="575"/>
      <c r="C23" s="309" t="s">
        <v>57</v>
      </c>
      <c r="D23" s="217"/>
      <c r="E23" s="167"/>
      <c r="F23" s="167"/>
      <c r="G23" s="167"/>
      <c r="H23" s="167"/>
      <c r="I23" s="167"/>
      <c r="J23" s="167"/>
      <c r="K23" s="167"/>
      <c r="L23" s="167"/>
      <c r="M23" s="167"/>
      <c r="N23" s="167"/>
      <c r="O23" s="213"/>
      <c r="P23" s="181">
        <f t="shared" si="0"/>
        <v>0</v>
      </c>
      <c r="Q23" s="127"/>
    </row>
    <row r="24" spans="1:19" ht="15.75" thickBot="1" x14ac:dyDescent="0.3">
      <c r="A24" s="127"/>
      <c r="B24" s="576"/>
      <c r="C24" s="310" t="s">
        <v>80</v>
      </c>
      <c r="D24" s="218"/>
      <c r="E24" s="219"/>
      <c r="F24" s="219"/>
      <c r="G24" s="219"/>
      <c r="H24" s="219"/>
      <c r="I24" s="219"/>
      <c r="J24" s="219"/>
      <c r="K24" s="219"/>
      <c r="L24" s="219"/>
      <c r="M24" s="219"/>
      <c r="N24" s="219"/>
      <c r="O24" s="221"/>
      <c r="P24" s="185">
        <f t="shared" si="0"/>
        <v>0</v>
      </c>
      <c r="Q24" s="127"/>
      <c r="S24" s="17"/>
    </row>
    <row r="25" spans="1:19" ht="30" customHeight="1" x14ac:dyDescent="0.25">
      <c r="A25" s="127"/>
      <c r="B25" s="559" t="s">
        <v>63</v>
      </c>
      <c r="C25" s="313" t="s">
        <v>135</v>
      </c>
      <c r="D25" s="203"/>
      <c r="E25" s="204"/>
      <c r="F25" s="204"/>
      <c r="G25" s="204"/>
      <c r="H25" s="204"/>
      <c r="I25" s="204"/>
      <c r="J25" s="204"/>
      <c r="K25" s="204"/>
      <c r="L25" s="204"/>
      <c r="M25" s="204"/>
      <c r="N25" s="204"/>
      <c r="O25" s="205"/>
      <c r="P25" s="206">
        <f t="shared" si="0"/>
        <v>0</v>
      </c>
      <c r="Q25" s="127"/>
    </row>
    <row r="26" spans="1:19" x14ac:dyDescent="0.25">
      <c r="A26" s="127"/>
      <c r="B26" s="560"/>
      <c r="C26" s="309" t="s">
        <v>57</v>
      </c>
      <c r="D26" s="189"/>
      <c r="E26" s="190"/>
      <c r="F26" s="190"/>
      <c r="G26" s="190"/>
      <c r="H26" s="190"/>
      <c r="I26" s="190"/>
      <c r="J26" s="190"/>
      <c r="K26" s="190"/>
      <c r="L26" s="190"/>
      <c r="M26" s="190"/>
      <c r="N26" s="190"/>
      <c r="O26" s="191"/>
      <c r="P26" s="181">
        <f t="shared" si="0"/>
        <v>0</v>
      </c>
      <c r="Q26" s="127"/>
    </row>
    <row r="27" spans="1:19" ht="15.75" thickBot="1" x14ac:dyDescent="0.3">
      <c r="A27" s="127"/>
      <c r="B27" s="561"/>
      <c r="C27" s="310" t="s">
        <v>80</v>
      </c>
      <c r="D27" s="192"/>
      <c r="E27" s="193"/>
      <c r="F27" s="193"/>
      <c r="G27" s="193"/>
      <c r="H27" s="193"/>
      <c r="I27" s="193"/>
      <c r="J27" s="193"/>
      <c r="K27" s="193"/>
      <c r="L27" s="193"/>
      <c r="M27" s="193"/>
      <c r="N27" s="193"/>
      <c r="O27" s="194"/>
      <c r="P27" s="185">
        <f t="shared" si="0"/>
        <v>0</v>
      </c>
      <c r="Q27" s="127"/>
    </row>
    <row r="28" spans="1:19" ht="30" x14ac:dyDescent="0.25">
      <c r="A28" s="127"/>
      <c r="B28" s="562" t="s">
        <v>62</v>
      </c>
      <c r="C28" s="308" t="s">
        <v>135</v>
      </c>
      <c r="D28" s="186"/>
      <c r="E28" s="187"/>
      <c r="F28" s="187"/>
      <c r="G28" s="187"/>
      <c r="H28" s="187"/>
      <c r="I28" s="187"/>
      <c r="J28" s="187"/>
      <c r="K28" s="187"/>
      <c r="L28" s="187"/>
      <c r="M28" s="187"/>
      <c r="N28" s="187"/>
      <c r="O28" s="188"/>
      <c r="P28" s="177">
        <f t="shared" si="0"/>
        <v>0</v>
      </c>
      <c r="Q28" s="127"/>
    </row>
    <row r="29" spans="1:19" x14ac:dyDescent="0.25">
      <c r="A29" s="127"/>
      <c r="B29" s="563"/>
      <c r="C29" s="309" t="s">
        <v>57</v>
      </c>
      <c r="D29" s="189"/>
      <c r="E29" s="190"/>
      <c r="F29" s="190"/>
      <c r="G29" s="190"/>
      <c r="H29" s="190"/>
      <c r="I29" s="190"/>
      <c r="J29" s="190"/>
      <c r="K29" s="190"/>
      <c r="L29" s="190"/>
      <c r="M29" s="190"/>
      <c r="N29" s="190"/>
      <c r="O29" s="191"/>
      <c r="P29" s="181">
        <f t="shared" si="0"/>
        <v>0</v>
      </c>
      <c r="Q29" s="127"/>
    </row>
    <row r="30" spans="1:19" ht="15.75" thickBot="1" x14ac:dyDescent="0.3">
      <c r="A30" s="127"/>
      <c r="B30" s="564"/>
      <c r="C30" s="310" t="s">
        <v>80</v>
      </c>
      <c r="D30" s="192"/>
      <c r="E30" s="193"/>
      <c r="F30" s="193"/>
      <c r="G30" s="193"/>
      <c r="H30" s="193"/>
      <c r="I30" s="193"/>
      <c r="J30" s="193"/>
      <c r="K30" s="193"/>
      <c r="L30" s="193"/>
      <c r="M30" s="193"/>
      <c r="N30" s="193"/>
      <c r="O30" s="194"/>
      <c r="P30" s="185">
        <f t="shared" si="0"/>
        <v>0</v>
      </c>
      <c r="Q30" s="127"/>
    </row>
    <row r="31" spans="1:19" ht="15.75" thickBot="1" x14ac:dyDescent="0.3">
      <c r="A31" s="127"/>
      <c r="B31" s="307" t="s">
        <v>134</v>
      </c>
      <c r="C31" s="314"/>
      <c r="D31" s="195">
        <f t="shared" ref="D31:O31" si="1">SUM(D13:D30)</f>
        <v>0</v>
      </c>
      <c r="E31" s="196">
        <f t="shared" si="1"/>
        <v>0</v>
      </c>
      <c r="F31" s="196">
        <f t="shared" si="1"/>
        <v>0</v>
      </c>
      <c r="G31" s="196">
        <f t="shared" si="1"/>
        <v>0</v>
      </c>
      <c r="H31" s="196">
        <f t="shared" si="1"/>
        <v>0</v>
      </c>
      <c r="I31" s="196">
        <f t="shared" si="1"/>
        <v>0</v>
      </c>
      <c r="J31" s="196">
        <f t="shared" si="1"/>
        <v>0</v>
      </c>
      <c r="K31" s="196">
        <f t="shared" si="1"/>
        <v>0</v>
      </c>
      <c r="L31" s="196">
        <f t="shared" si="1"/>
        <v>0</v>
      </c>
      <c r="M31" s="196">
        <f t="shared" si="1"/>
        <v>0</v>
      </c>
      <c r="N31" s="196">
        <f t="shared" si="1"/>
        <v>0</v>
      </c>
      <c r="O31" s="197">
        <f t="shared" si="1"/>
        <v>0</v>
      </c>
      <c r="P31" s="177">
        <f t="shared" si="0"/>
        <v>0</v>
      </c>
      <c r="Q31" s="127"/>
    </row>
    <row r="32" spans="1:19" ht="15.75" thickBot="1" x14ac:dyDescent="0.3">
      <c r="A32" s="127"/>
      <c r="B32" s="173"/>
      <c r="C32" s="127"/>
      <c r="D32" s="172" t="s">
        <v>0</v>
      </c>
      <c r="E32" s="127"/>
      <c r="F32" s="127"/>
      <c r="G32" s="127"/>
      <c r="H32" s="127"/>
      <c r="I32" s="127"/>
      <c r="J32" s="127"/>
      <c r="K32" s="127"/>
      <c r="L32" s="127"/>
      <c r="M32" s="127"/>
      <c r="N32" s="127"/>
      <c r="O32" s="127"/>
      <c r="P32" s="127"/>
      <c r="Q32" s="127"/>
    </row>
    <row r="33" spans="1:17" ht="15.75" thickBot="1" x14ac:dyDescent="0.3">
      <c r="A33" s="127"/>
      <c r="B33" s="315" t="s">
        <v>55</v>
      </c>
      <c r="C33" s="316"/>
      <c r="D33" s="127"/>
      <c r="E33" s="127"/>
      <c r="F33" s="127"/>
      <c r="G33" s="127"/>
      <c r="H33" s="127"/>
      <c r="I33" s="127"/>
      <c r="J33" s="127"/>
      <c r="K33" s="127"/>
      <c r="L33" s="127"/>
      <c r="M33" s="127"/>
      <c r="N33" s="127"/>
      <c r="O33" s="127"/>
      <c r="P33" s="127"/>
      <c r="Q33" s="127"/>
    </row>
    <row r="34" spans="1:17" ht="30" x14ac:dyDescent="0.25">
      <c r="A34" s="127"/>
      <c r="B34" s="556" t="s">
        <v>212</v>
      </c>
      <c r="C34" s="308" t="s">
        <v>135</v>
      </c>
      <c r="D34" s="174"/>
      <c r="E34" s="175"/>
      <c r="F34" s="175"/>
      <c r="G34" s="175"/>
      <c r="H34" s="175"/>
      <c r="I34" s="175"/>
      <c r="J34" s="175"/>
      <c r="K34" s="175"/>
      <c r="L34" s="175"/>
      <c r="M34" s="175"/>
      <c r="N34" s="175"/>
      <c r="O34" s="198"/>
      <c r="P34" s="177">
        <f>SUM(D34:O34)</f>
        <v>0</v>
      </c>
      <c r="Q34" s="127"/>
    </row>
    <row r="35" spans="1:17" x14ac:dyDescent="0.25">
      <c r="A35" s="127"/>
      <c r="B35" s="557"/>
      <c r="C35" s="317" t="s">
        <v>57</v>
      </c>
      <c r="D35" s="178"/>
      <c r="E35" s="179"/>
      <c r="F35" s="179"/>
      <c r="G35" s="179"/>
      <c r="H35" s="179"/>
      <c r="I35" s="179"/>
      <c r="J35" s="179"/>
      <c r="K35" s="179"/>
      <c r="L35" s="179"/>
      <c r="M35" s="179"/>
      <c r="N35" s="179"/>
      <c r="O35" s="199"/>
      <c r="P35" s="181">
        <f>SUM(D35:O35)</f>
        <v>0</v>
      </c>
      <c r="Q35" s="127"/>
    </row>
    <row r="36" spans="1:17" ht="15.75" thickBot="1" x14ac:dyDescent="0.3">
      <c r="A36" s="127"/>
      <c r="B36" s="558"/>
      <c r="C36" s="318" t="s">
        <v>80</v>
      </c>
      <c r="D36" s="182"/>
      <c r="E36" s="183"/>
      <c r="F36" s="183"/>
      <c r="G36" s="183"/>
      <c r="H36" s="183"/>
      <c r="I36" s="183"/>
      <c r="J36" s="183"/>
      <c r="K36" s="183"/>
      <c r="L36" s="183"/>
      <c r="M36" s="183"/>
      <c r="N36" s="183"/>
      <c r="O36" s="200"/>
      <c r="P36" s="185">
        <f>SUM(D36:O36)</f>
        <v>0</v>
      </c>
      <c r="Q36" s="127"/>
    </row>
    <row r="37" spans="1:17" ht="15.75" thickBot="1" x14ac:dyDescent="0.3">
      <c r="A37" s="127"/>
      <c r="B37" s="64"/>
      <c r="C37" s="64"/>
      <c r="D37" s="127"/>
      <c r="E37" s="127"/>
      <c r="F37" s="127"/>
      <c r="G37" s="127"/>
      <c r="H37" s="127"/>
      <c r="I37" s="127"/>
      <c r="J37" s="127"/>
      <c r="K37" s="127"/>
      <c r="L37" s="127"/>
      <c r="M37" s="127"/>
      <c r="N37" s="127"/>
      <c r="O37" s="127"/>
      <c r="P37" s="127" t="s">
        <v>0</v>
      </c>
      <c r="Q37" s="127"/>
    </row>
    <row r="38" spans="1:17" ht="15.75" thickBot="1" x14ac:dyDescent="0.3">
      <c r="A38" s="127"/>
      <c r="B38" s="319" t="s">
        <v>136</v>
      </c>
      <c r="C38" s="64"/>
      <c r="D38" s="127"/>
      <c r="E38" s="127"/>
      <c r="F38" s="127"/>
      <c r="G38" s="127"/>
      <c r="H38" s="127"/>
      <c r="I38" s="127"/>
      <c r="J38" s="127"/>
      <c r="K38" s="127"/>
      <c r="L38" s="127"/>
      <c r="M38" s="127"/>
      <c r="N38" s="127"/>
      <c r="O38" s="127"/>
      <c r="P38" s="127"/>
      <c r="Q38" s="127"/>
    </row>
    <row r="39" spans="1:17" x14ac:dyDescent="0.25">
      <c r="A39" s="127"/>
      <c r="B39" s="547"/>
      <c r="C39" s="548"/>
      <c r="D39" s="548"/>
      <c r="E39" s="548"/>
      <c r="F39" s="548"/>
      <c r="G39" s="548"/>
      <c r="H39" s="548"/>
      <c r="I39" s="548"/>
      <c r="J39" s="548"/>
      <c r="K39" s="548"/>
      <c r="L39" s="548"/>
      <c r="M39" s="548"/>
      <c r="N39" s="548"/>
      <c r="O39" s="548"/>
      <c r="P39" s="549"/>
      <c r="Q39" s="127"/>
    </row>
    <row r="40" spans="1:17" x14ac:dyDescent="0.25">
      <c r="A40" s="127"/>
      <c r="B40" s="550"/>
      <c r="C40" s="551"/>
      <c r="D40" s="551"/>
      <c r="E40" s="551"/>
      <c r="F40" s="551"/>
      <c r="G40" s="551"/>
      <c r="H40" s="551"/>
      <c r="I40" s="551"/>
      <c r="J40" s="551"/>
      <c r="K40" s="551"/>
      <c r="L40" s="551"/>
      <c r="M40" s="551"/>
      <c r="N40" s="551"/>
      <c r="O40" s="551"/>
      <c r="P40" s="552"/>
      <c r="Q40" s="127"/>
    </row>
    <row r="41" spans="1:17" ht="15.75" thickBot="1" x14ac:dyDescent="0.3">
      <c r="A41" s="127"/>
      <c r="B41" s="553"/>
      <c r="C41" s="554"/>
      <c r="D41" s="554"/>
      <c r="E41" s="554"/>
      <c r="F41" s="554"/>
      <c r="G41" s="554"/>
      <c r="H41" s="554"/>
      <c r="I41" s="554"/>
      <c r="J41" s="554"/>
      <c r="K41" s="554"/>
      <c r="L41" s="554"/>
      <c r="M41" s="554"/>
      <c r="N41" s="554"/>
      <c r="O41" s="554"/>
      <c r="P41" s="555"/>
      <c r="Q41" s="127"/>
    </row>
    <row r="42" spans="1:17" ht="90" customHeight="1" x14ac:dyDescent="0.25">
      <c r="A42" s="127"/>
      <c r="B42" s="127"/>
      <c r="C42" s="127"/>
      <c r="D42" s="127"/>
      <c r="E42" s="127"/>
      <c r="F42" s="127"/>
      <c r="G42" s="127"/>
      <c r="H42" s="127"/>
      <c r="I42" s="127"/>
      <c r="J42" s="127"/>
      <c r="K42" s="127"/>
      <c r="L42" s="127"/>
      <c r="M42" s="127"/>
      <c r="N42" s="127"/>
      <c r="O42" s="127"/>
      <c r="P42" s="127"/>
      <c r="Q42" s="127"/>
    </row>
  </sheetData>
  <mergeCells count="9">
    <mergeCell ref="B39:P41"/>
    <mergeCell ref="B34:B36"/>
    <mergeCell ref="B25:B27"/>
    <mergeCell ref="B28:B30"/>
    <mergeCell ref="D10:O10"/>
    <mergeCell ref="B13:B15"/>
    <mergeCell ref="B16:B18"/>
    <mergeCell ref="B19:B21"/>
    <mergeCell ref="B22:B24"/>
  </mergeCells>
  <dataValidations count="2">
    <dataValidation showInputMessage="1" showErrorMessage="1" sqref="C4:C5"/>
    <dataValidation allowBlank="1" showErrorMessage="1" promptTitle="Note" prompt="In the U.S., a ton equals 2,000 pounds. In non-U.S. measurements, a ton equals 2,240 pounds. A tonne, also known as a metric ton, is a unit of mass equaling 1,000 kilograms." sqref="B4"/>
  </dataValidations>
  <hyperlinks>
    <hyperlink ref="B12" r:id="rId1" display="Part of food supply chain based on ISIC codes"/>
    <hyperlink ref="D10:O10" r:id="rId2" display="Food category (based on GSFA Codes)"/>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4" r:id="rId6" name="Button 24">
              <controlPr defaultSize="0" print="0" autoFill="0" autoPict="0" macro="[0]!GoToSummary">
                <anchor moveWithCells="1" sizeWithCells="1">
                  <from>
                    <xdr:col>0</xdr:col>
                    <xdr:colOff>238125</xdr:colOff>
                    <xdr:row>41</xdr:row>
                    <xdr:rowOff>209550</xdr:rowOff>
                  </from>
                  <to>
                    <xdr:col>2</xdr:col>
                    <xdr:colOff>600075</xdr:colOff>
                    <xdr:row>41</xdr:row>
                    <xdr:rowOff>942975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22"/>
  <sheetViews>
    <sheetView zoomScaleNormal="100" workbookViewId="0"/>
  </sheetViews>
  <sheetFormatPr defaultRowHeight="15" x14ac:dyDescent="0.25"/>
  <cols>
    <col min="1" max="1" width="3.7109375" style="6" customWidth="1"/>
    <col min="2" max="2" width="24.5703125" customWidth="1"/>
    <col min="3" max="3" width="43.140625" customWidth="1"/>
    <col min="4" max="4" width="84.5703125" customWidth="1"/>
    <col min="5" max="5" width="16.42578125" customWidth="1"/>
    <col min="6" max="6" width="3.7109375" customWidth="1"/>
  </cols>
  <sheetData>
    <row r="1" spans="1:6" s="6" customFormat="1" x14ac:dyDescent="0.25">
      <c r="A1" s="64"/>
      <c r="B1" s="64"/>
      <c r="C1" s="64"/>
      <c r="D1" s="64"/>
      <c r="E1" s="64"/>
      <c r="F1" s="64"/>
    </row>
    <row r="2" spans="1:6" ht="23.25" x14ac:dyDescent="0.35">
      <c r="A2" s="64"/>
      <c r="B2" s="33" t="s">
        <v>36</v>
      </c>
      <c r="C2" s="66"/>
      <c r="D2" s="142"/>
      <c r="E2" s="64"/>
      <c r="F2" s="64"/>
    </row>
    <row r="3" spans="1:6" x14ac:dyDescent="0.25">
      <c r="A3" s="64"/>
      <c r="B3" s="64"/>
      <c r="C3" s="64"/>
      <c r="D3" s="64"/>
      <c r="E3" s="64"/>
      <c r="F3" s="64"/>
    </row>
    <row r="4" spans="1:6" x14ac:dyDescent="0.25">
      <c r="A4" s="127"/>
      <c r="B4" s="222" t="s">
        <v>25</v>
      </c>
      <c r="C4" s="222" t="s">
        <v>137</v>
      </c>
      <c r="D4" s="222" t="s">
        <v>26</v>
      </c>
      <c r="E4" s="222" t="s">
        <v>27</v>
      </c>
      <c r="F4" s="127"/>
    </row>
    <row r="5" spans="1:6" ht="30" x14ac:dyDescent="0.25">
      <c r="A5" s="127"/>
      <c r="B5" s="223" t="s">
        <v>28</v>
      </c>
      <c r="C5" s="224" t="s">
        <v>138</v>
      </c>
      <c r="D5" s="223"/>
      <c r="E5" s="223"/>
      <c r="F5" s="127"/>
    </row>
    <row r="6" spans="1:6" s="6" customFormat="1" ht="75" x14ac:dyDescent="0.25">
      <c r="A6" s="127"/>
      <c r="B6" s="223" t="s">
        <v>68</v>
      </c>
      <c r="C6" s="224" t="s">
        <v>139</v>
      </c>
      <c r="D6" s="224" t="s">
        <v>214</v>
      </c>
      <c r="E6" s="223"/>
      <c r="F6" s="127"/>
    </row>
    <row r="7" spans="1:6" ht="135" customHeight="1" x14ac:dyDescent="0.25">
      <c r="A7" s="127"/>
      <c r="B7" s="223" t="s">
        <v>29</v>
      </c>
      <c r="C7" s="224" t="s">
        <v>140</v>
      </c>
      <c r="D7" s="224" t="s">
        <v>168</v>
      </c>
      <c r="E7" s="224" t="s">
        <v>141</v>
      </c>
      <c r="F7" s="127"/>
    </row>
    <row r="8" spans="1:6" ht="285" x14ac:dyDescent="0.25">
      <c r="A8" s="127"/>
      <c r="B8" s="223" t="s">
        <v>37</v>
      </c>
      <c r="C8" s="224" t="s">
        <v>142</v>
      </c>
      <c r="D8" s="224" t="s">
        <v>170</v>
      </c>
      <c r="E8" s="224"/>
      <c r="F8" s="127"/>
    </row>
    <row r="9" spans="1:6" ht="60" x14ac:dyDescent="0.25">
      <c r="A9" s="127"/>
      <c r="B9" s="223" t="s">
        <v>30</v>
      </c>
      <c r="C9" s="224" t="s">
        <v>143</v>
      </c>
      <c r="D9" s="224" t="s">
        <v>144</v>
      </c>
      <c r="E9" s="224"/>
      <c r="F9" s="127"/>
    </row>
    <row r="10" spans="1:6" ht="90" x14ac:dyDescent="0.25">
      <c r="A10" s="127"/>
      <c r="B10" s="225" t="s">
        <v>145</v>
      </c>
      <c r="C10" s="224" t="s">
        <v>146</v>
      </c>
      <c r="D10" s="224" t="s">
        <v>162</v>
      </c>
      <c r="E10" s="224"/>
      <c r="F10" s="127"/>
    </row>
    <row r="11" spans="1:6" ht="60" x14ac:dyDescent="0.25">
      <c r="A11" s="127"/>
      <c r="B11" s="223" t="s">
        <v>31</v>
      </c>
      <c r="C11" s="224" t="s">
        <v>147</v>
      </c>
      <c r="D11" s="224" t="s">
        <v>163</v>
      </c>
      <c r="E11" s="224" t="s">
        <v>148</v>
      </c>
      <c r="F11" s="127"/>
    </row>
    <row r="12" spans="1:6" ht="195" x14ac:dyDescent="0.25">
      <c r="A12" s="127"/>
      <c r="B12" s="223" t="s">
        <v>32</v>
      </c>
      <c r="C12" s="224" t="s">
        <v>149</v>
      </c>
      <c r="D12" s="224" t="s">
        <v>215</v>
      </c>
      <c r="E12" s="224" t="s">
        <v>150</v>
      </c>
      <c r="F12" s="127"/>
    </row>
    <row r="13" spans="1:6" ht="135" customHeight="1" x14ac:dyDescent="0.25">
      <c r="A13" s="127"/>
      <c r="B13" s="223" t="s">
        <v>69</v>
      </c>
      <c r="C13" s="224" t="s">
        <v>151</v>
      </c>
      <c r="D13" s="224" t="s">
        <v>164</v>
      </c>
      <c r="E13" s="224" t="s">
        <v>148</v>
      </c>
      <c r="F13" s="127"/>
    </row>
    <row r="14" spans="1:6" ht="45" x14ac:dyDescent="0.25">
      <c r="A14" s="127"/>
      <c r="B14" s="223" t="s">
        <v>33</v>
      </c>
      <c r="C14" s="224" t="s">
        <v>152</v>
      </c>
      <c r="D14" s="224"/>
      <c r="E14" s="255" t="s">
        <v>217</v>
      </c>
      <c r="F14" s="127"/>
    </row>
    <row r="15" spans="1:6" ht="75" x14ac:dyDescent="0.25">
      <c r="A15" s="127"/>
      <c r="B15" s="223" t="s">
        <v>34</v>
      </c>
      <c r="C15" s="165" t="s">
        <v>156</v>
      </c>
      <c r="D15" s="165" t="s">
        <v>157</v>
      </c>
      <c r="E15" s="226"/>
      <c r="F15" s="127"/>
    </row>
    <row r="16" spans="1:6" s="6" customFormat="1" ht="45" x14ac:dyDescent="0.25">
      <c r="A16" s="127"/>
      <c r="B16" s="223" t="s">
        <v>155</v>
      </c>
      <c r="C16" s="224" t="s">
        <v>153</v>
      </c>
      <c r="D16" s="224" t="s">
        <v>154</v>
      </c>
      <c r="E16" s="255" t="s">
        <v>216</v>
      </c>
      <c r="F16" s="127"/>
    </row>
    <row r="17" spans="1:6" s="6" customFormat="1" ht="45" x14ac:dyDescent="0.25">
      <c r="A17" s="127"/>
      <c r="B17" s="223" t="s">
        <v>70</v>
      </c>
      <c r="C17" s="224" t="s">
        <v>158</v>
      </c>
      <c r="D17" s="224" t="s">
        <v>165</v>
      </c>
      <c r="E17" s="255"/>
      <c r="F17" s="127"/>
    </row>
    <row r="18" spans="1:6" ht="45" x14ac:dyDescent="0.25">
      <c r="A18" s="127"/>
      <c r="B18" s="223" t="s">
        <v>166</v>
      </c>
      <c r="C18" s="224" t="s">
        <v>159</v>
      </c>
      <c r="D18" s="224" t="s">
        <v>160</v>
      </c>
      <c r="E18" s="224"/>
      <c r="F18" s="127"/>
    </row>
    <row r="19" spans="1:6" ht="33.75" customHeight="1" x14ac:dyDescent="0.25">
      <c r="A19" s="127"/>
      <c r="B19" s="223" t="s">
        <v>35</v>
      </c>
      <c r="C19" s="224" t="s">
        <v>167</v>
      </c>
      <c r="D19" s="577" t="s">
        <v>169</v>
      </c>
      <c r="E19" s="577" t="s">
        <v>216</v>
      </c>
      <c r="F19" s="127"/>
    </row>
    <row r="20" spans="1:6" ht="30" x14ac:dyDescent="0.25">
      <c r="A20" s="127"/>
      <c r="B20" s="223" t="s">
        <v>71</v>
      </c>
      <c r="C20" s="224" t="s">
        <v>161</v>
      </c>
      <c r="D20" s="577"/>
      <c r="E20" s="578"/>
      <c r="F20" s="127"/>
    </row>
    <row r="21" spans="1:6" ht="90" customHeight="1" x14ac:dyDescent="0.25">
      <c r="A21" s="127"/>
      <c r="B21" s="127"/>
      <c r="C21" s="127"/>
      <c r="D21" s="127"/>
      <c r="E21" s="127"/>
      <c r="F21" s="127"/>
    </row>
    <row r="22" spans="1:6" x14ac:dyDescent="0.25">
      <c r="B22" s="12"/>
      <c r="C22" s="8"/>
    </row>
  </sheetData>
  <mergeCells count="2">
    <mergeCell ref="D19:D20"/>
    <mergeCell ref="E19:E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GoToSummary">
                <anchor moveWithCells="1" sizeWithCells="1">
                  <from>
                    <xdr:col>1</xdr:col>
                    <xdr:colOff>9525</xdr:colOff>
                    <xdr:row>20</xdr:row>
                    <xdr:rowOff>209550</xdr:rowOff>
                  </from>
                  <to>
                    <xdr:col>2</xdr:col>
                    <xdr:colOff>933450</xdr:colOff>
                    <xdr:row>20</xdr:row>
                    <xdr:rowOff>942975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Introduction</vt:lpstr>
      <vt:lpstr>Summary</vt:lpstr>
      <vt:lpstr>I. General info</vt:lpstr>
      <vt:lpstr>II. Scope and results</vt:lpstr>
      <vt:lpstr>III. Methods-data sources</vt:lpstr>
      <vt:lpstr>IV. Data collection-calculation</vt:lpstr>
      <vt:lpstr>V. Review and assurance</vt:lpstr>
      <vt:lpstr>VI. Targets-tracking</vt:lpstr>
      <vt:lpstr>VII. Causes of FLW (optional)</vt:lpstr>
      <vt:lpstr>VIII. Results matrix (optional)</vt:lpstr>
      <vt:lpstr>Glossary</vt:lpstr>
      <vt:lpstr>Introduction!Print_Area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 Robertson</dc:creator>
  <cp:lastModifiedBy>Richard Waite</cp:lastModifiedBy>
  <cp:lastPrinted>2014-10-16T18:58:13Z</cp:lastPrinted>
  <dcterms:created xsi:type="dcterms:W3CDTF">2014-09-26T14:05:38Z</dcterms:created>
  <dcterms:modified xsi:type="dcterms:W3CDTF">2016-07-29T04:14:50Z</dcterms:modified>
</cp:coreProperties>
</file>