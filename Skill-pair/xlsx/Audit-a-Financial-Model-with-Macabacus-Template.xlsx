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G:\Shared drives\Courses &amp; Programs\109 Macabacus Specialization\3. Audit a Financial Model with Macabacus (April 28)\Downloads (NOT DONE)\1. Downloads at Start of Course\"/>
    </mc:Choice>
  </mc:AlternateContent>
  <xr:revisionPtr revIDLastSave="0" documentId="13_ncr:1_{0352D560-CA82-496B-9E19-827344DF469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ver" sheetId="2" r:id="rId1"/>
    <sheet name="Outputs" sheetId="6" r:id="rId2"/>
    <sheet name="Inputs" sheetId="5" r:id="rId3"/>
    <sheet name="Model" sheetId="3" r:id="rId4"/>
    <sheet name="Hidden" sheetId="7" state="hidden" r:id="rId5"/>
    <sheet name="Buried" sheetId="8" state="veryHidden" r:id="rId6"/>
  </sheets>
  <definedNames>
    <definedName name="_xlnm.Print_Area" localSheetId="0">Cover!$B$2:$P$41</definedName>
    <definedName name="_xlnm.Print_Area" localSheetId="2">Inputs!$B$5:$P$45</definedName>
    <definedName name="_xlnm.Print_Area" localSheetId="3">Model!$B$5:$Q$37,Model!$B$40:$Q$72,Model!$B$75:$Q$107,Model!$B$110:$Q$149</definedName>
    <definedName name="_xlnm.Print_Area" localSheetId="1">Outputs!$B$5:$Q$42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4" i="3" l="1"/>
  <c r="C23" i="6"/>
  <c r="F20" i="6"/>
  <c r="G20" i="6" s="1"/>
  <c r="N141" i="3"/>
  <c r="G141" i="3"/>
  <c r="J101" i="3"/>
  <c r="J85" i="3"/>
  <c r="K69" i="3"/>
  <c r="K81" i="3" s="1"/>
  <c r="O56" i="3"/>
  <c r="O119" i="3" s="1"/>
  <c r="P119" i="3" s="1"/>
  <c r="N56" i="3"/>
  <c r="N119" i="3" s="1"/>
  <c r="M56" i="3"/>
  <c r="M119" i="3" s="1"/>
  <c r="L56" i="3"/>
  <c r="L119" i="3" s="1"/>
  <c r="K56" i="3"/>
  <c r="K119" i="3" s="1"/>
  <c r="O48" i="3"/>
  <c r="O28" i="3"/>
  <c r="N28" i="3"/>
  <c r="M28" i="3"/>
  <c r="L28" i="3"/>
  <c r="K28" i="3"/>
  <c r="L16" i="3"/>
  <c r="O15" i="3"/>
  <c r="N15" i="3"/>
  <c r="M15" i="3"/>
  <c r="L15" i="3"/>
  <c r="K15" i="3"/>
  <c r="J103" i="3" l="1"/>
  <c r="J106" i="3" s="1"/>
  <c r="K57" i="3"/>
  <c r="E20" i="6"/>
  <c r="L29" i="3" l="1"/>
  <c r="K48" i="3" s="1"/>
  <c r="N24" i="3"/>
  <c r="N12" i="5"/>
  <c r="E2" i="8"/>
  <c r="F2" i="8" s="1"/>
  <c r="D6" i="8"/>
  <c r="D11" i="8" s="1"/>
  <c r="E6" i="8"/>
  <c r="E11" i="8" s="1"/>
  <c r="F6" i="8"/>
  <c r="F11" i="8" s="1"/>
  <c r="D2" i="7"/>
  <c r="E2" i="7" s="1"/>
  <c r="C24" i="6"/>
  <c r="N32" i="6" l="1"/>
  <c r="C22" i="6" l="1"/>
  <c r="C21" i="6" s="1"/>
  <c r="K21" i="6" s="1"/>
  <c r="K35" i="6"/>
  <c r="C33" i="6" l="1"/>
  <c r="K33" i="6"/>
  <c r="H20" i="6"/>
  <c r="P32" i="6" s="1"/>
  <c r="O32" i="6"/>
  <c r="C25" i="6"/>
  <c r="K37" i="6" s="1"/>
  <c r="K36" i="6"/>
  <c r="K34" i="6"/>
  <c r="M29" i="3" l="1"/>
  <c r="L48" i="3" s="1"/>
  <c r="N29" i="3"/>
  <c r="M48" i="3" s="1"/>
  <c r="O29" i="3"/>
  <c r="N48" i="3" s="1"/>
  <c r="O15" i="5"/>
  <c r="N15" i="5"/>
  <c r="M15" i="5"/>
  <c r="L15" i="5"/>
  <c r="K15" i="5"/>
  <c r="M16" i="3"/>
  <c r="N16" i="3"/>
  <c r="O16" i="3"/>
  <c r="L24" i="3"/>
  <c r="M24" i="3"/>
  <c r="O24" i="3"/>
  <c r="L10" i="3"/>
  <c r="M10" i="3"/>
  <c r="O10" i="3"/>
  <c r="K10" i="3"/>
  <c r="K24" i="3"/>
  <c r="N11" i="3" l="1"/>
  <c r="N12" i="3" s="1"/>
  <c r="N17" i="3" s="1"/>
  <c r="N20" i="3"/>
  <c r="O20" i="3"/>
  <c r="K11" i="3"/>
  <c r="K12" i="3" s="1"/>
  <c r="K7" i="3"/>
  <c r="K29" i="3"/>
  <c r="K30" i="3" s="1"/>
  <c r="N30" i="3"/>
  <c r="O30" i="3"/>
  <c r="M20" i="3"/>
  <c r="L20" i="3"/>
  <c r="O11" i="3"/>
  <c r="O12" i="3" s="1"/>
  <c r="O17" i="3" s="1"/>
  <c r="M11" i="3"/>
  <c r="M12" i="3" s="1"/>
  <c r="L11" i="3"/>
  <c r="L12" i="3" s="1"/>
  <c r="O118" i="3"/>
  <c r="P118" i="3" s="1"/>
  <c r="N118" i="3"/>
  <c r="M118" i="3"/>
  <c r="L118" i="3"/>
  <c r="K118" i="3"/>
  <c r="M30" i="3" l="1"/>
  <c r="L30" i="3"/>
  <c r="M17" i="3"/>
  <c r="M21" i="3" s="1"/>
  <c r="M25" i="3" s="1"/>
  <c r="M33" i="3" s="1"/>
  <c r="L17" i="3"/>
  <c r="L21" i="3" s="1"/>
  <c r="L25" i="3" s="1"/>
  <c r="L33" i="3" s="1"/>
  <c r="N21" i="3"/>
  <c r="N25" i="3" s="1"/>
  <c r="N33" i="3" s="1"/>
  <c r="O21" i="3"/>
  <c r="O25" i="3" s="1"/>
  <c r="O33" i="3" s="1"/>
  <c r="N134" i="3"/>
  <c r="G13" i="6"/>
  <c r="D33" i="6" s="1"/>
  <c r="L21" i="6" s="1"/>
  <c r="L33" i="6" s="1"/>
  <c r="G128" i="3"/>
  <c r="G127" i="3"/>
  <c r="N20" i="6"/>
  <c r="K23" i="6"/>
  <c r="C36" i="6"/>
  <c r="F32" i="6"/>
  <c r="C35" i="6"/>
  <c r="O64" i="3"/>
  <c r="N64" i="3"/>
  <c r="M64" i="3"/>
  <c r="L64" i="3"/>
  <c r="K64" i="3"/>
  <c r="O63" i="3"/>
  <c r="N63" i="3"/>
  <c r="M63" i="3"/>
  <c r="L63" i="3"/>
  <c r="K63" i="3"/>
  <c r="K99" i="3" s="1"/>
  <c r="O62" i="3"/>
  <c r="N62" i="3"/>
  <c r="M62" i="3"/>
  <c r="L62" i="3"/>
  <c r="K62" i="3"/>
  <c r="O61" i="3"/>
  <c r="N61" i="3"/>
  <c r="M61" i="3"/>
  <c r="L61" i="3"/>
  <c r="K61" i="3"/>
  <c r="O51" i="3"/>
  <c r="N51" i="3"/>
  <c r="M51" i="3"/>
  <c r="L51" i="3"/>
  <c r="K90" i="3" s="1"/>
  <c r="K51" i="3"/>
  <c r="O50" i="3"/>
  <c r="N50" i="3"/>
  <c r="M50" i="3"/>
  <c r="L50" i="3"/>
  <c r="K50" i="3"/>
  <c r="O49" i="3"/>
  <c r="N49" i="3"/>
  <c r="M49" i="3"/>
  <c r="L49" i="3"/>
  <c r="K49" i="3"/>
  <c r="K82" i="3" s="1"/>
  <c r="K20" i="3"/>
  <c r="K16" i="3"/>
  <c r="K17" i="3" s="1"/>
  <c r="K65" i="3" l="1"/>
  <c r="L65" i="3"/>
  <c r="M65" i="3"/>
  <c r="L120" i="3"/>
  <c r="L90" i="3"/>
  <c r="M90" i="3" s="1"/>
  <c r="N90" i="3" s="1"/>
  <c r="O90" i="3" s="1"/>
  <c r="K83" i="3"/>
  <c r="K120" i="3"/>
  <c r="K47" i="3"/>
  <c r="K84" i="3" s="1"/>
  <c r="K21" i="3"/>
  <c r="K25" i="3" s="1"/>
  <c r="M120" i="3"/>
  <c r="N65" i="3"/>
  <c r="N120" i="3"/>
  <c r="O65" i="3"/>
  <c r="O120" i="3"/>
  <c r="M20" i="6"/>
  <c r="M32" i="6"/>
  <c r="G33" i="6"/>
  <c r="O21" i="6" s="1"/>
  <c r="O33" i="6" s="1"/>
  <c r="K24" i="6"/>
  <c r="J7" i="5"/>
  <c r="I7" i="5" s="1"/>
  <c r="H7" i="5" s="1"/>
  <c r="L7" i="5"/>
  <c r="K42" i="3"/>
  <c r="K77" i="3"/>
  <c r="J77" i="3" s="1"/>
  <c r="F37" i="6"/>
  <c r="N25" i="6" s="1"/>
  <c r="N37" i="6" s="1"/>
  <c r="F35" i="6"/>
  <c r="N23" i="6" s="1"/>
  <c r="N35" i="6" s="1"/>
  <c r="F33" i="6"/>
  <c r="N21" i="6" s="1"/>
  <c r="N33" i="6" s="1"/>
  <c r="D37" i="6"/>
  <c r="L25" i="6" s="1"/>
  <c r="L37" i="6" s="1"/>
  <c r="H36" i="6"/>
  <c r="P24" i="6" s="1"/>
  <c r="P36" i="6" s="1"/>
  <c r="E32" i="6"/>
  <c r="D20" i="6"/>
  <c r="D35" i="6"/>
  <c r="L23" i="6" s="1"/>
  <c r="L35" i="6" s="1"/>
  <c r="H34" i="6"/>
  <c r="P22" i="6" s="1"/>
  <c r="P34" i="6" s="1"/>
  <c r="K25" i="6"/>
  <c r="G32" i="6"/>
  <c r="O20" i="6"/>
  <c r="H32" i="6"/>
  <c r="P20" i="6"/>
  <c r="E37" i="6"/>
  <c r="M25" i="6" s="1"/>
  <c r="M37" i="6" s="1"/>
  <c r="E35" i="6"/>
  <c r="M23" i="6" s="1"/>
  <c r="M35" i="6" s="1"/>
  <c r="E33" i="6"/>
  <c r="M21" i="6" s="1"/>
  <c r="M33" i="6" s="1"/>
  <c r="G36" i="6"/>
  <c r="O24" i="6" s="1"/>
  <c r="O36" i="6" s="1"/>
  <c r="G34" i="6"/>
  <c r="O22" i="6" s="1"/>
  <c r="O34" i="6" s="1"/>
  <c r="F36" i="6"/>
  <c r="N24" i="6" s="1"/>
  <c r="N36" i="6" s="1"/>
  <c r="F34" i="6"/>
  <c r="N22" i="6" s="1"/>
  <c r="N34" i="6" s="1"/>
  <c r="E36" i="6"/>
  <c r="M24" i="6" s="1"/>
  <c r="M36" i="6" s="1"/>
  <c r="E34" i="6"/>
  <c r="M22" i="6" s="1"/>
  <c r="M34" i="6" s="1"/>
  <c r="H37" i="6"/>
  <c r="P25" i="6" s="1"/>
  <c r="P37" i="6" s="1"/>
  <c r="D36" i="6"/>
  <c r="L24" i="6" s="1"/>
  <c r="L36" i="6" s="1"/>
  <c r="H35" i="6"/>
  <c r="P23" i="6" s="1"/>
  <c r="P35" i="6" s="1"/>
  <c r="D34" i="6"/>
  <c r="L22" i="6" s="1"/>
  <c r="L34" i="6" s="1"/>
  <c r="H33" i="6"/>
  <c r="P21" i="6" s="1"/>
  <c r="P33" i="6" s="1"/>
  <c r="G37" i="6"/>
  <c r="O25" i="6" s="1"/>
  <c r="O37" i="6" s="1"/>
  <c r="G35" i="6"/>
  <c r="O23" i="6" s="1"/>
  <c r="O35" i="6" s="1"/>
  <c r="C34" i="6"/>
  <c r="K22" i="6"/>
  <c r="K33" i="3" l="1"/>
  <c r="K46" i="3" s="1"/>
  <c r="K52" i="3" s="1"/>
  <c r="K70" i="3" s="1"/>
  <c r="K71" i="3" s="1"/>
  <c r="M7" i="5"/>
  <c r="L7" i="3"/>
  <c r="L42" i="3" s="1"/>
  <c r="L32" i="6"/>
  <c r="L20" i="6"/>
  <c r="D32" i="6"/>
  <c r="C37" i="6"/>
  <c r="G126" i="3"/>
  <c r="K117" i="3"/>
  <c r="K121" i="3" s="1"/>
  <c r="K126" i="3" s="1"/>
  <c r="L77" i="3" l="1"/>
  <c r="K114" i="3"/>
  <c r="L114" i="3" s="1"/>
  <c r="M114" i="3" s="1"/>
  <c r="N114" i="3" s="1"/>
  <c r="O114" i="3" s="1"/>
  <c r="P114" i="3" s="1"/>
  <c r="J114" i="3"/>
  <c r="K128" i="3"/>
  <c r="N7" i="5"/>
  <c r="M7" i="3"/>
  <c r="L117" i="3"/>
  <c r="M117" i="3"/>
  <c r="N117" i="3"/>
  <c r="L47" i="3"/>
  <c r="M47" i="3"/>
  <c r="N47" i="3"/>
  <c r="O47" i="3"/>
  <c r="K93" i="3"/>
  <c r="L57" i="3"/>
  <c r="M57" i="3"/>
  <c r="N57" i="3"/>
  <c r="O57" i="3"/>
  <c r="K91" i="3"/>
  <c r="K92" i="3"/>
  <c r="K94" i="3" l="1"/>
  <c r="O7" i="5"/>
  <c r="O7" i="3" s="1"/>
  <c r="N7" i="3"/>
  <c r="L91" i="3"/>
  <c r="L82" i="3"/>
  <c r="L83" i="3"/>
  <c r="M42" i="3"/>
  <c r="M77" i="3"/>
  <c r="O117" i="3"/>
  <c r="P117" i="3" s="1"/>
  <c r="L93" i="3"/>
  <c r="L84" i="3"/>
  <c r="M84" i="3" s="1"/>
  <c r="N84" i="3" s="1"/>
  <c r="O84" i="3" s="1"/>
  <c r="L92" i="3"/>
  <c r="M92" i="3" s="1"/>
  <c r="N92" i="3" s="1"/>
  <c r="O92" i="3" s="1"/>
  <c r="M91" i="3" l="1"/>
  <c r="L94" i="3"/>
  <c r="M93" i="3"/>
  <c r="M82" i="3"/>
  <c r="M83" i="3"/>
  <c r="N42" i="3"/>
  <c r="N77" i="3"/>
  <c r="N121" i="3"/>
  <c r="N126" i="3" s="1"/>
  <c r="L99" i="3"/>
  <c r="N91" i="3" l="1"/>
  <c r="M94" i="3"/>
  <c r="N93" i="3"/>
  <c r="N82" i="3"/>
  <c r="L46" i="3"/>
  <c r="M46" i="3"/>
  <c r="M52" i="3" s="1"/>
  <c r="M70" i="3" s="1"/>
  <c r="N46" i="3"/>
  <c r="O46" i="3"/>
  <c r="O52" i="3" s="1"/>
  <c r="O70" i="3" s="1"/>
  <c r="O42" i="3"/>
  <c r="O77" i="3"/>
  <c r="N128" i="3"/>
  <c r="O121" i="3"/>
  <c r="O126" i="3" s="1"/>
  <c r="P121" i="3"/>
  <c r="O127" i="3" s="1"/>
  <c r="F134" i="3" s="1"/>
  <c r="M99" i="3"/>
  <c r="L121" i="3"/>
  <c r="L126" i="3" s="1"/>
  <c r="M121" i="3"/>
  <c r="M126" i="3" s="1"/>
  <c r="F133" i="3" l="1"/>
  <c r="F135" i="3" s="1"/>
  <c r="O91" i="3"/>
  <c r="N94" i="3"/>
  <c r="O93" i="3"/>
  <c r="L52" i="3"/>
  <c r="L70" i="3" s="1"/>
  <c r="N52" i="3"/>
  <c r="N70" i="3" s="1"/>
  <c r="K85" i="3"/>
  <c r="K100" i="3" s="1"/>
  <c r="L69" i="3"/>
  <c r="L81" i="3" s="1"/>
  <c r="O82" i="3"/>
  <c r="O83" i="3"/>
  <c r="M128" i="3"/>
  <c r="L128" i="3"/>
  <c r="N99" i="3"/>
  <c r="G133" i="3" l="1"/>
  <c r="G140" i="3"/>
  <c r="G142" i="3" s="1"/>
  <c r="N133" i="3" s="1"/>
  <c r="N135" i="3" s="1"/>
  <c r="N140" i="3" s="1"/>
  <c r="N142" i="3" s="1"/>
  <c r="O94" i="3"/>
  <c r="O128" i="3"/>
  <c r="L71" i="3"/>
  <c r="L85" i="3" s="1"/>
  <c r="L100" i="3" s="1"/>
  <c r="K101" i="3"/>
  <c r="K103" i="3" s="1"/>
  <c r="K106" i="3" s="1"/>
  <c r="O99" i="3"/>
  <c r="M69" i="3" l="1"/>
  <c r="L101" i="3"/>
  <c r="L103" i="3" s="1"/>
  <c r="L106" i="3" s="1"/>
  <c r="G135" i="3"/>
  <c r="G12" i="6"/>
  <c r="C20" i="6" s="1"/>
  <c r="G134" i="3"/>
  <c r="M71" i="3" l="1"/>
  <c r="M81" i="3"/>
  <c r="N69" i="3" s="1"/>
  <c r="M85" i="3" l="1"/>
  <c r="M100" i="3" s="1"/>
  <c r="M101" i="3" s="1"/>
  <c r="M103" i="3" s="1"/>
  <c r="M106" i="3" s="1"/>
  <c r="N71" i="3"/>
  <c r="N81" i="3"/>
  <c r="N85" i="3" s="1"/>
  <c r="N16" i="2" l="1"/>
  <c r="N100" i="3"/>
  <c r="N101" i="3" s="1"/>
  <c r="N103" i="3" s="1"/>
  <c r="N106" i="3" s="1"/>
  <c r="O69" i="3"/>
  <c r="O71" i="3" l="1"/>
  <c r="O81" i="3"/>
  <c r="O85" i="3" l="1"/>
  <c r="O100" i="3" s="1"/>
  <c r="O101" i="3" s="1"/>
  <c r="O103" i="3" s="1"/>
  <c r="O106" i="3" s="1"/>
</calcChain>
</file>

<file path=xl/sharedStrings.xml><?xml version="1.0" encoding="utf-8"?>
<sst xmlns="http://schemas.openxmlformats.org/spreadsheetml/2006/main" count="200" uniqueCount="126">
  <si>
    <t xml:space="preserve"> </t>
  </si>
  <si>
    <t>https://corporatefinanceinstitute.com/</t>
  </si>
  <si>
    <t>except in the case of certain noncommercial uses permitted by copyright law.</t>
  </si>
  <si>
    <t xml:space="preserve">form by any means, including photocopying, recording, or other electronic or mechanical methods, without prior written permission of the publisher, </t>
  </si>
  <si>
    <t>under international copyright and trademark laws.  No part of this publication may be modified, manipulated, reproduced, distributed, or transmitted in any</t>
  </si>
  <si>
    <t>All rights reserved.  The contents of this publication, including but not limited to all written material, content layout, images, formulas, and code, are protected</t>
  </si>
  <si>
    <t>This Excel model is for educational purposes only and should not be used for any other reason. All content is Copyright material of CFI Education Inc.</t>
  </si>
  <si>
    <t>© 2015 to 2023 CFI Education Inc.</t>
  </si>
  <si>
    <t>Balance Sheet Balanced?</t>
  </si>
  <si>
    <t>Model</t>
  </si>
  <si>
    <t>Model Check</t>
  </si>
  <si>
    <t>Table of Contents</t>
  </si>
  <si>
    <t>Strictly Confidential</t>
  </si>
  <si>
    <t>Compact Valuation Model</t>
  </si>
  <si>
    <t xml:space="preserve">This table requires the workbook calculation to be set to automatic to update. </t>
  </si>
  <si>
    <t xml:space="preserve">WACC = Weighted Average Cost of Capital. </t>
  </si>
  <si>
    <t>WACC</t>
  </si>
  <si>
    <t>Terminal Growth Rate</t>
  </si>
  <si>
    <t>PREMIUM (DISCOUNT) TO CURRENT PRICE</t>
  </si>
  <si>
    <t>EQUITY VALUE</t>
  </si>
  <si>
    <t>EQUITY VALUE PER SHARE</t>
  </si>
  <si>
    <t>Net Debt</t>
  </si>
  <si>
    <t>Enterprise Value</t>
  </si>
  <si>
    <t>($/sh)</t>
  </si>
  <si>
    <t>Current Price</t>
  </si>
  <si>
    <r>
      <t xml:space="preserve">WACC </t>
    </r>
    <r>
      <rPr>
        <vertAlign val="superscript"/>
        <sz val="9"/>
        <color rgb="FF000000"/>
        <rFont val="Open Sans"/>
        <family val="2"/>
      </rPr>
      <t>1</t>
    </r>
  </si>
  <si>
    <t>(FD 000)</t>
  </si>
  <si>
    <t>Shares Outstanding</t>
  </si>
  <si>
    <t>All figures in USD thousands unless stated</t>
  </si>
  <si>
    <t>Sensitivity Analysis</t>
  </si>
  <si>
    <t xml:space="preserve">The growing perpetuity method was used to calculate the terminal value. </t>
  </si>
  <si>
    <t>Premium (Discount)</t>
  </si>
  <si>
    <t>Equity Value</t>
  </si>
  <si>
    <t>(USD/sh)</t>
  </si>
  <si>
    <t>Less: Net Debt</t>
  </si>
  <si>
    <t>PREMIUM (DISCOUNT)</t>
  </si>
  <si>
    <t>PV of Terminal</t>
  </si>
  <si>
    <t>PV of Discrete</t>
  </si>
  <si>
    <t>ENTERPRISE VALUE</t>
  </si>
  <si>
    <t>Total Cash Flow</t>
  </si>
  <si>
    <t>Discrete Forecast</t>
  </si>
  <si>
    <t>First Year of Forecast</t>
  </si>
  <si>
    <t>CASH FLOW PROFILES</t>
  </si>
  <si>
    <t>ASSUMPTIONS</t>
  </si>
  <si>
    <t>UNLEVERED FREE CASH FLOW</t>
  </si>
  <si>
    <t>(YY-MM-DD)</t>
  </si>
  <si>
    <t>Term</t>
  </si>
  <si>
    <t>Valuation</t>
  </si>
  <si>
    <t>Discounted Cash Flow Schedule</t>
  </si>
  <si>
    <t>Unlevered Free Cash Flow</t>
  </si>
  <si>
    <t>EBITDA</t>
  </si>
  <si>
    <t>Current Tax</t>
  </si>
  <si>
    <t>Check</t>
  </si>
  <si>
    <t>Total Liabilities &amp; Equity</t>
  </si>
  <si>
    <t>Shareholders' Equity</t>
  </si>
  <si>
    <t>Retained Earnings</t>
  </si>
  <si>
    <t>Equity Capital</t>
  </si>
  <si>
    <t>EQUITY</t>
  </si>
  <si>
    <t>Total Liabilities</t>
  </si>
  <si>
    <t>Deferred Taxes</t>
  </si>
  <si>
    <t>Term Loan</t>
  </si>
  <si>
    <t>Line of Credit</t>
  </si>
  <si>
    <t>Accounts Payable</t>
  </si>
  <si>
    <t>LIABILITIES</t>
  </si>
  <si>
    <t>Total Assets</t>
  </si>
  <si>
    <t>Property Plant &amp; Equipment</t>
  </si>
  <si>
    <t>Inventory</t>
  </si>
  <si>
    <t>Accounts Receivable</t>
  </si>
  <si>
    <t>Cash</t>
  </si>
  <si>
    <t>ASSETS</t>
  </si>
  <si>
    <t>Balance Sheet</t>
  </si>
  <si>
    <t>Ending</t>
  </si>
  <si>
    <t>Change in Cash</t>
  </si>
  <si>
    <t>Beginning</t>
  </si>
  <si>
    <t>CASH BALANCE</t>
  </si>
  <si>
    <t>Subtotal</t>
  </si>
  <si>
    <t>Payment of Dividends</t>
  </si>
  <si>
    <t>Equity Issue / (Buyback)</t>
  </si>
  <si>
    <t>Term Loan Issue / (Repay)</t>
  </si>
  <si>
    <t>Line of Credit Issue / (Repay)</t>
  </si>
  <si>
    <t>CASH FROM FINANCING</t>
  </si>
  <si>
    <t>Capital Expenditure</t>
  </si>
  <si>
    <t>CASH FROM INVESTING</t>
  </si>
  <si>
    <t>Cash from Accounts Payable</t>
  </si>
  <si>
    <t>Cash from Inventory</t>
  </si>
  <si>
    <t>Cash from Accounts Receivable</t>
  </si>
  <si>
    <t>Deferred Tax</t>
  </si>
  <si>
    <t>Depreciation</t>
  </si>
  <si>
    <t>Net Income</t>
  </si>
  <si>
    <t>CASH FROM OPERATIONS</t>
  </si>
  <si>
    <t>Cash Flow Statement</t>
  </si>
  <si>
    <t>EBT</t>
  </si>
  <si>
    <t>Interest Expense</t>
  </si>
  <si>
    <t>EBIT</t>
  </si>
  <si>
    <t>Other</t>
  </si>
  <si>
    <t>SG&amp;A</t>
  </si>
  <si>
    <t>Gross Profit</t>
  </si>
  <si>
    <t>COGS</t>
  </si>
  <si>
    <t>Revenue</t>
  </si>
  <si>
    <t>Income Statement</t>
  </si>
  <si>
    <t>Other Expenses</t>
  </si>
  <si>
    <t>Inputs</t>
  </si>
  <si>
    <t>INCOME STATEMENT</t>
  </si>
  <si>
    <t>CASH FLOW STATEMENT</t>
  </si>
  <si>
    <t xml:space="preserve">Cash from working capital has been set to zero in the terminal year. </t>
  </si>
  <si>
    <t>Weighted Avg. Cost of Capital</t>
  </si>
  <si>
    <t>Cash From Operations</t>
  </si>
  <si>
    <t>Cash From Investing</t>
  </si>
  <si>
    <t>Cash From Financing</t>
  </si>
  <si>
    <t>Model Assumptions</t>
  </si>
  <si>
    <t>Outputs</t>
  </si>
  <si>
    <r>
      <t xml:space="preserve">Total Tax </t>
    </r>
    <r>
      <rPr>
        <vertAlign val="superscript"/>
        <sz val="10"/>
        <color rgb="FF000000"/>
        <rFont val="Open Sans"/>
        <family val="2"/>
      </rPr>
      <t>1</t>
    </r>
  </si>
  <si>
    <t>These are levered taxes calculated after the impact of interest expense.</t>
  </si>
  <si>
    <t>Terminal year EBITDA is equal to previous year grown at the terminal growth rate.</t>
  </si>
  <si>
    <t>These are unlevered taxes calculated before the impact of interest expense.</t>
  </si>
  <si>
    <r>
      <t xml:space="preserve">Current Tax (Levered) </t>
    </r>
    <r>
      <rPr>
        <vertAlign val="superscript"/>
        <sz val="10"/>
        <color rgb="FF000000"/>
        <rFont val="Open Sans"/>
        <family val="2"/>
      </rPr>
      <t>1</t>
    </r>
  </si>
  <si>
    <r>
      <t xml:space="preserve">Deferred Tax (Levered) </t>
    </r>
    <r>
      <rPr>
        <vertAlign val="superscript"/>
        <sz val="10"/>
        <color rgb="FF000000"/>
        <rFont val="Open Sans"/>
        <family val="2"/>
      </rPr>
      <t>1</t>
    </r>
  </si>
  <si>
    <r>
      <t xml:space="preserve">Current Tax (Unlevered) </t>
    </r>
    <r>
      <rPr>
        <vertAlign val="superscript"/>
        <sz val="10"/>
        <color rgb="FF000000"/>
        <rFont val="Open Sans"/>
        <family val="2"/>
      </rPr>
      <t>2</t>
    </r>
  </si>
  <si>
    <t>Current taxes &amp; capital expenditure in terminal year have been set equal to the previous year.</t>
  </si>
  <si>
    <r>
      <t xml:space="preserve">ENTERPRISE VALUE </t>
    </r>
    <r>
      <rPr>
        <b/>
        <vertAlign val="superscript"/>
        <sz val="9"/>
        <color rgb="FF000000"/>
        <rFont val="Open Sans"/>
        <family val="2"/>
      </rPr>
      <t>2</t>
    </r>
  </si>
  <si>
    <t>Forecasts</t>
  </si>
  <si>
    <r>
      <t xml:space="preserve">EBITDA </t>
    </r>
    <r>
      <rPr>
        <vertAlign val="superscript"/>
        <sz val="10"/>
        <color rgb="FF000000"/>
        <rFont val="Open Sans"/>
        <family val="2"/>
      </rPr>
      <t>1</t>
    </r>
  </si>
  <si>
    <r>
      <t xml:space="preserve">Current Taxes (Unlevered) </t>
    </r>
    <r>
      <rPr>
        <vertAlign val="superscript"/>
        <sz val="10"/>
        <color rgb="FF000000"/>
        <rFont val="Open Sans"/>
        <family val="2"/>
      </rPr>
      <t>2</t>
    </r>
  </si>
  <si>
    <r>
      <t xml:space="preserve">Capital Expenditure </t>
    </r>
    <r>
      <rPr>
        <vertAlign val="superscript"/>
        <sz val="10"/>
        <color rgb="FF000000"/>
        <rFont val="Open Sans"/>
        <family val="2"/>
      </rPr>
      <t>2</t>
    </r>
  </si>
  <si>
    <r>
      <t xml:space="preserve">Cash from Working Capital </t>
    </r>
    <r>
      <rPr>
        <vertAlign val="superscript"/>
        <sz val="10"/>
        <color rgb="FF000000"/>
        <rFont val="Open Sans"/>
        <family val="2"/>
      </rPr>
      <t>3</t>
    </r>
  </si>
  <si>
    <r>
      <t xml:space="preserve">Terminal Value </t>
    </r>
    <r>
      <rPr>
        <vertAlign val="superscript"/>
        <sz val="10"/>
        <color rgb="FF000000"/>
        <rFont val="Open Sans"/>
        <family val="2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</si>
</sst>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_(#,##0_)_%;\(#,##0\)_%;_(&quot;–&quot;_)_%;_(@_)_%"/>
    <numFmt numFmtId="165" formatCode="&quot;Yes&quot;;&quot;ERROR&quot;;&quot;No&quot;;&quot;ERROR&quot;"/>
    <numFmt numFmtId="166" formatCode="0.0%"/>
    <numFmt numFmtId="167" formatCode="@\⁽\²\⁾"/>
    <numFmt numFmtId="168" formatCode="@\⁽\¹\⁾"/>
    <numFmt numFmtId="169" formatCode="0&quot;A&quot;"/>
    <numFmt numFmtId="170" formatCode="_(#,##0.0%_);\(#,##0.0%\);_(&quot;–&quot;_)_%;_(@_)_%"/>
    <numFmt numFmtId="171" formatCode="_(#,##0_);\(#,##0\);_(&quot;–&quot;_);_(@_)"/>
    <numFmt numFmtId="172" formatCode="#,##0_);\(#,##0\);\-"/>
    <numFmt numFmtId="173" formatCode="_(#,##0.00_);\(#,##0.00\);_(&quot;–&quot;_);_(@_)"/>
    <numFmt numFmtId="174" formatCode="#,##0.00_);\(#,##0.00\);\-"/>
    <numFmt numFmtId="175" formatCode="yy/mm/dd"/>
    <numFmt numFmtId="176" formatCode="0&quot;E&quot;"/>
    <numFmt numFmtId="177" formatCode="#,##0_);[Red]\(#,##0\);\-"/>
    <numFmt numFmtId="178" formatCode="_(#,##0%_);\(#,##0%\);_(&quot;–&quot;_)_%;_(@_)_%"/>
    <numFmt numFmtId="179" formatCode="0000"/>
    <numFmt numFmtId="180" formatCode="0&quot;F&quot;"/>
    <numFmt numFmtId="181" formatCode="_(* #,##0.00_);_(* \(#,##0.00\);_(* &quot;-&quot;??_);_(@_)"/>
    <numFmt numFmtId="182" formatCode="_-* #,##0_-;\(#,##0\)_-;_-* &quot;-&quot;_-;_-@_-"/>
    <numFmt numFmtId="183" formatCode="_(#,##0.0%_);\(#,##0.0%\);_(&quot;–&quot;_);_(@_)"/>
    <numFmt numFmtId="184" formatCode="@\⁽\⁴\⁾"/>
    <numFmt numFmtId="185" formatCode="@\⁽\³\⁾"/>
    <numFmt numFmtId="186" formatCode="_(&quot;Yes&quot;_);_(&quot;ERROR&quot;_);_(&quot;No&quot;_);_(&quot;ERROR&quot;_)"/>
    <numFmt numFmtId="187" formatCode=";;;"/>
  </numFmts>
  <fonts count="60" x14ac:knownFonts="1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sz val="10"/>
      <color theme="0"/>
      <name val="Open Sans"/>
      <family val="2"/>
    </font>
    <font>
      <sz val="11"/>
      <color theme="1"/>
      <name val="Open Sans"/>
      <family val="2"/>
    </font>
    <font>
      <sz val="11"/>
      <color theme="0"/>
      <name val="Open Sans"/>
      <family val="2"/>
    </font>
    <font>
      <b/>
      <sz val="12"/>
      <color theme="0"/>
      <name val="Open Sans"/>
      <family val="2"/>
    </font>
    <font>
      <u/>
      <sz val="10"/>
      <color theme="10"/>
      <name val="Arial"/>
      <family val="2"/>
    </font>
    <font>
      <sz val="12"/>
      <color theme="1"/>
      <name val="Open Sans"/>
      <family val="2"/>
    </font>
    <font>
      <u/>
      <sz val="12"/>
      <color theme="10"/>
      <name val="Open Sans"/>
      <family val="2"/>
    </font>
    <font>
      <sz val="12"/>
      <color rgb="FF002060"/>
      <name val="Open Sans"/>
      <family val="2"/>
    </font>
    <font>
      <sz val="12"/>
      <color rgb="FF000000"/>
      <name val="Open Sans"/>
      <family val="2"/>
    </font>
    <font>
      <b/>
      <sz val="11"/>
      <color theme="1"/>
      <name val="Open Sans"/>
      <family val="2"/>
    </font>
    <font>
      <b/>
      <sz val="14"/>
      <color rgb="FF132E57"/>
      <name val="Open Sans"/>
      <family val="2"/>
    </font>
    <font>
      <b/>
      <sz val="20"/>
      <color rgb="FF4472C4"/>
      <name val="Open Sans"/>
      <family val="2"/>
    </font>
    <font>
      <sz val="11"/>
      <name val="Open Sans"/>
      <family val="2"/>
    </font>
    <font>
      <sz val="10"/>
      <name val="Open Sans"/>
      <family val="2"/>
    </font>
    <font>
      <b/>
      <sz val="10"/>
      <name val="Open Sans"/>
      <family val="2"/>
    </font>
    <font>
      <b/>
      <sz val="10"/>
      <color rgb="FF000000"/>
      <name val="Open Sans"/>
      <family val="2"/>
    </font>
    <font>
      <sz val="11"/>
      <color rgb="FF000000"/>
      <name val="Calibri"/>
      <family val="2"/>
      <scheme val="minor"/>
    </font>
    <font>
      <sz val="14"/>
      <color theme="1"/>
      <name val="Open Sans"/>
      <family val="2"/>
    </font>
    <font>
      <sz val="10"/>
      <color rgb="FF000000"/>
      <name val="Open Sans"/>
      <family val="2"/>
    </font>
    <font>
      <i/>
      <sz val="10"/>
      <color rgb="FF000000"/>
      <name val="Open Sans"/>
      <family val="2"/>
    </font>
    <font>
      <sz val="11"/>
      <color rgb="FF000000"/>
      <name val="Open Sans"/>
      <family val="2"/>
    </font>
    <font>
      <sz val="10"/>
      <color rgb="FF3271D2"/>
      <name val="Open Sans"/>
      <family val="2"/>
    </font>
    <font>
      <vertAlign val="superscript"/>
      <sz val="9"/>
      <color rgb="FF000000"/>
      <name val="Open Sans"/>
      <family val="2"/>
    </font>
    <font>
      <b/>
      <sz val="14"/>
      <color rgb="FF0000FF"/>
      <name val="Open Sans"/>
      <family val="2"/>
    </font>
    <font>
      <i/>
      <sz val="9"/>
      <name val="Open Sans"/>
      <family val="2"/>
    </font>
    <font>
      <b/>
      <sz val="9"/>
      <color rgb="FF000000"/>
      <name val="Open Sans"/>
      <family val="2"/>
    </font>
    <font>
      <b/>
      <i/>
      <sz val="10"/>
      <color rgb="FF3271D2"/>
      <name val="Open Sans"/>
      <family val="2"/>
    </font>
    <font>
      <b/>
      <sz val="14"/>
      <color rgb="FF3271D2"/>
      <name val="Open Sans"/>
      <family val="2"/>
    </font>
    <font>
      <sz val="10"/>
      <color theme="9" tint="-0.249977111117893"/>
      <name val="Open Sans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3"/>
      <color rgb="FF000000"/>
      <name val="Open Sans"/>
      <family val="2"/>
    </font>
    <font>
      <sz val="14"/>
      <color rgb="FF000000"/>
      <name val="Open Sans"/>
      <family val="2"/>
    </font>
    <font>
      <b/>
      <sz val="11"/>
      <color rgb="FF000000"/>
      <name val="Open Sans"/>
      <family val="2"/>
    </font>
    <font>
      <b/>
      <sz val="14"/>
      <color rgb="FF000000"/>
      <name val="Open Sans"/>
      <family val="2"/>
    </font>
    <font>
      <b/>
      <sz val="13"/>
      <color theme="0"/>
      <name val="Open Sans"/>
      <family val="2"/>
    </font>
    <font>
      <sz val="13"/>
      <color theme="0"/>
      <name val="Open Sans"/>
      <family val="2"/>
    </font>
    <font>
      <b/>
      <sz val="16"/>
      <color theme="0"/>
      <name val="Open Sans"/>
      <family val="2"/>
    </font>
    <font>
      <sz val="8"/>
      <color theme="1"/>
      <name val="Open Sans"/>
      <family val="2"/>
    </font>
    <font>
      <b/>
      <sz val="10"/>
      <color rgb="FFFA621C"/>
      <name val="Open Sans"/>
      <family val="2"/>
    </font>
    <font>
      <sz val="9"/>
      <color rgb="FF000000"/>
      <name val="Open Sans"/>
      <family val="2"/>
    </font>
    <font>
      <vertAlign val="superscript"/>
      <sz val="10"/>
      <color rgb="FF000000"/>
      <name val="Open Sans"/>
      <family val="2"/>
    </font>
    <font>
      <sz val="11"/>
      <color rgb="FF3271D2"/>
      <name val="Open Sans"/>
      <family val="2"/>
    </font>
    <font>
      <i/>
      <sz val="9"/>
      <color rgb="FF000000"/>
      <name val="Open Sans"/>
      <family val="2"/>
    </font>
    <font>
      <sz val="14"/>
      <color rgb="FF3271D2"/>
      <name val="Open Sans"/>
      <family val="2"/>
    </font>
    <font>
      <i/>
      <sz val="8"/>
      <color rgb="FF000000"/>
      <name val="Open Sans"/>
      <family val="2"/>
    </font>
    <font>
      <b/>
      <sz val="10"/>
      <color rgb="FF3271D2"/>
      <name val="Open Sans"/>
      <family val="2"/>
    </font>
    <font>
      <b/>
      <i/>
      <sz val="10"/>
      <color rgb="FF000000"/>
      <name val="Open Sans"/>
      <family val="2"/>
    </font>
    <font>
      <b/>
      <sz val="13"/>
      <color rgb="FF000000"/>
      <name val="Open Sans"/>
      <family val="2"/>
    </font>
    <font>
      <sz val="8"/>
      <color rgb="FF000000"/>
      <name val="Open Sans"/>
      <family val="2"/>
    </font>
    <font>
      <b/>
      <vertAlign val="superscript"/>
      <sz val="9"/>
      <color rgb="FF000000"/>
      <name val="Open Sans"/>
      <family val="2"/>
    </font>
    <font>
      <sz val="12"/>
      <color rgb="FF289A72"/>
      <name val="Open Sans"/>
      <family val="2"/>
    </font>
    <font>
      <b/>
      <u/>
      <sz val="10"/>
      <color rgb="FF000000"/>
      <name val="Open Sans"/>
      <family val="2"/>
    </font>
    <font>
      <b/>
      <sz val="11"/>
      <color rgb="FF000000"/>
      <name val="Calibri"/>
      <family val="2"/>
      <scheme val="minor"/>
    </font>
    <font>
      <sz val="14"/>
      <color theme="0"/>
      <name val="Open Sans"/>
      <family val="2"/>
    </font>
  </fonts>
  <fills count="1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132E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5F7"/>
        <bgColor rgb="FF00C8FF"/>
      </patternFill>
    </fill>
    <fill>
      <patternFill patternType="solid">
        <fgColor rgb="FFD9E5F7"/>
        <bgColor rgb="FF000000"/>
      </patternFill>
    </fill>
    <fill>
      <patternFill patternType="solid">
        <fgColor rgb="FF132E57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4AB867"/>
      </patternFill>
    </fill>
    <fill>
      <patternFill patternType="solid">
        <fgColor rgb="FFF2F2F2"/>
        <bgColor rgb="FFA4DCB3"/>
      </patternFill>
    </fill>
    <fill>
      <patternFill patternType="solid">
        <fgColor rgb="FFF2F2F2"/>
        <bgColor rgb="FFF6A7A8"/>
      </patternFill>
    </fill>
    <fill>
      <patternFill patternType="solid">
        <fgColor rgb="FFF2F2F2"/>
        <bgColor rgb="FFEE5255"/>
      </patternFill>
    </fill>
    <fill>
      <patternFill patternType="solid">
        <fgColor rgb="FFF2F2F2"/>
        <bgColor rgb="FFB1E0BE"/>
      </patternFill>
    </fill>
    <fill>
      <patternFill patternType="solid">
        <fgColor rgb="FFF2F2F2"/>
        <bgColor rgb="FFFBD2D3"/>
      </patternFill>
    </fill>
    <fill>
      <patternFill patternType="solid">
        <fgColor rgb="FFD9E5F7"/>
        <bgColor rgb="FFFFFFFF"/>
      </patternFill>
    </fill>
  </fills>
  <borders count="35">
    <border>
      <left/>
      <right/>
      <top/>
      <bottom/>
      <diagonal/>
    </border>
    <border>
      <left/>
      <right/>
      <top style="medium">
        <color rgb="FF132E57"/>
      </top>
      <bottom/>
      <diagonal/>
    </border>
    <border>
      <left style="medium">
        <color rgb="FF132E57"/>
      </left>
      <right/>
      <top/>
      <bottom/>
      <diagonal/>
    </border>
    <border>
      <left/>
      <right/>
      <top style="thin">
        <color rgb="FF132E57"/>
      </top>
      <bottom/>
      <diagonal/>
    </border>
    <border>
      <left style="medium">
        <color rgb="FF132E57"/>
      </left>
      <right/>
      <top style="medium">
        <color rgb="FF132E57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thin">
        <color rgb="FF3271D2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medium">
        <color rgb="FF3271D2"/>
      </top>
      <bottom/>
      <diagonal/>
    </border>
    <border>
      <left style="thin">
        <color rgb="FF3271D2"/>
      </left>
      <right/>
      <top/>
      <bottom/>
      <diagonal/>
    </border>
    <border>
      <left style="thin">
        <color rgb="FF3271D2"/>
      </left>
      <right style="thin">
        <color rgb="FF3271D2"/>
      </right>
      <top/>
      <bottom/>
      <diagonal/>
    </border>
    <border>
      <left style="thin">
        <color rgb="FF3271D2"/>
      </left>
      <right style="thin">
        <color rgb="FF3271D2"/>
      </right>
      <top style="thin">
        <color rgb="FF3271D2"/>
      </top>
      <bottom/>
      <diagonal/>
    </border>
    <border>
      <left style="thin">
        <color rgb="FF3271D2"/>
      </left>
      <right/>
      <top style="thin">
        <color rgb="FF3271D2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medium">
        <color rgb="FF3271D2"/>
      </bottom>
      <diagonal/>
    </border>
    <border>
      <left/>
      <right/>
      <top style="thin">
        <color rgb="FFFA621C"/>
      </top>
      <bottom/>
      <diagonal/>
    </border>
    <border>
      <left style="thin">
        <color rgb="FFFA621C"/>
      </left>
      <right/>
      <top/>
      <bottom/>
      <diagonal/>
    </border>
    <border>
      <left style="thin">
        <color rgb="FFFA621C"/>
      </left>
      <right/>
      <top style="thin">
        <color rgb="FFFA621C"/>
      </top>
      <bottom/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34" fillId="0" borderId="0"/>
    <xf numFmtId="181" fontId="35" fillId="0" borderId="0" applyFont="0" applyFill="0" applyBorder="0" applyAlignment="0" applyProtection="0"/>
  </cellStyleXfs>
  <cellXfs count="305">
    <xf numFmtId="0" fontId="0" fillId="0" borderId="0" xfId="0"/>
    <xf numFmtId="0" fontId="6" fillId="4" borderId="0" xfId="3" applyFont="1" applyFill="1"/>
    <xf numFmtId="0" fontId="6" fillId="0" borderId="0" xfId="3" applyFont="1"/>
    <xf numFmtId="0" fontId="6" fillId="0" borderId="1" xfId="3" applyFont="1" applyBorder="1"/>
    <xf numFmtId="0" fontId="6" fillId="0" borderId="2" xfId="3" applyFont="1" applyBorder="1"/>
    <xf numFmtId="0" fontId="10" fillId="0" borderId="0" xfId="4" applyFont="1" applyFill="1" applyBorder="1"/>
    <xf numFmtId="164" fontId="11" fillId="0" borderId="0" xfId="4" applyNumberFormat="1" applyFont="1" applyFill="1" applyBorder="1"/>
    <xf numFmtId="0" fontId="12" fillId="0" borderId="0" xfId="4" applyFont="1" applyFill="1" applyBorder="1" applyProtection="1">
      <protection locked="0"/>
    </xf>
    <xf numFmtId="165" fontId="13" fillId="0" borderId="0" xfId="4" applyNumberFormat="1" applyFont="1" applyFill="1" applyBorder="1" applyAlignment="1" applyProtection="1">
      <alignment horizontal="center"/>
      <protection locked="0"/>
    </xf>
    <xf numFmtId="164" fontId="13" fillId="0" borderId="0" xfId="4" applyNumberFormat="1" applyFont="1" applyFill="1" applyBorder="1" applyAlignment="1" applyProtection="1">
      <alignment horizontal="left"/>
      <protection locked="0"/>
    </xf>
    <xf numFmtId="164" fontId="11" fillId="0" borderId="0" xfId="4" applyNumberFormat="1" applyFont="1" applyFill="1" applyBorder="1" applyProtection="1">
      <protection locked="0"/>
    </xf>
    <xf numFmtId="0" fontId="13" fillId="0" borderId="0" xfId="4" applyNumberFormat="1" applyFont="1" applyFill="1" applyBorder="1" applyAlignment="1" applyProtection="1">
      <alignment horizontal="left"/>
      <protection locked="0"/>
    </xf>
    <xf numFmtId="0" fontId="6" fillId="0" borderId="3" xfId="3" applyFont="1" applyBorder="1"/>
    <xf numFmtId="0" fontId="6" fillId="3" borderId="2" xfId="3" applyFont="1" applyFill="1" applyBorder="1"/>
    <xf numFmtId="0" fontId="6" fillId="3" borderId="1" xfId="3" applyFont="1" applyFill="1" applyBorder="1"/>
    <xf numFmtId="0" fontId="6" fillId="3" borderId="4" xfId="3" applyFont="1" applyFill="1" applyBorder="1"/>
    <xf numFmtId="0" fontId="6" fillId="0" borderId="0" xfId="0" applyFont="1"/>
    <xf numFmtId="0" fontId="17" fillId="0" borderId="0" xfId="0" applyFont="1"/>
    <xf numFmtId="0" fontId="4" fillId="0" borderId="0" xfId="0" applyFont="1" applyAlignment="1">
      <alignment horizontal="left"/>
    </xf>
    <xf numFmtId="166" fontId="18" fillId="0" borderId="5" xfId="2" applyNumberFormat="1" applyFont="1" applyFill="1" applyBorder="1"/>
    <xf numFmtId="0" fontId="18" fillId="0" borderId="5" xfId="0" applyFont="1" applyBorder="1"/>
    <xf numFmtId="0" fontId="18" fillId="0" borderId="5" xfId="0" applyFont="1" applyBorder="1" applyAlignment="1">
      <alignment horizontal="center"/>
    </xf>
    <xf numFmtId="0" fontId="19" fillId="0" borderId="5" xfId="0" applyFont="1" applyBorder="1"/>
    <xf numFmtId="0" fontId="20" fillId="0" borderId="5" xfId="0" applyFont="1" applyBorder="1" applyAlignment="1">
      <alignment horizontal="left"/>
    </xf>
    <xf numFmtId="0" fontId="21" fillId="0" borderId="0" xfId="0" applyFont="1"/>
    <xf numFmtId="37" fontId="22" fillId="0" borderId="0" xfId="0" applyNumberFormat="1" applyFont="1" applyAlignment="1">
      <alignment vertical="center"/>
    </xf>
    <xf numFmtId="169" fontId="19" fillId="0" borderId="0" xfId="0" applyNumberFormat="1" applyFont="1" applyAlignment="1">
      <alignment horizontal="right"/>
    </xf>
    <xf numFmtId="37" fontId="3" fillId="0" borderId="0" xfId="0" applyNumberFormat="1" applyFont="1" applyAlignment="1">
      <alignment vertical="center"/>
    </xf>
    <xf numFmtId="170" fontId="23" fillId="0" borderId="0" xfId="2" applyNumberFormat="1" applyFont="1" applyFill="1" applyBorder="1" applyAlignment="1">
      <alignment horizontal="right" vertical="center"/>
    </xf>
    <xf numFmtId="170" fontId="23" fillId="0" borderId="6" xfId="1" applyNumberFormat="1" applyFont="1" applyFill="1" applyBorder="1" applyAlignment="1">
      <alignment horizontal="right" vertical="center"/>
    </xf>
    <xf numFmtId="170" fontId="23" fillId="0" borderId="5" xfId="1" applyNumberFormat="1" applyFont="1" applyFill="1" applyBorder="1" applyAlignment="1">
      <alignment horizontal="right" vertical="center"/>
    </xf>
    <xf numFmtId="170" fontId="23" fillId="0" borderId="7" xfId="1" applyNumberFormat="1" applyFont="1" applyFill="1" applyBorder="1" applyAlignment="1">
      <alignment horizontal="right" vertical="center"/>
    </xf>
    <xf numFmtId="170" fontId="24" fillId="0" borderId="0" xfId="2" applyNumberFormat="1" applyFont="1" applyFill="1" applyBorder="1" applyAlignment="1">
      <alignment horizontal="right" vertical="center"/>
    </xf>
    <xf numFmtId="171" fontId="23" fillId="0" borderId="6" xfId="1" applyNumberFormat="1" applyFont="1" applyFill="1" applyBorder="1" applyAlignment="1">
      <alignment vertical="center"/>
    </xf>
    <xf numFmtId="171" fontId="23" fillId="0" borderId="5" xfId="1" applyNumberFormat="1" applyFont="1" applyFill="1" applyBorder="1" applyAlignment="1">
      <alignment vertical="center"/>
    </xf>
    <xf numFmtId="171" fontId="23" fillId="0" borderId="7" xfId="1" applyNumberFormat="1" applyFont="1" applyFill="1" applyBorder="1" applyAlignment="1">
      <alignment vertical="center"/>
    </xf>
    <xf numFmtId="170" fontId="23" fillId="0" borderId="9" xfId="1" applyNumberFormat="1" applyFont="1" applyFill="1" applyBorder="1" applyAlignment="1">
      <alignment horizontal="right" vertical="center"/>
    </xf>
    <xf numFmtId="170" fontId="23" fillId="0" borderId="0" xfId="1" applyNumberFormat="1" applyFont="1" applyFill="1" applyAlignment="1">
      <alignment horizontal="right" vertical="center"/>
    </xf>
    <xf numFmtId="170" fontId="23" fillId="0" borderId="8" xfId="1" applyNumberFormat="1" applyFont="1" applyFill="1" applyBorder="1" applyAlignment="1">
      <alignment horizontal="right" vertical="center"/>
    </xf>
    <xf numFmtId="171" fontId="23" fillId="0" borderId="9" xfId="1" applyNumberFormat="1" applyFont="1" applyFill="1" applyBorder="1" applyAlignment="1">
      <alignment vertical="center"/>
    </xf>
    <xf numFmtId="171" fontId="23" fillId="0" borderId="0" xfId="1" applyNumberFormat="1" applyFont="1" applyFill="1" applyAlignment="1">
      <alignment vertical="center"/>
    </xf>
    <xf numFmtId="171" fontId="23" fillId="0" borderId="8" xfId="1" applyNumberFormat="1" applyFont="1" applyFill="1" applyBorder="1" applyAlignment="1">
      <alignment vertical="center"/>
    </xf>
    <xf numFmtId="170" fontId="20" fillId="0" borderId="10" xfId="1" applyNumberFormat="1" applyFont="1" applyFill="1" applyBorder="1" applyAlignment="1">
      <alignment horizontal="right" vertical="center"/>
    </xf>
    <xf numFmtId="171" fontId="20" fillId="0" borderId="10" xfId="1" applyNumberFormat="1" applyFont="1" applyFill="1" applyBorder="1" applyAlignment="1">
      <alignment vertical="center"/>
    </xf>
    <xf numFmtId="170" fontId="23" fillId="0" borderId="11" xfId="1" applyNumberFormat="1" applyFont="1" applyFill="1" applyBorder="1" applyAlignment="1">
      <alignment horizontal="right" vertical="center"/>
    </xf>
    <xf numFmtId="170" fontId="23" fillId="0" borderId="12" xfId="1" applyNumberFormat="1" applyFont="1" applyFill="1" applyBorder="1" applyAlignment="1">
      <alignment horizontal="right" vertical="center"/>
    </xf>
    <xf numFmtId="170" fontId="23" fillId="0" borderId="13" xfId="1" applyNumberFormat="1" applyFont="1" applyFill="1" applyBorder="1" applyAlignment="1">
      <alignment horizontal="right" vertical="center"/>
    </xf>
    <xf numFmtId="171" fontId="23" fillId="0" borderId="11" xfId="1" applyNumberFormat="1" applyFont="1" applyFill="1" applyBorder="1" applyAlignment="1">
      <alignment vertical="center"/>
    </xf>
    <xf numFmtId="171" fontId="23" fillId="0" borderId="12" xfId="1" applyNumberFormat="1" applyFont="1" applyFill="1" applyBorder="1" applyAlignment="1">
      <alignment vertical="center"/>
    </xf>
    <xf numFmtId="171" fontId="23" fillId="0" borderId="0" xfId="1" applyNumberFormat="1" applyFont="1" applyFill="1" applyBorder="1" applyAlignment="1">
      <alignment vertical="center"/>
    </xf>
    <xf numFmtId="172" fontId="23" fillId="0" borderId="0" xfId="0" applyNumberFormat="1" applyFont="1" applyAlignment="1">
      <alignment horizontal="right"/>
    </xf>
    <xf numFmtId="170" fontId="24" fillId="0" borderId="5" xfId="2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25" fillId="0" borderId="0" xfId="0" applyFont="1" applyAlignment="1">
      <alignment horizontal="centerContinuous"/>
    </xf>
    <xf numFmtId="0" fontId="23" fillId="0" borderId="0" xfId="0" applyFont="1" applyAlignment="1">
      <alignment horizontal="centerContinuous" vertical="center"/>
    </xf>
    <xf numFmtId="0" fontId="21" fillId="0" borderId="0" xfId="0" applyFont="1" applyAlignment="1">
      <alignment horizontal="left"/>
    </xf>
    <xf numFmtId="0" fontId="21" fillId="0" borderId="14" xfId="0" applyFont="1" applyBorder="1"/>
    <xf numFmtId="0" fontId="21" fillId="0" borderId="0" xfId="0" applyFont="1" applyAlignment="1">
      <alignment horizontal="centerContinuous"/>
    </xf>
    <xf numFmtId="0" fontId="20" fillId="0" borderId="0" xfId="0" applyFont="1" applyAlignment="1">
      <alignment horizontal="centerContinuous" vertical="center"/>
    </xf>
    <xf numFmtId="173" fontId="23" fillId="0" borderId="6" xfId="1" applyNumberFormat="1" applyFont="1" applyFill="1" applyBorder="1" applyAlignment="1">
      <alignment vertical="center"/>
    </xf>
    <xf numFmtId="173" fontId="23" fillId="0" borderId="5" xfId="1" applyNumberFormat="1" applyFont="1" applyFill="1" applyBorder="1" applyAlignment="1">
      <alignment vertical="center"/>
    </xf>
    <xf numFmtId="173" fontId="23" fillId="0" borderId="7" xfId="1" applyNumberFormat="1" applyFont="1" applyFill="1" applyBorder="1" applyAlignment="1">
      <alignment vertical="center"/>
    </xf>
    <xf numFmtId="173" fontId="23" fillId="0" borderId="9" xfId="1" applyNumberFormat="1" applyFont="1" applyFill="1" applyBorder="1" applyAlignment="1">
      <alignment vertical="center"/>
    </xf>
    <xf numFmtId="173" fontId="23" fillId="0" borderId="0" xfId="1" applyNumberFormat="1" applyFont="1" applyFill="1" applyAlignment="1">
      <alignment vertical="center"/>
    </xf>
    <xf numFmtId="173" fontId="23" fillId="0" borderId="8" xfId="1" applyNumberFormat="1" applyFont="1" applyFill="1" applyBorder="1" applyAlignment="1">
      <alignment vertical="center"/>
    </xf>
    <xf numFmtId="173" fontId="20" fillId="0" borderId="10" xfId="1" applyNumberFormat="1" applyFont="1" applyFill="1" applyBorder="1" applyAlignment="1">
      <alignment vertical="center"/>
    </xf>
    <xf numFmtId="173" fontId="23" fillId="0" borderId="11" xfId="1" applyNumberFormat="1" applyFont="1" applyFill="1" applyBorder="1" applyAlignment="1">
      <alignment vertical="center"/>
    </xf>
    <xf numFmtId="173" fontId="23" fillId="0" borderId="12" xfId="1" applyNumberFormat="1" applyFont="1" applyFill="1" applyBorder="1" applyAlignment="1">
      <alignment vertical="center"/>
    </xf>
    <xf numFmtId="173" fontId="23" fillId="0" borderId="13" xfId="1" applyNumberFormat="1" applyFont="1" applyFill="1" applyBorder="1" applyAlignment="1">
      <alignment vertical="center"/>
    </xf>
    <xf numFmtId="171" fontId="23" fillId="0" borderId="13" xfId="1" applyNumberFormat="1" applyFont="1" applyFill="1" applyBorder="1" applyAlignment="1">
      <alignment vertical="center"/>
    </xf>
    <xf numFmtId="174" fontId="23" fillId="0" borderId="0" xfId="0" applyNumberFormat="1" applyFont="1" applyAlignment="1">
      <alignment horizontal="right"/>
    </xf>
    <xf numFmtId="172" fontId="20" fillId="0" borderId="0" xfId="0" applyNumberFormat="1" applyFont="1"/>
    <xf numFmtId="172" fontId="23" fillId="0" borderId="0" xfId="0" applyNumberFormat="1" applyFont="1"/>
    <xf numFmtId="171" fontId="23" fillId="0" borderId="0" xfId="0" applyNumberFormat="1" applyFont="1"/>
    <xf numFmtId="171" fontId="23" fillId="0" borderId="6" xfId="0" applyNumberFormat="1" applyFont="1" applyBorder="1"/>
    <xf numFmtId="169" fontId="3" fillId="0" borderId="0" xfId="0" applyNumberFormat="1" applyFont="1" applyAlignment="1">
      <alignment horizontal="right"/>
    </xf>
    <xf numFmtId="0" fontId="23" fillId="0" borderId="8" xfId="0" applyFont="1" applyBorder="1" applyAlignment="1">
      <alignment horizontal="left"/>
    </xf>
    <xf numFmtId="37" fontId="28" fillId="0" borderId="0" xfId="0" applyNumberFormat="1" applyFont="1" applyAlignment="1">
      <alignment vertical="center"/>
    </xf>
    <xf numFmtId="0" fontId="23" fillId="0" borderId="13" xfId="0" applyFont="1" applyBorder="1" applyAlignment="1">
      <alignment horizontal="left"/>
    </xf>
    <xf numFmtId="164" fontId="29" fillId="0" borderId="0" xfId="0" applyNumberFormat="1" applyFont="1" applyAlignment="1">
      <alignment vertical="center"/>
    </xf>
    <xf numFmtId="171" fontId="30" fillId="0" borderId="0" xfId="0" applyNumberFormat="1" applyFont="1" applyAlignment="1">
      <alignment horizontal="center"/>
    </xf>
    <xf numFmtId="37" fontId="5" fillId="0" borderId="0" xfId="0" applyNumberFormat="1" applyFont="1" applyAlignment="1">
      <alignment vertical="center"/>
    </xf>
    <xf numFmtId="37" fontId="5" fillId="0" borderId="0" xfId="0" applyNumberFormat="1" applyFont="1" applyAlignment="1">
      <alignment horizontal="center" vertical="center"/>
    </xf>
    <xf numFmtId="0" fontId="31" fillId="5" borderId="0" xfId="0" applyFont="1" applyFill="1" applyAlignment="1">
      <alignment horizontal="right" vertical="center"/>
    </xf>
    <xf numFmtId="176" fontId="19" fillId="6" borderId="0" xfId="0" applyNumberFormat="1" applyFont="1" applyFill="1" applyAlignment="1">
      <alignment horizontal="centerContinuous"/>
    </xf>
    <xf numFmtId="176" fontId="29" fillId="6" borderId="0" xfId="0" applyNumberFormat="1" applyFont="1" applyFill="1" applyAlignment="1">
      <alignment horizontal="centerContinuous"/>
    </xf>
    <xf numFmtId="169" fontId="3" fillId="6" borderId="0" xfId="0" applyNumberFormat="1" applyFont="1" applyFill="1" applyAlignment="1">
      <alignment horizontal="right"/>
    </xf>
    <xf numFmtId="37" fontId="1" fillId="6" borderId="0" xfId="0" applyNumberFormat="1" applyFont="1" applyFill="1" applyAlignment="1">
      <alignment vertical="center"/>
    </xf>
    <xf numFmtId="37" fontId="1" fillId="6" borderId="0" xfId="0" applyNumberFormat="1" applyFont="1" applyFill="1" applyAlignment="1">
      <alignment horizontal="center" vertical="center"/>
    </xf>
    <xf numFmtId="37" fontId="3" fillId="6" borderId="0" xfId="0" applyNumberFormat="1" applyFont="1" applyFill="1" applyAlignment="1">
      <alignment vertical="center"/>
    </xf>
    <xf numFmtId="37" fontId="32" fillId="6" borderId="0" xfId="0" applyNumberFormat="1" applyFont="1" applyFill="1" applyAlignment="1">
      <alignment vertical="center"/>
    </xf>
    <xf numFmtId="177" fontId="18" fillId="0" borderId="0" xfId="0" applyNumberFormat="1" applyFont="1"/>
    <xf numFmtId="37" fontId="22" fillId="0" borderId="5" xfId="0" applyNumberFormat="1" applyFont="1" applyBorder="1" applyAlignment="1">
      <alignment vertical="center"/>
    </xf>
    <xf numFmtId="180" fontId="19" fillId="0" borderId="0" xfId="0" applyNumberFormat="1" applyFont="1" applyAlignment="1">
      <alignment horizontal="right"/>
    </xf>
    <xf numFmtId="177" fontId="33" fillId="0" borderId="0" xfId="0" applyNumberFormat="1" applyFont="1"/>
    <xf numFmtId="177" fontId="33" fillId="0" borderId="19" xfId="0" applyNumberFormat="1" applyFont="1" applyBorder="1"/>
    <xf numFmtId="169" fontId="30" fillId="0" borderId="14" xfId="0" applyNumberFormat="1" applyFont="1" applyBorder="1" applyAlignment="1">
      <alignment horizontal="centerContinuous"/>
    </xf>
    <xf numFmtId="0" fontId="25" fillId="0" borderId="0" xfId="0" applyFont="1"/>
    <xf numFmtId="180" fontId="20" fillId="0" borderId="27" xfId="0" applyNumberFormat="1" applyFont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37" fontId="32" fillId="0" borderId="0" xfId="0" applyNumberFormat="1" applyFont="1" applyAlignment="1">
      <alignment vertical="center"/>
    </xf>
    <xf numFmtId="37" fontId="5" fillId="6" borderId="0" xfId="0" applyNumberFormat="1" applyFont="1" applyFill="1" applyAlignment="1">
      <alignment vertical="center"/>
    </xf>
    <xf numFmtId="169" fontId="19" fillId="0" borderId="5" xfId="0" applyNumberFormat="1" applyFont="1" applyBorder="1" applyAlignment="1">
      <alignment horizontal="right"/>
    </xf>
    <xf numFmtId="169" fontId="3" fillId="0" borderId="5" xfId="0" applyNumberFormat="1" applyFont="1" applyBorder="1" applyAlignment="1">
      <alignment horizontal="right"/>
    </xf>
    <xf numFmtId="37" fontId="3" fillId="0" borderId="5" xfId="0" applyNumberFormat="1" applyFont="1" applyBorder="1" applyAlignment="1">
      <alignment vertical="center"/>
    </xf>
    <xf numFmtId="164" fontId="29" fillId="0" borderId="5" xfId="0" applyNumberFormat="1" applyFont="1" applyBorder="1" applyAlignment="1">
      <alignment vertical="center"/>
    </xf>
    <xf numFmtId="37" fontId="22" fillId="0" borderId="29" xfId="0" applyNumberFormat="1" applyFont="1" applyBorder="1" applyAlignment="1">
      <alignment vertical="center"/>
    </xf>
    <xf numFmtId="169" fontId="19" fillId="0" borderId="29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37" fontId="22" fillId="0" borderId="30" xfId="0" applyNumberFormat="1" applyFont="1" applyBorder="1" applyAlignment="1">
      <alignment vertical="center"/>
    </xf>
    <xf numFmtId="172" fontId="23" fillId="0" borderId="0" xfId="5" applyNumberFormat="1" applyFont="1" applyAlignment="1">
      <alignment vertical="center"/>
    </xf>
    <xf numFmtId="182" fontId="23" fillId="0" borderId="0" xfId="6" applyNumberFormat="1" applyFont="1" applyFill="1" applyAlignment="1" applyProtection="1">
      <alignment vertical="center"/>
      <protection locked="0"/>
    </xf>
    <xf numFmtId="182" fontId="18" fillId="0" borderId="0" xfId="6" applyNumberFormat="1" applyFont="1" applyFill="1" applyBorder="1" applyAlignment="1" applyProtection="1">
      <alignment vertical="center"/>
      <protection locked="0"/>
    </xf>
    <xf numFmtId="171" fontId="20" fillId="0" borderId="24" xfId="6" applyNumberFormat="1" applyFont="1" applyFill="1" applyBorder="1" applyAlignment="1" applyProtection="1">
      <alignment vertical="center"/>
      <protection locked="0"/>
    </xf>
    <xf numFmtId="0" fontId="3" fillId="0" borderId="0" xfId="0" quotePrefix="1" applyFont="1" applyAlignment="1">
      <alignment horizontal="center" vertical="center"/>
    </xf>
    <xf numFmtId="0" fontId="20" fillId="0" borderId="0" xfId="0" applyFont="1" applyAlignment="1">
      <alignment horizontal="left" vertical="center" indent="1"/>
    </xf>
    <xf numFmtId="171" fontId="20" fillId="0" borderId="0" xfId="6" applyNumberFormat="1" applyFont="1" applyFill="1" applyBorder="1" applyAlignment="1" applyProtection="1">
      <alignment vertical="center"/>
      <protection locked="0"/>
    </xf>
    <xf numFmtId="171" fontId="20" fillId="0" borderId="0" xfId="6" applyNumberFormat="1" applyFont="1" applyFill="1" applyBorder="1" applyAlignment="1" applyProtection="1">
      <alignment horizontal="center" vertical="center"/>
      <protection locked="0"/>
    </xf>
    <xf numFmtId="182" fontId="20" fillId="0" borderId="0" xfId="6" applyNumberFormat="1" applyFont="1" applyFill="1" applyBorder="1" applyAlignment="1" applyProtection="1">
      <alignment vertical="center"/>
      <protection locked="0"/>
    </xf>
    <xf numFmtId="171" fontId="20" fillId="0" borderId="12" xfId="6" applyNumberFormat="1" applyFont="1" applyFill="1" applyBorder="1" applyAlignment="1" applyProtection="1">
      <alignment vertical="center"/>
      <protection locked="0"/>
    </xf>
    <xf numFmtId="171" fontId="23" fillId="0" borderId="5" xfId="6" applyNumberFormat="1" applyFont="1" applyFill="1" applyBorder="1" applyAlignment="1" applyProtection="1">
      <alignment vertical="center"/>
      <protection locked="0"/>
    </xf>
    <xf numFmtId="171" fontId="26" fillId="0" borderId="0" xfId="6" applyNumberFormat="1" applyFont="1" applyFill="1" applyBorder="1" applyAlignment="1" applyProtection="1">
      <alignment vertical="center"/>
      <protection locked="0"/>
    </xf>
    <xf numFmtId="171" fontId="24" fillId="0" borderId="0" xfId="6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>
      <alignment horizontal="left" vertical="center" indent="1"/>
    </xf>
    <xf numFmtId="171" fontId="23" fillId="0" borderId="0" xfId="6" applyNumberFormat="1" applyFont="1" applyFill="1" applyBorder="1" applyAlignment="1" applyProtection="1">
      <alignment vertical="center"/>
      <protection locked="0"/>
    </xf>
    <xf numFmtId="0" fontId="20" fillId="0" borderId="0" xfId="5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171" fontId="23" fillId="0" borderId="0" xfId="6" applyNumberFormat="1" applyFont="1" applyFill="1" applyBorder="1" applyAlignment="1" applyProtection="1">
      <alignment horizontal="center" vertical="center"/>
      <protection locked="0"/>
    </xf>
    <xf numFmtId="171" fontId="23" fillId="0" borderId="0" xfId="6" applyNumberFormat="1" applyFont="1" applyFill="1" applyAlignment="1" applyProtection="1">
      <alignment vertical="center"/>
      <protection locked="0"/>
    </xf>
    <xf numFmtId="171" fontId="23" fillId="0" borderId="0" xfId="6" applyNumberFormat="1" applyFont="1" applyFill="1" applyAlignment="1" applyProtection="1">
      <alignment horizontal="center" vertical="center"/>
      <protection locked="0"/>
    </xf>
    <xf numFmtId="171" fontId="26" fillId="0" borderId="0" xfId="6" applyNumberFormat="1" applyFont="1" applyFill="1" applyAlignment="1" applyProtection="1">
      <alignment vertical="center"/>
      <protection locked="0"/>
    </xf>
    <xf numFmtId="182" fontId="23" fillId="0" borderId="0" xfId="6" applyNumberFormat="1" applyFont="1" applyFill="1" applyBorder="1" applyAlignment="1" applyProtection="1">
      <alignment vertical="center"/>
      <protection locked="0"/>
    </xf>
    <xf numFmtId="0" fontId="24" fillId="0" borderId="0" xfId="5" applyFont="1" applyAlignment="1">
      <alignment vertical="center"/>
    </xf>
    <xf numFmtId="0" fontId="6" fillId="0" borderId="0" xfId="0" applyFont="1" applyAlignment="1">
      <alignment vertical="center"/>
    </xf>
    <xf numFmtId="0" fontId="36" fillId="0" borderId="0" xfId="0" applyFont="1" applyAlignment="1">
      <alignment horizontal="right" vertical="center"/>
    </xf>
    <xf numFmtId="37" fontId="37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23" fillId="0" borderId="0" xfId="0" applyFont="1" applyAlignment="1">
      <alignment horizontal="left" vertical="center" indent="2"/>
    </xf>
    <xf numFmtId="0" fontId="6" fillId="0" borderId="5" xfId="0" applyFont="1" applyBorder="1" applyAlignment="1">
      <alignment vertical="center"/>
    </xf>
    <xf numFmtId="171" fontId="25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37" fontId="39" fillId="0" borderId="0" xfId="0" applyNumberFormat="1" applyFont="1" applyAlignment="1">
      <alignment vertical="center"/>
    </xf>
    <xf numFmtId="171" fontId="23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171" fontId="20" fillId="0" borderId="0" xfId="0" applyNumberFormat="1" applyFont="1" applyAlignment="1">
      <alignment horizontal="right" vertical="center"/>
    </xf>
    <xf numFmtId="0" fontId="41" fillId="0" borderId="0" xfId="0" applyFont="1" applyAlignment="1">
      <alignment horizontal="left" vertical="center"/>
    </xf>
    <xf numFmtId="0" fontId="6" fillId="3" borderId="0" xfId="3" applyFont="1" applyFill="1"/>
    <xf numFmtId="0" fontId="16" fillId="0" borderId="0" xfId="3" applyFont="1" applyProtection="1">
      <protection locked="0"/>
    </xf>
    <xf numFmtId="0" fontId="15" fillId="0" borderId="0" xfId="3" applyFont="1" applyAlignment="1">
      <alignment horizontal="right"/>
    </xf>
    <xf numFmtId="0" fontId="6" fillId="0" borderId="0" xfId="3" applyFont="1" applyProtection="1">
      <protection locked="0"/>
    </xf>
    <xf numFmtId="0" fontId="14" fillId="0" borderId="0" xfId="3" applyFont="1"/>
    <xf numFmtId="0" fontId="15" fillId="0" borderId="0" xfId="3" applyFont="1" applyProtection="1">
      <protection locked="0"/>
    </xf>
    <xf numFmtId="0" fontId="1" fillId="0" borderId="0" xfId="3" applyFont="1"/>
    <xf numFmtId="0" fontId="15" fillId="0" borderId="0" xfId="3" applyFont="1" applyAlignment="1" applyProtection="1">
      <alignment horizontal="right"/>
      <protection locked="0"/>
    </xf>
    <xf numFmtId="164" fontId="10" fillId="0" borderId="0" xfId="3" applyNumberFormat="1" applyFont="1"/>
    <xf numFmtId="0" fontId="8" fillId="2" borderId="0" xfId="3" applyFont="1" applyFill="1"/>
    <xf numFmtId="0" fontId="1" fillId="2" borderId="0" xfId="3" applyFont="1" applyFill="1"/>
    <xf numFmtId="164" fontId="7" fillId="2" borderId="0" xfId="3" applyNumberFormat="1" applyFont="1" applyFill="1"/>
    <xf numFmtId="0" fontId="5" fillId="2" borderId="0" xfId="3" applyFont="1" applyFill="1"/>
    <xf numFmtId="0" fontId="6" fillId="7" borderId="0" xfId="0" applyFont="1" applyFill="1"/>
    <xf numFmtId="0" fontId="17" fillId="7" borderId="0" xfId="0" applyFont="1" applyFill="1"/>
    <xf numFmtId="0" fontId="42" fillId="7" borderId="0" xfId="4" applyFont="1" applyFill="1" applyAlignment="1">
      <alignment horizontal="center" vertical="center"/>
    </xf>
    <xf numFmtId="0" fontId="0" fillId="0" borderId="5" xfId="0" applyBorder="1"/>
    <xf numFmtId="169" fontId="19" fillId="0" borderId="0" xfId="0" applyNumberFormat="1" applyFont="1" applyAlignment="1">
      <alignment horizontal="right" vertical="center"/>
    </xf>
    <xf numFmtId="179" fontId="23" fillId="0" borderId="11" xfId="2" applyNumberFormat="1" applyFont="1" applyFill="1" applyBorder="1" applyAlignment="1">
      <alignment horizontal="centerContinuous"/>
    </xf>
    <xf numFmtId="0" fontId="23" fillId="0" borderId="5" xfId="0" applyFont="1" applyBorder="1" applyAlignment="1">
      <alignment horizontal="left" vertical="center" indent="1"/>
    </xf>
    <xf numFmtId="0" fontId="19" fillId="0" borderId="5" xfId="0" applyFont="1" applyBorder="1" applyAlignment="1">
      <alignment horizontal="left"/>
    </xf>
    <xf numFmtId="172" fontId="20" fillId="0" borderId="5" xfId="0" applyNumberFormat="1" applyFont="1" applyBorder="1"/>
    <xf numFmtId="177" fontId="18" fillId="0" borderId="5" xfId="0" applyNumberFormat="1" applyFont="1" applyBorder="1"/>
    <xf numFmtId="0" fontId="20" fillId="0" borderId="32" xfId="5" applyFont="1" applyBorder="1" applyAlignment="1">
      <alignment vertical="center"/>
    </xf>
    <xf numFmtId="169" fontId="19" fillId="0" borderId="32" xfId="0" applyNumberFormat="1" applyFont="1" applyBorder="1" applyAlignment="1">
      <alignment horizontal="right"/>
    </xf>
    <xf numFmtId="169" fontId="3" fillId="0" borderId="32" xfId="0" applyNumberFormat="1" applyFont="1" applyBorder="1" applyAlignment="1">
      <alignment horizontal="right"/>
    </xf>
    <xf numFmtId="37" fontId="22" fillId="0" borderId="32" xfId="0" applyNumberFormat="1" applyFont="1" applyBorder="1" applyAlignment="1">
      <alignment vertical="center"/>
    </xf>
    <xf numFmtId="0" fontId="20" fillId="0" borderId="0" xfId="5" applyFont="1" applyAlignment="1">
      <alignment horizontal="left" vertical="center" indent="1"/>
    </xf>
    <xf numFmtId="0" fontId="25" fillId="0" borderId="0" xfId="0" applyFont="1" applyAlignment="1">
      <alignment horizontal="left" vertical="center" indent="1"/>
    </xf>
    <xf numFmtId="182" fontId="20" fillId="0" borderId="0" xfId="6" applyNumberFormat="1" applyFont="1" applyFill="1" applyBorder="1" applyAlignment="1" applyProtection="1">
      <alignment horizontal="left" vertical="center" indent="1"/>
      <protection locked="0"/>
    </xf>
    <xf numFmtId="0" fontId="43" fillId="0" borderId="0" xfId="0" applyFont="1"/>
    <xf numFmtId="171" fontId="26" fillId="8" borderId="0" xfId="0" applyNumberFormat="1" applyFont="1" applyFill="1" applyAlignment="1">
      <alignment horizontal="right" vertical="center"/>
    </xf>
    <xf numFmtId="171" fontId="26" fillId="8" borderId="0" xfId="6" applyNumberFormat="1" applyFont="1" applyFill="1" applyBorder="1" applyAlignment="1" applyProtection="1">
      <alignment vertical="center"/>
      <protection locked="0"/>
    </xf>
    <xf numFmtId="0" fontId="44" fillId="0" borderId="0" xfId="0" applyFont="1" applyAlignment="1">
      <alignment horizontal="left" vertical="center"/>
    </xf>
    <xf numFmtId="168" fontId="45" fillId="0" borderId="0" xfId="0" applyNumberFormat="1" applyFont="1" applyAlignment="1">
      <alignment horizontal="right" vertical="center"/>
    </xf>
    <xf numFmtId="167" fontId="45" fillId="0" borderId="0" xfId="0" applyNumberFormat="1" applyFont="1" applyAlignment="1">
      <alignment horizontal="right" vertical="center"/>
    </xf>
    <xf numFmtId="169" fontId="20" fillId="0" borderId="28" xfId="0" applyNumberFormat="1" applyFont="1" applyBorder="1" applyAlignment="1">
      <alignment horizontal="right" vertical="center"/>
    </xf>
    <xf numFmtId="183" fontId="23" fillId="0" borderId="0" xfId="0" applyNumberFormat="1" applyFont="1" applyAlignment="1">
      <alignment horizontal="right" vertical="center"/>
    </xf>
    <xf numFmtId="164" fontId="48" fillId="0" borderId="0" xfId="0" applyNumberFormat="1" applyFont="1" applyAlignment="1">
      <alignment vertical="center"/>
    </xf>
    <xf numFmtId="0" fontId="47" fillId="0" borderId="0" xfId="0" applyFont="1" applyAlignment="1">
      <alignment vertical="center"/>
    </xf>
    <xf numFmtId="37" fontId="49" fillId="0" borderId="0" xfId="0" applyNumberFormat="1" applyFont="1" applyAlignment="1">
      <alignment vertical="center"/>
    </xf>
    <xf numFmtId="0" fontId="25" fillId="0" borderId="12" xfId="0" applyFont="1" applyBorder="1"/>
    <xf numFmtId="0" fontId="25" fillId="0" borderId="5" xfId="0" applyFont="1" applyBorder="1"/>
    <xf numFmtId="171" fontId="26" fillId="9" borderId="0" xfId="6" applyNumberFormat="1" applyFont="1" applyFill="1" applyBorder="1" applyAlignment="1" applyProtection="1">
      <alignment vertical="center"/>
      <protection locked="0"/>
    </xf>
    <xf numFmtId="171" fontId="26" fillId="10" borderId="0" xfId="6" applyNumberFormat="1" applyFont="1" applyFill="1" applyBorder="1" applyAlignment="1" applyProtection="1">
      <alignment vertical="center"/>
      <protection locked="0"/>
    </xf>
    <xf numFmtId="171" fontId="26" fillId="11" borderId="0" xfId="6" applyNumberFormat="1" applyFont="1" applyFill="1" applyBorder="1" applyAlignment="1" applyProtection="1">
      <alignment vertical="center"/>
      <protection locked="0"/>
    </xf>
    <xf numFmtId="171" fontId="26" fillId="12" borderId="0" xfId="6" applyNumberFormat="1" applyFont="1" applyFill="1" applyBorder="1" applyAlignment="1" applyProtection="1">
      <alignment vertical="center"/>
      <protection locked="0"/>
    </xf>
    <xf numFmtId="171" fontId="26" fillId="13" borderId="0" xfId="6" applyNumberFormat="1" applyFont="1" applyFill="1" applyBorder="1" applyAlignment="1" applyProtection="1">
      <alignment vertical="center"/>
      <protection locked="0"/>
    </xf>
    <xf numFmtId="171" fontId="26" fillId="14" borderId="0" xfId="6" applyNumberFormat="1" applyFont="1" applyFill="1" applyBorder="1" applyAlignment="1" applyProtection="1">
      <alignment vertical="center"/>
      <protection locked="0"/>
    </xf>
    <xf numFmtId="171" fontId="26" fillId="15" borderId="0" xfId="6" applyNumberFormat="1" applyFont="1" applyFill="1" applyBorder="1" applyAlignment="1" applyProtection="1">
      <alignment vertical="center"/>
      <protection locked="0"/>
    </xf>
    <xf numFmtId="171" fontId="26" fillId="0" borderId="0" xfId="0" applyNumberFormat="1" applyFont="1" applyAlignment="1">
      <alignment horizontal="right" vertical="center"/>
    </xf>
    <xf numFmtId="169" fontId="51" fillId="0" borderId="0" xfId="0" applyNumberFormat="1" applyFont="1" applyAlignment="1">
      <alignment horizontal="right"/>
    </xf>
    <xf numFmtId="169" fontId="20" fillId="0" borderId="0" xfId="0" applyNumberFormat="1" applyFont="1" applyAlignment="1">
      <alignment horizontal="right"/>
    </xf>
    <xf numFmtId="0" fontId="23" fillId="0" borderId="0" xfId="0" applyFont="1" applyAlignment="1">
      <alignment vertical="center"/>
    </xf>
    <xf numFmtId="37" fontId="23" fillId="0" borderId="0" xfId="0" applyNumberFormat="1" applyFont="1" applyAlignment="1">
      <alignment vertical="center"/>
    </xf>
    <xf numFmtId="37" fontId="20" fillId="6" borderId="0" xfId="0" applyNumberFormat="1" applyFont="1" applyFill="1" applyAlignment="1">
      <alignment vertical="center"/>
    </xf>
    <xf numFmtId="37" fontId="23" fillId="6" borderId="0" xfId="0" applyNumberFormat="1" applyFont="1" applyFill="1" applyAlignment="1">
      <alignment vertical="center"/>
    </xf>
    <xf numFmtId="169" fontId="20" fillId="6" borderId="0" xfId="0" applyNumberFormat="1" applyFont="1" applyFill="1" applyAlignment="1">
      <alignment horizontal="right"/>
    </xf>
    <xf numFmtId="0" fontId="52" fillId="5" borderId="0" xfId="0" applyFont="1" applyFill="1" applyAlignment="1">
      <alignment horizontal="right" vertical="center"/>
    </xf>
    <xf numFmtId="37" fontId="20" fillId="0" borderId="0" xfId="0" applyNumberFormat="1" applyFont="1" applyAlignment="1">
      <alignment vertical="center"/>
    </xf>
    <xf numFmtId="0" fontId="52" fillId="0" borderId="0" xfId="0" applyFont="1" applyAlignment="1">
      <alignment horizontal="right" vertical="center"/>
    </xf>
    <xf numFmtId="169" fontId="20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53" fillId="0" borderId="0" xfId="0" applyFont="1" applyAlignment="1">
      <alignment horizontal="left" vertical="center"/>
    </xf>
    <xf numFmtId="171" fontId="20" fillId="0" borderId="33" xfId="0" applyNumberFormat="1" applyFont="1" applyBorder="1" applyAlignment="1">
      <alignment horizontal="right" vertical="center"/>
    </xf>
    <xf numFmtId="171" fontId="23" fillId="0" borderId="5" xfId="0" applyNumberFormat="1" applyFont="1" applyBorder="1" applyAlignment="1">
      <alignment horizontal="right" vertical="center"/>
    </xf>
    <xf numFmtId="169" fontId="51" fillId="0" borderId="32" xfId="0" applyNumberFormat="1" applyFont="1" applyBorder="1" applyAlignment="1">
      <alignment horizontal="right"/>
    </xf>
    <xf numFmtId="37" fontId="49" fillId="0" borderId="32" xfId="0" applyNumberFormat="1" applyFont="1" applyBorder="1" applyAlignment="1">
      <alignment vertical="center"/>
    </xf>
    <xf numFmtId="182" fontId="26" fillId="0" borderId="0" xfId="6" applyNumberFormat="1" applyFont="1" applyFill="1" applyBorder="1" applyAlignment="1" applyProtection="1">
      <alignment vertical="center"/>
      <protection locked="0"/>
    </xf>
    <xf numFmtId="171" fontId="23" fillId="0" borderId="31" xfId="5" applyNumberFormat="1" applyFont="1" applyBorder="1" applyAlignment="1">
      <alignment vertical="center"/>
    </xf>
    <xf numFmtId="171" fontId="23" fillId="0" borderId="29" xfId="5" applyNumberFormat="1" applyFont="1" applyBorder="1" applyAlignment="1">
      <alignment vertical="center"/>
    </xf>
    <xf numFmtId="37" fontId="32" fillId="16" borderId="0" xfId="0" applyNumberFormat="1" applyFont="1" applyFill="1" applyAlignment="1">
      <alignment vertical="center"/>
    </xf>
    <xf numFmtId="171" fontId="30" fillId="0" borderId="22" xfId="0" applyNumberFormat="1" applyFont="1" applyBorder="1" applyAlignment="1">
      <alignment horizontal="center"/>
    </xf>
    <xf numFmtId="171" fontId="30" fillId="0" borderId="22" xfId="0" applyNumberFormat="1" applyFont="1" applyBorder="1" applyAlignment="1">
      <alignment horizontal="centerContinuous"/>
    </xf>
    <xf numFmtId="171" fontId="30" fillId="0" borderId="21" xfId="0" applyNumberFormat="1" applyFont="1" applyBorder="1" applyAlignment="1">
      <alignment horizontal="center"/>
    </xf>
    <xf numFmtId="171" fontId="23" fillId="0" borderId="9" xfId="0" applyNumberFormat="1" applyFont="1" applyBorder="1" applyAlignment="1">
      <alignment horizontal="right"/>
    </xf>
    <xf numFmtId="171" fontId="23" fillId="0" borderId="17" xfId="0" applyNumberFormat="1" applyFont="1" applyBorder="1" applyAlignment="1">
      <alignment horizontal="right"/>
    </xf>
    <xf numFmtId="171" fontId="23" fillId="0" borderId="16" xfId="0" applyNumberFormat="1" applyFont="1" applyBorder="1" applyAlignment="1">
      <alignment horizontal="right"/>
    </xf>
    <xf numFmtId="171" fontId="23" fillId="0" borderId="15" xfId="0" applyNumberFormat="1" applyFont="1" applyBorder="1" applyAlignment="1">
      <alignment horizontal="right"/>
    </xf>
    <xf numFmtId="171" fontId="23" fillId="0" borderId="12" xfId="0" applyNumberFormat="1" applyFont="1" applyBorder="1"/>
    <xf numFmtId="171" fontId="23" fillId="0" borderId="11" xfId="0" applyNumberFormat="1" applyFont="1" applyBorder="1"/>
    <xf numFmtId="171" fontId="23" fillId="0" borderId="5" xfId="0" applyNumberFormat="1" applyFont="1" applyBorder="1"/>
    <xf numFmtId="173" fontId="23" fillId="0" borderId="6" xfId="0" applyNumberFormat="1" applyFont="1" applyBorder="1"/>
    <xf numFmtId="0" fontId="23" fillId="0" borderId="13" xfId="0" applyFont="1" applyBorder="1" applyAlignment="1">
      <alignment horizontal="left" indent="1"/>
    </xf>
    <xf numFmtId="0" fontId="50" fillId="0" borderId="12" xfId="0" quotePrefix="1" applyFont="1" applyBorder="1" applyAlignment="1">
      <alignment horizontal="center"/>
    </xf>
    <xf numFmtId="173" fontId="23" fillId="0" borderId="11" xfId="0" applyNumberFormat="1" applyFont="1" applyBorder="1"/>
    <xf numFmtId="0" fontId="23" fillId="0" borderId="8" xfId="0" applyFont="1" applyBorder="1" applyAlignment="1">
      <alignment horizontal="left" indent="1"/>
    </xf>
    <xf numFmtId="0" fontId="50" fillId="0" borderId="0" xfId="0" quotePrefix="1" applyFont="1" applyAlignment="1">
      <alignment horizontal="center"/>
    </xf>
    <xf numFmtId="0" fontId="23" fillId="0" borderId="7" xfId="0" applyFont="1" applyBorder="1" applyAlignment="1">
      <alignment horizontal="left" indent="1"/>
    </xf>
    <xf numFmtId="170" fontId="23" fillId="0" borderId="6" xfId="0" applyNumberFormat="1" applyFont="1" applyBorder="1" applyAlignment="1">
      <alignment horizontal="right"/>
    </xf>
    <xf numFmtId="0" fontId="18" fillId="0" borderId="0" xfId="3" applyFont="1" applyAlignment="1">
      <alignment horizontal="left" vertical="center" indent="1"/>
    </xf>
    <xf numFmtId="175" fontId="23" fillId="0" borderId="19" xfId="0" applyNumberFormat="1" applyFont="1" applyBorder="1" applyAlignment="1">
      <alignment horizontal="center"/>
    </xf>
    <xf numFmtId="171" fontId="23" fillId="0" borderId="26" xfId="0" applyNumberFormat="1" applyFont="1" applyBorder="1"/>
    <xf numFmtId="171" fontId="23" fillId="0" borderId="25" xfId="0" applyNumberFormat="1" applyFont="1" applyBorder="1"/>
    <xf numFmtId="171" fontId="20" fillId="0" borderId="24" xfId="0" applyNumberFormat="1" applyFont="1" applyBorder="1"/>
    <xf numFmtId="171" fontId="20" fillId="0" borderId="23" xfId="0" applyNumberFormat="1" applyFont="1" applyBorder="1"/>
    <xf numFmtId="171" fontId="23" fillId="0" borderId="13" xfId="0" applyNumberFormat="1" applyFont="1" applyBorder="1" applyAlignment="1">
      <alignment horizontal="right"/>
    </xf>
    <xf numFmtId="171" fontId="23" fillId="0" borderId="12" xfId="0" applyNumberFormat="1" applyFont="1" applyBorder="1" applyAlignment="1">
      <alignment horizontal="right"/>
    </xf>
    <xf numFmtId="171" fontId="23" fillId="0" borderId="11" xfId="0" applyNumberFormat="1" applyFont="1" applyBorder="1" applyAlignment="1">
      <alignment horizontal="right"/>
    </xf>
    <xf numFmtId="178" fontId="24" fillId="0" borderId="11" xfId="0" applyNumberFormat="1" applyFont="1" applyBorder="1" applyAlignment="1">
      <alignment horizontal="right"/>
    </xf>
    <xf numFmtId="178" fontId="24" fillId="0" borderId="6" xfId="0" applyNumberFormat="1" applyFont="1" applyBorder="1" applyAlignment="1">
      <alignment horizontal="right"/>
    </xf>
    <xf numFmtId="175" fontId="23" fillId="0" borderId="0" xfId="0" applyNumberFormat="1" applyFont="1" applyAlignment="1">
      <alignment horizontal="center"/>
    </xf>
    <xf numFmtId="175" fontId="23" fillId="0" borderId="20" xfId="0" applyNumberFormat="1" applyFont="1" applyBorder="1" applyAlignment="1">
      <alignment horizontal="center"/>
    </xf>
    <xf numFmtId="37" fontId="23" fillId="0" borderId="0" xfId="0" applyNumberFormat="1" applyFont="1" applyAlignment="1">
      <alignment horizontal="center" vertical="center"/>
    </xf>
    <xf numFmtId="37" fontId="37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center"/>
    </xf>
    <xf numFmtId="37" fontId="37" fillId="0" borderId="12" xfId="0" applyNumberFormat="1" applyFont="1" applyBorder="1" applyAlignment="1">
      <alignment vertical="center"/>
    </xf>
    <xf numFmtId="0" fontId="23" fillId="0" borderId="7" xfId="0" applyFont="1" applyBorder="1" applyAlignment="1">
      <alignment horizontal="left"/>
    </xf>
    <xf numFmtId="0" fontId="50" fillId="0" borderId="5" xfId="0" quotePrefix="1" applyFont="1" applyBorder="1" applyAlignment="1">
      <alignment horizontal="center"/>
    </xf>
    <xf numFmtId="0" fontId="23" fillId="0" borderId="0" xfId="0" applyFont="1" applyAlignment="1">
      <alignment horizontal="left" indent="1"/>
    </xf>
    <xf numFmtId="168" fontId="45" fillId="0" borderId="0" xfId="0" quotePrefix="1" applyNumberFormat="1" applyFont="1" applyAlignment="1">
      <alignment horizontal="right"/>
    </xf>
    <xf numFmtId="167" fontId="45" fillId="0" borderId="0" xfId="0" quotePrefix="1" applyNumberFormat="1" applyFont="1" applyAlignment="1">
      <alignment horizontal="right"/>
    </xf>
    <xf numFmtId="171" fontId="23" fillId="0" borderId="9" xfId="0" applyNumberFormat="1" applyFont="1" applyBorder="1"/>
    <xf numFmtId="170" fontId="23" fillId="0" borderId="12" xfId="2" applyNumberFormat="1" applyFont="1" applyFill="1" applyBorder="1" applyAlignment="1">
      <alignment horizontal="right"/>
    </xf>
    <xf numFmtId="170" fontId="23" fillId="0" borderId="0" xfId="2" applyNumberFormat="1" applyFont="1" applyFill="1" applyBorder="1" applyAlignment="1">
      <alignment horizontal="right"/>
    </xf>
    <xf numFmtId="186" fontId="56" fillId="0" borderId="0" xfId="4" applyNumberFormat="1" applyFont="1" applyFill="1" applyBorder="1" applyAlignment="1" applyProtection="1">
      <alignment horizontal="center"/>
      <protection locked="0"/>
    </xf>
    <xf numFmtId="0" fontId="57" fillId="0" borderId="0" xfId="0" applyFont="1" applyAlignment="1">
      <alignment horizontal="right" vertical="center"/>
    </xf>
    <xf numFmtId="171" fontId="23" fillId="0" borderId="34" xfId="0" applyNumberFormat="1" applyFont="1" applyBorder="1" applyAlignment="1">
      <alignment horizontal="right" vertical="center"/>
    </xf>
    <xf numFmtId="0" fontId="58" fillId="0" borderId="0" xfId="0" applyFont="1"/>
    <xf numFmtId="186" fontId="13" fillId="0" borderId="0" xfId="4" applyNumberFormat="1" applyFont="1" applyFill="1" applyBorder="1" applyAlignment="1" applyProtection="1">
      <alignment horizontal="center"/>
      <protection locked="0"/>
    </xf>
    <xf numFmtId="170" fontId="26" fillId="0" borderId="11" xfId="2" applyNumberFormat="1" applyFont="1" applyFill="1" applyBorder="1" applyAlignment="1">
      <alignment horizontal="right"/>
    </xf>
    <xf numFmtId="171" fontId="26" fillId="0" borderId="11" xfId="0" applyNumberFormat="1" applyFont="1" applyBorder="1"/>
    <xf numFmtId="170" fontId="26" fillId="0" borderId="9" xfId="2" applyNumberFormat="1" applyFont="1" applyFill="1" applyBorder="1" applyAlignment="1">
      <alignment horizontal="right"/>
    </xf>
    <xf numFmtId="173" fontId="26" fillId="0" borderId="6" xfId="0" applyNumberFormat="1" applyFont="1" applyBorder="1"/>
    <xf numFmtId="0" fontId="20" fillId="0" borderId="5" xfId="0" applyFont="1" applyBorder="1"/>
    <xf numFmtId="0" fontId="23" fillId="0" borderId="5" xfId="0" applyFont="1" applyBorder="1" applyAlignment="1">
      <alignment horizontal="center"/>
    </xf>
    <xf numFmtId="0" fontId="23" fillId="0" borderId="5" xfId="0" applyFont="1" applyBorder="1"/>
    <xf numFmtId="166" fontId="23" fillId="0" borderId="5" xfId="2" applyNumberFormat="1" applyFont="1" applyFill="1" applyBorder="1"/>
    <xf numFmtId="187" fontId="45" fillId="0" borderId="0" xfId="0" applyNumberFormat="1" applyFont="1" applyAlignment="1">
      <alignment horizontal="right"/>
    </xf>
    <xf numFmtId="0" fontId="54" fillId="0" borderId="22" xfId="0" applyFont="1" applyBorder="1" applyAlignment="1">
      <alignment horizontal="center"/>
    </xf>
    <xf numFmtId="0" fontId="54" fillId="0" borderId="14" xfId="0" applyFont="1" applyBorder="1" applyAlignment="1">
      <alignment horizontal="center"/>
    </xf>
    <xf numFmtId="0" fontId="54" fillId="0" borderId="21" xfId="0" applyFont="1" applyBorder="1" applyAlignment="1">
      <alignment horizontal="center"/>
    </xf>
    <xf numFmtId="169" fontId="20" fillId="0" borderId="18" xfId="0" applyNumberFormat="1" applyFont="1" applyBorder="1" applyAlignment="1">
      <alignment horizontal="righ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9" fontId="20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180" fontId="20" fillId="0" borderId="0" xfId="0" applyNumberFormat="1" applyFont="1" applyAlignment="1">
      <alignment horizontal="right"/>
    </xf>
    <xf numFmtId="170" fontId="23" fillId="0" borderId="9" xfId="2" applyNumberFormat="1" applyFont="1" applyFill="1" applyBorder="1" applyAlignment="1">
      <alignment horizontal="center"/>
    </xf>
    <xf numFmtId="171" fontId="23" fillId="0" borderId="8" xfId="0" applyNumberFormat="1" applyFont="1" applyBorder="1" applyAlignment="1">
      <alignment horizontal="right"/>
    </xf>
    <xf numFmtId="171" fontId="23" fillId="0" borderId="0" xfId="0" applyNumberFormat="1" applyFont="1" applyAlignment="1">
      <alignment horizontal="right"/>
    </xf>
    <xf numFmtId="37" fontId="37" fillId="0" borderId="5" xfId="0" applyNumberFormat="1" applyFont="1" applyBorder="1" applyAlignment="1">
      <alignment vertical="center"/>
    </xf>
    <xf numFmtId="170" fontId="23" fillId="0" borderId="6" xfId="2" applyNumberFormat="1" applyFont="1" applyFill="1" applyBorder="1" applyAlignment="1">
      <alignment horizontal="center"/>
    </xf>
    <xf numFmtId="185" fontId="45" fillId="0" borderId="0" xfId="0" quotePrefix="1" applyNumberFormat="1" applyFont="1" applyAlignment="1">
      <alignment horizontal="right"/>
    </xf>
    <xf numFmtId="184" fontId="45" fillId="0" borderId="0" xfId="0" quotePrefix="1" applyNumberFormat="1" applyFont="1" applyAlignment="1">
      <alignment horizontal="right"/>
    </xf>
    <xf numFmtId="37" fontId="59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171" fontId="5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37" fontId="22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indent="1"/>
    </xf>
    <xf numFmtId="0" fontId="23" fillId="0" borderId="0" xfId="0" applyFont="1" applyAlignment="1">
      <alignment horizontal="right" vertical="center" textRotation="90"/>
    </xf>
  </cellXfs>
  <cellStyles count="7">
    <cellStyle name="Comma" xfId="1" builtinId="3"/>
    <cellStyle name="Comma 3" xfId="6" xr:uid="{EB1B524B-4818-4C66-A79A-4B997BD83160}"/>
    <cellStyle name="Hyperlink 2 2" xfId="4" xr:uid="{E479C023-CD1E-478A-B18D-DBE4D84C2E3E}"/>
    <cellStyle name="Normal" xfId="0" builtinId="0"/>
    <cellStyle name="Normal 2" xfId="5" xr:uid="{C3BD61C6-81A7-4E68-A49B-7AC89957E139}"/>
    <cellStyle name="Normal 2 2 2" xfId="3" xr:uid="{D1C00C7F-4906-4177-83FE-3B65C3314563}"/>
    <cellStyle name="Percent" xfId="2" builtinId="5"/>
  </cellStyles>
  <dxfs count="2">
    <dxf>
      <font>
        <b/>
        <i val="0"/>
        <color theme="0"/>
      </font>
      <fill>
        <patternFill>
          <bgColor rgb="FFFA621C"/>
        </patternFill>
      </fill>
    </dxf>
    <dxf>
      <font>
        <b/>
        <i val="0"/>
        <color theme="0"/>
      </font>
      <fill>
        <patternFill>
          <bgColor rgb="FFFA621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://www.macabacus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://www.macabacus.com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://www.macabacus.com/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://www.macabacus.com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40822</xdr:colOff>
      <xdr:row>4</xdr:row>
      <xdr:rowOff>149678</xdr:rowOff>
    </xdr:from>
    <xdr:ext cx="2628806" cy="786036"/>
    <xdr:pic>
      <xdr:nvPicPr>
        <xdr:cNvPr id="4" name="Graphic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37AD21-5572-4C2F-A260-CE89DE5C4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3322" y="1129392"/>
          <a:ext cx="2628806" cy="78603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12384</xdr:colOff>
      <xdr:row>1</xdr:row>
      <xdr:rowOff>0</xdr:rowOff>
    </xdr:from>
    <xdr:ext cx="1942692" cy="580882"/>
    <xdr:pic>
      <xdr:nvPicPr>
        <xdr:cNvPr id="2" name="Graphic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C4EDAA-3517-45DA-8C18-7CA928D02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02959" y="95250"/>
          <a:ext cx="1942692" cy="58088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12384</xdr:colOff>
      <xdr:row>1</xdr:row>
      <xdr:rowOff>0</xdr:rowOff>
    </xdr:from>
    <xdr:ext cx="1942692" cy="580882"/>
    <xdr:pic>
      <xdr:nvPicPr>
        <xdr:cNvPr id="2" name="Graphic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1A97B2-EFD7-421C-BDEF-E7DCF8785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98197" y="95250"/>
          <a:ext cx="1942692" cy="58088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12384</xdr:colOff>
      <xdr:row>1</xdr:row>
      <xdr:rowOff>0</xdr:rowOff>
    </xdr:from>
    <xdr:ext cx="1942692" cy="580882"/>
    <xdr:pic>
      <xdr:nvPicPr>
        <xdr:cNvPr id="2" name="Graphic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38AF58-5E64-469F-89D7-DADD7D6D3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02959" y="95250"/>
          <a:ext cx="1942692" cy="5808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1737-F0DD-47C6-BF58-A41C622FA239}">
  <sheetPr>
    <pageSetUpPr fitToPage="1"/>
  </sheetPr>
  <dimension ref="A1:P41"/>
  <sheetViews>
    <sheetView showGridLines="0" tabSelected="1" zoomScale="75" zoomScaleNormal="75" zoomScaleSheetLayoutView="70" workbookViewId="0"/>
  </sheetViews>
  <sheetFormatPr defaultColWidth="9.140625" defaultRowHeight="19.5" customHeight="1" x14ac:dyDescent="0.3"/>
  <cols>
    <col min="1" max="2" width="4.7109375" style="2" customWidth="1"/>
    <col min="3" max="3" width="4.85546875" style="2" customWidth="1"/>
    <col min="4" max="4" width="36.7109375" style="2" customWidth="1"/>
    <col min="5" max="12" width="10.7109375" style="2" customWidth="1"/>
    <col min="13" max="13" width="28.7109375" style="2" customWidth="1"/>
    <col min="14" max="14" width="8.7109375" style="2" customWidth="1"/>
    <col min="15" max="15" width="4.85546875" style="2" customWidth="1"/>
    <col min="16" max="16" width="4.7109375" style="2" customWidth="1"/>
    <col min="17" max="16384" width="9.140625" style="2"/>
  </cols>
  <sheetData>
    <row r="1" spans="1:16" ht="19.5" customHeight="1" x14ac:dyDescent="0.3">
      <c r="A1" s="1"/>
      <c r="B1" s="1"/>
      <c r="P1" s="1"/>
    </row>
    <row r="2" spans="1:16" ht="19.5" customHeight="1" thickBot="1" x14ac:dyDescent="0.35">
      <c r="A2" s="1"/>
      <c r="B2" s="1"/>
      <c r="P2" s="1"/>
    </row>
    <row r="3" spans="1:16" ht="19.5" customHeight="1" x14ac:dyDescent="0.3">
      <c r="A3" s="1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4"/>
    </row>
    <row r="4" spans="1:16" ht="19.5" customHeight="1" x14ac:dyDescent="0.3">
      <c r="C4" s="13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4"/>
    </row>
    <row r="5" spans="1:16" ht="19.5" customHeight="1" x14ac:dyDescent="0.3">
      <c r="C5" s="13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4"/>
    </row>
    <row r="6" spans="1:16" ht="19.5" customHeight="1" x14ac:dyDescent="0.3">
      <c r="C6" s="13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4"/>
    </row>
    <row r="7" spans="1:16" ht="19.5" customHeight="1" x14ac:dyDescent="0.3">
      <c r="C7" s="13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4"/>
    </row>
    <row r="8" spans="1:16" ht="19.5" customHeight="1" x14ac:dyDescent="0.3">
      <c r="C8" s="13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4"/>
    </row>
    <row r="9" spans="1:16" ht="19.5" customHeight="1" x14ac:dyDescent="0.3">
      <c r="C9" s="13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4"/>
    </row>
    <row r="10" spans="1:16" ht="19.5" customHeight="1" x14ac:dyDescent="0.3">
      <c r="C10" s="13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4"/>
    </row>
    <row r="11" spans="1:16" ht="19.5" customHeight="1" x14ac:dyDescent="0.3">
      <c r="C11" s="4"/>
      <c r="P11" s="4"/>
    </row>
    <row r="12" spans="1:16" ht="28.5" customHeight="1" x14ac:dyDescent="0.55000000000000004">
      <c r="C12" s="4"/>
      <c r="D12" s="150" t="s">
        <v>13</v>
      </c>
      <c r="N12" s="151" t="s">
        <v>12</v>
      </c>
      <c r="P12" s="4"/>
    </row>
    <row r="13" spans="1:16" ht="19.5" customHeight="1" x14ac:dyDescent="0.3">
      <c r="C13" s="4"/>
      <c r="D13" s="152"/>
      <c r="L13" s="153"/>
      <c r="P13" s="4"/>
    </row>
    <row r="14" spans="1:16" ht="19.5" customHeight="1" x14ac:dyDescent="0.4">
      <c r="C14" s="4"/>
      <c r="D14" s="154" t="s">
        <v>11</v>
      </c>
      <c r="E14" s="155"/>
      <c r="F14" s="155"/>
      <c r="G14" s="155"/>
      <c r="H14" s="155"/>
      <c r="L14" s="153"/>
      <c r="N14" s="156" t="s">
        <v>10</v>
      </c>
      <c r="P14" s="4"/>
    </row>
    <row r="15" spans="1:16" ht="19.5" customHeight="1" x14ac:dyDescent="0.3">
      <c r="C15" s="4"/>
      <c r="D15" s="12"/>
      <c r="E15" s="155"/>
      <c r="F15" s="155"/>
      <c r="G15" s="155"/>
      <c r="H15" s="155"/>
      <c r="L15" s="153"/>
      <c r="M15" s="12"/>
      <c r="N15" s="12"/>
      <c r="P15" s="4"/>
    </row>
    <row r="16" spans="1:16" ht="19.5" customHeight="1" x14ac:dyDescent="0.35">
      <c r="C16" s="4"/>
      <c r="D16" s="10" t="s">
        <v>110</v>
      </c>
      <c r="E16" s="155"/>
      <c r="F16" s="155"/>
      <c r="G16" s="155"/>
      <c r="H16" s="155"/>
      <c r="I16" s="9"/>
      <c r="M16" s="11" t="s">
        <v>8</v>
      </c>
      <c r="N16" s="271">
        <f>IF(SUM(Model!$J$106:$M$106)=0,1,0)</f>
        <v>1</v>
      </c>
      <c r="P16" s="4"/>
    </row>
    <row r="17" spans="3:16" ht="19.5" customHeight="1" x14ac:dyDescent="0.35">
      <c r="C17" s="4"/>
      <c r="D17" s="10" t="s">
        <v>101</v>
      </c>
      <c r="E17" s="155"/>
      <c r="F17" s="155"/>
      <c r="G17" s="155"/>
      <c r="H17" s="155"/>
      <c r="I17" s="9"/>
      <c r="N17" s="267"/>
      <c r="P17" s="4"/>
    </row>
    <row r="18" spans="3:16" ht="19.5" customHeight="1" x14ac:dyDescent="0.35">
      <c r="C18" s="4"/>
      <c r="D18" s="10" t="s">
        <v>9</v>
      </c>
      <c r="E18" s="155"/>
      <c r="F18" s="155"/>
      <c r="G18" s="155"/>
      <c r="H18" s="155"/>
      <c r="I18" s="9"/>
      <c r="N18" s="267"/>
      <c r="P18" s="4"/>
    </row>
    <row r="19" spans="3:16" ht="19.5" customHeight="1" x14ac:dyDescent="0.35">
      <c r="C19" s="4"/>
      <c r="D19" s="155"/>
      <c r="E19" s="155"/>
      <c r="F19" s="155"/>
      <c r="G19" s="155"/>
      <c r="H19" s="155"/>
      <c r="I19" s="9"/>
      <c r="M19" s="9"/>
      <c r="N19" s="267"/>
      <c r="P19" s="4"/>
    </row>
    <row r="20" spans="3:16" ht="19.5" customHeight="1" x14ac:dyDescent="0.35">
      <c r="C20" s="4"/>
      <c r="D20" s="155"/>
      <c r="E20" s="155"/>
      <c r="F20" s="155"/>
      <c r="G20" s="155"/>
      <c r="H20" s="155"/>
      <c r="I20" s="9"/>
      <c r="M20" s="9"/>
      <c r="N20" s="267"/>
      <c r="P20" s="4"/>
    </row>
    <row r="21" spans="3:16" ht="19.5" customHeight="1" x14ac:dyDescent="0.35">
      <c r="C21" s="4"/>
      <c r="D21" s="7"/>
      <c r="E21" s="155"/>
      <c r="F21" s="155"/>
      <c r="G21" s="155"/>
      <c r="H21" s="155"/>
      <c r="I21" s="9"/>
      <c r="M21" s="9"/>
      <c r="N21" s="8"/>
      <c r="P21" s="4"/>
    </row>
    <row r="22" spans="3:16" ht="19.5" customHeight="1" x14ac:dyDescent="0.35">
      <c r="C22" s="4"/>
      <c r="D22" s="7"/>
      <c r="E22" s="155"/>
      <c r="F22" s="155"/>
      <c r="G22" s="155"/>
      <c r="H22" s="155"/>
      <c r="I22" s="9"/>
      <c r="M22" s="9"/>
      <c r="N22" s="8"/>
      <c r="P22" s="4"/>
    </row>
    <row r="23" spans="3:16" ht="19.5" customHeight="1" x14ac:dyDescent="0.35">
      <c r="C23" s="4"/>
      <c r="D23" s="7"/>
      <c r="E23" s="155"/>
      <c r="F23" s="155"/>
      <c r="G23" s="155"/>
      <c r="H23" s="155"/>
      <c r="I23" s="9"/>
      <c r="M23" s="9"/>
      <c r="N23" s="8"/>
      <c r="P23" s="4"/>
    </row>
    <row r="24" spans="3:16" ht="19.5" customHeight="1" x14ac:dyDescent="0.35">
      <c r="C24" s="4"/>
      <c r="D24" s="7"/>
      <c r="E24" s="155"/>
      <c r="F24" s="155"/>
      <c r="G24" s="155"/>
      <c r="H24" s="155"/>
      <c r="P24" s="4"/>
    </row>
    <row r="25" spans="3:16" ht="19.5" customHeight="1" x14ac:dyDescent="0.35">
      <c r="C25" s="4"/>
      <c r="D25" s="7"/>
      <c r="E25" s="155"/>
      <c r="F25" s="155"/>
      <c r="G25" s="155"/>
      <c r="H25" s="155"/>
      <c r="P25" s="4"/>
    </row>
    <row r="26" spans="3:16" ht="19.5" customHeight="1" x14ac:dyDescent="0.35">
      <c r="C26" s="4"/>
      <c r="D26" s="7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P26" s="4"/>
    </row>
    <row r="27" spans="3:16" ht="19.5" customHeight="1" x14ac:dyDescent="0.35">
      <c r="C27" s="4"/>
      <c r="D27" s="157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P27" s="4"/>
    </row>
    <row r="28" spans="3:16" ht="19.5" customHeight="1" x14ac:dyDescent="0.35">
      <c r="C28" s="4"/>
      <c r="D28" s="157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P28" s="4"/>
    </row>
    <row r="29" spans="3:16" ht="19.5" customHeight="1" x14ac:dyDescent="0.35">
      <c r="C29" s="4"/>
      <c r="D29" s="6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P29" s="4"/>
    </row>
    <row r="30" spans="3:16" ht="19.5" customHeight="1" x14ac:dyDescent="0.35">
      <c r="C30" s="4"/>
      <c r="D30" s="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P30" s="4"/>
    </row>
    <row r="31" spans="3:16" ht="19.5" customHeight="1" x14ac:dyDescent="0.35">
      <c r="C31" s="4"/>
      <c r="D31" s="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P31" s="4"/>
    </row>
    <row r="32" spans="3:16" ht="19.5" customHeight="1" x14ac:dyDescent="0.35">
      <c r="C32" s="4"/>
      <c r="D32" s="158" t="s">
        <v>7</v>
      </c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P32" s="4"/>
    </row>
    <row r="33" spans="3:16" ht="19.5" customHeight="1" x14ac:dyDescent="0.3">
      <c r="C33" s="4"/>
      <c r="D33" s="160" t="s">
        <v>6</v>
      </c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P33" s="4"/>
    </row>
    <row r="34" spans="3:16" ht="19.5" customHeight="1" x14ac:dyDescent="0.3">
      <c r="C34" s="4"/>
      <c r="D34" s="160" t="s">
        <v>5</v>
      </c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P34" s="4"/>
    </row>
    <row r="35" spans="3:16" ht="19.5" customHeight="1" x14ac:dyDescent="0.3">
      <c r="C35" s="4"/>
      <c r="D35" s="160" t="s">
        <v>4</v>
      </c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P35" s="4"/>
    </row>
    <row r="36" spans="3:16" ht="19.5" customHeight="1" x14ac:dyDescent="0.3">
      <c r="C36" s="4"/>
      <c r="D36" s="160" t="s">
        <v>3</v>
      </c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P36" s="4"/>
    </row>
    <row r="37" spans="3:16" ht="19.5" customHeight="1" x14ac:dyDescent="0.3">
      <c r="C37" s="4"/>
      <c r="D37" s="160" t="s">
        <v>2</v>
      </c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P37" s="4"/>
    </row>
    <row r="38" spans="3:16" ht="19.5" customHeight="1" x14ac:dyDescent="0.3">
      <c r="C38" s="4"/>
      <c r="D38" s="160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P38" s="4"/>
    </row>
    <row r="39" spans="3:16" ht="19.5" customHeight="1" x14ac:dyDescent="0.3">
      <c r="C39" s="4"/>
      <c r="D39" s="160" t="s">
        <v>1</v>
      </c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P39" s="4"/>
    </row>
    <row r="40" spans="3:16" ht="19.5" customHeight="1" thickBot="1" x14ac:dyDescent="0.35">
      <c r="C40" s="4"/>
      <c r="P40" s="4"/>
    </row>
    <row r="41" spans="3:16" ht="19.5" customHeight="1" x14ac:dyDescent="0.3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2" t="s">
        <v>0</v>
      </c>
    </row>
  </sheetData>
  <conditionalFormatting sqref="N16">
    <cfRule type="expression" dxfId="1" priority="1">
      <formula>$N$16="No"</formula>
    </cfRule>
  </conditionalFormatting>
  <hyperlinks>
    <hyperlink ref="D39" r:id="rId1" xr:uid="{B9E46C70-B7DA-4E02-990E-BF53AF1B0B9C}"/>
    <hyperlink ref="D18" location="Model!A1" tooltip="Model" display="Model" xr:uid="{28C5DF06-0678-4C1D-BB12-0308F720D7BA}"/>
    <hyperlink ref="D17" location="Inputs!A1" tooltip="Inputs" display="Inputs" xr:uid="{AF2D611B-18EB-49E7-85E7-C3272A6C0A7E}"/>
    <hyperlink ref="D16" location="Outputs!A1" tooltip="Outputs" display="Outputs" xr:uid="{FF40ACA7-149A-44CD-A7B2-9D810CFB15C6}"/>
  </hyperlinks>
  <printOptions horizontalCentered="1" verticalCentered="1"/>
  <pageMargins left="0.11811023622047245" right="0.11811023622047245" top="0.11811023622047245" bottom="0.11811023622047245" header="0.11811023622047245" footer="0.11811023622047245"/>
  <pageSetup scale="76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4001-D4B9-4CD1-8335-2DFD79A587E7}">
  <sheetPr>
    <pageSetUpPr autoPageBreaks="0"/>
  </sheetPr>
  <dimension ref="A1:R44"/>
  <sheetViews>
    <sheetView showGridLines="0" zoomScaleNormal="100" zoomScaleSheetLayoutView="80" workbookViewId="0">
      <pane ySplit="3" topLeftCell="A4" activePane="bottomLeft" state="frozen"/>
      <selection pane="bottomLeft"/>
    </sheetView>
  </sheetViews>
  <sheetFormatPr defaultColWidth="9.140625" defaultRowHeight="15" customHeight="1" outlineLevelRow="1" x14ac:dyDescent="0.3"/>
  <cols>
    <col min="1" max="1" width="9.140625" style="16"/>
    <col min="2" max="2" width="4.7109375" style="16" customWidth="1"/>
    <col min="3" max="3" width="10" style="16" bestFit="1" customWidth="1"/>
    <col min="4" max="8" width="9.85546875" style="16" customWidth="1"/>
    <col min="9" max="9" width="2.7109375" style="16" customWidth="1"/>
    <col min="10" max="10" width="9.7109375" style="16" customWidth="1"/>
    <col min="11" max="11" width="7.7109375" style="16" customWidth="1"/>
    <col min="12" max="16" width="9.85546875" style="16" customWidth="1"/>
    <col min="17" max="17" width="9.7109375" style="16" customWidth="1"/>
    <col min="18" max="16384" width="9.140625" style="16"/>
  </cols>
  <sheetData>
    <row r="1" spans="1:17" ht="8.1" customHeight="1" x14ac:dyDescent="0.3">
      <c r="A1" s="179"/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</row>
    <row r="2" spans="1:17" ht="45" customHeight="1" x14ac:dyDescent="0.3"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</row>
    <row r="3" spans="1:17" ht="8.1" customHeight="1" x14ac:dyDescent="0.3">
      <c r="A3" s="17"/>
      <c r="B3" s="163"/>
      <c r="C3" s="163"/>
      <c r="D3" s="163"/>
      <c r="E3" s="163"/>
      <c r="F3" s="164"/>
      <c r="G3" s="164"/>
      <c r="H3" s="164"/>
      <c r="I3" s="164"/>
      <c r="J3" s="164"/>
      <c r="K3" s="164"/>
      <c r="L3" s="163"/>
      <c r="M3" s="163"/>
      <c r="N3" s="163"/>
      <c r="O3" s="163"/>
      <c r="P3" s="163"/>
      <c r="Q3" s="163"/>
    </row>
    <row r="4" spans="1:17" customFormat="1" ht="15" customHeight="1" x14ac:dyDescent="0.3"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16"/>
    </row>
    <row r="5" spans="1:17" s="25" customFormat="1" ht="15" customHeight="1" x14ac:dyDescent="0.3">
      <c r="A5" s="25" t="s">
        <v>0</v>
      </c>
      <c r="B5" s="90" t="s">
        <v>29</v>
      </c>
      <c r="C5" s="89"/>
      <c r="D5" s="88"/>
      <c r="E5" s="87"/>
      <c r="F5" s="86"/>
      <c r="G5" s="86"/>
      <c r="H5" s="86"/>
      <c r="I5" s="86"/>
      <c r="J5" s="86"/>
      <c r="K5" s="86"/>
      <c r="L5" s="85"/>
      <c r="M5" s="84"/>
      <c r="N5" s="84"/>
      <c r="O5" s="84"/>
      <c r="P5" s="84"/>
      <c r="Q5" s="83"/>
    </row>
    <row r="6" spans="1:17" s="25" customFormat="1" ht="15" customHeight="1" outlineLevel="1" x14ac:dyDescent="0.3">
      <c r="B6" s="143"/>
      <c r="C6" s="208"/>
      <c r="D6" s="255"/>
      <c r="E6" s="203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75"/>
    </row>
    <row r="7" spans="1:17" s="25" customFormat="1" ht="15" customHeight="1" outlineLevel="1" x14ac:dyDescent="0.3">
      <c r="B7" s="187" t="s">
        <v>28</v>
      </c>
      <c r="C7" s="208"/>
      <c r="D7" s="255"/>
      <c r="E7" s="203"/>
      <c r="F7" s="201"/>
      <c r="G7" s="201"/>
      <c r="H7" s="136"/>
      <c r="I7" s="136"/>
      <c r="J7" s="80"/>
      <c r="K7" s="80"/>
      <c r="L7" s="80"/>
      <c r="M7" s="80"/>
      <c r="N7" s="80"/>
      <c r="O7" s="97"/>
      <c r="P7" s="80"/>
      <c r="Q7" s="80"/>
    </row>
    <row r="8" spans="1:17" s="25" customFormat="1" ht="15" customHeight="1" outlineLevel="1" x14ac:dyDescent="0.3">
      <c r="B8" s="187"/>
      <c r="C8" s="136"/>
      <c r="D8" s="256"/>
      <c r="E8" s="201"/>
      <c r="F8" s="136"/>
      <c r="G8" s="136"/>
      <c r="H8" s="136"/>
      <c r="I8" s="136"/>
      <c r="J8" s="257"/>
      <c r="K8" s="257"/>
      <c r="L8" s="136"/>
      <c r="M8" s="136"/>
      <c r="N8" s="136"/>
      <c r="O8" s="136"/>
      <c r="P8" s="257"/>
      <c r="Q8" s="257"/>
    </row>
    <row r="9" spans="1:17" s="25" customFormat="1" ht="15" customHeight="1" outlineLevel="1" x14ac:dyDescent="0.3">
      <c r="B9" s="187"/>
      <c r="C9" s="136"/>
      <c r="D9" s="256"/>
      <c r="E9" s="201"/>
      <c r="F9" s="136"/>
      <c r="G9" s="136"/>
      <c r="H9" s="136"/>
      <c r="I9" s="136"/>
      <c r="J9" s="257"/>
      <c r="K9" s="257"/>
      <c r="L9" s="136"/>
      <c r="M9" s="136"/>
      <c r="N9" s="136"/>
      <c r="O9" s="136"/>
      <c r="P9" s="257"/>
      <c r="Q9" s="257"/>
    </row>
    <row r="10" spans="1:17" s="25" customFormat="1" ht="15" customHeight="1" outlineLevel="1" x14ac:dyDescent="0.3">
      <c r="B10" s="187"/>
      <c r="C10" s="136"/>
      <c r="D10" s="78" t="s">
        <v>17</v>
      </c>
      <c r="E10" s="258"/>
      <c r="F10" s="265"/>
      <c r="G10" s="272">
        <v>0.02</v>
      </c>
      <c r="H10" s="136"/>
      <c r="I10" s="136"/>
      <c r="J10" s="253"/>
      <c r="K10" s="253"/>
      <c r="L10" s="78" t="s">
        <v>27</v>
      </c>
      <c r="M10" s="190"/>
      <c r="N10" s="236" t="s">
        <v>26</v>
      </c>
      <c r="O10" s="273">
        <v>34200</v>
      </c>
      <c r="P10" s="253"/>
      <c r="Q10" s="253"/>
    </row>
    <row r="11" spans="1:17" s="25" customFormat="1" ht="15" customHeight="1" outlineLevel="1" x14ac:dyDescent="0.3">
      <c r="B11" s="143"/>
      <c r="C11" s="136"/>
      <c r="D11" s="76" t="s">
        <v>25</v>
      </c>
      <c r="E11" s="136"/>
      <c r="F11" s="266"/>
      <c r="G11" s="274">
        <v>0.13500000000000001</v>
      </c>
      <c r="H11" s="201"/>
      <c r="I11" s="201"/>
      <c r="J11" s="201"/>
      <c r="K11" s="201"/>
      <c r="L11" s="259" t="s">
        <v>24</v>
      </c>
      <c r="M11" s="191"/>
      <c r="N11" s="260" t="s">
        <v>23</v>
      </c>
      <c r="O11" s="275">
        <v>2.71</v>
      </c>
      <c r="P11" s="201"/>
      <c r="Q11" s="201"/>
    </row>
    <row r="12" spans="1:17" customFormat="1" ht="15" customHeight="1" outlineLevel="1" x14ac:dyDescent="0.3">
      <c r="B12" s="24"/>
      <c r="C12" s="97"/>
      <c r="D12" s="76" t="s">
        <v>22</v>
      </c>
      <c r="E12" s="97"/>
      <c r="F12" s="97"/>
      <c r="G12" s="264">
        <f>Model!G140</f>
        <v>284580.33078903594</v>
      </c>
      <c r="H12" s="24"/>
      <c r="I12" s="24"/>
      <c r="J12" s="24"/>
      <c r="K12" s="24"/>
      <c r="L12" s="97"/>
      <c r="M12" s="97"/>
      <c r="N12" s="97"/>
      <c r="O12" s="97"/>
      <c r="P12" s="97"/>
      <c r="Q12" s="97"/>
    </row>
    <row r="13" spans="1:17" customFormat="1" ht="15" customHeight="1" outlineLevel="1" x14ac:dyDescent="0.3">
      <c r="B13" s="24"/>
      <c r="C13" s="97"/>
      <c r="D13" s="259" t="s">
        <v>21</v>
      </c>
      <c r="E13" s="191"/>
      <c r="F13" s="191"/>
      <c r="G13" s="74">
        <f>-Model!G141</f>
        <v>21000</v>
      </c>
      <c r="H13" s="24"/>
      <c r="I13" s="24"/>
      <c r="J13" s="24"/>
      <c r="K13" s="24"/>
      <c r="L13" s="97"/>
      <c r="M13" s="97"/>
      <c r="N13" s="97"/>
      <c r="O13" s="97"/>
      <c r="P13" s="73"/>
      <c r="Q13" s="97"/>
    </row>
    <row r="14" spans="1:17" customFormat="1" ht="15" customHeight="1" outlineLevel="1" x14ac:dyDescent="0.3">
      <c r="B14" s="24"/>
      <c r="C14" s="97"/>
      <c r="D14" s="97"/>
      <c r="E14" s="97"/>
      <c r="F14" s="97"/>
      <c r="G14" s="97"/>
      <c r="H14" s="24"/>
      <c r="I14" s="24"/>
      <c r="J14" s="24"/>
      <c r="K14" s="24"/>
      <c r="L14" s="97"/>
      <c r="M14" s="97"/>
      <c r="N14" s="97"/>
      <c r="O14" s="97"/>
      <c r="P14" s="73"/>
      <c r="Q14" s="97"/>
    </row>
    <row r="15" spans="1:17" ht="15" customHeight="1" outlineLevel="1" x14ac:dyDescent="0.3">
      <c r="B15" s="97"/>
      <c r="C15" s="72"/>
      <c r="D15" s="261"/>
      <c r="E15" s="97"/>
      <c r="F15" s="239"/>
      <c r="G15" s="73"/>
      <c r="H15" s="97"/>
      <c r="I15" s="97"/>
      <c r="J15" s="97"/>
      <c r="K15" s="97"/>
      <c r="L15" s="97"/>
      <c r="M15" s="71"/>
      <c r="N15" s="71"/>
      <c r="O15" s="71"/>
      <c r="P15" s="24"/>
      <c r="Q15" s="97"/>
    </row>
    <row r="16" spans="1:17" customFormat="1" ht="15" customHeight="1" outlineLevel="1" x14ac:dyDescent="0.25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spans="1:17" customFormat="1" ht="15" customHeight="1" outlineLevel="1" x14ac:dyDescent="0.3">
      <c r="A17" s="52"/>
      <c r="B17" s="55"/>
      <c r="C17" s="24"/>
      <c r="D17" s="58" t="s">
        <v>119</v>
      </c>
      <c r="E17" s="57"/>
      <c r="F17" s="57"/>
      <c r="G17" s="57"/>
      <c r="H17" s="57"/>
      <c r="I17" s="57"/>
      <c r="J17" s="55"/>
      <c r="K17" s="24"/>
      <c r="L17" s="58" t="s">
        <v>20</v>
      </c>
      <c r="M17" s="57"/>
      <c r="N17" s="57"/>
      <c r="O17" s="57"/>
      <c r="P17" s="57"/>
      <c r="Q17" s="97"/>
    </row>
    <row r="18" spans="1:17" customFormat="1" ht="15" customHeight="1" outlineLevel="1" x14ac:dyDescent="0.3">
      <c r="B18" s="24"/>
      <c r="C18" s="97"/>
      <c r="D18" s="56"/>
      <c r="E18" s="56"/>
      <c r="F18" s="56"/>
      <c r="G18" s="56"/>
      <c r="H18" s="56"/>
      <c r="I18" s="24"/>
      <c r="J18" s="24"/>
      <c r="K18" s="97"/>
      <c r="L18" s="56"/>
      <c r="M18" s="56"/>
      <c r="N18" s="56"/>
      <c r="O18" s="56"/>
      <c r="P18" s="56"/>
      <c r="Q18" s="97"/>
    </row>
    <row r="19" spans="1:17" s="52" customFormat="1" ht="15" customHeight="1" outlineLevel="1" x14ac:dyDescent="0.3">
      <c r="B19" s="55"/>
      <c r="C19" s="55"/>
      <c r="D19" s="54" t="s">
        <v>17</v>
      </c>
      <c r="E19" s="53"/>
      <c r="F19" s="53"/>
      <c r="G19" s="53"/>
      <c r="H19" s="53"/>
      <c r="I19" s="53"/>
      <c r="J19" s="55"/>
      <c r="K19" s="55"/>
      <c r="L19" s="54" t="s">
        <v>17</v>
      </c>
      <c r="M19" s="53"/>
      <c r="N19" s="53"/>
      <c r="O19" s="53"/>
      <c r="P19" s="53"/>
      <c r="Q19" s="55"/>
    </row>
    <row r="20" spans="1:17" customFormat="1" ht="15" customHeight="1" outlineLevel="1" x14ac:dyDescent="0.3">
      <c r="B20" s="24"/>
      <c r="C20" s="280">
        <f>G12</f>
        <v>284580.33078903594</v>
      </c>
      <c r="D20" s="32">
        <f>E20-0.005</f>
        <v>9.9999999999999985E-3</v>
      </c>
      <c r="E20" s="32">
        <f>F20-0.005</f>
        <v>1.4999999999999999E-2</v>
      </c>
      <c r="F20" s="32">
        <f>G10</f>
        <v>0.02</v>
      </c>
      <c r="G20" s="32">
        <f>F20+0.005</f>
        <v>2.5000000000000001E-2</v>
      </c>
      <c r="H20" s="32">
        <f>G20+0.005</f>
        <v>3.0000000000000002E-2</v>
      </c>
      <c r="I20" s="32"/>
      <c r="J20" s="24"/>
      <c r="K20" s="70"/>
      <c r="L20" s="32">
        <f>D20</f>
        <v>9.9999999999999985E-3</v>
      </c>
      <c r="M20" s="32">
        <f>E20</f>
        <v>1.4999999999999999E-2</v>
      </c>
      <c r="N20" s="32">
        <f>F20</f>
        <v>0.02</v>
      </c>
      <c r="O20" s="32">
        <f>G20</f>
        <v>2.5000000000000001E-2</v>
      </c>
      <c r="P20" s="32">
        <f>H20</f>
        <v>3.0000000000000002E-2</v>
      </c>
      <c r="Q20" s="97"/>
    </row>
    <row r="21" spans="1:17" customFormat="1" ht="15" customHeight="1" outlineLevel="1" x14ac:dyDescent="0.3">
      <c r="B21" s="304" t="s">
        <v>16</v>
      </c>
      <c r="C21" s="32">
        <f>C22-0.005</f>
        <v>0.125</v>
      </c>
      <c r="D21" s="69">
        <f t="dataTable" ref="D21:H25" dt2D="1" dtr="1" r1="G10" r2="G11" ca="1"/>
        <v>283710.6808126191</v>
      </c>
      <c r="E21" s="48">
        <v>273411.76776914083</v>
      </c>
      <c r="F21" s="48">
        <v>273411.76776914083</v>
      </c>
      <c r="G21" s="48">
        <v>283710.6808126191</v>
      </c>
      <c r="H21" s="47">
        <v>307251.05348342657</v>
      </c>
      <c r="I21" s="49"/>
      <c r="J21" s="304" t="s">
        <v>16</v>
      </c>
      <c r="K21" s="32">
        <f>C21</f>
        <v>0.125</v>
      </c>
      <c r="L21" s="68">
        <f>D33/$O$10</f>
        <v>7.681598854170149</v>
      </c>
      <c r="M21" s="67">
        <f t="shared" ref="L21:P25" si="0">E33/$O$10</f>
        <v>7.3804610458813107</v>
      </c>
      <c r="N21" s="67">
        <f t="shared" si="0"/>
        <v>7.3804610458813107</v>
      </c>
      <c r="O21" s="67">
        <f t="shared" si="0"/>
        <v>7.681598854170149</v>
      </c>
      <c r="P21" s="66">
        <f t="shared" si="0"/>
        <v>8.3699138445446373</v>
      </c>
      <c r="Q21" s="97"/>
    </row>
    <row r="22" spans="1:17" customFormat="1" ht="15" customHeight="1" outlineLevel="1" x14ac:dyDescent="0.3">
      <c r="B22" s="304"/>
      <c r="C22" s="32">
        <f>C23-0.005</f>
        <v>0.13</v>
      </c>
      <c r="D22" s="41">
        <v>294479.22707524057</v>
      </c>
      <c r="E22" s="40">
        <v>283302.94249026035</v>
      </c>
      <c r="F22" s="40">
        <v>283302.94249026035</v>
      </c>
      <c r="G22" s="40">
        <v>294479.22707524057</v>
      </c>
      <c r="H22" s="39">
        <v>320184.68162069516</v>
      </c>
      <c r="I22" s="49"/>
      <c r="J22" s="304"/>
      <c r="K22" s="32">
        <f>C22</f>
        <v>0.13</v>
      </c>
      <c r="L22" s="64">
        <f t="shared" si="0"/>
        <v>7.9964686279310113</v>
      </c>
      <c r="M22" s="63">
        <f t="shared" si="0"/>
        <v>7.6696766810017643</v>
      </c>
      <c r="N22" s="63">
        <f t="shared" si="0"/>
        <v>7.6696766810017643</v>
      </c>
      <c r="O22" s="63">
        <f t="shared" si="0"/>
        <v>7.9964686279310113</v>
      </c>
      <c r="P22" s="62">
        <f t="shared" si="0"/>
        <v>8.748090105868279</v>
      </c>
      <c r="Q22" s="97"/>
    </row>
    <row r="23" spans="1:17" customFormat="1" ht="15" customHeight="1" outlineLevel="1" x14ac:dyDescent="0.3">
      <c r="B23" s="304"/>
      <c r="C23" s="32">
        <f>G11</f>
        <v>0.13500000000000001</v>
      </c>
      <c r="D23" s="41">
        <v>294479.22707524057</v>
      </c>
      <c r="E23" s="40">
        <v>283302.94249026035</v>
      </c>
      <c r="F23" s="43">
        <v>283302.94249026035</v>
      </c>
      <c r="G23" s="40">
        <v>294479.22707524057</v>
      </c>
      <c r="H23" s="39">
        <v>320184.68162069516</v>
      </c>
      <c r="I23" s="49"/>
      <c r="J23" s="304"/>
      <c r="K23" s="32">
        <f>C23</f>
        <v>0.13500000000000001</v>
      </c>
      <c r="L23" s="64">
        <f t="shared" si="0"/>
        <v>7.9964686279310113</v>
      </c>
      <c r="M23" s="63">
        <f t="shared" si="0"/>
        <v>7.6696766810017643</v>
      </c>
      <c r="N23" s="65">
        <f t="shared" si="0"/>
        <v>7.6696766810017643</v>
      </c>
      <c r="O23" s="63">
        <f t="shared" si="0"/>
        <v>7.9964686279310113</v>
      </c>
      <c r="P23" s="62">
        <f t="shared" si="0"/>
        <v>8.748090105868279</v>
      </c>
      <c r="Q23" s="97"/>
    </row>
    <row r="24" spans="1:17" customFormat="1" ht="15" customHeight="1" outlineLevel="1" x14ac:dyDescent="0.3">
      <c r="B24" s="304"/>
      <c r="C24" s="32">
        <f>C23+0.005</f>
        <v>0.14000000000000001</v>
      </c>
      <c r="D24" s="41">
        <v>283710.6808126191</v>
      </c>
      <c r="E24" s="40">
        <v>273411.76776914083</v>
      </c>
      <c r="F24" s="40">
        <v>273411.76776914083</v>
      </c>
      <c r="G24" s="40">
        <v>283710.6808126191</v>
      </c>
      <c r="H24" s="39">
        <v>307251.05348342657</v>
      </c>
      <c r="I24" s="49"/>
      <c r="J24" s="304"/>
      <c r="K24" s="32">
        <f>C24</f>
        <v>0.14000000000000001</v>
      </c>
      <c r="L24" s="64">
        <f t="shared" si="0"/>
        <v>7.681598854170149</v>
      </c>
      <c r="M24" s="63">
        <f t="shared" si="0"/>
        <v>7.3804610458813107</v>
      </c>
      <c r="N24" s="63">
        <f t="shared" si="0"/>
        <v>7.3804610458813107</v>
      </c>
      <c r="O24" s="63">
        <f t="shared" si="0"/>
        <v>7.681598854170149</v>
      </c>
      <c r="P24" s="62">
        <f t="shared" si="0"/>
        <v>8.3699138445446373</v>
      </c>
      <c r="Q24" s="97"/>
    </row>
    <row r="25" spans="1:17" customFormat="1" ht="15" customHeight="1" outlineLevel="1" x14ac:dyDescent="0.3">
      <c r="B25" s="304"/>
      <c r="C25" s="32">
        <f>C24+0.005</f>
        <v>0.14500000000000002</v>
      </c>
      <c r="D25" s="35">
        <v>264599.11339773156</v>
      </c>
      <c r="E25" s="34">
        <v>255761.26724388541</v>
      </c>
      <c r="F25" s="34">
        <v>255761.26724388541</v>
      </c>
      <c r="G25" s="34">
        <v>264599.11339773156</v>
      </c>
      <c r="H25" s="33">
        <v>284580.33078903594</v>
      </c>
      <c r="I25" s="49"/>
      <c r="J25" s="304"/>
      <c r="K25" s="32">
        <f>C25</f>
        <v>0.14500000000000002</v>
      </c>
      <c r="L25" s="61">
        <f t="shared" si="0"/>
        <v>7.1227810935009233</v>
      </c>
      <c r="M25" s="60">
        <f t="shared" si="0"/>
        <v>6.8643645392948951</v>
      </c>
      <c r="N25" s="60">
        <f t="shared" si="0"/>
        <v>6.8643645392948951</v>
      </c>
      <c r="O25" s="60">
        <f t="shared" si="0"/>
        <v>7.1227810935009233</v>
      </c>
      <c r="P25" s="59">
        <f t="shared" si="0"/>
        <v>7.7070272160536826</v>
      </c>
      <c r="Q25" s="97"/>
    </row>
    <row r="26" spans="1:17" customFormat="1" ht="15" customHeight="1" outlineLevel="1" x14ac:dyDescent="0.3">
      <c r="B26" s="24"/>
      <c r="C26" s="24"/>
      <c r="D26" s="24"/>
      <c r="E26" s="24"/>
      <c r="F26" s="24"/>
      <c r="G26" s="24"/>
      <c r="H26" s="24"/>
      <c r="I26" s="24"/>
      <c r="J26" s="97"/>
      <c r="K26" s="97"/>
      <c r="L26" s="97"/>
      <c r="M26" s="97"/>
      <c r="N26" s="97"/>
      <c r="O26" s="97"/>
      <c r="P26" s="97"/>
      <c r="Q26" s="97"/>
    </row>
    <row r="27" spans="1:17" customFormat="1" ht="15" customHeight="1" outlineLevel="1" x14ac:dyDescent="0.3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97"/>
    </row>
    <row r="28" spans="1:17" customFormat="1" ht="15" customHeight="1" outlineLevel="1" x14ac:dyDescent="0.3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97"/>
    </row>
    <row r="29" spans="1:17" customFormat="1" ht="15" customHeight="1" outlineLevel="1" x14ac:dyDescent="0.3">
      <c r="A29" s="52"/>
      <c r="B29" s="24"/>
      <c r="C29" s="24"/>
      <c r="D29" s="58" t="s">
        <v>19</v>
      </c>
      <c r="E29" s="57"/>
      <c r="F29" s="57"/>
      <c r="G29" s="57"/>
      <c r="H29" s="57"/>
      <c r="I29" s="57"/>
      <c r="J29" s="24"/>
      <c r="K29" s="24"/>
      <c r="L29" s="58" t="s">
        <v>18</v>
      </c>
      <c r="M29" s="57"/>
      <c r="N29" s="57"/>
      <c r="O29" s="57"/>
      <c r="P29" s="57"/>
      <c r="Q29" s="97"/>
    </row>
    <row r="30" spans="1:17" customFormat="1" ht="15" customHeight="1" outlineLevel="1" x14ac:dyDescent="0.3">
      <c r="B30" s="24"/>
      <c r="C30" s="97"/>
      <c r="D30" s="56"/>
      <c r="E30" s="56"/>
      <c r="F30" s="56"/>
      <c r="G30" s="56"/>
      <c r="H30" s="56"/>
      <c r="I30" s="24"/>
      <c r="J30" s="24"/>
      <c r="K30" s="24"/>
      <c r="L30" s="56"/>
      <c r="M30" s="56"/>
      <c r="N30" s="56"/>
      <c r="O30" s="56"/>
      <c r="P30" s="56"/>
      <c r="Q30" s="97"/>
    </row>
    <row r="31" spans="1:17" s="52" customFormat="1" ht="15" customHeight="1" outlineLevel="1" x14ac:dyDescent="0.3">
      <c r="B31" s="55"/>
      <c r="C31" s="55"/>
      <c r="D31" s="54" t="s">
        <v>17</v>
      </c>
      <c r="E31" s="53"/>
      <c r="F31" s="53"/>
      <c r="G31" s="53"/>
      <c r="H31" s="53"/>
      <c r="I31" s="53"/>
      <c r="J31" s="55"/>
      <c r="K31" s="55"/>
      <c r="L31" s="54" t="s">
        <v>17</v>
      </c>
      <c r="M31" s="53"/>
      <c r="N31" s="53"/>
      <c r="O31" s="53"/>
      <c r="P31" s="53"/>
      <c r="Q31" s="55"/>
    </row>
    <row r="32" spans="1:17" customFormat="1" ht="15" customHeight="1" outlineLevel="1" x14ac:dyDescent="0.3">
      <c r="B32" s="24"/>
      <c r="C32" s="50"/>
      <c r="D32" s="51">
        <f>D20</f>
        <v>9.9999999999999985E-3</v>
      </c>
      <c r="E32" s="51">
        <f>E20</f>
        <v>1.4999999999999999E-2</v>
      </c>
      <c r="F32" s="51">
        <f>F20</f>
        <v>0.02</v>
      </c>
      <c r="G32" s="51">
        <f>G20</f>
        <v>2.5000000000000001E-2</v>
      </c>
      <c r="H32" s="51">
        <f>H20</f>
        <v>3.0000000000000002E-2</v>
      </c>
      <c r="I32" s="32"/>
      <c r="J32" s="24"/>
      <c r="K32" s="50"/>
      <c r="L32" s="32">
        <f>D20</f>
        <v>9.9999999999999985E-3</v>
      </c>
      <c r="M32" s="32">
        <f t="shared" ref="M32:P32" si="1">E20</f>
        <v>1.4999999999999999E-2</v>
      </c>
      <c r="N32" s="32">
        <f t="shared" si="1"/>
        <v>0.02</v>
      </c>
      <c r="O32" s="32">
        <f t="shared" si="1"/>
        <v>2.5000000000000001E-2</v>
      </c>
      <c r="P32" s="32">
        <f t="shared" si="1"/>
        <v>3.0000000000000002E-2</v>
      </c>
      <c r="Q32" s="97"/>
    </row>
    <row r="33" spans="2:18" customFormat="1" ht="15" customHeight="1" outlineLevel="1" x14ac:dyDescent="0.3">
      <c r="B33" s="304" t="s">
        <v>16</v>
      </c>
      <c r="C33" s="32">
        <f>C21</f>
        <v>0.125</v>
      </c>
      <c r="D33" s="41">
        <f>D21-$G$13</f>
        <v>262710.6808126191</v>
      </c>
      <c r="E33" s="49">
        <f t="shared" ref="D33:H37" si="2">E21-$G$13</f>
        <v>252411.76776914083</v>
      </c>
      <c r="F33" s="49">
        <f t="shared" si="2"/>
        <v>252411.76776914083</v>
      </c>
      <c r="G33" s="48">
        <f t="shared" si="2"/>
        <v>262710.6808126191</v>
      </c>
      <c r="H33" s="47">
        <f t="shared" si="2"/>
        <v>286251.05348342657</v>
      </c>
      <c r="I33" s="49"/>
      <c r="J33" s="97"/>
      <c r="K33" s="32">
        <f>C21</f>
        <v>0.125</v>
      </c>
      <c r="L33" s="46">
        <f>L21/$O$11-1</f>
        <v>1.8345383225720107</v>
      </c>
      <c r="M33" s="45">
        <f t="shared" ref="L33:P37" si="3">M21/$O$11-1</f>
        <v>1.7234173601038045</v>
      </c>
      <c r="N33" s="45">
        <f t="shared" si="3"/>
        <v>1.7234173601038045</v>
      </c>
      <c r="O33" s="45">
        <f t="shared" si="3"/>
        <v>1.8345383225720107</v>
      </c>
      <c r="P33" s="44">
        <f t="shared" si="3"/>
        <v>2.0885290939279106</v>
      </c>
      <c r="Q33" s="97"/>
    </row>
    <row r="34" spans="2:18" customFormat="1" ht="15" customHeight="1" outlineLevel="1" x14ac:dyDescent="0.3">
      <c r="B34" s="304"/>
      <c r="C34" s="32">
        <f>C22</f>
        <v>0.13</v>
      </c>
      <c r="D34" s="41">
        <f t="shared" si="2"/>
        <v>273479.22707524057</v>
      </c>
      <c r="E34" s="40">
        <f t="shared" si="2"/>
        <v>262302.94249026035</v>
      </c>
      <c r="F34" s="40">
        <f t="shared" si="2"/>
        <v>262302.94249026035</v>
      </c>
      <c r="G34" s="40">
        <f t="shared" si="2"/>
        <v>273479.22707524057</v>
      </c>
      <c r="H34" s="39">
        <f t="shared" si="2"/>
        <v>299184.68162069516</v>
      </c>
      <c r="I34" s="49"/>
      <c r="J34" s="97"/>
      <c r="K34" s="32">
        <f t="shared" ref="K34:K37" si="4">C22</f>
        <v>0.13</v>
      </c>
      <c r="L34" s="38">
        <f t="shared" si="3"/>
        <v>1.9507264309708527</v>
      </c>
      <c r="M34" s="37">
        <f t="shared" si="3"/>
        <v>1.8301389966796178</v>
      </c>
      <c r="N34" s="37">
        <f t="shared" si="3"/>
        <v>1.8301389966796178</v>
      </c>
      <c r="O34" s="37">
        <f t="shared" si="3"/>
        <v>1.9507264309708527</v>
      </c>
      <c r="P34" s="36">
        <f t="shared" si="3"/>
        <v>2.2280775298406934</v>
      </c>
      <c r="Q34" s="97"/>
    </row>
    <row r="35" spans="2:18" customFormat="1" ht="15" customHeight="1" outlineLevel="1" x14ac:dyDescent="0.3">
      <c r="B35" s="304"/>
      <c r="C35" s="32">
        <f>C23</f>
        <v>0.13500000000000001</v>
      </c>
      <c r="D35" s="41">
        <f t="shared" si="2"/>
        <v>273479.22707524057</v>
      </c>
      <c r="E35" s="40">
        <f t="shared" si="2"/>
        <v>262302.94249026035</v>
      </c>
      <c r="F35" s="43">
        <f t="shared" si="2"/>
        <v>262302.94249026035</v>
      </c>
      <c r="G35" s="40">
        <f t="shared" si="2"/>
        <v>273479.22707524057</v>
      </c>
      <c r="H35" s="39">
        <f t="shared" si="2"/>
        <v>299184.68162069516</v>
      </c>
      <c r="I35" s="49"/>
      <c r="J35" s="97"/>
      <c r="K35" s="32">
        <f t="shared" si="4"/>
        <v>0.13500000000000001</v>
      </c>
      <c r="L35" s="38">
        <f t="shared" si="3"/>
        <v>1.9507264309708527</v>
      </c>
      <c r="M35" s="37">
        <f t="shared" si="3"/>
        <v>1.8301389966796178</v>
      </c>
      <c r="N35" s="42">
        <f t="shared" si="3"/>
        <v>1.8301389966796178</v>
      </c>
      <c r="O35" s="37">
        <f t="shared" si="3"/>
        <v>1.9507264309708527</v>
      </c>
      <c r="P35" s="36">
        <f t="shared" si="3"/>
        <v>2.2280775298406934</v>
      </c>
      <c r="Q35" s="97"/>
    </row>
    <row r="36" spans="2:18" customFormat="1" ht="15" customHeight="1" outlineLevel="1" x14ac:dyDescent="0.3">
      <c r="B36" s="304"/>
      <c r="C36" s="32">
        <f>C24</f>
        <v>0.14000000000000001</v>
      </c>
      <c r="D36" s="41">
        <f t="shared" si="2"/>
        <v>262710.6808126191</v>
      </c>
      <c r="E36" s="40">
        <f t="shared" si="2"/>
        <v>252411.76776914083</v>
      </c>
      <c r="F36" s="40">
        <f t="shared" si="2"/>
        <v>252411.76776914083</v>
      </c>
      <c r="G36" s="40">
        <f t="shared" si="2"/>
        <v>262710.6808126191</v>
      </c>
      <c r="H36" s="39">
        <f t="shared" si="2"/>
        <v>286251.05348342657</v>
      </c>
      <c r="I36" s="49"/>
      <c r="J36" s="97"/>
      <c r="K36" s="32">
        <f t="shared" si="4"/>
        <v>0.14000000000000001</v>
      </c>
      <c r="L36" s="38">
        <f t="shared" si="3"/>
        <v>1.8345383225720107</v>
      </c>
      <c r="M36" s="37">
        <f t="shared" si="3"/>
        <v>1.7234173601038045</v>
      </c>
      <c r="N36" s="37">
        <f t="shared" si="3"/>
        <v>1.7234173601038045</v>
      </c>
      <c r="O36" s="37">
        <f t="shared" si="3"/>
        <v>1.8345383225720107</v>
      </c>
      <c r="P36" s="36">
        <f t="shared" si="3"/>
        <v>2.0885290939279106</v>
      </c>
      <c r="Q36" s="97"/>
    </row>
    <row r="37" spans="2:18" customFormat="1" ht="15" customHeight="1" outlineLevel="1" x14ac:dyDescent="0.3">
      <c r="B37" s="304"/>
      <c r="C37" s="32">
        <f>C25</f>
        <v>0.14500000000000002</v>
      </c>
      <c r="D37" s="35">
        <f t="shared" si="2"/>
        <v>243599.11339773156</v>
      </c>
      <c r="E37" s="34">
        <f t="shared" si="2"/>
        <v>234761.26724388541</v>
      </c>
      <c r="F37" s="34">
        <f t="shared" si="2"/>
        <v>234761.26724388541</v>
      </c>
      <c r="G37" s="34">
        <f t="shared" si="2"/>
        <v>243599.11339773156</v>
      </c>
      <c r="H37" s="33">
        <f t="shared" si="2"/>
        <v>263580.33078903594</v>
      </c>
      <c r="I37" s="49"/>
      <c r="J37" s="97"/>
      <c r="K37" s="32">
        <f t="shared" si="4"/>
        <v>0.14500000000000002</v>
      </c>
      <c r="L37" s="31">
        <f t="shared" si="3"/>
        <v>1.6283325068269088</v>
      </c>
      <c r="M37" s="30">
        <f t="shared" si="3"/>
        <v>1.5329758447582638</v>
      </c>
      <c r="N37" s="30">
        <f t="shared" si="3"/>
        <v>1.5329758447582638</v>
      </c>
      <c r="O37" s="30">
        <f t="shared" si="3"/>
        <v>1.6283325068269088</v>
      </c>
      <c r="P37" s="29">
        <f t="shared" si="3"/>
        <v>1.8439214819386285</v>
      </c>
      <c r="Q37" s="97"/>
    </row>
    <row r="38" spans="2:18" ht="15" customHeight="1" outlineLevel="1" x14ac:dyDescent="0.3">
      <c r="B38" s="24"/>
      <c r="C38" s="24"/>
      <c r="D38" s="28"/>
      <c r="E38" s="28"/>
      <c r="F38" s="28"/>
      <c r="G38" s="28"/>
      <c r="H38" s="28"/>
      <c r="I38" s="28"/>
      <c r="J38" s="97"/>
      <c r="K38" s="97"/>
      <c r="L38" s="97"/>
      <c r="M38" s="97"/>
      <c r="N38" s="97"/>
      <c r="O38" s="97"/>
      <c r="P38" s="97"/>
      <c r="Q38" s="97"/>
    </row>
    <row r="39" spans="2:18" s="25" customFormat="1" ht="15" customHeight="1" outlineLevel="1" x14ac:dyDescent="0.3">
      <c r="B39" s="136"/>
      <c r="C39" s="208"/>
      <c r="D39" s="201"/>
      <c r="E39" s="201"/>
      <c r="F39" s="201"/>
      <c r="G39" s="97"/>
      <c r="H39" s="97"/>
      <c r="I39" s="97"/>
      <c r="J39" s="97"/>
      <c r="K39" s="97"/>
      <c r="L39" s="97"/>
      <c r="M39" s="97"/>
      <c r="N39" s="97"/>
      <c r="O39" s="136"/>
      <c r="P39" s="136"/>
      <c r="Q39" s="136"/>
    </row>
    <row r="40" spans="2:18" customFormat="1" ht="15" customHeight="1" outlineLevel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97"/>
      <c r="P40" s="262" t="s">
        <v>15</v>
      </c>
      <c r="Q40" s="97"/>
    </row>
    <row r="41" spans="2:18" customFormat="1" ht="15" customHeight="1" outlineLevel="1" x14ac:dyDescent="0.3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97"/>
      <c r="P41" s="263" t="s">
        <v>14</v>
      </c>
      <c r="Q41" s="97"/>
    </row>
    <row r="42" spans="2:18" customFormat="1" ht="15" customHeight="1" outlineLevel="1" x14ac:dyDescent="0.3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97"/>
      <c r="P42" s="263"/>
      <c r="Q42" s="97"/>
    </row>
    <row r="43" spans="2:18" s="17" customFormat="1" ht="15" customHeight="1" outlineLevel="1" x14ac:dyDescent="0.3">
      <c r="B43" s="23"/>
      <c r="C43" s="276"/>
      <c r="D43" s="277"/>
      <c r="E43" s="278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 t="s">
        <v>0</v>
      </c>
    </row>
    <row r="44" spans="2:18" ht="15" customHeight="1" x14ac:dyDescent="0.3">
      <c r="R44" s="17" t="s">
        <v>0</v>
      </c>
    </row>
  </sheetData>
  <mergeCells count="3">
    <mergeCell ref="B21:B25"/>
    <mergeCell ref="J21:J25"/>
    <mergeCell ref="B33:B37"/>
  </mergeCells>
  <printOptions horizontalCentered="1"/>
  <pageMargins left="0.11811023622047245" right="0.11811023622047245" top="0.11811023622047245" bottom="0.11811023622047245" header="0.11811023622047245" footer="0.11811023622047245"/>
  <pageSetup scale="95" orientation="landscape" r:id="rId1"/>
  <headerFooter alignWithMargins="0">
    <oddFooter>&amp;L&amp;"Open Sans,Bold"&amp;10&amp;K002060Compact Valuation Model&amp;C&amp;"Open Sans,Bold"&amp;10&amp;K002060Page &amp;P of &amp;N&amp;R&amp;G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1902-8794-4AF2-BF28-15F6F8B0B25C}">
  <sheetPr>
    <pageSetUpPr autoPageBreaks="0"/>
  </sheetPr>
  <dimension ref="A1:U47"/>
  <sheetViews>
    <sheetView showGridLines="0" zoomScaleNormal="100" zoomScaleSheetLayoutView="100" workbookViewId="0">
      <pane ySplit="3" topLeftCell="A4" activePane="bottomLeft" state="frozen"/>
      <selection pane="bottomLeft"/>
    </sheetView>
  </sheetViews>
  <sheetFormatPr defaultColWidth="9.140625" defaultRowHeight="15" customHeight="1" outlineLevelRow="1" x14ac:dyDescent="0.3"/>
  <cols>
    <col min="1" max="1" width="9.140625" style="16" customWidth="1"/>
    <col min="2" max="2" width="2.7109375" style="16" customWidth="1"/>
    <col min="3" max="15" width="9.7109375" style="16" customWidth="1"/>
    <col min="16" max="16" width="0.85546875" style="16" customWidth="1"/>
    <col min="17" max="17" width="9.140625" style="16" customWidth="1"/>
    <col min="18" max="16384" width="9.140625" style="16"/>
  </cols>
  <sheetData>
    <row r="1" spans="1:21" ht="8.1" customHeight="1" x14ac:dyDescent="0.3">
      <c r="A1" s="179"/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</row>
    <row r="2" spans="1:21" ht="45" customHeight="1" x14ac:dyDescent="0.3"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</row>
    <row r="3" spans="1:21" ht="8.1" customHeight="1" x14ac:dyDescent="0.3">
      <c r="A3" s="17"/>
      <c r="B3" s="163"/>
      <c r="C3" s="163"/>
      <c r="D3" s="163"/>
      <c r="E3" s="163"/>
      <c r="F3" s="164"/>
      <c r="G3" s="164"/>
      <c r="H3" s="164"/>
      <c r="I3" s="164"/>
      <c r="J3" s="164"/>
      <c r="K3" s="163"/>
      <c r="L3" s="163"/>
      <c r="M3" s="163"/>
      <c r="N3" s="163"/>
      <c r="O3" s="163"/>
    </row>
    <row r="4" spans="1:21" s="25" customFormat="1" ht="15" customHeight="1" x14ac:dyDescent="0.3">
      <c r="B4" s="79"/>
      <c r="C4" s="27"/>
      <c r="D4" s="26"/>
      <c r="E4" s="26"/>
      <c r="F4" s="26"/>
      <c r="G4" s="26"/>
      <c r="H4" s="26"/>
      <c r="I4" s="26"/>
      <c r="J4" s="26"/>
      <c r="K4" s="93"/>
      <c r="L4" s="93"/>
      <c r="M4" s="93"/>
      <c r="N4" s="93"/>
      <c r="O4" s="93"/>
      <c r="P4" s="94"/>
    </row>
    <row r="5" spans="1:21" s="25" customFormat="1" ht="15" customHeight="1" x14ac:dyDescent="0.3">
      <c r="A5" s="17" t="s">
        <v>0</v>
      </c>
      <c r="B5" s="90" t="s">
        <v>109</v>
      </c>
      <c r="C5" s="89"/>
      <c r="D5" s="101"/>
      <c r="E5" s="101"/>
      <c r="F5" s="86"/>
      <c r="G5" s="86"/>
      <c r="H5" s="86"/>
      <c r="I5" s="86"/>
      <c r="J5" s="86"/>
      <c r="K5" s="86"/>
      <c r="L5" s="86"/>
      <c r="M5" s="86"/>
      <c r="N5" s="86"/>
      <c r="O5" s="86"/>
    </row>
    <row r="6" spans="1:21" s="25" customFormat="1" ht="15" customHeight="1" outlineLevel="1" x14ac:dyDescent="0.3">
      <c r="A6" s="17"/>
      <c r="B6" s="100"/>
      <c r="C6" s="27"/>
      <c r="D6" s="81"/>
      <c r="E6" s="81"/>
      <c r="F6" s="75"/>
      <c r="G6" s="75"/>
      <c r="H6" s="75"/>
      <c r="I6" s="75"/>
      <c r="J6" s="75"/>
      <c r="K6" s="75"/>
      <c r="L6" s="75"/>
      <c r="M6" s="75"/>
      <c r="N6" s="75"/>
      <c r="O6" s="75"/>
    </row>
    <row r="7" spans="1:21" s="25" customFormat="1" ht="15" customHeight="1" outlineLevel="1" thickBot="1" x14ac:dyDescent="0.35">
      <c r="B7" s="79" t="s">
        <v>28</v>
      </c>
      <c r="C7" s="27"/>
      <c r="D7" s="26"/>
      <c r="E7" s="26"/>
      <c r="F7" s="75"/>
      <c r="H7" s="185">
        <f>I7-1</f>
        <v>2020</v>
      </c>
      <c r="I7" s="185">
        <f>J7-1</f>
        <v>2021</v>
      </c>
      <c r="J7" s="185">
        <f>K7-1</f>
        <v>2022</v>
      </c>
      <c r="K7" s="98">
        <v>2023</v>
      </c>
      <c r="L7" s="98">
        <f>K7+1</f>
        <v>2024</v>
      </c>
      <c r="M7" s="98">
        <f>L7+1</f>
        <v>2025</v>
      </c>
      <c r="N7" s="98">
        <f>M7+1</f>
        <v>2026</v>
      </c>
      <c r="O7" s="98">
        <f>N7+1</f>
        <v>2027</v>
      </c>
    </row>
    <row r="8" spans="1:21" s="25" customFormat="1" ht="15" customHeight="1" outlineLevel="1" x14ac:dyDescent="0.3">
      <c r="B8" s="79"/>
      <c r="C8" s="27"/>
      <c r="D8" s="26"/>
      <c r="E8" s="26"/>
      <c r="F8" s="75"/>
      <c r="G8" s="75"/>
      <c r="H8" s="75"/>
      <c r="I8" s="75"/>
      <c r="J8" s="75"/>
      <c r="K8" s="201"/>
      <c r="L8" s="75"/>
      <c r="M8" s="75"/>
      <c r="N8" s="75"/>
      <c r="O8" s="75"/>
    </row>
    <row r="9" spans="1:21" s="25" customFormat="1" ht="15" customHeight="1" outlineLevel="1" x14ac:dyDescent="0.3">
      <c r="C9" s="172" t="s">
        <v>102</v>
      </c>
      <c r="D9" s="173"/>
      <c r="E9" s="173"/>
      <c r="F9" s="174"/>
      <c r="G9" s="175"/>
      <c r="H9" s="175"/>
      <c r="I9" s="175"/>
      <c r="J9" s="175"/>
      <c r="K9" s="175"/>
      <c r="L9" s="175"/>
      <c r="M9" s="175"/>
      <c r="N9" s="175"/>
      <c r="O9" s="175"/>
    </row>
    <row r="10" spans="1:21" s="25" customFormat="1" ht="15" customHeight="1" outlineLevel="1" x14ac:dyDescent="0.3">
      <c r="C10" s="125"/>
      <c r="D10" s="26"/>
      <c r="E10" s="26"/>
      <c r="F10" s="75"/>
      <c r="H10" s="26"/>
      <c r="I10" s="26"/>
      <c r="J10" s="26"/>
      <c r="K10" s="26"/>
      <c r="T10" s="297"/>
      <c r="U10" s="297"/>
    </row>
    <row r="11" spans="1:21" s="134" customFormat="1" ht="15" customHeight="1" outlineLevel="1" x14ac:dyDescent="0.25">
      <c r="A11" s="25"/>
      <c r="C11" s="123" t="s">
        <v>98</v>
      </c>
      <c r="D11" s="148"/>
      <c r="H11" s="180">
        <v>45201</v>
      </c>
      <c r="I11" s="180">
        <v>50164</v>
      </c>
      <c r="J11" s="180">
        <v>54261</v>
      </c>
      <c r="K11" s="199">
        <v>58000</v>
      </c>
      <c r="L11" s="199">
        <v>61500</v>
      </c>
      <c r="M11" s="199">
        <v>64500</v>
      </c>
      <c r="N11" s="199">
        <v>68000</v>
      </c>
      <c r="O11" s="199">
        <v>71500</v>
      </c>
      <c r="T11" s="298" t="s">
        <v>98</v>
      </c>
      <c r="U11" s="299">
        <v>60000</v>
      </c>
    </row>
    <row r="12" spans="1:21" s="108" customFormat="1" ht="15" customHeight="1" outlineLevel="1" x14ac:dyDescent="0.25">
      <c r="A12" s="25"/>
      <c r="C12" s="123" t="s">
        <v>97</v>
      </c>
      <c r="D12" s="148"/>
      <c r="H12" s="180">
        <v>24518</v>
      </c>
      <c r="I12" s="180">
        <v>26589</v>
      </c>
      <c r="J12" s="180">
        <v>28541</v>
      </c>
      <c r="K12" s="199">
        <v>30000</v>
      </c>
      <c r="L12" s="199">
        <v>31000</v>
      </c>
      <c r="M12" s="199">
        <v>32000</v>
      </c>
      <c r="N12" s="199">
        <f>34000</f>
        <v>34000</v>
      </c>
      <c r="O12" s="199">
        <v>36000</v>
      </c>
      <c r="T12" s="298" t="s">
        <v>97</v>
      </c>
      <c r="U12" s="299">
        <v>30500</v>
      </c>
    </row>
    <row r="13" spans="1:21" s="108" customFormat="1" ht="15" customHeight="1" outlineLevel="1" x14ac:dyDescent="0.25">
      <c r="A13" s="25"/>
      <c r="C13" s="123" t="s">
        <v>95</v>
      </c>
      <c r="D13" s="146"/>
      <c r="H13" s="180">
        <v>4800</v>
      </c>
      <c r="I13" s="180">
        <v>5100</v>
      </c>
      <c r="J13" s="180">
        <v>5500</v>
      </c>
      <c r="K13" s="199">
        <v>6000</v>
      </c>
      <c r="L13" s="199">
        <v>6600</v>
      </c>
      <c r="M13" s="199">
        <v>7300</v>
      </c>
      <c r="N13" s="199">
        <v>7700</v>
      </c>
      <c r="O13" s="199">
        <v>8100</v>
      </c>
      <c r="T13" s="298" t="s">
        <v>95</v>
      </c>
      <c r="U13" s="299">
        <v>6250</v>
      </c>
    </row>
    <row r="14" spans="1:21" s="108" customFormat="1" ht="15" customHeight="1" outlineLevel="1" x14ac:dyDescent="0.25">
      <c r="A14" s="25"/>
      <c r="C14" s="123" t="s">
        <v>100</v>
      </c>
      <c r="D14" s="146"/>
      <c r="H14" s="180">
        <v>1987</v>
      </c>
      <c r="I14" s="180">
        <v>2016</v>
      </c>
      <c r="J14" s="180">
        <v>2045</v>
      </c>
      <c r="K14" s="199">
        <v>2000</v>
      </c>
      <c r="L14" s="199">
        <v>2000</v>
      </c>
      <c r="M14" s="199">
        <v>2000</v>
      </c>
      <c r="N14" s="199">
        <v>2000</v>
      </c>
      <c r="O14" s="199">
        <v>-2000</v>
      </c>
      <c r="T14" s="300"/>
      <c r="U14" s="300"/>
    </row>
    <row r="15" spans="1:21" s="108" customFormat="1" ht="15" customHeight="1" outlineLevel="1" x14ac:dyDescent="0.25">
      <c r="A15" s="25"/>
      <c r="C15" s="123" t="s">
        <v>87</v>
      </c>
      <c r="D15" s="146"/>
      <c r="H15" s="180">
        <v>3985</v>
      </c>
      <c r="I15" s="180">
        <v>4005</v>
      </c>
      <c r="J15" s="180">
        <v>4058</v>
      </c>
      <c r="K15" s="199">
        <f>4000</f>
        <v>4000</v>
      </c>
      <c r="L15" s="199">
        <f>4000</f>
        <v>4000</v>
      </c>
      <c r="M15" s="199">
        <f>4000</f>
        <v>4000</v>
      </c>
      <c r="N15" s="199">
        <f>4000</f>
        <v>4000</v>
      </c>
      <c r="O15" s="199">
        <f>4000</f>
        <v>4000</v>
      </c>
    </row>
    <row r="16" spans="1:21" s="108" customFormat="1" ht="15" customHeight="1" outlineLevel="1" x14ac:dyDescent="0.25">
      <c r="A16" s="25"/>
      <c r="C16" s="123" t="s">
        <v>92</v>
      </c>
      <c r="D16" s="146"/>
      <c r="H16" s="180">
        <v>1845</v>
      </c>
      <c r="I16" s="180">
        <v>1652</v>
      </c>
      <c r="J16" s="180">
        <v>1398</v>
      </c>
      <c r="K16" s="199">
        <v>1200</v>
      </c>
      <c r="L16" s="199">
        <v>1000</v>
      </c>
      <c r="M16" s="199">
        <v>800</v>
      </c>
      <c r="N16" s="199">
        <v>600</v>
      </c>
      <c r="O16" s="199">
        <v>400</v>
      </c>
      <c r="Q16" s="182"/>
    </row>
    <row r="17" spans="1:15" s="108" customFormat="1" ht="15" customHeight="1" outlineLevel="1" x14ac:dyDescent="0.25">
      <c r="A17" s="25"/>
      <c r="C17" s="123" t="s">
        <v>115</v>
      </c>
      <c r="D17" s="146"/>
      <c r="H17" s="180">
        <v>987</v>
      </c>
      <c r="I17" s="180">
        <v>992</v>
      </c>
      <c r="J17" s="180">
        <v>1000</v>
      </c>
      <c r="K17" s="199">
        <v>1000</v>
      </c>
      <c r="L17" s="199">
        <v>1000</v>
      </c>
      <c r="M17" s="199">
        <v>1000</v>
      </c>
      <c r="N17" s="199">
        <v>1000</v>
      </c>
      <c r="O17" s="199">
        <v>1000</v>
      </c>
    </row>
    <row r="18" spans="1:15" s="108" customFormat="1" ht="15" customHeight="1" outlineLevel="1" x14ac:dyDescent="0.25">
      <c r="A18" s="25"/>
      <c r="C18" s="123" t="s">
        <v>116</v>
      </c>
      <c r="D18" s="146"/>
      <c r="H18" s="180">
        <v>1957</v>
      </c>
      <c r="I18" s="180">
        <v>2001</v>
      </c>
      <c r="J18" s="180">
        <v>2006</v>
      </c>
      <c r="K18" s="199">
        <v>2000</v>
      </c>
      <c r="L18" s="199">
        <v>2000</v>
      </c>
      <c r="M18" s="199">
        <v>2000</v>
      </c>
      <c r="N18" s="199">
        <v>20000</v>
      </c>
      <c r="O18" s="199">
        <v>2000</v>
      </c>
    </row>
    <row r="19" spans="1:15" s="108" customFormat="1" ht="15" customHeight="1" outlineLevel="1" x14ac:dyDescent="0.25">
      <c r="A19" s="25"/>
      <c r="E19" s="140"/>
      <c r="F19" s="140"/>
      <c r="G19" s="140"/>
      <c r="H19" s="188"/>
      <c r="I19" s="188"/>
      <c r="J19" s="188"/>
      <c r="K19" s="188"/>
      <c r="L19" s="188"/>
      <c r="M19" s="188"/>
      <c r="N19" s="188"/>
      <c r="O19" s="188"/>
    </row>
    <row r="20" spans="1:15" s="108" customFormat="1" ht="15" customHeight="1" outlineLevel="1" x14ac:dyDescent="0.25">
      <c r="A20" s="25"/>
      <c r="E20" s="140"/>
      <c r="F20" s="140"/>
      <c r="G20" s="140"/>
      <c r="H20" s="188"/>
      <c r="I20" s="188"/>
      <c r="J20" s="188"/>
      <c r="K20" s="188"/>
      <c r="L20" s="188"/>
      <c r="M20" s="188"/>
      <c r="N20" s="188"/>
      <c r="O20" s="188"/>
    </row>
    <row r="21" spans="1:15" s="25" customFormat="1" ht="15" customHeight="1" outlineLevel="1" x14ac:dyDescent="0.3">
      <c r="C21" s="172" t="s">
        <v>103</v>
      </c>
      <c r="D21" s="173"/>
      <c r="E21" s="173"/>
      <c r="F21" s="174"/>
      <c r="G21" s="175"/>
      <c r="H21" s="218"/>
      <c r="I21" s="218"/>
      <c r="J21" s="218"/>
      <c r="K21" s="218"/>
      <c r="L21" s="219"/>
      <c r="M21" s="219"/>
      <c r="N21" s="219"/>
      <c r="O21" s="219"/>
    </row>
    <row r="22" spans="1:15" s="25" customFormat="1" ht="15" customHeight="1" outlineLevel="1" x14ac:dyDescent="0.3">
      <c r="C22" s="125"/>
      <c r="D22" s="26"/>
      <c r="E22" s="26"/>
      <c r="F22" s="75"/>
      <c r="H22" s="200"/>
      <c r="I22" s="200"/>
      <c r="J22" s="200"/>
      <c r="K22" s="200"/>
      <c r="L22" s="189"/>
      <c r="M22" s="189"/>
      <c r="N22" s="189"/>
      <c r="O22" s="189"/>
    </row>
    <row r="23" spans="1:15" s="25" customFormat="1" ht="15" customHeight="1" outlineLevel="1" x14ac:dyDescent="0.25">
      <c r="C23" s="176" t="s">
        <v>106</v>
      </c>
      <c r="G23" s="136"/>
      <c r="H23" s="189"/>
      <c r="I23" s="189"/>
      <c r="J23" s="189"/>
      <c r="K23" s="220"/>
      <c r="L23" s="220"/>
      <c r="M23" s="220"/>
      <c r="N23" s="189"/>
      <c r="O23" s="189"/>
    </row>
    <row r="24" spans="1:15" s="25" customFormat="1" ht="15" customHeight="1" outlineLevel="1" x14ac:dyDescent="0.25">
      <c r="C24" s="138" t="s">
        <v>85</v>
      </c>
      <c r="G24" s="126"/>
      <c r="H24" s="192">
        <v>27</v>
      </c>
      <c r="I24" s="193">
        <v>35</v>
      </c>
      <c r="J24" s="194">
        <v>31</v>
      </c>
      <c r="K24" s="121">
        <v>30</v>
      </c>
      <c r="L24" s="121">
        <v>30</v>
      </c>
      <c r="M24" s="121">
        <v>30</v>
      </c>
      <c r="N24" s="121">
        <v>30</v>
      </c>
      <c r="O24" s="121">
        <v>30</v>
      </c>
    </row>
    <row r="25" spans="1:15" s="25" customFormat="1" ht="15" customHeight="1" outlineLevel="1" x14ac:dyDescent="0.25">
      <c r="C25" s="138" t="s">
        <v>84</v>
      </c>
      <c r="G25" s="126"/>
      <c r="H25" s="192">
        <v>-185</v>
      </c>
      <c r="I25" s="195">
        <v>-203</v>
      </c>
      <c r="J25" s="196">
        <v>-220</v>
      </c>
      <c r="K25" s="121">
        <v>-200</v>
      </c>
      <c r="L25" s="121">
        <v>-200</v>
      </c>
      <c r="M25" s="121">
        <v>-200</v>
      </c>
      <c r="N25" s="121">
        <v>-200</v>
      </c>
      <c r="O25" s="121">
        <v>-200</v>
      </c>
    </row>
    <row r="26" spans="1:15" s="25" customFormat="1" ht="15" customHeight="1" outlineLevel="1" x14ac:dyDescent="0.25">
      <c r="C26" s="138" t="s">
        <v>83</v>
      </c>
      <c r="G26" s="137"/>
      <c r="H26" s="192">
        <v>168</v>
      </c>
      <c r="I26" s="193">
        <v>182</v>
      </c>
      <c r="J26" s="197">
        <v>174</v>
      </c>
      <c r="K26" s="121">
        <v>175</v>
      </c>
      <c r="L26" s="121">
        <v>175</v>
      </c>
      <c r="M26" s="121">
        <v>175</v>
      </c>
      <c r="N26" s="121">
        <v>175</v>
      </c>
      <c r="O26" s="121">
        <v>175</v>
      </c>
    </row>
    <row r="27" spans="1:15" s="25" customFormat="1" ht="15" customHeight="1" outlineLevel="1" x14ac:dyDescent="0.25">
      <c r="C27" s="177"/>
      <c r="G27" s="126"/>
      <c r="H27" s="189"/>
      <c r="I27" s="189"/>
      <c r="J27" s="189"/>
      <c r="K27" s="121"/>
      <c r="L27" s="121"/>
      <c r="M27" s="188"/>
      <c r="N27" s="188"/>
      <c r="O27" s="188"/>
    </row>
    <row r="28" spans="1:15" s="25" customFormat="1" ht="15" customHeight="1" outlineLevel="1" x14ac:dyDescent="0.25">
      <c r="C28" s="176" t="s">
        <v>107</v>
      </c>
      <c r="G28" s="126"/>
      <c r="H28" s="189"/>
      <c r="I28" s="189"/>
      <c r="J28" s="189"/>
      <c r="K28" s="121"/>
      <c r="L28" s="121"/>
      <c r="M28" s="121"/>
      <c r="N28" s="121"/>
      <c r="O28" s="121"/>
    </row>
    <row r="29" spans="1:15" s="25" customFormat="1" ht="15" customHeight="1" outlineLevel="1" x14ac:dyDescent="0.25">
      <c r="C29" s="138" t="s">
        <v>81</v>
      </c>
      <c r="G29" s="136"/>
      <c r="H29" s="192">
        <v>-3997</v>
      </c>
      <c r="I29" s="196">
        <v>-4016</v>
      </c>
      <c r="J29" s="198">
        <v>-4002</v>
      </c>
      <c r="K29" s="121">
        <v>-4000</v>
      </c>
      <c r="L29" s="121">
        <v>-4000</v>
      </c>
      <c r="M29" s="121">
        <v>-4000</v>
      </c>
      <c r="N29" s="121">
        <v>-4000</v>
      </c>
      <c r="O29" s="121">
        <v>-4000</v>
      </c>
    </row>
    <row r="30" spans="1:15" s="25" customFormat="1" ht="15" customHeight="1" outlineLevel="1" x14ac:dyDescent="0.25">
      <c r="C30" s="178"/>
      <c r="G30" s="126"/>
      <c r="H30" s="189"/>
      <c r="I30" s="189"/>
      <c r="J30" s="189"/>
      <c r="K30" s="121"/>
      <c r="L30" s="121"/>
      <c r="M30" s="188"/>
      <c r="N30" s="188"/>
      <c r="O30" s="188"/>
    </row>
    <row r="31" spans="1:15" s="25" customFormat="1" ht="15" customHeight="1" outlineLevel="1" x14ac:dyDescent="0.25">
      <c r="C31" s="176" t="s">
        <v>108</v>
      </c>
      <c r="G31" s="126"/>
      <c r="H31" s="189"/>
      <c r="I31" s="189"/>
      <c r="J31" s="189"/>
      <c r="K31" s="121"/>
      <c r="L31" s="121"/>
      <c r="M31" s="121"/>
      <c r="N31" s="121"/>
      <c r="O31" s="121"/>
    </row>
    <row r="32" spans="1:15" s="25" customFormat="1" ht="15" customHeight="1" outlineLevel="1" x14ac:dyDescent="0.25">
      <c r="C32" s="138" t="s">
        <v>79</v>
      </c>
      <c r="G32" s="126"/>
      <c r="H32" s="181">
        <v>-587</v>
      </c>
      <c r="I32" s="181">
        <v>-875</v>
      </c>
      <c r="J32" s="181">
        <v>-994</v>
      </c>
      <c r="K32" s="121">
        <v>-7000</v>
      </c>
      <c r="L32" s="121">
        <v>0</v>
      </c>
      <c r="M32" s="121">
        <v>0</v>
      </c>
      <c r="N32" s="121">
        <v>0</v>
      </c>
      <c r="O32" s="121">
        <v>0</v>
      </c>
    </row>
    <row r="33" spans="2:17" s="25" customFormat="1" ht="15" customHeight="1" outlineLevel="1" x14ac:dyDescent="0.25">
      <c r="C33" s="138" t="s">
        <v>78</v>
      </c>
      <c r="G33" s="126"/>
      <c r="H33" s="181">
        <v>-3000</v>
      </c>
      <c r="I33" s="181">
        <v>-3000</v>
      </c>
      <c r="J33" s="181">
        <v>-3000</v>
      </c>
      <c r="K33" s="121">
        <v>-3000</v>
      </c>
      <c r="L33" s="121">
        <v>-3000</v>
      </c>
      <c r="M33" s="121">
        <v>-3000</v>
      </c>
      <c r="N33" s="121">
        <v>-3000</v>
      </c>
      <c r="O33" s="121">
        <v>-3000</v>
      </c>
    </row>
    <row r="34" spans="2:17" s="25" customFormat="1" ht="15" customHeight="1" outlineLevel="1" x14ac:dyDescent="0.25">
      <c r="C34" s="138" t="s">
        <v>77</v>
      </c>
      <c r="G34" s="126"/>
      <c r="H34" s="181">
        <v>0</v>
      </c>
      <c r="I34" s="181">
        <v>0</v>
      </c>
      <c r="J34" s="181">
        <v>0</v>
      </c>
      <c r="K34" s="121">
        <v>-500</v>
      </c>
      <c r="L34" s="121">
        <v>-500</v>
      </c>
      <c r="M34" s="121">
        <v>-500</v>
      </c>
      <c r="N34" s="121">
        <v>-500</v>
      </c>
      <c r="O34" s="121">
        <v>-500</v>
      </c>
    </row>
    <row r="35" spans="2:17" s="25" customFormat="1" ht="15" customHeight="1" outlineLevel="1" x14ac:dyDescent="0.25">
      <c r="C35" s="138" t="s">
        <v>76</v>
      </c>
      <c r="G35" s="126"/>
      <c r="H35" s="181">
        <v>-1000</v>
      </c>
      <c r="I35" s="181">
        <v>-1000</v>
      </c>
      <c r="J35" s="181">
        <v>-1000</v>
      </c>
      <c r="K35" s="121">
        <v>-1000</v>
      </c>
      <c r="L35" s="121">
        <v>-1000</v>
      </c>
      <c r="M35" s="121">
        <v>-1000</v>
      </c>
      <c r="N35" s="121">
        <v>-1000</v>
      </c>
      <c r="O35" s="121">
        <v>1000</v>
      </c>
    </row>
    <row r="36" spans="2:17" s="25" customFormat="1" ht="15" customHeight="1" outlineLevel="1" x14ac:dyDescent="0.25">
      <c r="C36" s="138"/>
      <c r="G36" s="126"/>
      <c r="H36" s="121"/>
      <c r="I36" s="121"/>
      <c r="J36" s="121"/>
      <c r="K36" s="121"/>
      <c r="L36" s="121"/>
      <c r="M36" s="121"/>
      <c r="N36" s="121"/>
      <c r="O36" s="121"/>
    </row>
    <row r="37" spans="2:17" s="25" customFormat="1" ht="15" customHeight="1" outlineLevel="1" x14ac:dyDescent="0.25">
      <c r="C37" s="138"/>
      <c r="G37" s="126"/>
      <c r="H37" s="121"/>
      <c r="I37" s="121"/>
      <c r="J37" s="121"/>
      <c r="K37" s="121"/>
      <c r="L37" s="121"/>
      <c r="M37" s="121"/>
      <c r="N37" s="121"/>
      <c r="O37" s="121"/>
    </row>
    <row r="38" spans="2:17" s="25" customFormat="1" ht="15" customHeight="1" outlineLevel="1" x14ac:dyDescent="0.3">
      <c r="C38" s="172" t="s">
        <v>44</v>
      </c>
      <c r="D38" s="173"/>
      <c r="E38" s="173"/>
      <c r="F38" s="174"/>
      <c r="G38" s="175"/>
      <c r="H38" s="218"/>
      <c r="I38" s="218"/>
      <c r="J38" s="218"/>
      <c r="K38" s="218"/>
      <c r="L38" s="219"/>
      <c r="M38" s="219"/>
      <c r="N38" s="219"/>
      <c r="O38" s="219"/>
    </row>
    <row r="39" spans="2:17" s="25" customFormat="1" ht="15" customHeight="1" outlineLevel="1" x14ac:dyDescent="0.3">
      <c r="C39" s="125"/>
      <c r="D39" s="26"/>
      <c r="E39" s="26"/>
      <c r="F39" s="75"/>
      <c r="H39" s="200"/>
      <c r="I39" s="200"/>
      <c r="J39" s="200"/>
      <c r="K39" s="200"/>
      <c r="L39" s="189"/>
      <c r="M39" s="189"/>
      <c r="N39" s="189"/>
      <c r="O39" s="189"/>
    </row>
    <row r="40" spans="2:17" s="25" customFormat="1" ht="15" customHeight="1" outlineLevel="1" x14ac:dyDescent="0.25">
      <c r="C40" s="123" t="s">
        <v>117</v>
      </c>
      <c r="G40" s="126"/>
      <c r="H40" s="180">
        <v>1086</v>
      </c>
      <c r="I40" s="180">
        <v>1091</v>
      </c>
      <c r="J40" s="180">
        <v>1104</v>
      </c>
      <c r="K40" s="199">
        <v>1100</v>
      </c>
      <c r="L40" s="199">
        <v>1100</v>
      </c>
      <c r="M40" s="199">
        <v>1100</v>
      </c>
      <c r="N40" s="199">
        <v>1100</v>
      </c>
      <c r="O40" s="199">
        <v>1100</v>
      </c>
    </row>
    <row r="41" spans="2:17" s="25" customFormat="1" ht="15" customHeight="1" outlineLevel="1" x14ac:dyDescent="0.25">
      <c r="C41" s="138"/>
      <c r="G41" s="126"/>
      <c r="H41" s="126"/>
      <c r="I41" s="126"/>
      <c r="J41" s="126"/>
      <c r="K41" s="121"/>
      <c r="L41" s="121"/>
      <c r="M41" s="121"/>
      <c r="N41" s="121"/>
      <c r="O41" s="121"/>
    </row>
    <row r="42" spans="2:17" s="25" customFormat="1" ht="15" customHeight="1" outlineLevel="1" x14ac:dyDescent="0.25">
      <c r="C42" s="138"/>
      <c r="G42" s="126"/>
      <c r="H42" s="126"/>
      <c r="I42" s="126"/>
      <c r="J42" s="126"/>
      <c r="K42" s="121"/>
      <c r="L42" s="121"/>
      <c r="M42" s="121"/>
      <c r="N42" s="121"/>
      <c r="O42" s="121"/>
    </row>
    <row r="43" spans="2:17" s="25" customFormat="1" ht="15" customHeight="1" outlineLevel="1" x14ac:dyDescent="0.25">
      <c r="C43" s="138"/>
      <c r="G43" s="126"/>
      <c r="H43" s="121"/>
      <c r="I43" s="121"/>
      <c r="J43" s="121"/>
      <c r="K43" s="121"/>
      <c r="L43" s="121"/>
      <c r="M43" s="121"/>
      <c r="N43" s="121"/>
      <c r="O43" s="183" t="s">
        <v>112</v>
      </c>
    </row>
    <row r="44" spans="2:17" s="25" customFormat="1" ht="15" customHeight="1" outlineLevel="1" x14ac:dyDescent="0.25">
      <c r="C44" s="138"/>
      <c r="G44" s="126"/>
      <c r="H44" s="121"/>
      <c r="I44" s="121"/>
      <c r="J44" s="121"/>
      <c r="K44" s="121"/>
      <c r="L44" s="121"/>
      <c r="M44" s="121"/>
      <c r="N44" s="121"/>
      <c r="O44" s="184" t="s">
        <v>114</v>
      </c>
    </row>
    <row r="45" spans="2:17" s="25" customFormat="1" ht="15" customHeight="1" outlineLevel="1" x14ac:dyDescent="0.25">
      <c r="C45" s="126"/>
      <c r="G45" s="136"/>
      <c r="K45" s="124"/>
      <c r="L45" s="124"/>
      <c r="M45" s="124"/>
      <c r="N45" s="124"/>
      <c r="O45" s="124"/>
    </row>
    <row r="46" spans="2:17" s="25" customFormat="1" ht="15" customHeight="1" outlineLevel="1" x14ac:dyDescent="0.3">
      <c r="B46" s="92"/>
      <c r="C46" s="168"/>
      <c r="D46" s="92"/>
      <c r="E46" s="92"/>
      <c r="F46" s="92"/>
      <c r="G46" s="92"/>
      <c r="H46" s="102"/>
      <c r="I46" s="102"/>
      <c r="J46" s="102"/>
      <c r="K46" s="169"/>
      <c r="L46" s="170"/>
      <c r="M46" s="170"/>
      <c r="N46" s="170"/>
      <c r="O46" s="165"/>
      <c r="P46" s="171"/>
    </row>
    <row r="47" spans="2:17" s="25" customFormat="1" ht="15" customHeight="1" x14ac:dyDescent="0.3">
      <c r="C47" s="123"/>
      <c r="H47" s="26"/>
      <c r="I47" s="26"/>
      <c r="J47" s="26"/>
      <c r="K47" s="73"/>
      <c r="L47" s="73"/>
      <c r="M47" s="73"/>
      <c r="N47" s="73"/>
      <c r="O47" s="73"/>
      <c r="P47" s="91"/>
      <c r="Q47" s="25" t="s">
        <v>0</v>
      </c>
    </row>
  </sheetData>
  <printOptions horizontalCentered="1"/>
  <pageMargins left="0.11811023622047245" right="0.11811023622047245" top="0.11811023622047245" bottom="0.11811023622047245" header="0.11811023622047245" footer="0.11811023622047245"/>
  <pageSetup scale="95" orientation="landscape" r:id="rId1"/>
  <headerFooter alignWithMargins="0">
    <oddFooter>&amp;L&amp;"Open Sans,Bold"&amp;10&amp;K002060Compact Valuation Model&amp;C&amp;"Open Sans,Bold"&amp;10&amp;K002060Page &amp;P of &amp;N&amp;R&amp;G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E263-E9DD-4D89-92BF-03887A94B773}">
  <sheetPr>
    <pageSetUpPr autoPageBreaks="0"/>
  </sheetPr>
  <dimension ref="A1:R151"/>
  <sheetViews>
    <sheetView showGridLines="0" zoomScaleNormal="100" zoomScaleSheetLayoutView="80" workbookViewId="0">
      <pane ySplit="3" topLeftCell="A4" activePane="bottomLeft" state="frozen"/>
      <selection pane="bottomLeft"/>
    </sheetView>
  </sheetViews>
  <sheetFormatPr defaultColWidth="9.140625" defaultRowHeight="15" customHeight="1" outlineLevelRow="1" x14ac:dyDescent="0.3"/>
  <cols>
    <col min="1" max="1" width="9.140625" style="16"/>
    <col min="2" max="2" width="2.7109375" style="16" customWidth="1"/>
    <col min="3" max="16" width="9.7109375" style="16" customWidth="1"/>
    <col min="17" max="17" width="0.85546875" style="16" customWidth="1"/>
    <col min="18" max="16384" width="9.140625" style="16"/>
  </cols>
  <sheetData>
    <row r="1" spans="1:18" ht="8.1" customHeight="1" x14ac:dyDescent="0.3">
      <c r="A1" s="179"/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</row>
    <row r="2" spans="1:18" ht="45" customHeight="1" x14ac:dyDescent="0.3"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</row>
    <row r="3" spans="1:18" ht="8.1" customHeight="1" x14ac:dyDescent="0.3">
      <c r="A3" s="17"/>
      <c r="B3" s="163"/>
      <c r="C3" s="163"/>
      <c r="D3" s="163"/>
      <c r="E3" s="163"/>
      <c r="F3" s="164"/>
      <c r="G3" s="164"/>
      <c r="H3" s="164"/>
      <c r="I3" s="164"/>
      <c r="J3" s="164"/>
      <c r="K3" s="163"/>
      <c r="L3" s="163"/>
      <c r="M3" s="163"/>
      <c r="N3" s="163"/>
      <c r="O3" s="163"/>
      <c r="P3" s="163"/>
    </row>
    <row r="4" spans="1:18" s="25" customFormat="1" ht="15" customHeight="1" x14ac:dyDescent="0.3">
      <c r="B4" s="79"/>
      <c r="C4" s="27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94"/>
    </row>
    <row r="5" spans="1:18" s="25" customFormat="1" ht="15" customHeight="1" x14ac:dyDescent="0.3">
      <c r="A5" s="17" t="s">
        <v>0</v>
      </c>
      <c r="B5" s="90" t="s">
        <v>99</v>
      </c>
      <c r="C5" s="204"/>
      <c r="D5" s="205"/>
      <c r="E5" s="205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7"/>
    </row>
    <row r="6" spans="1:18" s="25" customFormat="1" ht="15" customHeight="1" outlineLevel="1" x14ac:dyDescent="0.3">
      <c r="A6" s="17"/>
      <c r="B6" s="143"/>
      <c r="C6" s="208"/>
      <c r="D6" s="203"/>
      <c r="E6" s="203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9"/>
    </row>
    <row r="7" spans="1:18" s="25" customFormat="1" ht="15" customHeight="1" outlineLevel="1" thickBot="1" x14ac:dyDescent="0.35">
      <c r="B7" s="187" t="s">
        <v>28</v>
      </c>
      <c r="C7" s="208"/>
      <c r="D7" s="201"/>
      <c r="E7" s="201"/>
      <c r="F7" s="201"/>
      <c r="G7" s="136"/>
      <c r="H7" s="210"/>
      <c r="I7" s="210"/>
      <c r="J7" s="210"/>
      <c r="K7" s="98">
        <f>Inputs!K7</f>
        <v>2023</v>
      </c>
      <c r="L7" s="98">
        <f>Inputs!L7</f>
        <v>2024</v>
      </c>
      <c r="M7" s="98">
        <f>Inputs!M7</f>
        <v>2025</v>
      </c>
      <c r="N7" s="98">
        <f>Inputs!N7</f>
        <v>2026</v>
      </c>
      <c r="O7" s="98">
        <f>Inputs!O7</f>
        <v>2027</v>
      </c>
      <c r="P7" s="209"/>
    </row>
    <row r="8" spans="1:18" s="25" customFormat="1" ht="15" customHeight="1" outlineLevel="1" x14ac:dyDescent="0.25"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209"/>
    </row>
    <row r="9" spans="1:18" s="25" customFormat="1" ht="15" customHeight="1" outlineLevel="1" x14ac:dyDescent="0.25"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209"/>
    </row>
    <row r="10" spans="1:18" s="134" customFormat="1" ht="15" customHeight="1" outlineLevel="1" x14ac:dyDescent="0.25">
      <c r="A10" s="25"/>
      <c r="B10" s="126"/>
      <c r="C10" s="145" t="s">
        <v>98</v>
      </c>
      <c r="D10" s="211"/>
      <c r="E10" s="126"/>
      <c r="F10" s="126"/>
      <c r="G10" s="126"/>
      <c r="H10" s="126"/>
      <c r="I10" s="126"/>
      <c r="J10" s="126"/>
      <c r="K10" s="144">
        <f>Inputs!K11</f>
        <v>58000</v>
      </c>
      <c r="L10" s="144">
        <f>Inputs!L11</f>
        <v>61500</v>
      </c>
      <c r="M10" s="144">
        <f>Inputs!M11</f>
        <v>64500</v>
      </c>
      <c r="N10" s="144">
        <v>68000</v>
      </c>
      <c r="O10" s="144">
        <f>Inputs!O11</f>
        <v>71500</v>
      </c>
      <c r="P10" s="209"/>
      <c r="R10" s="25"/>
    </row>
    <row r="11" spans="1:18" s="108" customFormat="1" ht="15" customHeight="1" outlineLevel="1" x14ac:dyDescent="0.25">
      <c r="A11" s="25"/>
      <c r="B11" s="126"/>
      <c r="C11" s="145" t="s">
        <v>97</v>
      </c>
      <c r="D11" s="211"/>
      <c r="E11" s="126"/>
      <c r="F11" s="126"/>
      <c r="G11" s="126"/>
      <c r="H11" s="145"/>
      <c r="I11" s="126"/>
      <c r="J11" s="126"/>
      <c r="K11" s="217">
        <f>-Inputs!K12</f>
        <v>-30000</v>
      </c>
      <c r="L11" s="217">
        <f>-Inputs!L12</f>
        <v>-31000</v>
      </c>
      <c r="M11" s="217">
        <f>-Inputs!M12</f>
        <v>-32000</v>
      </c>
      <c r="N11" s="217">
        <f>-Inputs!N12</f>
        <v>-34000</v>
      </c>
      <c r="O11" s="217">
        <f>-Inputs!O12</f>
        <v>-36000</v>
      </c>
      <c r="P11" s="209"/>
      <c r="R11" s="25"/>
    </row>
    <row r="12" spans="1:18" s="108" customFormat="1" ht="15" customHeight="1" outlineLevel="1" x14ac:dyDescent="0.25">
      <c r="A12" s="25"/>
      <c r="B12" s="126"/>
      <c r="C12" s="142" t="s">
        <v>96</v>
      </c>
      <c r="D12" s="212"/>
      <c r="E12" s="126"/>
      <c r="F12" s="126"/>
      <c r="G12" s="126"/>
      <c r="H12" s="145"/>
      <c r="I12" s="126"/>
      <c r="J12" s="126"/>
      <c r="K12" s="147">
        <f>SUM(K10:K11)</f>
        <v>28000</v>
      </c>
      <c r="L12" s="147">
        <f t="shared" ref="L12:O12" si="0">SUM(L10:L11)</f>
        <v>30500</v>
      </c>
      <c r="M12" s="147">
        <f t="shared" si="0"/>
        <v>32500</v>
      </c>
      <c r="N12" s="147">
        <f t="shared" si="0"/>
        <v>34000</v>
      </c>
      <c r="O12" s="147">
        <f t="shared" si="0"/>
        <v>35500</v>
      </c>
      <c r="P12" s="209"/>
      <c r="R12" s="25"/>
    </row>
    <row r="13" spans="1:18" s="108" customFormat="1" ht="15" customHeight="1" outlineLevel="1" x14ac:dyDescent="0.25">
      <c r="A13" s="25"/>
      <c r="B13" s="126"/>
      <c r="C13" s="213"/>
      <c r="D13" s="214"/>
      <c r="E13" s="126"/>
      <c r="F13" s="126"/>
      <c r="G13" s="126"/>
      <c r="H13" s="145"/>
      <c r="I13" s="186"/>
      <c r="J13" s="186"/>
      <c r="K13" s="186"/>
      <c r="L13" s="186"/>
      <c r="M13" s="186"/>
      <c r="N13" s="186"/>
      <c r="O13" s="186"/>
      <c r="P13" s="209"/>
      <c r="R13" s="25"/>
    </row>
    <row r="14" spans="1:18" s="108" customFormat="1" ht="15" customHeight="1" outlineLevel="1" x14ac:dyDescent="0.25">
      <c r="A14" s="25"/>
      <c r="B14" s="126"/>
      <c r="C14" s="145"/>
      <c r="D14" s="202"/>
      <c r="E14" s="126"/>
      <c r="F14" s="126"/>
      <c r="G14" s="126"/>
      <c r="H14" s="145"/>
      <c r="I14" s="186"/>
      <c r="J14" s="186"/>
      <c r="K14" s="186"/>
      <c r="L14" s="186"/>
      <c r="M14" s="186"/>
      <c r="N14" s="186"/>
      <c r="O14" s="186"/>
      <c r="P14" s="209"/>
      <c r="R14" s="25"/>
    </row>
    <row r="15" spans="1:18" s="108" customFormat="1" ht="15" customHeight="1" outlineLevel="1" x14ac:dyDescent="0.25">
      <c r="A15" s="25"/>
      <c r="B15" s="126"/>
      <c r="C15" s="145" t="s">
        <v>95</v>
      </c>
      <c r="D15" s="215"/>
      <c r="E15" s="126"/>
      <c r="F15" s="126"/>
      <c r="G15" s="126"/>
      <c r="H15" s="126"/>
      <c r="I15" s="126"/>
      <c r="J15" s="126"/>
      <c r="K15" s="144">
        <f>-Inputs!J13</f>
        <v>-5500</v>
      </c>
      <c r="L15" s="144">
        <f>-Inputs!K13</f>
        <v>-6000</v>
      </c>
      <c r="M15" s="144">
        <f>-Inputs!L13</f>
        <v>-6600</v>
      </c>
      <c r="N15" s="144">
        <f>-Inputs!M13</f>
        <v>-7300</v>
      </c>
      <c r="O15" s="144">
        <f>-Inputs!N13</f>
        <v>-7700</v>
      </c>
      <c r="P15" s="209"/>
      <c r="R15" s="25"/>
    </row>
    <row r="16" spans="1:18" s="108" customFormat="1" ht="15" customHeight="1" outlineLevel="1" x14ac:dyDescent="0.25">
      <c r="A16" s="25"/>
      <c r="B16" s="126"/>
      <c r="C16" s="145" t="s">
        <v>94</v>
      </c>
      <c r="D16" s="215"/>
      <c r="E16" s="126"/>
      <c r="F16" s="126"/>
      <c r="G16" s="126"/>
      <c r="H16" s="136"/>
      <c r="I16" s="186"/>
      <c r="J16" s="126"/>
      <c r="K16" s="217">
        <f>-Inputs!K14</f>
        <v>-2000</v>
      </c>
      <c r="L16" s="217">
        <f>-Inputs!L14-200</f>
        <v>-2200</v>
      </c>
      <c r="M16" s="217">
        <f>-Inputs!M14</f>
        <v>-2000</v>
      </c>
      <c r="N16" s="217">
        <f>-Inputs!N14</f>
        <v>-2000</v>
      </c>
      <c r="O16" s="217">
        <f>-Inputs!O14</f>
        <v>2000</v>
      </c>
      <c r="P16" s="209"/>
      <c r="R16" s="25"/>
    </row>
    <row r="17" spans="1:18" s="108" customFormat="1" ht="15" customHeight="1" outlineLevel="1" x14ac:dyDescent="0.25">
      <c r="A17" s="25"/>
      <c r="B17" s="126"/>
      <c r="C17" s="142" t="s">
        <v>50</v>
      </c>
      <c r="D17" s="212"/>
      <c r="E17" s="126"/>
      <c r="F17" s="126"/>
      <c r="G17" s="126"/>
      <c r="H17" s="126"/>
      <c r="I17" s="126"/>
      <c r="J17" s="126"/>
      <c r="K17" s="147">
        <f>K12+SUM(K15:K16)</f>
        <v>20500</v>
      </c>
      <c r="L17" s="147">
        <f t="shared" ref="L17:O17" si="1">L12+SUM(L15:L16)</f>
        <v>22300</v>
      </c>
      <c r="M17" s="147">
        <f t="shared" si="1"/>
        <v>23900</v>
      </c>
      <c r="N17" s="147">
        <f t="shared" si="1"/>
        <v>24700</v>
      </c>
      <c r="O17" s="147">
        <f t="shared" si="1"/>
        <v>29800</v>
      </c>
      <c r="P17" s="209"/>
      <c r="R17" s="25"/>
    </row>
    <row r="18" spans="1:18" s="108" customFormat="1" ht="15" customHeight="1" outlineLevel="1" x14ac:dyDescent="0.25">
      <c r="A18" s="25"/>
      <c r="B18" s="126"/>
      <c r="C18" s="213"/>
      <c r="D18" s="214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209"/>
    </row>
    <row r="19" spans="1:18" s="108" customFormat="1" ht="15" customHeight="1" outlineLevel="1" x14ac:dyDescent="0.25">
      <c r="A19" s="25"/>
      <c r="B19" s="126"/>
      <c r="C19" s="145"/>
      <c r="D19" s="202"/>
      <c r="E19" s="126"/>
      <c r="F19" s="126"/>
      <c r="G19" s="126"/>
      <c r="H19" s="141"/>
      <c r="I19" s="126"/>
      <c r="J19" s="126"/>
      <c r="K19" s="147"/>
      <c r="L19" s="147"/>
      <c r="M19" s="147"/>
      <c r="N19" s="147"/>
      <c r="O19" s="147"/>
      <c r="P19" s="147"/>
    </row>
    <row r="20" spans="1:18" s="108" customFormat="1" ht="15" customHeight="1" outlineLevel="1" x14ac:dyDescent="0.25">
      <c r="A20" s="25"/>
      <c r="B20" s="126"/>
      <c r="C20" s="145" t="s">
        <v>87</v>
      </c>
      <c r="D20" s="215"/>
      <c r="E20" s="126"/>
      <c r="F20" s="126"/>
      <c r="G20" s="126"/>
      <c r="H20" s="126"/>
      <c r="I20" s="186"/>
      <c r="J20" s="126"/>
      <c r="K20" s="217">
        <f>-Inputs!K15</f>
        <v>-4000</v>
      </c>
      <c r="L20" s="217">
        <f>-Inputs!L15</f>
        <v>-4000</v>
      </c>
      <c r="M20" s="217">
        <f>-Inputs!M15</f>
        <v>-4000</v>
      </c>
      <c r="N20" s="217">
        <f>-Inputs!N15</f>
        <v>-4000</v>
      </c>
      <c r="O20" s="217">
        <f>-Inputs!O15</f>
        <v>-4000</v>
      </c>
      <c r="P20" s="144"/>
    </row>
    <row r="21" spans="1:18" s="108" customFormat="1" ht="15" customHeight="1" outlineLevel="1" x14ac:dyDescent="0.25">
      <c r="A21" s="25"/>
      <c r="B21" s="126"/>
      <c r="C21" s="142" t="s">
        <v>93</v>
      </c>
      <c r="D21" s="212"/>
      <c r="E21" s="126"/>
      <c r="F21" s="126"/>
      <c r="G21" s="126"/>
      <c r="H21" s="145"/>
      <c r="I21" s="126"/>
      <c r="J21" s="126"/>
      <c r="K21" s="147">
        <f>K20+K17</f>
        <v>16500</v>
      </c>
      <c r="L21" s="147">
        <f t="shared" ref="L21:O21" si="2">L20+L17</f>
        <v>18300</v>
      </c>
      <c r="M21" s="147">
        <f t="shared" si="2"/>
        <v>19900</v>
      </c>
      <c r="N21" s="147">
        <f t="shared" si="2"/>
        <v>20700</v>
      </c>
      <c r="O21" s="147">
        <f t="shared" si="2"/>
        <v>25800</v>
      </c>
      <c r="P21" s="147"/>
    </row>
    <row r="22" spans="1:18" s="108" customFormat="1" ht="15" customHeight="1" outlineLevel="1" x14ac:dyDescent="0.25">
      <c r="A22" s="25"/>
      <c r="B22" s="126"/>
      <c r="C22" s="213"/>
      <c r="D22" s="214"/>
      <c r="E22" s="126"/>
      <c r="F22" s="126"/>
      <c r="G22" s="126"/>
      <c r="H22" s="136"/>
      <c r="I22" s="126"/>
      <c r="J22" s="126"/>
      <c r="K22" s="147"/>
      <c r="L22" s="147"/>
      <c r="M22" s="147"/>
      <c r="N22" s="147"/>
      <c r="O22" s="147"/>
      <c r="P22" s="147"/>
    </row>
    <row r="23" spans="1:18" s="108" customFormat="1" ht="15" customHeight="1" outlineLevel="1" x14ac:dyDescent="0.25">
      <c r="A23" s="25"/>
      <c r="B23" s="126"/>
      <c r="C23" s="145"/>
      <c r="D23" s="202"/>
      <c r="E23" s="126"/>
      <c r="F23" s="126"/>
      <c r="G23" s="126"/>
      <c r="H23" s="126"/>
      <c r="I23" s="126"/>
      <c r="J23" s="126"/>
      <c r="K23" s="144"/>
      <c r="L23" s="144"/>
      <c r="M23" s="144"/>
      <c r="N23" s="144"/>
      <c r="O23" s="144"/>
      <c r="P23" s="144"/>
    </row>
    <row r="24" spans="1:18" s="108" customFormat="1" ht="15" customHeight="1" outlineLevel="1" x14ac:dyDescent="0.25">
      <c r="A24" s="25"/>
      <c r="B24" s="126"/>
      <c r="C24" s="145" t="s">
        <v>92</v>
      </c>
      <c r="D24" s="215"/>
      <c r="E24" s="126"/>
      <c r="F24" s="126"/>
      <c r="G24" s="126"/>
      <c r="H24" s="126"/>
      <c r="I24" s="186"/>
      <c r="J24" s="126"/>
      <c r="K24" s="217">
        <f>-Inputs!K16</f>
        <v>-1200</v>
      </c>
      <c r="L24" s="217">
        <f>-Inputs!L16</f>
        <v>-1000</v>
      </c>
      <c r="M24" s="217">
        <f>-Inputs!M16</f>
        <v>-800</v>
      </c>
      <c r="N24" s="217">
        <f>-600</f>
        <v>-600</v>
      </c>
      <c r="O24" s="217">
        <f>-Inputs!O16</f>
        <v>-400</v>
      </c>
      <c r="P24" s="144"/>
    </row>
    <row r="25" spans="1:18" s="108" customFormat="1" ht="15" customHeight="1" outlineLevel="1" x14ac:dyDescent="0.25">
      <c r="A25" s="25"/>
      <c r="B25" s="126"/>
      <c r="C25" s="142" t="s">
        <v>91</v>
      </c>
      <c r="D25" s="212"/>
      <c r="E25" s="126"/>
      <c r="F25" s="126"/>
      <c r="G25" s="126"/>
      <c r="H25" s="126"/>
      <c r="I25" s="126"/>
      <c r="J25" s="126"/>
      <c r="K25" s="147">
        <f>K24+K21</f>
        <v>15300</v>
      </c>
      <c r="L25" s="147">
        <f t="shared" ref="L25:O25" si="3">L24+L21</f>
        <v>17300</v>
      </c>
      <c r="M25" s="147">
        <f t="shared" si="3"/>
        <v>19100</v>
      </c>
      <c r="N25" s="147">
        <f t="shared" si="3"/>
        <v>20100</v>
      </c>
      <c r="O25" s="147">
        <f t="shared" si="3"/>
        <v>25400</v>
      </c>
      <c r="P25" s="147"/>
    </row>
    <row r="26" spans="1:18" s="108" customFormat="1" ht="15" customHeight="1" outlineLevel="1" x14ac:dyDescent="0.25">
      <c r="A26" s="25"/>
      <c r="B26" s="126"/>
      <c r="C26" s="213"/>
      <c r="D26" s="214"/>
      <c r="E26" s="126"/>
      <c r="F26" s="126"/>
      <c r="G26" s="126"/>
      <c r="H26" s="145"/>
      <c r="I26" s="126"/>
      <c r="J26" s="126"/>
      <c r="K26" s="147"/>
      <c r="L26" s="147"/>
      <c r="M26" s="147"/>
      <c r="N26" s="147"/>
      <c r="O26" s="147"/>
      <c r="P26" s="147"/>
    </row>
    <row r="27" spans="1:18" s="108" customFormat="1" ht="15" customHeight="1" outlineLevel="1" x14ac:dyDescent="0.25">
      <c r="A27" s="25"/>
      <c r="B27" s="126"/>
      <c r="C27" s="213"/>
      <c r="D27" s="126"/>
      <c r="E27" s="126"/>
      <c r="F27" s="126"/>
      <c r="G27" s="126"/>
      <c r="H27" s="142"/>
      <c r="I27" s="126"/>
      <c r="J27" s="126"/>
      <c r="K27" s="126"/>
      <c r="L27" s="126"/>
      <c r="M27" s="126"/>
      <c r="N27" s="126"/>
      <c r="O27" s="126"/>
      <c r="P27" s="126"/>
    </row>
    <row r="28" spans="1:18" s="108" customFormat="1" ht="15" customHeight="1" outlineLevel="1" x14ac:dyDescent="0.25">
      <c r="A28" s="25"/>
      <c r="B28" s="126"/>
      <c r="C28" s="145" t="s">
        <v>51</v>
      </c>
      <c r="D28" s="215"/>
      <c r="E28" s="126"/>
      <c r="F28" s="126"/>
      <c r="G28" s="126"/>
      <c r="H28" s="145"/>
      <c r="I28" s="186"/>
      <c r="J28" s="126"/>
      <c r="K28" s="144">
        <f>-Inputs!J17</f>
        <v>-1000</v>
      </c>
      <c r="L28" s="144">
        <f>-Inputs!K17</f>
        <v>-1000</v>
      </c>
      <c r="M28" s="144">
        <f>-Inputs!L17</f>
        <v>-1000</v>
      </c>
      <c r="N28" s="144">
        <f>-Inputs!M17</f>
        <v>-1000</v>
      </c>
      <c r="O28" s="144">
        <f>-Inputs!N17</f>
        <v>-1000</v>
      </c>
      <c r="P28" s="144"/>
    </row>
    <row r="29" spans="1:18" s="108" customFormat="1" ht="15" customHeight="1" outlineLevel="1" x14ac:dyDescent="0.25">
      <c r="A29" s="25"/>
      <c r="B29" s="126"/>
      <c r="C29" s="145" t="s">
        <v>86</v>
      </c>
      <c r="D29" s="215"/>
      <c r="E29" s="126"/>
      <c r="F29" s="126"/>
      <c r="G29" s="126"/>
      <c r="H29" s="126"/>
      <c r="I29" s="186"/>
      <c r="J29" s="126"/>
      <c r="K29" s="217">
        <f>-Inputs!K18</f>
        <v>-2000</v>
      </c>
      <c r="L29" s="217">
        <f>-Inputs!K18</f>
        <v>-2000</v>
      </c>
      <c r="M29" s="217">
        <f>-Inputs!M18</f>
        <v>-2000</v>
      </c>
      <c r="N29" s="217">
        <f>-Inputs!N18</f>
        <v>-20000</v>
      </c>
      <c r="O29" s="217">
        <f>-Inputs!O18</f>
        <v>-2000</v>
      </c>
      <c r="P29" s="144"/>
    </row>
    <row r="30" spans="1:18" s="108" customFormat="1" ht="15" customHeight="1" outlineLevel="1" x14ac:dyDescent="0.25">
      <c r="A30" s="25"/>
      <c r="B30" s="126"/>
      <c r="C30" s="145" t="s">
        <v>111</v>
      </c>
      <c r="D30" s="212"/>
      <c r="E30" s="126"/>
      <c r="F30" s="126"/>
      <c r="G30" s="126"/>
      <c r="H30" s="145"/>
      <c r="I30" s="126"/>
      <c r="J30" s="126"/>
      <c r="K30" s="144">
        <f>SUM(K28:K29)</f>
        <v>-3000</v>
      </c>
      <c r="L30" s="144">
        <f t="shared" ref="L30:O30" si="4">SUM(L28:L29)</f>
        <v>-3000</v>
      </c>
      <c r="M30" s="144">
        <f t="shared" si="4"/>
        <v>-3000</v>
      </c>
      <c r="N30" s="144">
        <f t="shared" si="4"/>
        <v>-21000</v>
      </c>
      <c r="O30" s="144">
        <f t="shared" si="4"/>
        <v>-3000</v>
      </c>
      <c r="P30" s="144"/>
    </row>
    <row r="31" spans="1:18" s="108" customFormat="1" ht="15" customHeight="1" outlineLevel="1" x14ac:dyDescent="0.25">
      <c r="A31" s="25"/>
      <c r="B31" s="126"/>
      <c r="C31" s="213"/>
      <c r="D31" s="126"/>
      <c r="E31" s="126"/>
      <c r="F31" s="126"/>
      <c r="G31" s="126"/>
      <c r="H31" s="143"/>
      <c r="I31" s="126"/>
      <c r="J31" s="126"/>
      <c r="K31" s="140"/>
      <c r="L31" s="140"/>
      <c r="M31" s="140"/>
      <c r="N31" s="140"/>
      <c r="O31" s="140"/>
      <c r="P31" s="140"/>
    </row>
    <row r="32" spans="1:18" s="108" customFormat="1" ht="15" customHeight="1" outlineLevel="1" x14ac:dyDescent="0.25">
      <c r="A32" s="25"/>
      <c r="B32" s="126"/>
      <c r="C32" s="213"/>
      <c r="D32" s="126"/>
      <c r="E32" s="126"/>
      <c r="F32" s="126"/>
      <c r="G32" s="126"/>
      <c r="H32" s="141"/>
      <c r="I32" s="126"/>
      <c r="J32" s="126"/>
      <c r="K32" s="126"/>
      <c r="L32" s="126"/>
      <c r="M32" s="126"/>
      <c r="N32" s="126"/>
      <c r="O32" s="126"/>
      <c r="P32" s="126"/>
    </row>
    <row r="33" spans="1:18" s="108" customFormat="1" ht="15" customHeight="1" outlineLevel="1" thickBot="1" x14ac:dyDescent="0.3">
      <c r="A33" s="25"/>
      <c r="B33" s="126"/>
      <c r="C33" s="142" t="s">
        <v>88</v>
      </c>
      <c r="D33" s="212"/>
      <c r="E33" s="126"/>
      <c r="F33" s="126"/>
      <c r="G33" s="126"/>
      <c r="H33" s="141"/>
      <c r="I33" s="126"/>
      <c r="J33" s="126"/>
      <c r="K33" s="216">
        <f>K25-K30</f>
        <v>18300</v>
      </c>
      <c r="L33" s="216">
        <f t="shared" ref="L33:O33" si="5">L25-L30</f>
        <v>20300</v>
      </c>
      <c r="M33" s="216">
        <f t="shared" si="5"/>
        <v>22100</v>
      </c>
      <c r="N33" s="216">
        <f t="shared" si="5"/>
        <v>41100</v>
      </c>
      <c r="O33" s="216">
        <f t="shared" si="5"/>
        <v>28400</v>
      </c>
      <c r="P33" s="147"/>
    </row>
    <row r="34" spans="1:18" s="108" customFormat="1" ht="15" customHeight="1" outlineLevel="1" x14ac:dyDescent="0.25">
      <c r="A34" s="25"/>
      <c r="B34" s="126"/>
      <c r="C34" s="142"/>
      <c r="D34" s="212"/>
      <c r="E34" s="126"/>
      <c r="F34" s="126"/>
      <c r="G34" s="126"/>
      <c r="H34" s="141"/>
      <c r="I34" s="126"/>
      <c r="J34" s="126"/>
      <c r="K34" s="147"/>
      <c r="L34" s="147"/>
      <c r="M34" s="147"/>
      <c r="N34" s="147"/>
      <c r="O34" s="147"/>
      <c r="P34" s="147"/>
      <c r="R34" s="182"/>
    </row>
    <row r="35" spans="1:18" s="108" customFormat="1" ht="15" customHeight="1" outlineLevel="1" x14ac:dyDescent="0.25">
      <c r="A35" s="25"/>
      <c r="B35" s="126"/>
      <c r="C35" s="142"/>
      <c r="D35" s="212"/>
      <c r="E35" s="126"/>
      <c r="F35" s="126"/>
      <c r="G35" s="126"/>
      <c r="H35" s="141"/>
      <c r="I35" s="126"/>
      <c r="J35" s="126"/>
      <c r="K35" s="147"/>
      <c r="L35" s="147"/>
      <c r="M35" s="147"/>
      <c r="N35" s="147"/>
      <c r="O35" s="147"/>
      <c r="P35" s="147"/>
      <c r="R35" s="182"/>
    </row>
    <row r="36" spans="1:18" s="108" customFormat="1" ht="15" customHeight="1" outlineLevel="1" x14ac:dyDescent="0.25">
      <c r="A36" s="25"/>
      <c r="B36" s="126"/>
      <c r="C36" s="142"/>
      <c r="D36" s="212"/>
      <c r="E36" s="126"/>
      <c r="F36" s="126"/>
      <c r="G36" s="126"/>
      <c r="H36" s="141"/>
      <c r="I36" s="126"/>
      <c r="J36" s="126"/>
      <c r="K36" s="147"/>
      <c r="L36" s="147"/>
      <c r="M36" s="147"/>
      <c r="N36" s="147"/>
      <c r="O36" s="183" t="s">
        <v>112</v>
      </c>
      <c r="P36" s="126"/>
      <c r="R36" s="182"/>
    </row>
    <row r="37" spans="1:18" s="108" customFormat="1" ht="15" customHeight="1" outlineLevel="1" x14ac:dyDescent="0.25">
      <c r="A37" s="25"/>
      <c r="E37" s="140"/>
      <c r="F37" s="140"/>
      <c r="G37" s="140"/>
      <c r="H37" s="126"/>
    </row>
    <row r="38" spans="1:18" s="134" customFormat="1" ht="15" customHeight="1" outlineLevel="1" x14ac:dyDescent="0.25">
      <c r="A38" s="25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</row>
    <row r="39" spans="1:18" s="134" customFormat="1" ht="15" customHeight="1" x14ac:dyDescent="0.25">
      <c r="A39" s="25"/>
    </row>
    <row r="40" spans="1:18" s="25" customFormat="1" ht="15" customHeight="1" x14ac:dyDescent="0.3">
      <c r="A40" s="17" t="s">
        <v>0</v>
      </c>
      <c r="B40" s="90" t="s">
        <v>90</v>
      </c>
      <c r="C40" s="89"/>
      <c r="D40" s="101"/>
      <c r="E40" s="101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3"/>
    </row>
    <row r="41" spans="1:18" s="25" customFormat="1" ht="15" customHeight="1" outlineLevel="1" x14ac:dyDescent="0.3">
      <c r="A41" s="17"/>
      <c r="B41" s="100"/>
      <c r="C41" s="27"/>
      <c r="D41" s="81"/>
      <c r="E41" s="81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99"/>
    </row>
    <row r="42" spans="1:18" s="25" customFormat="1" ht="15" customHeight="1" outlineLevel="1" thickBot="1" x14ac:dyDescent="0.35">
      <c r="B42" s="79" t="s">
        <v>28</v>
      </c>
      <c r="C42" s="27"/>
      <c r="D42" s="26"/>
      <c r="E42" s="26"/>
      <c r="F42" s="75"/>
      <c r="H42" s="166"/>
      <c r="I42" s="166"/>
      <c r="J42" s="166"/>
      <c r="K42" s="98">
        <f>K$7</f>
        <v>2023</v>
      </c>
      <c r="L42" s="98">
        <f t="shared" ref="L42:O42" si="6">L$7</f>
        <v>2024</v>
      </c>
      <c r="M42" s="98">
        <f t="shared" si="6"/>
        <v>2025</v>
      </c>
      <c r="N42" s="98">
        <f t="shared" si="6"/>
        <v>2026</v>
      </c>
      <c r="O42" s="98">
        <f t="shared" si="6"/>
        <v>2027</v>
      </c>
      <c r="P42" s="99"/>
    </row>
    <row r="43" spans="1:18" s="25" customFormat="1" ht="15" customHeight="1" outlineLevel="1" x14ac:dyDescent="0.3">
      <c r="B43" s="79"/>
      <c r="C43" s="27"/>
      <c r="D43" s="26"/>
      <c r="E43" s="26"/>
      <c r="F43" s="75"/>
      <c r="H43" s="26"/>
      <c r="I43" s="26"/>
      <c r="J43" s="26"/>
      <c r="K43" s="136"/>
      <c r="L43" s="136"/>
      <c r="M43" s="136"/>
      <c r="N43" s="136"/>
      <c r="O43" s="136"/>
    </row>
    <row r="44" spans="1:18" s="25" customFormat="1" ht="15" customHeight="1" outlineLevel="1" x14ac:dyDescent="0.3">
      <c r="B44" s="79"/>
      <c r="C44" s="27"/>
      <c r="D44" s="26"/>
      <c r="E44" s="26"/>
      <c r="F44" s="75"/>
      <c r="H44" s="26"/>
      <c r="I44" s="26"/>
      <c r="J44" s="26"/>
      <c r="K44" s="136"/>
      <c r="L44" s="136"/>
      <c r="M44" s="136"/>
      <c r="N44" s="136"/>
      <c r="O44" s="136"/>
    </row>
    <row r="45" spans="1:18" s="25" customFormat="1" ht="15" customHeight="1" outlineLevel="1" x14ac:dyDescent="0.25">
      <c r="C45" s="125" t="s">
        <v>89</v>
      </c>
      <c r="G45" s="136"/>
      <c r="K45" s="132"/>
      <c r="L45" s="132"/>
      <c r="M45" s="132"/>
      <c r="N45" s="136"/>
      <c r="O45" s="136"/>
    </row>
    <row r="46" spans="1:18" s="25" customFormat="1" ht="15" customHeight="1" outlineLevel="1" x14ac:dyDescent="0.25">
      <c r="C46" s="123" t="s">
        <v>88</v>
      </c>
      <c r="G46" s="126"/>
      <c r="K46" s="124">
        <f>K33</f>
        <v>18300</v>
      </c>
      <c r="L46" s="124">
        <f>L33</f>
        <v>20300</v>
      </c>
      <c r="M46" s="124">
        <f>M33</f>
        <v>22100</v>
      </c>
      <c r="N46" s="124">
        <f>N33</f>
        <v>41100</v>
      </c>
      <c r="O46" s="124">
        <f>O33</f>
        <v>28400</v>
      </c>
    </row>
    <row r="47" spans="1:18" s="25" customFormat="1" ht="15" customHeight="1" outlineLevel="1" x14ac:dyDescent="0.25">
      <c r="C47" s="123" t="s">
        <v>87</v>
      </c>
      <c r="G47" s="126"/>
      <c r="K47" s="124">
        <f>-K20</f>
        <v>4000</v>
      </c>
      <c r="L47" s="124">
        <f>-L20</f>
        <v>4000</v>
      </c>
      <c r="M47" s="124">
        <f>-M20</f>
        <v>4000</v>
      </c>
      <c r="N47" s="124">
        <f>-N20</f>
        <v>4000</v>
      </c>
      <c r="O47" s="124">
        <f>-O20</f>
        <v>4000</v>
      </c>
    </row>
    <row r="48" spans="1:18" s="25" customFormat="1" ht="15" customHeight="1" outlineLevel="1" x14ac:dyDescent="0.25">
      <c r="C48" s="123" t="s">
        <v>86</v>
      </c>
      <c r="G48" s="126"/>
      <c r="K48" s="124">
        <f>-L29</f>
        <v>2000</v>
      </c>
      <c r="L48" s="124">
        <f t="shared" ref="L48:O48" si="7">-M29</f>
        <v>2000</v>
      </c>
      <c r="M48" s="124">
        <f t="shared" si="7"/>
        <v>20000</v>
      </c>
      <c r="N48" s="124">
        <f t="shared" si="7"/>
        <v>2000</v>
      </c>
      <c r="O48" s="124">
        <f t="shared" si="7"/>
        <v>0</v>
      </c>
    </row>
    <row r="49" spans="3:15" s="25" customFormat="1" ht="15" customHeight="1" outlineLevel="1" x14ac:dyDescent="0.25">
      <c r="C49" s="138" t="s">
        <v>85</v>
      </c>
      <c r="G49" s="126"/>
      <c r="K49" s="124">
        <f>Inputs!K24</f>
        <v>30</v>
      </c>
      <c r="L49" s="124">
        <f>Inputs!L24</f>
        <v>30</v>
      </c>
      <c r="M49" s="124">
        <f>Inputs!M24</f>
        <v>30</v>
      </c>
      <c r="N49" s="124">
        <f>Inputs!N24</f>
        <v>30</v>
      </c>
      <c r="O49" s="124">
        <f>Inputs!O24</f>
        <v>30</v>
      </c>
    </row>
    <row r="50" spans="3:15" s="25" customFormat="1" ht="15" customHeight="1" outlineLevel="1" x14ac:dyDescent="0.25">
      <c r="C50" s="138" t="s">
        <v>84</v>
      </c>
      <c r="G50" s="126"/>
      <c r="K50" s="124">
        <f>Inputs!K25</f>
        <v>-200</v>
      </c>
      <c r="L50" s="124">
        <f>Inputs!L25</f>
        <v>-200</v>
      </c>
      <c r="M50" s="124">
        <f>Inputs!M25</f>
        <v>-200</v>
      </c>
      <c r="N50" s="124">
        <f>Inputs!N25</f>
        <v>-200</v>
      </c>
      <c r="O50" s="124">
        <f>Inputs!O25</f>
        <v>-200</v>
      </c>
    </row>
    <row r="51" spans="3:15" s="25" customFormat="1" ht="15" customHeight="1" outlineLevel="1" x14ac:dyDescent="0.25">
      <c r="C51" s="138" t="s">
        <v>83</v>
      </c>
      <c r="G51" s="137"/>
      <c r="K51" s="120">
        <f>Inputs!K26</f>
        <v>175</v>
      </c>
      <c r="L51" s="120">
        <f>Inputs!L26</f>
        <v>175</v>
      </c>
      <c r="M51" s="120">
        <f>Inputs!M26</f>
        <v>175</v>
      </c>
      <c r="N51" s="120">
        <f>Inputs!N26</f>
        <v>175</v>
      </c>
      <c r="O51" s="120">
        <f>Inputs!O26</f>
        <v>175</v>
      </c>
    </row>
    <row r="52" spans="3:15" s="25" customFormat="1" ht="15" customHeight="1" outlineLevel="1" x14ac:dyDescent="0.25">
      <c r="C52" s="123" t="s">
        <v>75</v>
      </c>
      <c r="G52" s="126"/>
      <c r="K52" s="124">
        <f>SUM(K46:K51)</f>
        <v>24305</v>
      </c>
      <c r="L52" s="124">
        <f>SUM(L46:L51)</f>
        <v>26305</v>
      </c>
      <c r="M52" s="124">
        <f>SUM(M46:M51)</f>
        <v>46105</v>
      </c>
      <c r="N52" s="124">
        <f>SUM(N46:N51)</f>
        <v>47105</v>
      </c>
      <c r="O52" s="124">
        <f>SUM(O46:O51)</f>
        <v>32405</v>
      </c>
    </row>
    <row r="53" spans="3:15" s="25" customFormat="1" ht="15" customHeight="1" outlineLevel="1" x14ac:dyDescent="0.25">
      <c r="C53" s="126"/>
      <c r="G53" s="126"/>
      <c r="K53" s="124"/>
      <c r="L53" s="129"/>
      <c r="M53" s="126"/>
      <c r="N53" s="126"/>
      <c r="O53" s="126"/>
    </row>
    <row r="54" spans="3:15" s="25" customFormat="1" ht="15" customHeight="1" outlineLevel="1" x14ac:dyDescent="0.25">
      <c r="C54" s="126"/>
      <c r="G54" s="126"/>
      <c r="K54" s="124"/>
      <c r="L54" s="129"/>
      <c r="M54" s="135"/>
      <c r="N54" s="135"/>
      <c r="O54" s="135"/>
    </row>
    <row r="55" spans="3:15" s="25" customFormat="1" ht="15" customHeight="1" outlineLevel="1" x14ac:dyDescent="0.25">
      <c r="C55" s="125" t="s">
        <v>82</v>
      </c>
      <c r="G55" s="126"/>
      <c r="K55" s="124"/>
      <c r="L55" s="129"/>
      <c r="M55" s="129"/>
      <c r="N55" s="129"/>
      <c r="O55" s="129"/>
    </row>
    <row r="56" spans="3:15" s="25" customFormat="1" ht="15" customHeight="1" outlineLevel="1" x14ac:dyDescent="0.25">
      <c r="C56" s="123" t="s">
        <v>81</v>
      </c>
      <c r="G56" s="136"/>
      <c r="K56" s="120">
        <f>-Inputs!K29</f>
        <v>4000</v>
      </c>
      <c r="L56" s="120">
        <f>-Inputs!L29</f>
        <v>4000</v>
      </c>
      <c r="M56" s="120">
        <f>-Inputs!M29</f>
        <v>4000</v>
      </c>
      <c r="N56" s="120">
        <f>-Inputs!N29</f>
        <v>4000</v>
      </c>
      <c r="O56" s="120">
        <f>-Inputs!O29</f>
        <v>4000</v>
      </c>
    </row>
    <row r="57" spans="3:15" s="25" customFormat="1" ht="15" customHeight="1" outlineLevel="1" x14ac:dyDescent="0.25">
      <c r="C57" s="123" t="s">
        <v>75</v>
      </c>
      <c r="G57" s="126"/>
      <c r="K57" s="124">
        <f>SUM(K56)</f>
        <v>4000</v>
      </c>
      <c r="L57" s="124">
        <f>SUM(L56)</f>
        <v>4000</v>
      </c>
      <c r="M57" s="124">
        <f>SUM(M56)</f>
        <v>4000</v>
      </c>
      <c r="N57" s="124">
        <f>SUM(N56)</f>
        <v>4000</v>
      </c>
      <c r="O57" s="124">
        <f>SUM(O56)</f>
        <v>4000</v>
      </c>
    </row>
    <row r="58" spans="3:15" s="25" customFormat="1" ht="15" customHeight="1" outlineLevel="1" x14ac:dyDescent="0.25">
      <c r="C58" s="118"/>
      <c r="G58" s="126"/>
      <c r="K58" s="124"/>
      <c r="L58" s="129"/>
      <c r="M58" s="126"/>
      <c r="N58" s="126"/>
      <c r="O58" s="126"/>
    </row>
    <row r="59" spans="3:15" s="25" customFormat="1" ht="15" customHeight="1" outlineLevel="1" x14ac:dyDescent="0.25">
      <c r="C59" s="118"/>
      <c r="G59" s="126"/>
      <c r="K59" s="124"/>
      <c r="L59" s="129"/>
      <c r="M59" s="135"/>
      <c r="N59" s="135"/>
      <c r="O59" s="135"/>
    </row>
    <row r="60" spans="3:15" s="25" customFormat="1" ht="15" customHeight="1" outlineLevel="1" x14ac:dyDescent="0.25">
      <c r="C60" s="125" t="s">
        <v>80</v>
      </c>
      <c r="G60" s="126"/>
      <c r="K60" s="124"/>
      <c r="L60" s="129"/>
      <c r="M60" s="129"/>
      <c r="N60" s="129"/>
      <c r="O60" s="129"/>
    </row>
    <row r="61" spans="3:15" s="25" customFormat="1" ht="15" customHeight="1" outlineLevel="1" x14ac:dyDescent="0.25">
      <c r="C61" s="123" t="s">
        <v>79</v>
      </c>
      <c r="G61" s="126"/>
      <c r="K61" s="124">
        <f>Inputs!K32</f>
        <v>-7000</v>
      </c>
      <c r="L61" s="129">
        <f>Inputs!L32</f>
        <v>0</v>
      </c>
      <c r="M61" s="129">
        <f>Inputs!M32</f>
        <v>0</v>
      </c>
      <c r="N61" s="129">
        <f>Inputs!N32</f>
        <v>0</v>
      </c>
      <c r="O61" s="129">
        <f>Inputs!O32</f>
        <v>0</v>
      </c>
    </row>
    <row r="62" spans="3:15" s="25" customFormat="1" ht="15" customHeight="1" outlineLevel="1" x14ac:dyDescent="0.25">
      <c r="C62" s="123" t="s">
        <v>78</v>
      </c>
      <c r="G62" s="126"/>
      <c r="K62" s="124">
        <f>Inputs!K33</f>
        <v>-3000</v>
      </c>
      <c r="L62" s="124">
        <f>Inputs!L33</f>
        <v>-3000</v>
      </c>
      <c r="M62" s="124">
        <f>Inputs!M33</f>
        <v>-3000</v>
      </c>
      <c r="N62" s="124">
        <f>Inputs!N33</f>
        <v>-3000</v>
      </c>
      <c r="O62" s="124">
        <f>Inputs!O33</f>
        <v>-3000</v>
      </c>
    </row>
    <row r="63" spans="3:15" s="25" customFormat="1" ht="15" customHeight="1" outlineLevel="1" x14ac:dyDescent="0.25">
      <c r="C63" s="123" t="s">
        <v>77</v>
      </c>
      <c r="G63" s="126"/>
      <c r="K63" s="124">
        <f>Inputs!K34</f>
        <v>-500</v>
      </c>
      <c r="L63" s="124">
        <f>Inputs!L34</f>
        <v>-500</v>
      </c>
      <c r="M63" s="124">
        <f>Inputs!M34</f>
        <v>-500</v>
      </c>
      <c r="N63" s="124">
        <f>Inputs!N34</f>
        <v>-500</v>
      </c>
      <c r="O63" s="124">
        <f>Inputs!O34</f>
        <v>-500</v>
      </c>
    </row>
    <row r="64" spans="3:15" s="25" customFormat="1" ht="15" customHeight="1" outlineLevel="1" x14ac:dyDescent="0.25">
      <c r="C64" s="123" t="s">
        <v>76</v>
      </c>
      <c r="G64" s="126"/>
      <c r="K64" s="120">
        <f>Inputs!K35</f>
        <v>-1000</v>
      </c>
      <c r="L64" s="120">
        <f>Inputs!L35</f>
        <v>-1000</v>
      </c>
      <c r="M64" s="120">
        <f>Inputs!M35</f>
        <v>-1000</v>
      </c>
      <c r="N64" s="120">
        <f>Inputs!N35</f>
        <v>-1000</v>
      </c>
      <c r="O64" s="120">
        <f>Inputs!O35</f>
        <v>1000</v>
      </c>
    </row>
    <row r="65" spans="1:18" s="25" customFormat="1" ht="15" customHeight="1" outlineLevel="1" x14ac:dyDescent="0.25">
      <c r="C65" s="123" t="s">
        <v>75</v>
      </c>
      <c r="G65" s="126"/>
      <c r="K65" s="124">
        <f>SUM(K62:K64)</f>
        <v>-4500</v>
      </c>
      <c r="L65" s="124">
        <f t="shared" ref="L65:O65" si="8">SUM(L62:L64)</f>
        <v>-4500</v>
      </c>
      <c r="M65" s="124">
        <f t="shared" si="8"/>
        <v>-4500</v>
      </c>
      <c r="N65" s="124">
        <f t="shared" si="8"/>
        <v>-4500</v>
      </c>
      <c r="O65" s="124">
        <f t="shared" si="8"/>
        <v>-2500</v>
      </c>
    </row>
    <row r="66" spans="1:18" s="25" customFormat="1" ht="15" customHeight="1" outlineLevel="1" x14ac:dyDescent="0.25">
      <c r="C66" s="126"/>
      <c r="G66" s="136"/>
      <c r="K66" s="124"/>
      <c r="L66" s="124"/>
      <c r="M66" s="124"/>
      <c r="N66" s="124"/>
      <c r="O66" s="124"/>
    </row>
    <row r="67" spans="1:18" s="25" customFormat="1" ht="15" customHeight="1" outlineLevel="1" x14ac:dyDescent="0.25">
      <c r="C67" s="118"/>
      <c r="G67" s="126"/>
      <c r="K67" s="124"/>
      <c r="L67" s="129"/>
      <c r="M67" s="135"/>
      <c r="N67" s="135"/>
      <c r="O67" s="135"/>
    </row>
    <row r="68" spans="1:18" s="25" customFormat="1" ht="15" customHeight="1" outlineLevel="1" x14ac:dyDescent="0.25">
      <c r="C68" s="125" t="s">
        <v>74</v>
      </c>
      <c r="G68" s="126"/>
      <c r="K68" s="124"/>
      <c r="L68" s="129"/>
      <c r="M68" s="129"/>
      <c r="N68" s="129"/>
      <c r="O68" s="129"/>
    </row>
    <row r="69" spans="1:18" s="25" customFormat="1" ht="15" customHeight="1" outlineLevel="1" x14ac:dyDescent="0.25">
      <c r="C69" s="123" t="s">
        <v>73</v>
      </c>
      <c r="G69" s="126"/>
      <c r="K69" s="124">
        <f>J81</f>
        <v>5000</v>
      </c>
      <c r="L69" s="124">
        <f t="shared" ref="L69:O69" si="9">K81</f>
        <v>5000</v>
      </c>
      <c r="M69" s="124">
        <f t="shared" si="9"/>
        <v>5000</v>
      </c>
      <c r="N69" s="124">
        <f t="shared" si="9"/>
        <v>5000</v>
      </c>
      <c r="O69" s="124">
        <f t="shared" si="9"/>
        <v>5000</v>
      </c>
    </row>
    <row r="70" spans="1:18" s="25" customFormat="1" ht="15" customHeight="1" outlineLevel="1" x14ac:dyDescent="0.25">
      <c r="C70" s="123" t="s">
        <v>72</v>
      </c>
      <c r="G70" s="126"/>
      <c r="K70" s="124">
        <f>K65+K57+K52</f>
        <v>23805</v>
      </c>
      <c r="L70" s="124">
        <f>L65+L57+L52</f>
        <v>25805</v>
      </c>
      <c r="M70" s="124">
        <f>M65+M57+M52</f>
        <v>45605</v>
      </c>
      <c r="N70" s="124">
        <f>N65+N57+N52</f>
        <v>46605</v>
      </c>
      <c r="O70" s="124">
        <f>O65+O57+O52</f>
        <v>33905</v>
      </c>
    </row>
    <row r="71" spans="1:18" s="25" customFormat="1" ht="15" customHeight="1" outlineLevel="1" thickBot="1" x14ac:dyDescent="0.3">
      <c r="C71" s="115" t="s">
        <v>71</v>
      </c>
      <c r="G71" s="134"/>
      <c r="K71" s="113">
        <f>SUM(K69:K70)</f>
        <v>28805</v>
      </c>
      <c r="L71" s="113">
        <f>SUM(L69:L70)</f>
        <v>30805</v>
      </c>
      <c r="M71" s="113">
        <f>SUM(M69:M70)</f>
        <v>50605</v>
      </c>
      <c r="N71" s="113">
        <f>SUM(N69:N70)</f>
        <v>51605</v>
      </c>
      <c r="O71" s="113">
        <f>SUM(O69:O70)</f>
        <v>38905</v>
      </c>
    </row>
    <row r="72" spans="1:18" s="25" customFormat="1" ht="15" customHeight="1" outlineLevel="1" x14ac:dyDescent="0.25">
      <c r="B72" s="108"/>
      <c r="C72" s="108"/>
      <c r="D72" s="108"/>
      <c r="E72" s="108"/>
      <c r="F72" s="108"/>
      <c r="G72" s="134"/>
    </row>
    <row r="73" spans="1:18" s="25" customFormat="1" ht="15" customHeight="1" outlineLevel="1" x14ac:dyDescent="0.3">
      <c r="B73" s="105"/>
      <c r="C73" s="104"/>
      <c r="D73" s="102"/>
      <c r="E73" s="102"/>
      <c r="F73" s="103"/>
      <c r="G73" s="92"/>
      <c r="H73" s="102"/>
      <c r="I73" s="102"/>
      <c r="J73" s="102"/>
      <c r="K73" s="92"/>
      <c r="L73" s="92"/>
      <c r="M73" s="92"/>
      <c r="N73" s="92"/>
      <c r="O73" s="92"/>
      <c r="P73" s="92"/>
    </row>
    <row r="74" spans="1:18" s="25" customFormat="1" ht="15" customHeight="1" x14ac:dyDescent="0.3">
      <c r="B74" s="79"/>
      <c r="C74" s="27"/>
      <c r="D74" s="26"/>
      <c r="E74" s="26"/>
      <c r="F74" s="75"/>
      <c r="H74" s="26"/>
      <c r="I74" s="26"/>
      <c r="J74" s="26"/>
    </row>
    <row r="75" spans="1:18" s="25" customFormat="1" ht="15" customHeight="1" x14ac:dyDescent="0.3">
      <c r="A75" s="17" t="s">
        <v>0</v>
      </c>
      <c r="B75" s="223" t="s">
        <v>70</v>
      </c>
      <c r="C75" s="89"/>
      <c r="D75" s="101"/>
      <c r="E75" s="101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3"/>
    </row>
    <row r="76" spans="1:18" s="25" customFormat="1" ht="15" customHeight="1" outlineLevel="1" x14ac:dyDescent="0.3">
      <c r="A76" s="17"/>
      <c r="B76" s="100"/>
      <c r="C76" s="27"/>
      <c r="D76" s="81"/>
      <c r="E76" s="81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99"/>
    </row>
    <row r="77" spans="1:18" s="25" customFormat="1" ht="15" customHeight="1" outlineLevel="1" thickBot="1" x14ac:dyDescent="0.35">
      <c r="B77" s="79" t="s">
        <v>28</v>
      </c>
      <c r="C77" s="133"/>
      <c r="D77" s="26"/>
      <c r="E77" s="26"/>
      <c r="F77" s="75"/>
      <c r="H77" s="166"/>
      <c r="I77" s="166"/>
      <c r="J77" s="185">
        <f>K77-1</f>
        <v>2022</v>
      </c>
      <c r="K77" s="98">
        <f>K$7</f>
        <v>2023</v>
      </c>
      <c r="L77" s="98">
        <f t="shared" ref="L77:O77" si="10">L$7</f>
        <v>2024</v>
      </c>
      <c r="M77" s="98">
        <f t="shared" si="10"/>
        <v>2025</v>
      </c>
      <c r="N77" s="98">
        <f t="shared" si="10"/>
        <v>2026</v>
      </c>
      <c r="O77" s="98">
        <f t="shared" si="10"/>
        <v>2027</v>
      </c>
      <c r="P77" s="99"/>
      <c r="R77" s="301"/>
    </row>
    <row r="78" spans="1:18" s="25" customFormat="1" ht="15" customHeight="1" outlineLevel="1" x14ac:dyDescent="0.3">
      <c r="B78" s="79"/>
      <c r="C78" s="27"/>
      <c r="D78" s="26"/>
      <c r="E78" s="26"/>
      <c r="F78" s="75"/>
      <c r="H78" s="26"/>
      <c r="I78" s="26"/>
      <c r="J78" s="26"/>
    </row>
    <row r="79" spans="1:18" s="25" customFormat="1" ht="15" customHeight="1" outlineLevel="1" x14ac:dyDescent="0.3">
      <c r="B79" s="79"/>
      <c r="C79" s="27"/>
      <c r="D79" s="26"/>
      <c r="E79" s="26"/>
      <c r="F79" s="75"/>
      <c r="H79" s="26"/>
      <c r="I79" s="26"/>
      <c r="J79" s="26"/>
    </row>
    <row r="80" spans="1:18" s="25" customFormat="1" ht="15" customHeight="1" outlineLevel="1" x14ac:dyDescent="0.3">
      <c r="C80" s="125" t="s">
        <v>69</v>
      </c>
      <c r="D80" s="132"/>
      <c r="I80" s="26"/>
      <c r="J80" s="126"/>
      <c r="K80" s="132"/>
      <c r="L80" s="111"/>
      <c r="M80" s="111"/>
    </row>
    <row r="81" spans="3:18" s="25" customFormat="1" ht="15" customHeight="1" outlineLevel="1" x14ac:dyDescent="0.3">
      <c r="C81" s="123" t="s">
        <v>68</v>
      </c>
      <c r="D81" s="124"/>
      <c r="I81" s="26"/>
      <c r="J81" s="131">
        <v>5000</v>
      </c>
      <c r="K81" s="124">
        <f>K69</f>
        <v>5000</v>
      </c>
      <c r="L81" s="124">
        <f t="shared" ref="L81:O81" si="11">L69</f>
        <v>5000</v>
      </c>
      <c r="M81" s="124">
        <f t="shared" si="11"/>
        <v>5000</v>
      </c>
      <c r="N81" s="124">
        <f t="shared" si="11"/>
        <v>5000</v>
      </c>
      <c r="O81" s="124">
        <f t="shared" si="11"/>
        <v>5000</v>
      </c>
      <c r="R81" s="301"/>
    </row>
    <row r="82" spans="3:18" s="25" customFormat="1" ht="15" customHeight="1" outlineLevel="1" x14ac:dyDescent="0.3">
      <c r="C82" s="123" t="s">
        <v>67</v>
      </c>
      <c r="D82" s="124"/>
      <c r="I82" s="26"/>
      <c r="J82" s="131">
        <v>6000</v>
      </c>
      <c r="K82" s="124">
        <f>J82-K49</f>
        <v>5970</v>
      </c>
      <c r="L82" s="124">
        <f t="shared" ref="L82:O83" si="12">K82-L49</f>
        <v>5940</v>
      </c>
      <c r="M82" s="124">
        <f t="shared" si="12"/>
        <v>5910</v>
      </c>
      <c r="N82" s="124">
        <f t="shared" si="12"/>
        <v>5880</v>
      </c>
      <c r="O82" s="124">
        <f t="shared" si="12"/>
        <v>5850</v>
      </c>
      <c r="R82" s="302"/>
    </row>
    <row r="83" spans="3:18" s="25" customFormat="1" ht="15" customHeight="1" outlineLevel="1" x14ac:dyDescent="0.3">
      <c r="C83" s="123" t="s">
        <v>66</v>
      </c>
      <c r="D83" s="124"/>
      <c r="I83" s="26"/>
      <c r="J83" s="121">
        <v>2000</v>
      </c>
      <c r="K83" s="124">
        <f>J83-K50</f>
        <v>2200</v>
      </c>
      <c r="L83" s="124">
        <f t="shared" si="12"/>
        <v>2400</v>
      </c>
      <c r="M83" s="124">
        <f t="shared" si="12"/>
        <v>2600</v>
      </c>
      <c r="N83" s="124">
        <v>2800</v>
      </c>
      <c r="O83" s="124">
        <f t="shared" si="12"/>
        <v>3000</v>
      </c>
      <c r="R83" s="301"/>
    </row>
    <row r="84" spans="3:18" s="25" customFormat="1" ht="15" customHeight="1" outlineLevel="1" x14ac:dyDescent="0.3">
      <c r="C84" s="123" t="s">
        <v>65</v>
      </c>
      <c r="D84" s="122"/>
      <c r="I84" s="26"/>
      <c r="J84" s="121">
        <v>65000</v>
      </c>
      <c r="K84" s="124">
        <f>J84-K56-K47</f>
        <v>57000</v>
      </c>
      <c r="L84" s="124">
        <f>K84-L56-L47</f>
        <v>49000</v>
      </c>
      <c r="M84" s="124">
        <f>L84-M56-M47</f>
        <v>41000</v>
      </c>
      <c r="N84" s="124">
        <f>M84-N56-N47</f>
        <v>33000</v>
      </c>
      <c r="O84" s="124">
        <f>N84-O56-O47</f>
        <v>25000</v>
      </c>
      <c r="R84" s="302"/>
    </row>
    <row r="85" spans="3:18" s="25" customFormat="1" ht="15" customHeight="1" outlineLevel="1" thickBot="1" x14ac:dyDescent="0.35">
      <c r="C85" s="115" t="s">
        <v>64</v>
      </c>
      <c r="D85" s="114"/>
      <c r="I85" s="26"/>
      <c r="J85" s="113">
        <f>SUM(J81:J84)</f>
        <v>78000</v>
      </c>
      <c r="K85" s="113">
        <f t="shared" ref="K85:O85" si="13">SUM(K81:K84)</f>
        <v>70170</v>
      </c>
      <c r="L85" s="113">
        <f t="shared" si="13"/>
        <v>62340</v>
      </c>
      <c r="M85" s="113">
        <f t="shared" si="13"/>
        <v>54510</v>
      </c>
      <c r="N85" s="113">
        <f t="shared" si="13"/>
        <v>46680</v>
      </c>
      <c r="O85" s="113">
        <f t="shared" si="13"/>
        <v>38850</v>
      </c>
      <c r="R85" s="302"/>
    </row>
    <row r="86" spans="3:18" s="25" customFormat="1" ht="15" customHeight="1" outlineLevel="1" x14ac:dyDescent="0.3">
      <c r="C86" s="108"/>
      <c r="D86" s="108"/>
      <c r="I86" s="26"/>
      <c r="J86" s="108"/>
      <c r="K86" s="126"/>
      <c r="L86" s="126"/>
      <c r="M86" s="126"/>
      <c r="N86" s="126"/>
      <c r="O86" s="126"/>
      <c r="R86" s="302"/>
    </row>
    <row r="87" spans="3:18" s="25" customFormat="1" ht="15" customHeight="1" outlineLevel="1" x14ac:dyDescent="0.3">
      <c r="C87" s="118"/>
      <c r="D87" s="117"/>
      <c r="I87" s="26"/>
      <c r="J87" s="129"/>
      <c r="K87" s="129"/>
      <c r="L87" s="129"/>
      <c r="M87" s="129"/>
      <c r="N87" s="129"/>
      <c r="O87" s="129"/>
      <c r="R87" s="302"/>
    </row>
    <row r="88" spans="3:18" s="25" customFormat="1" ht="15" customHeight="1" outlineLevel="1" x14ac:dyDescent="0.3">
      <c r="C88" s="108"/>
      <c r="D88" s="108"/>
      <c r="I88" s="26"/>
      <c r="J88" s="108"/>
      <c r="K88" s="126"/>
      <c r="L88" s="126"/>
      <c r="M88" s="126"/>
      <c r="N88" s="126"/>
      <c r="O88" s="126"/>
      <c r="R88" s="302"/>
    </row>
    <row r="89" spans="3:18" s="25" customFormat="1" ht="15" customHeight="1" outlineLevel="1" x14ac:dyDescent="0.3">
      <c r="C89" s="125" t="s">
        <v>63</v>
      </c>
      <c r="D89" s="130"/>
      <c r="I89" s="26"/>
      <c r="J89" s="129"/>
      <c r="K89" s="129"/>
      <c r="L89" s="129"/>
      <c r="M89" s="129"/>
      <c r="N89" s="129"/>
      <c r="O89" s="129"/>
      <c r="R89" s="302"/>
    </row>
    <row r="90" spans="3:18" s="25" customFormat="1" ht="15" customHeight="1" outlineLevel="1" x14ac:dyDescent="0.3">
      <c r="C90" s="123" t="s">
        <v>62</v>
      </c>
      <c r="D90" s="128"/>
      <c r="I90" s="26"/>
      <c r="J90" s="121">
        <v>3000</v>
      </c>
      <c r="K90" s="124">
        <f>J90+L51</f>
        <v>3175</v>
      </c>
      <c r="L90" s="124">
        <f t="shared" ref="L90:O90" si="14">K90+M51</f>
        <v>3350</v>
      </c>
      <c r="M90" s="124">
        <f t="shared" si="14"/>
        <v>3525</v>
      </c>
      <c r="N90" s="124">
        <f t="shared" si="14"/>
        <v>3700</v>
      </c>
      <c r="O90" s="124">
        <f t="shared" si="14"/>
        <v>3700</v>
      </c>
      <c r="R90" s="301"/>
    </row>
    <row r="91" spans="3:18" s="25" customFormat="1" ht="15" customHeight="1" outlineLevel="1" x14ac:dyDescent="0.3">
      <c r="C91" s="123" t="s">
        <v>61</v>
      </c>
      <c r="D91" s="122"/>
      <c r="I91" s="26"/>
      <c r="J91" s="121">
        <v>7000</v>
      </c>
      <c r="K91" s="124">
        <f t="shared" ref="K91:O92" si="15">J91+K61</f>
        <v>0</v>
      </c>
      <c r="L91" s="124">
        <f t="shared" si="15"/>
        <v>0</v>
      </c>
      <c r="M91" s="124">
        <f t="shared" si="15"/>
        <v>0</v>
      </c>
      <c r="N91" s="124">
        <f t="shared" si="15"/>
        <v>0</v>
      </c>
      <c r="O91" s="124">
        <f t="shared" si="15"/>
        <v>0</v>
      </c>
      <c r="R91" s="302"/>
    </row>
    <row r="92" spans="3:18" s="25" customFormat="1" ht="15" customHeight="1" outlineLevel="1" x14ac:dyDescent="0.3">
      <c r="C92" s="123" t="s">
        <v>60</v>
      </c>
      <c r="D92" s="122"/>
      <c r="I92" s="26"/>
      <c r="J92" s="121">
        <v>20000</v>
      </c>
      <c r="K92" s="124">
        <f t="shared" si="15"/>
        <v>17000</v>
      </c>
      <c r="L92" s="124">
        <f t="shared" si="15"/>
        <v>14000</v>
      </c>
      <c r="M92" s="124">
        <f t="shared" si="15"/>
        <v>11000</v>
      </c>
      <c r="N92" s="124">
        <f t="shared" si="15"/>
        <v>8000</v>
      </c>
      <c r="O92" s="124">
        <f t="shared" si="15"/>
        <v>5000</v>
      </c>
      <c r="R92" s="302"/>
    </row>
    <row r="93" spans="3:18" s="25" customFormat="1" ht="15" customHeight="1" outlineLevel="1" x14ac:dyDescent="0.3">
      <c r="C93" s="123" t="s">
        <v>59</v>
      </c>
      <c r="D93" s="122"/>
      <c r="I93" s="26"/>
      <c r="J93" s="121">
        <v>1000</v>
      </c>
      <c r="K93" s="120">
        <f>J93+K48</f>
        <v>3000</v>
      </c>
      <c r="L93" s="120">
        <f>K93+L48</f>
        <v>5000</v>
      </c>
      <c r="M93" s="120">
        <f>L93+M48</f>
        <v>25000</v>
      </c>
      <c r="N93" s="120">
        <f>M93+N48</f>
        <v>27000</v>
      </c>
      <c r="O93" s="120">
        <f>N93+O48</f>
        <v>27000</v>
      </c>
      <c r="R93" s="302"/>
    </row>
    <row r="94" spans="3:18" s="25" customFormat="1" ht="15" customHeight="1" outlineLevel="1" x14ac:dyDescent="0.3">
      <c r="C94" s="115" t="s">
        <v>58</v>
      </c>
      <c r="D94" s="114"/>
      <c r="I94" s="26"/>
      <c r="J94" s="119">
        <f>SUM(J90:J93)</f>
        <v>31000</v>
      </c>
      <c r="K94" s="119">
        <f>SUM(K91:K93)</f>
        <v>20000</v>
      </c>
      <c r="L94" s="119">
        <f t="shared" ref="L94:O94" si="16">SUM(L91:L93)</f>
        <v>19000</v>
      </c>
      <c r="M94" s="119">
        <f t="shared" si="16"/>
        <v>36000</v>
      </c>
      <c r="N94" s="119">
        <f t="shared" si="16"/>
        <v>35000</v>
      </c>
      <c r="O94" s="119">
        <f t="shared" si="16"/>
        <v>32000</v>
      </c>
      <c r="R94" s="301"/>
    </row>
    <row r="95" spans="3:18" s="25" customFormat="1" ht="15" customHeight="1" outlineLevel="1" x14ac:dyDescent="0.3">
      <c r="C95" s="118"/>
      <c r="D95" s="117"/>
      <c r="I95" s="26"/>
      <c r="J95" s="116"/>
      <c r="K95" s="116"/>
      <c r="L95" s="116"/>
      <c r="M95" s="116"/>
      <c r="N95" s="116"/>
      <c r="O95" s="116"/>
      <c r="R95" s="302"/>
    </row>
    <row r="96" spans="3:18" s="25" customFormat="1" ht="15" customHeight="1" outlineLevel="1" x14ac:dyDescent="0.3">
      <c r="C96" s="126"/>
      <c r="D96" s="127"/>
      <c r="I96" s="26"/>
      <c r="J96" s="126"/>
      <c r="K96" s="126"/>
      <c r="L96" s="126"/>
      <c r="M96" s="126"/>
      <c r="N96" s="126"/>
      <c r="O96" s="126"/>
      <c r="R96" s="302"/>
    </row>
    <row r="97" spans="1:18" s="25" customFormat="1" ht="15" customHeight="1" outlineLevel="1" x14ac:dyDescent="0.3">
      <c r="C97" s="108"/>
      <c r="D97" s="108"/>
      <c r="I97" s="26"/>
      <c r="J97" s="108"/>
      <c r="K97" s="126"/>
      <c r="L97" s="126"/>
      <c r="M97" s="126"/>
      <c r="N97" s="126"/>
      <c r="O97" s="126"/>
      <c r="R97" s="302"/>
    </row>
    <row r="98" spans="1:18" s="25" customFormat="1" ht="15" customHeight="1" outlineLevel="1" x14ac:dyDescent="0.3">
      <c r="C98" s="125" t="s">
        <v>57</v>
      </c>
      <c r="D98" s="117"/>
      <c r="I98" s="26"/>
      <c r="J98" s="116"/>
      <c r="K98" s="116"/>
      <c r="L98" s="116"/>
      <c r="M98" s="116"/>
      <c r="N98" s="116"/>
      <c r="O98" s="116"/>
      <c r="R98" s="302"/>
    </row>
    <row r="99" spans="1:18" s="25" customFormat="1" ht="15" customHeight="1" outlineLevel="1" x14ac:dyDescent="0.3">
      <c r="C99" s="123" t="s">
        <v>56</v>
      </c>
      <c r="D99" s="122"/>
      <c r="I99" s="26"/>
      <c r="J99" s="121">
        <v>42000</v>
      </c>
      <c r="K99" s="124">
        <f>J99+K63-700</f>
        <v>40800</v>
      </c>
      <c r="L99" s="124">
        <f>K99+L63</f>
        <v>40300</v>
      </c>
      <c r="M99" s="124">
        <f>L99+M63</f>
        <v>39800</v>
      </c>
      <c r="N99" s="124">
        <f>M99+N63</f>
        <v>39300</v>
      </c>
      <c r="O99" s="124">
        <f>N99+O63</f>
        <v>38800</v>
      </c>
      <c r="R99" s="301"/>
    </row>
    <row r="100" spans="1:18" s="25" customFormat="1" ht="15" customHeight="1" outlineLevel="1" x14ac:dyDescent="0.3">
      <c r="C100" s="123" t="s">
        <v>55</v>
      </c>
      <c r="D100" s="122"/>
      <c r="I100" s="26"/>
      <c r="J100" s="121">
        <v>5000</v>
      </c>
      <c r="K100" s="120">
        <f>K85-K94-K99</f>
        <v>9370</v>
      </c>
      <c r="L100" s="120">
        <f t="shared" ref="L100:O100" si="17">L85-L94-L99</f>
        <v>3040</v>
      </c>
      <c r="M100" s="120">
        <f t="shared" si="17"/>
        <v>-21290</v>
      </c>
      <c r="N100" s="120">
        <f t="shared" si="17"/>
        <v>-27620</v>
      </c>
      <c r="O100" s="120">
        <f t="shared" si="17"/>
        <v>-31950</v>
      </c>
      <c r="R100" s="301"/>
    </row>
    <row r="101" spans="1:18" s="25" customFormat="1" ht="15" customHeight="1" outlineLevel="1" x14ac:dyDescent="0.3">
      <c r="C101" s="115" t="s">
        <v>54</v>
      </c>
      <c r="D101" s="114"/>
      <c r="I101" s="26"/>
      <c r="J101" s="119">
        <f>SUM(J99:J100)</f>
        <v>47000</v>
      </c>
      <c r="K101" s="119">
        <f t="shared" ref="K101:O101" si="18">SUM(K99:K100)</f>
        <v>50170</v>
      </c>
      <c r="L101" s="119">
        <f t="shared" si="18"/>
        <v>43340</v>
      </c>
      <c r="M101" s="119">
        <f t="shared" si="18"/>
        <v>18510</v>
      </c>
      <c r="N101" s="119">
        <f t="shared" si="18"/>
        <v>11680</v>
      </c>
      <c r="O101" s="119">
        <f t="shared" si="18"/>
        <v>6850</v>
      </c>
    </row>
    <row r="102" spans="1:18" s="25" customFormat="1" ht="15" customHeight="1" outlineLevel="1" x14ac:dyDescent="0.3">
      <c r="C102" s="118"/>
      <c r="D102" s="117"/>
      <c r="I102" s="26"/>
      <c r="J102" s="116"/>
      <c r="K102" s="116"/>
      <c r="L102" s="116"/>
      <c r="M102" s="116"/>
      <c r="N102" s="116"/>
      <c r="O102" s="116"/>
    </row>
    <row r="103" spans="1:18" s="25" customFormat="1" ht="15" customHeight="1" outlineLevel="1" thickBot="1" x14ac:dyDescent="0.35">
      <c r="C103" s="115" t="s">
        <v>53</v>
      </c>
      <c r="D103" s="114"/>
      <c r="I103" s="26"/>
      <c r="J103" s="113">
        <f>J101+J94</f>
        <v>78000</v>
      </c>
      <c r="K103" s="113">
        <f t="shared" ref="K103:O103" si="19">K101+K94</f>
        <v>70170</v>
      </c>
      <c r="L103" s="113">
        <f t="shared" si="19"/>
        <v>62340</v>
      </c>
      <c r="M103" s="113">
        <f t="shared" si="19"/>
        <v>54510</v>
      </c>
      <c r="N103" s="113">
        <f t="shared" si="19"/>
        <v>46680</v>
      </c>
      <c r="O103" s="113">
        <f t="shared" si="19"/>
        <v>38850</v>
      </c>
    </row>
    <row r="104" spans="1:18" s="25" customFormat="1" ht="15" customHeight="1" outlineLevel="1" x14ac:dyDescent="0.3">
      <c r="C104" s="112"/>
      <c r="D104" s="112"/>
      <c r="I104" s="26"/>
      <c r="J104" s="111"/>
      <c r="K104" s="111"/>
      <c r="L104" s="111"/>
      <c r="M104" s="111"/>
      <c r="N104" s="111"/>
      <c r="O104" s="111"/>
    </row>
    <row r="105" spans="1:18" s="25" customFormat="1" ht="15" customHeight="1" outlineLevel="1" x14ac:dyDescent="0.3">
      <c r="C105" s="108"/>
      <c r="D105" s="108"/>
      <c r="I105" s="26"/>
      <c r="J105" s="126"/>
      <c r="K105" s="126"/>
      <c r="L105" s="126"/>
      <c r="M105" s="126"/>
      <c r="N105" s="126"/>
      <c r="O105" s="126"/>
    </row>
    <row r="106" spans="1:18" s="25" customFormat="1" ht="15" customHeight="1" outlineLevel="1" x14ac:dyDescent="0.3">
      <c r="C106" s="242" t="s">
        <v>52</v>
      </c>
      <c r="D106" s="110"/>
      <c r="I106" s="26"/>
      <c r="J106" s="221">
        <f>J85-J103</f>
        <v>0</v>
      </c>
      <c r="K106" s="222">
        <f t="shared" ref="K106:O106" si="20">K85-K103</f>
        <v>0</v>
      </c>
      <c r="L106" s="222">
        <f t="shared" si="20"/>
        <v>0</v>
      </c>
      <c r="M106" s="222">
        <f t="shared" si="20"/>
        <v>0</v>
      </c>
      <c r="N106" s="222">
        <f t="shared" si="20"/>
        <v>0</v>
      </c>
      <c r="O106" s="222">
        <f t="shared" si="20"/>
        <v>0</v>
      </c>
      <c r="P106" s="109"/>
    </row>
    <row r="107" spans="1:18" s="25" customFormat="1" ht="15" customHeight="1" outlineLevel="1" x14ac:dyDescent="0.3">
      <c r="B107" s="108"/>
      <c r="C107" s="108"/>
      <c r="D107" s="108"/>
      <c r="E107" s="108"/>
      <c r="F107" s="108"/>
      <c r="G107" s="108"/>
      <c r="H107" s="108"/>
      <c r="I107" s="26"/>
      <c r="J107" s="107"/>
      <c r="K107" s="106"/>
      <c r="L107" s="106"/>
      <c r="M107" s="106"/>
      <c r="N107" s="106"/>
      <c r="O107" s="106"/>
    </row>
    <row r="108" spans="1:18" s="25" customFormat="1" ht="15" customHeight="1" outlineLevel="1" x14ac:dyDescent="0.3">
      <c r="B108" s="105"/>
      <c r="C108" s="104"/>
      <c r="D108" s="102"/>
      <c r="E108" s="102"/>
      <c r="F108" s="103"/>
      <c r="G108" s="92"/>
      <c r="H108" s="102"/>
      <c r="I108" s="102"/>
      <c r="J108" s="102"/>
      <c r="K108" s="92"/>
      <c r="L108" s="92"/>
      <c r="M108" s="92"/>
      <c r="N108" s="92"/>
      <c r="O108" s="92"/>
      <c r="P108" s="92"/>
    </row>
    <row r="109" spans="1:18" s="25" customFormat="1" ht="15" customHeight="1" x14ac:dyDescent="0.3">
      <c r="B109" s="79"/>
      <c r="C109" s="27"/>
      <c r="D109" s="26"/>
      <c r="E109" s="26"/>
      <c r="F109" s="75"/>
      <c r="H109" s="26"/>
      <c r="I109" s="26"/>
      <c r="J109" s="26"/>
    </row>
    <row r="110" spans="1:18" s="25" customFormat="1" ht="15" customHeight="1" x14ac:dyDescent="0.3">
      <c r="A110" s="25" t="s">
        <v>0</v>
      </c>
      <c r="B110" s="223" t="s">
        <v>48</v>
      </c>
      <c r="C110" s="89"/>
      <c r="D110" s="88"/>
      <c r="E110" s="87"/>
      <c r="F110" s="86"/>
      <c r="G110" s="86"/>
      <c r="H110" s="86"/>
      <c r="I110" s="86"/>
      <c r="J110" s="86"/>
      <c r="K110" s="85"/>
      <c r="L110" s="84"/>
      <c r="M110" s="84"/>
      <c r="N110" s="84"/>
      <c r="O110" s="84"/>
      <c r="P110" s="83"/>
    </row>
    <row r="111" spans="1:18" s="25" customFormat="1" ht="15" customHeight="1" outlineLevel="1" x14ac:dyDescent="0.3">
      <c r="B111" s="77"/>
      <c r="C111" s="27"/>
      <c r="D111" s="82"/>
      <c r="E111" s="81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94"/>
    </row>
    <row r="112" spans="1:18" s="25" customFormat="1" ht="15" customHeight="1" outlineLevel="1" x14ac:dyDescent="0.3">
      <c r="B112" s="187" t="s">
        <v>28</v>
      </c>
      <c r="C112" s="208"/>
      <c r="D112" s="255"/>
      <c r="E112" s="203"/>
      <c r="F112" s="201"/>
      <c r="G112" s="201"/>
      <c r="H112" s="136"/>
      <c r="I112" s="80"/>
      <c r="J112" s="224" t="s">
        <v>47</v>
      </c>
      <c r="K112" s="225" t="s">
        <v>40</v>
      </c>
      <c r="L112" s="96"/>
      <c r="M112" s="96"/>
      <c r="N112" s="96"/>
      <c r="O112" s="96"/>
      <c r="P112" s="226" t="s">
        <v>46</v>
      </c>
      <c r="Q112" s="95"/>
    </row>
    <row r="113" spans="2:18" s="25" customFormat="1" ht="15" customHeight="1" outlineLevel="1" x14ac:dyDescent="0.3">
      <c r="B113" s="187"/>
      <c r="C113" s="136"/>
      <c r="D113" s="256"/>
      <c r="E113" s="201"/>
      <c r="F113" s="136"/>
      <c r="G113" s="136"/>
      <c r="H113" s="136"/>
      <c r="I113" s="257"/>
      <c r="J113" s="281" t="s">
        <v>45</v>
      </c>
      <c r="K113" s="281" t="s">
        <v>45</v>
      </c>
      <c r="L113" s="282" t="s">
        <v>45</v>
      </c>
      <c r="M113" s="282" t="s">
        <v>45</v>
      </c>
      <c r="N113" s="282" t="s">
        <v>45</v>
      </c>
      <c r="O113" s="282" t="s">
        <v>45</v>
      </c>
      <c r="P113" s="283" t="s">
        <v>45</v>
      </c>
      <c r="Q113" s="95"/>
    </row>
    <row r="114" spans="2:18" s="25" customFormat="1" ht="15" customHeight="1" outlineLevel="1" thickBot="1" x14ac:dyDescent="0.35">
      <c r="B114" s="187"/>
      <c r="C114" s="136"/>
      <c r="D114" s="256"/>
      <c r="E114" s="201"/>
      <c r="F114" s="136"/>
      <c r="G114" s="136"/>
      <c r="H114" s="136"/>
      <c r="I114" s="253"/>
      <c r="J114" s="243">
        <f>DATE(G126,1,1)</f>
        <v>44927</v>
      </c>
      <c r="K114" s="243">
        <f>DATE(G126,12,31)</f>
        <v>45291</v>
      </c>
      <c r="L114" s="253">
        <f>EDATE(K114,12)</f>
        <v>45657</v>
      </c>
      <c r="M114" s="253">
        <f>EDATE(L114,12)</f>
        <v>46022</v>
      </c>
      <c r="N114" s="253">
        <f>EDATE(M114,12)</f>
        <v>46387</v>
      </c>
      <c r="O114" s="253">
        <f>EDATE(N114,12)</f>
        <v>46752</v>
      </c>
      <c r="P114" s="254">
        <f>EDATE(O114,12)</f>
        <v>47118</v>
      </c>
      <c r="Q114" s="95"/>
    </row>
    <row r="115" spans="2:18" s="25" customFormat="1" ht="15" customHeight="1" outlineLevel="1" x14ac:dyDescent="0.3">
      <c r="B115" s="143"/>
      <c r="C115" s="208"/>
      <c r="D115" s="255"/>
      <c r="E115" s="203"/>
      <c r="F115" s="201"/>
      <c r="G115" s="201"/>
      <c r="H115" s="201"/>
      <c r="I115" s="201"/>
      <c r="J115" s="284"/>
      <c r="K115" s="284"/>
      <c r="L115" s="284"/>
      <c r="M115" s="284"/>
      <c r="N115" s="284"/>
      <c r="O115" s="284"/>
      <c r="P115" s="284"/>
      <c r="Q115" s="94"/>
    </row>
    <row r="116" spans="2:18" s="25" customFormat="1" ht="15" customHeight="1" outlineLevel="1" x14ac:dyDescent="0.3">
      <c r="B116" s="136"/>
      <c r="C116" s="285" t="s">
        <v>44</v>
      </c>
      <c r="D116" s="286"/>
      <c r="E116" s="201"/>
      <c r="F116" s="72"/>
      <c r="G116" s="201"/>
      <c r="H116" s="72"/>
      <c r="I116" s="72"/>
      <c r="J116" s="72"/>
      <c r="K116" s="72"/>
      <c r="L116" s="72"/>
      <c r="M116" s="72"/>
      <c r="N116" s="72"/>
      <c r="O116" s="72"/>
      <c r="P116" s="72"/>
      <c r="Q116" s="18"/>
    </row>
    <row r="117" spans="2:18" s="25" customFormat="1" ht="15" customHeight="1" outlineLevel="1" x14ac:dyDescent="0.3">
      <c r="B117" s="136"/>
      <c r="C117" s="261" t="s">
        <v>121</v>
      </c>
      <c r="D117" s="287"/>
      <c r="E117" s="201"/>
      <c r="F117" s="72"/>
      <c r="G117" s="201"/>
      <c r="H117" s="201"/>
      <c r="I117" s="201"/>
      <c r="J117" s="201"/>
      <c r="K117" s="73">
        <f t="shared" ref="K117:O117" si="21">K17</f>
        <v>20500</v>
      </c>
      <c r="L117" s="73">
        <f t="shared" si="21"/>
        <v>22300</v>
      </c>
      <c r="M117" s="73">
        <f t="shared" si="21"/>
        <v>23900</v>
      </c>
      <c r="N117" s="73">
        <f t="shared" si="21"/>
        <v>24700</v>
      </c>
      <c r="O117" s="73">
        <f t="shared" si="21"/>
        <v>29800</v>
      </c>
      <c r="P117" s="244">
        <f>O117*(1+G127)</f>
        <v>30396</v>
      </c>
    </row>
    <row r="118" spans="2:18" s="25" customFormat="1" ht="15" customHeight="1" outlineLevel="1" x14ac:dyDescent="0.3">
      <c r="B118" s="136"/>
      <c r="C118" s="261" t="s">
        <v>122</v>
      </c>
      <c r="D118" s="287"/>
      <c r="E118" s="201"/>
      <c r="F118" s="72"/>
      <c r="G118" s="201"/>
      <c r="H118" s="201"/>
      <c r="I118" s="201"/>
      <c r="J118" s="201"/>
      <c r="K118" s="73">
        <f>-Inputs!K40</f>
        <v>-1100</v>
      </c>
      <c r="L118" s="73">
        <f>-Inputs!L40</f>
        <v>-1100</v>
      </c>
      <c r="M118" s="73">
        <f>-Inputs!M40</f>
        <v>-1100</v>
      </c>
      <c r="N118" s="73">
        <f>-Inputs!N40</f>
        <v>-1100</v>
      </c>
      <c r="O118" s="73">
        <f>-Inputs!O40</f>
        <v>-1100</v>
      </c>
      <c r="P118" s="245">
        <f>O118</f>
        <v>-1100</v>
      </c>
      <c r="R118" s="303"/>
    </row>
    <row r="119" spans="2:18" s="25" customFormat="1" ht="15" customHeight="1" outlineLevel="1" x14ac:dyDescent="0.3">
      <c r="B119" s="136"/>
      <c r="C119" s="261" t="s">
        <v>123</v>
      </c>
      <c r="D119" s="287"/>
      <c r="E119" s="201"/>
      <c r="F119" s="72"/>
      <c r="G119" s="201"/>
      <c r="H119" s="201"/>
      <c r="I119" s="201"/>
      <c r="J119" s="201"/>
      <c r="K119" s="73">
        <f>-K56</f>
        <v>-4000</v>
      </c>
      <c r="L119" s="73">
        <f t="shared" ref="L119:O119" si="22">-L56</f>
        <v>-4000</v>
      </c>
      <c r="M119" s="73">
        <f t="shared" si="22"/>
        <v>-4000</v>
      </c>
      <c r="N119" s="73">
        <f t="shared" si="22"/>
        <v>-4000</v>
      </c>
      <c r="O119" s="73">
        <f t="shared" si="22"/>
        <v>-4000</v>
      </c>
      <c r="P119" s="245">
        <f>O119</f>
        <v>-4000</v>
      </c>
    </row>
    <row r="120" spans="2:18" s="25" customFormat="1" ht="15" customHeight="1" outlineLevel="1" x14ac:dyDescent="0.3">
      <c r="B120" s="136"/>
      <c r="C120" s="261" t="s">
        <v>124</v>
      </c>
      <c r="D120" s="136"/>
      <c r="E120" s="201"/>
      <c r="F120" s="72"/>
      <c r="G120" s="201"/>
      <c r="H120" s="201"/>
      <c r="I120" s="201"/>
      <c r="J120" s="201"/>
      <c r="K120" s="73">
        <f>SUM(K50:K51)</f>
        <v>-25</v>
      </c>
      <c r="L120" s="73">
        <f t="shared" ref="L120:O120" si="23">SUM(L50:L51)</f>
        <v>-25</v>
      </c>
      <c r="M120" s="73">
        <f t="shared" si="23"/>
        <v>-25</v>
      </c>
      <c r="N120" s="73">
        <f t="shared" si="23"/>
        <v>-25</v>
      </c>
      <c r="O120" s="73">
        <f t="shared" si="23"/>
        <v>-25</v>
      </c>
      <c r="P120" s="245">
        <v>0</v>
      </c>
    </row>
    <row r="121" spans="2:18" ht="15" customHeight="1" outlineLevel="1" thickBot="1" x14ac:dyDescent="0.35">
      <c r="B121" s="97"/>
      <c r="C121" s="261" t="s">
        <v>49</v>
      </c>
      <c r="D121" s="287"/>
      <c r="E121" s="201"/>
      <c r="F121" s="72"/>
      <c r="G121" s="201"/>
      <c r="H121" s="201"/>
      <c r="I121" s="201"/>
      <c r="J121" s="201"/>
      <c r="K121" s="246">
        <f>SUM(K117:K120)</f>
        <v>15375</v>
      </c>
      <c r="L121" s="246">
        <f t="shared" ref="L121:P121" si="24">SUM(L117:L120)</f>
        <v>17175</v>
      </c>
      <c r="M121" s="246">
        <f t="shared" si="24"/>
        <v>18775</v>
      </c>
      <c r="N121" s="246">
        <f t="shared" si="24"/>
        <v>19575</v>
      </c>
      <c r="O121" s="246">
        <f t="shared" si="24"/>
        <v>24675</v>
      </c>
      <c r="P121" s="247">
        <f t="shared" si="24"/>
        <v>25296</v>
      </c>
    </row>
    <row r="122" spans="2:18" ht="15" customHeight="1" outlineLevel="1" x14ac:dyDescent="0.3">
      <c r="B122" s="97"/>
      <c r="C122" s="97"/>
      <c r="D122" s="288"/>
      <c r="E122" s="97"/>
      <c r="F122" s="72"/>
      <c r="G122" s="97"/>
      <c r="H122" s="97"/>
      <c r="I122" s="97"/>
      <c r="J122" s="97"/>
      <c r="K122" s="97"/>
      <c r="L122" s="97"/>
      <c r="M122" s="97"/>
      <c r="N122" s="97"/>
      <c r="O122" s="97"/>
      <c r="P122" s="97"/>
    </row>
    <row r="123" spans="2:18" ht="15" customHeight="1" outlineLevel="1" x14ac:dyDescent="0.3">
      <c r="B123" s="97"/>
      <c r="C123" s="97"/>
      <c r="D123" s="288"/>
      <c r="E123" s="97"/>
      <c r="F123" s="97"/>
      <c r="G123" s="97"/>
      <c r="H123" s="97"/>
      <c r="I123" s="97"/>
      <c r="J123" s="97"/>
      <c r="K123" s="24"/>
      <c r="L123" s="24"/>
      <c r="M123" s="24"/>
      <c r="N123" s="24"/>
      <c r="O123" s="24"/>
      <c r="P123" s="24"/>
    </row>
    <row r="124" spans="2:18" s="25" customFormat="1" ht="15" customHeight="1" outlineLevel="1" x14ac:dyDescent="0.3">
      <c r="B124" s="187"/>
      <c r="C124" s="136"/>
      <c r="D124" s="24"/>
      <c r="E124" s="201"/>
      <c r="F124" s="24"/>
      <c r="G124" s="201"/>
      <c r="H124" s="201"/>
      <c r="I124" s="201"/>
      <c r="J124" s="201"/>
      <c r="K124" s="289"/>
      <c r="L124" s="289"/>
      <c r="M124" s="289"/>
      <c r="N124" s="289"/>
      <c r="O124" s="289"/>
      <c r="P124" s="136"/>
    </row>
    <row r="125" spans="2:18" s="25" customFormat="1" ht="15" customHeight="1" outlineLevel="1" x14ac:dyDescent="0.3">
      <c r="B125" s="136"/>
      <c r="C125" s="136"/>
      <c r="D125" s="285" t="s">
        <v>43</v>
      </c>
      <c r="E125" s="97"/>
      <c r="F125" s="97"/>
      <c r="G125" s="97"/>
      <c r="H125" s="201"/>
      <c r="I125" s="201"/>
      <c r="J125" s="201"/>
      <c r="K125" s="285" t="s">
        <v>42</v>
      </c>
      <c r="L125" s="289"/>
      <c r="M125" s="289"/>
      <c r="N125" s="289"/>
      <c r="O125" s="289"/>
      <c r="P125" s="136"/>
    </row>
    <row r="126" spans="2:18" s="25" customFormat="1" ht="15" customHeight="1" outlineLevel="1" x14ac:dyDescent="0.3">
      <c r="B126" s="136"/>
      <c r="C126" s="136"/>
      <c r="D126" s="235" t="s">
        <v>41</v>
      </c>
      <c r="E126" s="258"/>
      <c r="F126" s="258"/>
      <c r="G126" s="167">
        <f>K77</f>
        <v>2023</v>
      </c>
      <c r="H126" s="201"/>
      <c r="I126" s="261" t="s">
        <v>40</v>
      </c>
      <c r="J126" s="201"/>
      <c r="K126" s="248">
        <f>K121</f>
        <v>15375</v>
      </c>
      <c r="L126" s="249">
        <f t="shared" ref="L126:O126" si="25">L121</f>
        <v>17175</v>
      </c>
      <c r="M126" s="249">
        <f t="shared" si="25"/>
        <v>18775</v>
      </c>
      <c r="N126" s="249">
        <f t="shared" si="25"/>
        <v>19575</v>
      </c>
      <c r="O126" s="250">
        <f t="shared" si="25"/>
        <v>24675</v>
      </c>
      <c r="P126" s="72"/>
      <c r="Q126" s="91"/>
    </row>
    <row r="127" spans="2:18" s="25" customFormat="1" ht="15" customHeight="1" outlineLevel="1" x14ac:dyDescent="0.3">
      <c r="B127" s="136"/>
      <c r="C127" s="136"/>
      <c r="D127" s="238" t="s">
        <v>17</v>
      </c>
      <c r="E127" s="136"/>
      <c r="F127" s="136"/>
      <c r="G127" s="290">
        <f>Outputs!G10</f>
        <v>0.02</v>
      </c>
      <c r="H127" s="201"/>
      <c r="I127" s="261" t="s">
        <v>125</v>
      </c>
      <c r="J127" s="201"/>
      <c r="K127" s="291">
        <v>0</v>
      </c>
      <c r="L127" s="292">
        <v>0</v>
      </c>
      <c r="M127" s="292">
        <v>0</v>
      </c>
      <c r="N127" s="292">
        <v>0</v>
      </c>
      <c r="O127" s="227">
        <f>P121/(G128-G127)</f>
        <v>219965.21739130435</v>
      </c>
      <c r="P127" s="72"/>
      <c r="Q127" s="91"/>
    </row>
    <row r="128" spans="2:18" s="25" customFormat="1" ht="15" customHeight="1" outlineLevel="1" x14ac:dyDescent="0.3">
      <c r="B128" s="136"/>
      <c r="C128" s="136"/>
      <c r="D128" s="240" t="s">
        <v>105</v>
      </c>
      <c r="E128" s="293"/>
      <c r="F128" s="293"/>
      <c r="G128" s="294">
        <f>Outputs!G11</f>
        <v>0.13500000000000001</v>
      </c>
      <c r="H128" s="201"/>
      <c r="I128" s="261" t="s">
        <v>39</v>
      </c>
      <c r="J128" s="201"/>
      <c r="K128" s="228">
        <f>SUM(K126:K127)</f>
        <v>15375</v>
      </c>
      <c r="L128" s="229">
        <f>SUM(L126:L127)</f>
        <v>17175</v>
      </c>
      <c r="M128" s="229">
        <f>SUM(M126:M127)</f>
        <v>18775</v>
      </c>
      <c r="N128" s="229">
        <f>SUM(N126:N127)</f>
        <v>19575</v>
      </c>
      <c r="O128" s="230">
        <f>SUM(O126:O127)</f>
        <v>244640.21739130435</v>
      </c>
      <c r="P128" s="72"/>
      <c r="Q128" s="91"/>
    </row>
    <row r="129" spans="2:17" s="25" customFormat="1" ht="15" customHeight="1" outlineLevel="1" x14ac:dyDescent="0.3">
      <c r="B129" s="136"/>
      <c r="C129" s="136"/>
      <c r="D129" s="201"/>
      <c r="E129" s="201"/>
      <c r="F129" s="71"/>
      <c r="G129" s="71"/>
      <c r="H129" s="201"/>
      <c r="I129" s="201"/>
      <c r="J129" s="201"/>
      <c r="K129" s="71"/>
      <c r="L129" s="71"/>
      <c r="M129" s="71"/>
      <c r="N129" s="71"/>
      <c r="O129" s="24"/>
      <c r="P129" s="24"/>
      <c r="Q129" s="91"/>
    </row>
    <row r="130" spans="2:17" s="25" customFormat="1" ht="15" customHeight="1" outlineLevel="1" x14ac:dyDescent="0.3">
      <c r="B130" s="136"/>
      <c r="C130" s="136"/>
      <c r="D130" s="201"/>
      <c r="E130" s="201"/>
      <c r="F130" s="71"/>
      <c r="G130" s="71"/>
      <c r="H130" s="201"/>
      <c r="I130" s="201"/>
      <c r="J130" s="201"/>
      <c r="K130" s="71"/>
      <c r="L130" s="71"/>
      <c r="M130" s="71"/>
      <c r="N130" s="71"/>
      <c r="O130" s="24"/>
      <c r="P130" s="24"/>
      <c r="Q130" s="91"/>
    </row>
    <row r="131" spans="2:17" s="25" customFormat="1" ht="15" customHeight="1" outlineLevel="1" x14ac:dyDescent="0.3">
      <c r="B131" s="136"/>
      <c r="C131" s="136"/>
      <c r="D131" s="201"/>
      <c r="E131" s="201"/>
      <c r="F131" s="71"/>
      <c r="G131" s="71"/>
      <c r="H131" s="201"/>
      <c r="I131" s="201"/>
      <c r="J131" s="201"/>
      <c r="K131" s="71"/>
      <c r="L131" s="71"/>
      <c r="M131" s="71"/>
      <c r="N131" s="71"/>
      <c r="O131" s="24"/>
      <c r="P131" s="24"/>
      <c r="Q131" s="91"/>
    </row>
    <row r="132" spans="2:17" ht="15" customHeight="1" outlineLevel="1" x14ac:dyDescent="0.3">
      <c r="B132" s="97"/>
      <c r="C132" s="97"/>
      <c r="D132" s="285" t="s">
        <v>38</v>
      </c>
      <c r="E132" s="97"/>
      <c r="F132" s="97"/>
      <c r="G132" s="97"/>
      <c r="H132" s="97"/>
      <c r="I132" s="97"/>
      <c r="J132" s="97"/>
      <c r="K132" s="285" t="s">
        <v>20</v>
      </c>
      <c r="L132" s="97"/>
      <c r="M132" s="97"/>
      <c r="N132" s="97"/>
      <c r="O132" s="97"/>
      <c r="P132" s="97"/>
    </row>
    <row r="133" spans="2:17" ht="15" customHeight="1" outlineLevel="1" x14ac:dyDescent="0.3">
      <c r="B133" s="97"/>
      <c r="C133" s="97"/>
      <c r="D133" s="235" t="s">
        <v>37</v>
      </c>
      <c r="E133" s="190"/>
      <c r="F133" s="231">
        <f>NPV(G128,K126:O126)</f>
        <v>64615.113397731584</v>
      </c>
      <c r="G133" s="251">
        <f>F133/$F$135</f>
        <v>0.22705403855065381</v>
      </c>
      <c r="H133" s="97"/>
      <c r="I133" s="97"/>
      <c r="J133" s="97"/>
      <c r="K133" s="235" t="s">
        <v>32</v>
      </c>
      <c r="L133" s="190"/>
      <c r="M133" s="190"/>
      <c r="N133" s="232">
        <f>G142</f>
        <v>263580.33078903594</v>
      </c>
      <c r="O133" s="97"/>
      <c r="P133" s="97"/>
    </row>
    <row r="134" spans="2:17" ht="15" customHeight="1" outlineLevel="1" x14ac:dyDescent="0.3">
      <c r="B134" s="97"/>
      <c r="C134" s="97"/>
      <c r="D134" s="238" t="s">
        <v>36</v>
      </c>
      <c r="E134" s="97"/>
      <c r="F134" s="233">
        <f>NPV(G129,K127:O127)</f>
        <v>219965.21739130435</v>
      </c>
      <c r="G134" s="252">
        <f>F134/$F$135</f>
        <v>0.77294596144934613</v>
      </c>
      <c r="H134" s="97"/>
      <c r="I134" s="97"/>
      <c r="J134" s="97"/>
      <c r="K134" s="238" t="s">
        <v>27</v>
      </c>
      <c r="L134" s="97"/>
      <c r="M134" s="239" t="s">
        <v>26</v>
      </c>
      <c r="N134" s="74">
        <f>Outputs!O10</f>
        <v>34200</v>
      </c>
      <c r="O134" s="97"/>
      <c r="P134" s="97"/>
    </row>
    <row r="135" spans="2:17" ht="15" customHeight="1" outlineLevel="1" x14ac:dyDescent="0.3">
      <c r="B135" s="97"/>
      <c r="C135" s="97"/>
      <c r="D135" s="240" t="s">
        <v>22</v>
      </c>
      <c r="E135" s="191"/>
      <c r="F135" s="233">
        <f>SUM(F133:F134)</f>
        <v>284580.33078903594</v>
      </c>
      <c r="G135" s="252">
        <f>F135/$F$135</f>
        <v>1</v>
      </c>
      <c r="H135" s="97"/>
      <c r="I135" s="97"/>
      <c r="J135" s="97"/>
      <c r="K135" s="240" t="s">
        <v>32</v>
      </c>
      <c r="L135" s="191"/>
      <c r="M135" s="260" t="s">
        <v>33</v>
      </c>
      <c r="N135" s="234">
        <f>N133/N134</f>
        <v>7.7070272160536826</v>
      </c>
      <c r="O135" s="97"/>
      <c r="P135" s="97"/>
    </row>
    <row r="136" spans="2:17" s="25" customFormat="1" ht="15" customHeight="1" outlineLevel="1" x14ac:dyDescent="0.3">
      <c r="B136" s="136"/>
      <c r="C136" s="136"/>
      <c r="D136" s="201"/>
      <c r="E136" s="201"/>
      <c r="F136" s="71"/>
      <c r="G136" s="71"/>
      <c r="H136" s="201"/>
      <c r="I136" s="201"/>
      <c r="J136" s="201"/>
      <c r="K136" s="71"/>
      <c r="L136" s="71"/>
      <c r="M136" s="71"/>
      <c r="N136" s="71"/>
      <c r="O136" s="24"/>
      <c r="P136" s="24"/>
      <c r="Q136" s="91"/>
    </row>
    <row r="137" spans="2:17" s="25" customFormat="1" ht="15" customHeight="1" outlineLevel="1" x14ac:dyDescent="0.3">
      <c r="B137" s="136"/>
      <c r="C137" s="136"/>
      <c r="D137" s="201"/>
      <c r="E137" s="201"/>
      <c r="F137" s="71"/>
      <c r="G137" s="71"/>
      <c r="H137" s="201"/>
      <c r="I137" s="201"/>
      <c r="J137" s="201"/>
      <c r="K137" s="71"/>
      <c r="L137" s="71"/>
      <c r="M137" s="71"/>
      <c r="N137" s="71"/>
      <c r="O137" s="24"/>
      <c r="P137" s="24"/>
      <c r="Q137" s="91"/>
    </row>
    <row r="138" spans="2:17" s="25" customFormat="1" ht="15" customHeight="1" outlineLevel="1" x14ac:dyDescent="0.3">
      <c r="B138" s="136"/>
      <c r="C138" s="136"/>
      <c r="D138" s="201"/>
      <c r="E138" s="201"/>
      <c r="F138" s="71"/>
      <c r="G138" s="71"/>
      <c r="H138" s="201"/>
      <c r="I138" s="201"/>
      <c r="J138" s="201"/>
      <c r="K138" s="71"/>
      <c r="L138" s="71"/>
      <c r="M138" s="71"/>
      <c r="N138" s="71"/>
      <c r="O138" s="24"/>
      <c r="P138" s="24"/>
      <c r="Q138" s="91"/>
    </row>
    <row r="139" spans="2:17" ht="15" customHeight="1" outlineLevel="1" x14ac:dyDescent="0.3">
      <c r="B139" s="97"/>
      <c r="C139" s="97"/>
      <c r="D139" s="285" t="s">
        <v>19</v>
      </c>
      <c r="E139" s="72"/>
      <c r="F139" s="97"/>
      <c r="G139" s="97"/>
      <c r="H139" s="97"/>
      <c r="I139" s="97"/>
      <c r="J139" s="97"/>
      <c r="K139" s="285" t="s">
        <v>35</v>
      </c>
      <c r="L139" s="72"/>
      <c r="M139" s="97"/>
      <c r="N139" s="97"/>
      <c r="O139" s="97"/>
      <c r="P139" s="97"/>
    </row>
    <row r="140" spans="2:17" ht="15" customHeight="1" outlineLevel="1" x14ac:dyDescent="0.3">
      <c r="B140" s="97"/>
      <c r="C140" s="97"/>
      <c r="D140" s="235" t="s">
        <v>22</v>
      </c>
      <c r="E140" s="190"/>
      <c r="F140" s="190"/>
      <c r="G140" s="232">
        <f>F135</f>
        <v>284580.33078903594</v>
      </c>
      <c r="H140" s="97"/>
      <c r="I140" s="97"/>
      <c r="J140" s="97"/>
      <c r="K140" s="235" t="s">
        <v>32</v>
      </c>
      <c r="L140" s="190"/>
      <c r="M140" s="236" t="s">
        <v>33</v>
      </c>
      <c r="N140" s="237">
        <f>N135</f>
        <v>7.7070272160536826</v>
      </c>
      <c r="O140" s="97"/>
      <c r="P140" s="97"/>
    </row>
    <row r="141" spans="2:17" ht="15" customHeight="1" outlineLevel="1" x14ac:dyDescent="0.3">
      <c r="B141" s="97"/>
      <c r="C141" s="97"/>
      <c r="D141" s="238" t="s">
        <v>34</v>
      </c>
      <c r="E141" s="97"/>
      <c r="F141" s="97"/>
      <c r="G141" s="74">
        <f>-(J92+J91-J82)</f>
        <v>-21000</v>
      </c>
      <c r="H141" s="97"/>
      <c r="I141" s="97"/>
      <c r="J141" s="97"/>
      <c r="K141" s="238" t="s">
        <v>24</v>
      </c>
      <c r="L141" s="97"/>
      <c r="M141" s="239" t="s">
        <v>33</v>
      </c>
      <c r="N141" s="234">
        <f>Outputs!O11</f>
        <v>2.71</v>
      </c>
      <c r="O141" s="97"/>
      <c r="P141" s="97"/>
    </row>
    <row r="142" spans="2:17" ht="15" customHeight="1" outlineLevel="1" x14ac:dyDescent="0.3">
      <c r="B142" s="97"/>
      <c r="C142" s="97"/>
      <c r="D142" s="240" t="s">
        <v>32</v>
      </c>
      <c r="E142" s="191"/>
      <c r="F142" s="191"/>
      <c r="G142" s="74">
        <f>SUM(G140:G141)</f>
        <v>263580.33078903594</v>
      </c>
      <c r="H142" s="97"/>
      <c r="I142" s="97"/>
      <c r="J142" s="97"/>
      <c r="K142" s="240" t="s">
        <v>31</v>
      </c>
      <c r="L142" s="191"/>
      <c r="M142" s="191"/>
      <c r="N142" s="241">
        <f>N140/N141-1</f>
        <v>1.8439214819386285</v>
      </c>
      <c r="O142" s="97"/>
      <c r="P142" s="97"/>
    </row>
    <row r="143" spans="2:17" ht="15" customHeight="1" outlineLevel="1" x14ac:dyDescent="0.3">
      <c r="B143" s="97"/>
      <c r="C143" s="72"/>
      <c r="D143" s="97"/>
      <c r="E143" s="97"/>
      <c r="F143" s="97"/>
      <c r="G143" s="97"/>
      <c r="H143" s="97"/>
      <c r="I143" s="97"/>
      <c r="J143" s="97"/>
      <c r="K143" s="97"/>
      <c r="L143" s="71"/>
      <c r="M143" s="71"/>
      <c r="N143" s="71"/>
      <c r="O143" s="24"/>
      <c r="P143" s="97"/>
    </row>
    <row r="144" spans="2:17" ht="15" customHeight="1" outlineLevel="1" x14ac:dyDescent="0.3">
      <c r="B144" s="97"/>
      <c r="C144" s="72"/>
      <c r="D144" s="97"/>
      <c r="E144" s="97"/>
      <c r="F144" s="97"/>
      <c r="G144" s="97"/>
      <c r="H144" s="97"/>
      <c r="I144" s="97"/>
      <c r="J144" s="97"/>
      <c r="K144" s="97"/>
      <c r="L144" s="71"/>
      <c r="M144" s="71"/>
      <c r="N144" s="71"/>
      <c r="O144" s="24"/>
      <c r="P144" s="97"/>
    </row>
    <row r="145" spans="2:18" ht="15" customHeight="1" outlineLevel="1" x14ac:dyDescent="0.3">
      <c r="B145" s="97"/>
      <c r="C145" s="72"/>
      <c r="D145" s="97"/>
      <c r="E145" s="97"/>
      <c r="F145" s="97"/>
      <c r="G145" s="97"/>
      <c r="H145" s="97"/>
      <c r="I145" s="97"/>
      <c r="J145" s="97"/>
      <c r="K145" s="97"/>
      <c r="L145" s="71"/>
      <c r="M145" s="71"/>
      <c r="N145" s="262" t="s">
        <v>113</v>
      </c>
      <c r="O145" s="24"/>
      <c r="P145" s="97"/>
    </row>
    <row r="146" spans="2:18" ht="15" customHeight="1" outlineLevel="1" x14ac:dyDescent="0.3">
      <c r="B146" s="97"/>
      <c r="C146" s="72"/>
      <c r="D146" s="97"/>
      <c r="E146" s="97"/>
      <c r="F146" s="97"/>
      <c r="G146" s="97"/>
      <c r="H146" s="97"/>
      <c r="I146" s="97"/>
      <c r="J146" s="97"/>
      <c r="K146" s="97"/>
      <c r="L146" s="71"/>
      <c r="M146" s="71"/>
      <c r="N146" s="263" t="s">
        <v>118</v>
      </c>
      <c r="O146" s="24"/>
      <c r="P146" s="97"/>
    </row>
    <row r="147" spans="2:18" customFormat="1" ht="15" customHeight="1" outlineLevel="1" x14ac:dyDescent="0.3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95" t="s">
        <v>104</v>
      </c>
      <c r="O147" s="24"/>
      <c r="P147" s="97"/>
      <c r="Q147" s="16"/>
    </row>
    <row r="148" spans="2:18" customFormat="1" ht="15" customHeight="1" outlineLevel="1" x14ac:dyDescent="0.3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96" t="s">
        <v>30</v>
      </c>
      <c r="O148" s="97"/>
      <c r="P148" s="97"/>
      <c r="Q148" s="16"/>
    </row>
    <row r="149" spans="2:18" customFormat="1" ht="15" customHeight="1" outlineLevel="1" x14ac:dyDescent="0.3"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16"/>
      <c r="Q149" s="16"/>
    </row>
    <row r="150" spans="2:18" s="17" customFormat="1" ht="15" customHeight="1" outlineLevel="1" x14ac:dyDescent="0.3">
      <c r="B150" s="23"/>
      <c r="C150" s="22"/>
      <c r="D150" s="21"/>
      <c r="E150" s="20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8"/>
    </row>
    <row r="151" spans="2:18" customFormat="1" ht="15" customHeight="1" x14ac:dyDescent="0.3"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16"/>
      <c r="Q151" s="16"/>
      <c r="R151" t="s">
        <v>0</v>
      </c>
    </row>
  </sheetData>
  <conditionalFormatting sqref="J106:O106">
    <cfRule type="expression" dxfId="0" priority="1">
      <formula>J106&lt;&gt;0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95" orientation="landscape" r:id="rId1"/>
  <headerFooter alignWithMargins="0">
    <oddFooter>&amp;L&amp;"Open Sans,Bold"&amp;10&amp;K002060Compact Valuation Model&amp;C&amp;"Open Sans,Bold"&amp;10&amp;K002060Page &amp;P of &amp;N&amp;R&amp;G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0260-FE0D-49C8-B42F-9C6D7A03945E}">
  <dimension ref="B2:E6"/>
  <sheetViews>
    <sheetView showGridLines="0" workbookViewId="0">
      <selection activeCell="B2" sqref="B2:E6"/>
    </sheetView>
  </sheetViews>
  <sheetFormatPr defaultRowHeight="15" x14ac:dyDescent="0.25"/>
  <sheetData>
    <row r="2" spans="2:5" x14ac:dyDescent="0.25">
      <c r="B2" s="270" t="s">
        <v>120</v>
      </c>
      <c r="C2" s="268">
        <v>2023</v>
      </c>
      <c r="D2" s="268">
        <f>C2+1</f>
        <v>2024</v>
      </c>
      <c r="E2" s="268">
        <f>D2+1</f>
        <v>2025</v>
      </c>
    </row>
    <row r="3" spans="2:5" x14ac:dyDescent="0.25">
      <c r="B3" s="24"/>
      <c r="C3" s="24"/>
      <c r="D3" s="24"/>
      <c r="E3" s="24"/>
    </row>
    <row r="4" spans="2:5" x14ac:dyDescent="0.25">
      <c r="B4" s="145" t="s">
        <v>98</v>
      </c>
      <c r="C4" s="144">
        <v>60000</v>
      </c>
      <c r="D4" s="144">
        <v>62000</v>
      </c>
      <c r="E4" s="144">
        <v>63500</v>
      </c>
    </row>
    <row r="5" spans="2:5" x14ac:dyDescent="0.25">
      <c r="B5" s="145" t="s">
        <v>97</v>
      </c>
      <c r="C5" s="144">
        <v>30500</v>
      </c>
      <c r="D5" s="144">
        <v>31250</v>
      </c>
      <c r="E5" s="144">
        <v>32500</v>
      </c>
    </row>
    <row r="6" spans="2:5" x14ac:dyDescent="0.25">
      <c r="B6" s="145" t="s">
        <v>95</v>
      </c>
      <c r="C6" s="144">
        <v>6250</v>
      </c>
      <c r="D6" s="144">
        <v>6850</v>
      </c>
      <c r="E6" s="144">
        <v>7000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70F9-A7D7-4A34-A0EE-55EFC6990F4E}">
  <dimension ref="B2:F11"/>
  <sheetViews>
    <sheetView showGridLines="0" workbookViewId="0"/>
  </sheetViews>
  <sheetFormatPr defaultRowHeight="15" x14ac:dyDescent="0.25"/>
  <sheetData>
    <row r="2" spans="2:6" x14ac:dyDescent="0.25">
      <c r="B2" s="270" t="s">
        <v>99</v>
      </c>
      <c r="C2" s="24"/>
      <c r="D2" s="268">
        <v>2023</v>
      </c>
      <c r="E2" s="268">
        <f>D2+1</f>
        <v>2024</v>
      </c>
      <c r="F2" s="268">
        <f>E2+1</f>
        <v>2025</v>
      </c>
    </row>
    <row r="3" spans="2:6" x14ac:dyDescent="0.25">
      <c r="B3" s="24"/>
      <c r="C3" s="24"/>
      <c r="D3" s="24"/>
      <c r="E3" s="24"/>
      <c r="F3" s="24"/>
    </row>
    <row r="4" spans="2:6" ht="18.75" x14ac:dyDescent="0.25">
      <c r="B4" s="145" t="s">
        <v>98</v>
      </c>
      <c r="C4" s="211"/>
      <c r="D4" s="144">
        <v>58000</v>
      </c>
      <c r="E4" s="144">
        <v>61500</v>
      </c>
      <c r="F4" s="144">
        <v>64500</v>
      </c>
    </row>
    <row r="5" spans="2:6" ht="18.75" x14ac:dyDescent="0.25">
      <c r="B5" s="145" t="s">
        <v>97</v>
      </c>
      <c r="C5" s="211"/>
      <c r="D5" s="269">
        <v>-30000</v>
      </c>
      <c r="E5" s="269">
        <v>-31000</v>
      </c>
      <c r="F5" s="269">
        <v>-32000</v>
      </c>
    </row>
    <row r="6" spans="2:6" x14ac:dyDescent="0.25">
      <c r="B6" s="142" t="s">
        <v>96</v>
      </c>
      <c r="C6" s="212"/>
      <c r="D6" s="147">
        <f>SUM(D4:D5)</f>
        <v>28000</v>
      </c>
      <c r="E6" s="147">
        <f t="shared" ref="E6:F6" si="0">SUM(E4:E5)</f>
        <v>30500</v>
      </c>
      <c r="F6" s="147">
        <f t="shared" si="0"/>
        <v>32500</v>
      </c>
    </row>
    <row r="7" spans="2:6" ht="16.5" x14ac:dyDescent="0.25">
      <c r="B7" s="213"/>
      <c r="C7" s="214"/>
      <c r="D7" s="186"/>
      <c r="E7" s="186"/>
      <c r="F7" s="186"/>
    </row>
    <row r="8" spans="2:6" x14ac:dyDescent="0.25">
      <c r="B8" s="145"/>
      <c r="C8" s="202"/>
      <c r="D8" s="186"/>
      <c r="E8" s="186"/>
      <c r="F8" s="186"/>
    </row>
    <row r="9" spans="2:6" ht="18.75" x14ac:dyDescent="0.25">
      <c r="B9" s="145" t="s">
        <v>95</v>
      </c>
      <c r="C9" s="215"/>
      <c r="D9" s="144">
        <v>-6000</v>
      </c>
      <c r="E9" s="144">
        <v>-6600</v>
      </c>
      <c r="F9" s="144">
        <v>-7300</v>
      </c>
    </row>
    <row r="10" spans="2:6" ht="18.75" x14ac:dyDescent="0.25">
      <c r="B10" s="145" t="s">
        <v>94</v>
      </c>
      <c r="C10" s="215"/>
      <c r="D10" s="269">
        <v>-2000</v>
      </c>
      <c r="E10" s="269">
        <v>-2000</v>
      </c>
      <c r="F10" s="269">
        <v>-2000</v>
      </c>
    </row>
    <row r="11" spans="2:6" x14ac:dyDescent="0.25">
      <c r="B11" s="142" t="s">
        <v>50</v>
      </c>
      <c r="C11" s="212"/>
      <c r="D11" s="147">
        <f>D6+SUM(D9:D10)</f>
        <v>20000</v>
      </c>
      <c r="E11" s="147">
        <f t="shared" ref="E11:F11" si="1">E6+SUM(E9:E10)</f>
        <v>21900</v>
      </c>
      <c r="F11" s="147">
        <f t="shared" si="1"/>
        <v>23200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Cover</vt:lpstr>
      <vt:lpstr>Outputs</vt:lpstr>
      <vt:lpstr>Inputs</vt:lpstr>
      <vt:lpstr>Model</vt:lpstr>
      <vt:lpstr>Hidden</vt:lpstr>
      <vt:lpstr>Cover!Print_Area</vt:lpstr>
      <vt:lpstr>Inputs!Print_Area</vt:lpstr>
      <vt:lpstr>Model!Print_Area</vt:lpstr>
      <vt:lpstr>Outputs!Print_Area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Duncan McKeen</cp:lastModifiedBy>
  <cp:revision/>
  <cp:lastPrinted>1899-12-29T11:00:00Z</cp:lastPrinted>
  <dcterms:created xsi:type="dcterms:W3CDTF">1899-12-29T11:00:00Z</dcterms:created>
  <dcterms:modified xsi:type="dcterms:W3CDTF">2023-04-26T23:00:57Z</dcterms:modified>
  <cp:category/>
  <cp:contentStatus/>
  <dc:language/>
  <cp:version/>
</cp:coreProperties>
</file>