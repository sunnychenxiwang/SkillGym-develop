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https://usepa-my.sharepoint.com/personal/wilkins_amina_epa_gov/Documents/Authored Entered Data Abstraction 2/"/>
    </mc:Choice>
  </mc:AlternateContent>
  <xr:revisionPtr revIDLastSave="0" documentId="8_{F6A27AB0-0ABB-43F5-8595-1717F3D3F9CA}" xr6:coauthVersionLast="45" xr6:coauthVersionMax="45" xr10:uidLastSave="{00000000-0000-0000-0000-000000000000}"/>
  <bookViews>
    <workbookView xWindow="768" yWindow="768" windowWidth="15048" windowHeight="11232" firstSheet="6" activeTab="8" xr2:uid="{B7D947DA-DF8C-4097-9354-7B0DFA6D3334}"/>
  </bookViews>
  <sheets>
    <sheet name="ReadMe" sheetId="1" r:id="rId1"/>
    <sheet name="1) Interactive HAWC Visuals" sheetId="18" r:id="rId2"/>
    <sheet name="2) Survey 1" sheetId="20" r:id="rId3"/>
    <sheet name="3) Survey 2" sheetId="21" r:id="rId4"/>
    <sheet name="4) Table 2 Data" sheetId="11" r:id="rId5"/>
    <sheet name="5) Table 3 Data" sheetId="13" r:id="rId6"/>
    <sheet name="6) Table 4 Data" sheetId="14" r:id="rId7"/>
    <sheet name="7) Table 5 Data" sheetId="16" r:id="rId8"/>
    <sheet name="8) Table 6 Data" sheetId="15" r:id="rId9"/>
    <sheet name="9) Repeated Extraction" sheetId="10" r:id="rId10"/>
    <sheet name="10) Problematic &amp; Easy Fields" sheetId="8" r:id="rId11"/>
  </sheets>
  <definedNames>
    <definedName name="_ftn1" localSheetId="8">'8) Table 6 Data'!$A$4</definedName>
    <definedName name="_ftnref1" localSheetId="8">'8) Table 6 Data'!#REF!</definedName>
    <definedName name="_Ref21956830" localSheetId="4">'4) Table 2 Data'!$A$1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53" i="14" l="1"/>
  <c r="E54" i="14" s="1"/>
  <c r="E52" i="14"/>
  <c r="E51" i="14"/>
  <c r="C17" i="14" l="1"/>
  <c r="C22" i="14" s="1"/>
  <c r="D17" i="14"/>
  <c r="D22" i="14" s="1"/>
  <c r="E17" i="14"/>
  <c r="E22" i="14" s="1"/>
  <c r="F17" i="14"/>
  <c r="F22" i="14" s="1"/>
  <c r="B17" i="14"/>
  <c r="B22" i="14" s="1"/>
  <c r="C16" i="14"/>
  <c r="C21" i="14" s="1"/>
  <c r="D16" i="14"/>
  <c r="D21" i="14" s="1"/>
  <c r="E16" i="14"/>
  <c r="E21" i="14" s="1"/>
  <c r="F16" i="14"/>
  <c r="F21" i="14" s="1"/>
  <c r="B16" i="14"/>
  <c r="B21" i="14" s="1"/>
  <c r="C15" i="14"/>
  <c r="C20" i="14" s="1"/>
  <c r="D15" i="14"/>
  <c r="D20" i="14" s="1"/>
  <c r="E15" i="14"/>
  <c r="E20" i="14" s="1"/>
  <c r="F15" i="14"/>
  <c r="F20" i="14" s="1"/>
  <c r="B15" i="14"/>
  <c r="B20" i="14" s="1"/>
  <c r="C14" i="14"/>
  <c r="C19" i="14" s="1"/>
  <c r="D14" i="14"/>
  <c r="D19" i="14" s="1"/>
  <c r="E14" i="14"/>
  <c r="E19" i="14" s="1"/>
  <c r="F14" i="14"/>
  <c r="F19" i="14" s="1"/>
  <c r="B14" i="14"/>
  <c r="B19" i="14" s="1"/>
  <c r="C12" i="14"/>
  <c r="D12" i="14"/>
  <c r="E12" i="14"/>
  <c r="F12" i="14"/>
  <c r="B12" i="14"/>
  <c r="C22" i="8" l="1"/>
  <c r="C23" i="8"/>
  <c r="C24" i="8"/>
  <c r="C25" i="8"/>
  <c r="C10" i="15"/>
  <c r="C11" i="15"/>
  <c r="C12" i="15"/>
  <c r="C13" i="15"/>
  <c r="C14" i="15"/>
  <c r="F10" i="15"/>
  <c r="G10" i="15"/>
  <c r="F11" i="15"/>
  <c r="G11" i="15"/>
  <c r="F12" i="15"/>
  <c r="G12" i="15"/>
  <c r="F13" i="15"/>
  <c r="G13" i="15"/>
  <c r="F14" i="15"/>
  <c r="G14" i="15"/>
  <c r="E14" i="15"/>
  <c r="E13" i="15"/>
  <c r="E11" i="15"/>
  <c r="E10" i="15"/>
  <c r="E12" i="15"/>
  <c r="B14" i="15"/>
  <c r="B13" i="15"/>
  <c r="B12" i="15"/>
  <c r="B11" i="15"/>
  <c r="B10" i="15"/>
  <c r="F13" i="13"/>
  <c r="F14" i="13" s="1"/>
  <c r="E13" i="13"/>
  <c r="E14" i="13" s="1"/>
  <c r="C13" i="13"/>
  <c r="J13" i="13" s="1"/>
  <c r="J12" i="13"/>
  <c r="B12" i="13"/>
  <c r="I12" i="13" s="1"/>
  <c r="M11" i="13"/>
  <c r="L11" i="13"/>
  <c r="K11" i="13"/>
  <c r="J11" i="13"/>
  <c r="I11" i="13"/>
  <c r="M10" i="13"/>
  <c r="L10" i="13"/>
  <c r="J10" i="13"/>
  <c r="D10" i="13"/>
  <c r="K10" i="13" s="1"/>
  <c r="B10" i="13"/>
  <c r="I10" i="13" s="1"/>
  <c r="M9" i="13"/>
  <c r="L9" i="13"/>
  <c r="K9" i="13"/>
  <c r="J9" i="13"/>
  <c r="I9" i="13"/>
  <c r="M8" i="13"/>
  <c r="L8" i="13"/>
  <c r="K8" i="13"/>
  <c r="J8" i="13"/>
  <c r="I8" i="13"/>
  <c r="M7" i="13"/>
  <c r="L7" i="13"/>
  <c r="K7" i="13"/>
  <c r="J7" i="13"/>
  <c r="I7" i="13"/>
  <c r="M6" i="13"/>
  <c r="L6" i="13"/>
  <c r="K6" i="13"/>
  <c r="J6" i="13"/>
  <c r="I6" i="13"/>
  <c r="M5" i="13"/>
  <c r="L5" i="13"/>
  <c r="K5" i="13"/>
  <c r="J5" i="13"/>
  <c r="I5" i="13"/>
  <c r="R6" i="10"/>
  <c r="S6" i="10"/>
  <c r="T6" i="10"/>
  <c r="U6" i="10"/>
  <c r="V6" i="10"/>
  <c r="U7" i="10"/>
  <c r="V7" i="10"/>
  <c r="T7" i="10"/>
  <c r="S7" i="10"/>
  <c r="R7" i="10"/>
  <c r="C15" i="15" l="1"/>
  <c r="E15" i="15"/>
  <c r="F15" i="15"/>
  <c r="B15" i="15"/>
  <c r="G15" i="15"/>
  <c r="B13" i="13"/>
  <c r="I13" i="13" s="1"/>
  <c r="L13" i="13"/>
  <c r="M13" i="13"/>
  <c r="D13" i="13"/>
  <c r="C14" i="13"/>
  <c r="B14" i="13" l="1"/>
  <c r="D14" i="13"/>
  <c r="K13" i="13"/>
</calcChain>
</file>

<file path=xl/sharedStrings.xml><?xml version="1.0" encoding="utf-8"?>
<sst xmlns="http://schemas.openxmlformats.org/spreadsheetml/2006/main" count="363" uniqueCount="233">
  <si>
    <t>Technical assistance</t>
  </si>
  <si>
    <t>Please use the scale below to describe your experience [Entering my study data]</t>
  </si>
  <si>
    <t>Which fields of data extraction did you find problematic?</t>
  </si>
  <si>
    <t>Which data field(s) did you find easy to extract?</t>
  </si>
  <si>
    <t>Please use the scale below to rate your agreement with the statement. [Completing the reporting quality checklist is likely to impact the way I conduct and report future research.]</t>
  </si>
  <si>
    <t>Please use the scale below to rate your agreement with the statement. [Completing the study quality (internal validity) assessment tool is likely to impact the way I conduct and report future research.]</t>
  </si>
  <si>
    <t>Please use the scale below to rate your agreement with the statement. [I feel comfortable with applying the quality checklist and study quality tool to other research I'm involved with.]</t>
  </si>
  <si>
    <t>What fields (if any) are you likely to change about the way you conduct or report future research based on your experience with the reporting checklist used during this pilot?</t>
  </si>
  <si>
    <t>What fields (if any) are you likely to change about the way you conduct or report research in the future based on your experience with the study quality (internal validity) assessment tool used during this pilot?</t>
  </si>
  <si>
    <t>Please use the scale below to describe your experience [Performing study quality evaluation on my data]</t>
  </si>
  <si>
    <t>Please use the scale below to describe your experience [Performing a study quality evaluation on my study]</t>
  </si>
  <si>
    <t>Please enter the amount of time you spent on the following tasks</t>
  </si>
  <si>
    <t>Orientation [Becoming acquainted with the HAWC software, watching tutorial videos, etc.]</t>
  </si>
  <si>
    <t xml:space="preserve">Data Extraction [Extracting data from your study into HAWC.] </t>
  </si>
  <si>
    <t>Technical Support [Getting help with tool navigation, and rating study and reporting quality, etc. that was not clear from previous instructions.]</t>
  </si>
  <si>
    <t>Study Evaluation [Determining the risk of bias and evaluating study quality. ]</t>
  </si>
  <si>
    <t xml:space="preserve">Reporting Quality [Rating how well results were reported and recorded within the study documentation. ] </t>
  </si>
  <si>
    <t xml:space="preserve">Orientation </t>
  </si>
  <si>
    <t>Please use the scale below to describe your experience [Row 3]</t>
  </si>
  <si>
    <t>Please use the scale below to describe your experience [Doing study quality evaluation]</t>
  </si>
  <si>
    <t>Neutral</t>
  </si>
  <si>
    <t>Somewhat Agree</t>
  </si>
  <si>
    <t>Difficult</t>
  </si>
  <si>
    <t>Strongly Agree</t>
  </si>
  <si>
    <t>Relatively Easy</t>
  </si>
  <si>
    <t>Relatively Difficult</t>
  </si>
  <si>
    <t>The behavior data was difficult to enter because there were so many different types of endpoints for each task.  Also, it was not possible to enter data by sex.</t>
  </si>
  <si>
    <t>dose</t>
  </si>
  <si>
    <t>Ensuring that my published methods contain all of the elements on the checklist to minimize risk of bias and maximize study quality.</t>
  </si>
  <si>
    <t>Being specific about how data is blinded and randomized (instead of just stating that it was done).</t>
  </si>
  <si>
    <t>Easy</t>
  </si>
  <si>
    <t>outcome</t>
  </si>
  <si>
    <t>dosing</t>
  </si>
  <si>
    <t>N/A</t>
  </si>
  <si>
    <t xml:space="preserve">Dosing regimen. It wasn't clear how the number of doses can be adjusted. Maybe this is done as part of the study set up? I'm unsure. </t>
  </si>
  <si>
    <t xml:space="preserve">Entering the data was very easy and setting up the animal information was straightforward. </t>
  </si>
  <si>
    <t xml:space="preserve">Will think about making endpoint information as clear as possible. </t>
  </si>
  <si>
    <t>Will provide more details about randomization of animals when publishing or reporting data.</t>
  </si>
  <si>
    <t>outcomes</t>
  </si>
  <si>
    <t>animal husbandry</t>
  </si>
  <si>
    <t>The chemical and animal assurance. More information on how the animals were assigned to a group/how bias was prevented.</t>
  </si>
  <si>
    <t>Endpoint details: system, organ, effect, sub-type (unsure if I got these right), frank effect (unsure what this means)</t>
  </si>
  <si>
    <t>Experiment type, animal groups, animal husbandry, dosing regimen, endpoint data</t>
  </si>
  <si>
    <t>I am likely to provide more information about chemical purity validation, animals, husbandry practices, and to provide data in a format that can be extracted.</t>
  </si>
  <si>
    <t>I am likely to provide more detail about randomization and blinding during analysis</t>
  </si>
  <si>
    <t>Entering in the raw/dose response data was challenging.</t>
  </si>
  <si>
    <t>All information regarding experimental design and protocols.</t>
  </si>
  <si>
    <t>I will be sure to report all blinding/random selection methodologies in future publications to increase transparency.</t>
  </si>
  <si>
    <t>I will be sure to thoroughly elaborate on all control groups used in experiments, and why those controls were chosen.</t>
  </si>
  <si>
    <t>dosing and animal husbandry</t>
  </si>
  <si>
    <t>Strongly Disagree</t>
  </si>
  <si>
    <t>entering the outcome and navigating the interface (e.g editing and corrections)</t>
  </si>
  <si>
    <t xml:space="preserve">Correcting errors and performing edits to the report could be made easier and straightforward. </t>
  </si>
  <si>
    <t xml:space="preserve">Reproductive Endpoint entry </t>
  </si>
  <si>
    <t>Dosing regimen, animal husbandry, health outcomes, overall endpoints, exposure duration</t>
  </si>
  <si>
    <t>Be mindful about title/abstract labels, methods details about chemical purity and origins, animal husbandry details, exposure duration/type/time period, outcomes discussed in the methods are also reflected in the results/discussion or at least summarized in a table</t>
  </si>
  <si>
    <t>For biases become more mindful of blinding and random sample assignments, reporting, confounding/variable controls, reporting biases that may occur, exposure methods sensitivity details</t>
  </si>
  <si>
    <t>Time Est.</t>
  </si>
  <si>
    <t>Team member responding</t>
  </si>
  <si>
    <t>Participant writes: Please send instructions for what you want me to do.</t>
  </si>
  <si>
    <t>Participant Request</t>
  </si>
  <si>
    <t>Response Category</t>
  </si>
  <si>
    <t>Additional Notes</t>
  </si>
  <si>
    <t>Description of response</t>
  </si>
  <si>
    <t>Getting started</t>
  </si>
  <si>
    <t>Team member noted that participant had not yet set up a HAWC account and sent a link</t>
  </si>
  <si>
    <t>Wilkins</t>
  </si>
  <si>
    <t>Study/Data Selection</t>
  </si>
  <si>
    <t>Provided criteria for data and approved participant's selection</t>
  </si>
  <si>
    <t>Which study and data should be extracted? What are the criteria?</t>
  </si>
  <si>
    <t>Team members decided it didn't impact this exercise and to continue as planned</t>
  </si>
  <si>
    <t>In need of paper to extract</t>
  </si>
  <si>
    <t>Team member identified a study and data after hearing participants interest during the study hall; provided a link to the study</t>
  </si>
  <si>
    <t xml:space="preserve">Can use the same paper but extract different end points.  </t>
  </si>
  <si>
    <t>Let me know how to get started</t>
  </si>
  <si>
    <t>Extraction assistance</t>
  </si>
  <si>
    <t>Let me know if my extractions need revising</t>
  </si>
  <si>
    <t>Team member checked the data extracted; the experiment, animal group and dosing regime were set up correctly; endpoints were not yet extracted.  Team member noted the actions necessary to enter the endpoints.</t>
  </si>
  <si>
    <t xml:space="preserve">Participant was not clear on which page to enter the study evaluation to enter judgements. </t>
  </si>
  <si>
    <t>Team member provided screen shots to help guide participant to the study evaluation page to enter judgements.</t>
  </si>
  <si>
    <t>Extraction not working</t>
  </si>
  <si>
    <t xml:space="preserve">Can not download timesheet; also, not sure whether she was supposed to use the data that Michele extracted - she received an error message each time she clicked on it, was not able to access it. She used data from the article instead.  </t>
  </si>
  <si>
    <t>Other</t>
  </si>
  <si>
    <t xml:space="preserve">Participant used data from the article to extract so that issue was addressed.  She also provided her time estimates in an email.  </t>
  </si>
  <si>
    <t>Please send instructions again.</t>
  </si>
  <si>
    <t xml:space="preserve">Team member provided a link to HAWC so participant could create an account; and later up loaded study and filled in front matter; sent instructions for accessing 'View Assignments'.  </t>
  </si>
  <si>
    <t>Can't perform study evaluation because she is not listed as reviewer; asked if body weight or liver weight data should be extracted as a measure for fat accumulation.</t>
  </si>
  <si>
    <t xml:space="preserve">Team member assigned participant as a reviewer within HAWC and suggested extracting the body weight endpoint. </t>
  </si>
  <si>
    <t>Stuck after creating HAWC account; videos don't show how to upload data or get the screen where a new endpoint can be created.</t>
  </si>
  <si>
    <t>Team member responded by saying the necessary information will be preloaded; so all you have to do is enter the endpoint.</t>
  </si>
  <si>
    <t>I need access to the assessment</t>
  </si>
  <si>
    <t>Team member noted that participant created the assessment under the NTP HAWC so it was moved to the EPA HAWC.  A link to the EPA HAWC was sent to participant</t>
  </si>
  <si>
    <t>We will have to modify the videos</t>
  </si>
  <si>
    <t>What data were uploaded and what data should I extract?</t>
  </si>
  <si>
    <t>Team member provided details on the experimental groups and generations and discussed entering stats.</t>
  </si>
  <si>
    <t>I can't log in any more</t>
  </si>
  <si>
    <t>Team member - I will look into this (could be our network, also noted participant has 2 different email addresses for user names; followed-up with phone call to address the issue [Amina is assuming this because there are no further emails.]</t>
  </si>
  <si>
    <t>In need of paper to extract: should it be from my lab or external?</t>
  </si>
  <si>
    <t>Team member responded a publication from your lab is preferred but not required.</t>
  </si>
  <si>
    <t>I have set up a HAWC account - now what?</t>
  </si>
  <si>
    <t>Team member noted an alternative way to navigate to the data extraction page and emailed the study evaluation example answers document that could not be accessed.</t>
  </si>
  <si>
    <t>Team member used this information to front load and set up the project in HAWC.</t>
  </si>
  <si>
    <t>Participant offered clarification on the group of interest for extraction (adult population)</t>
  </si>
  <si>
    <t xml:space="preserve">this is time in excess of what is noted below </t>
  </si>
  <si>
    <t>Team member  provided links and instructions to access study evaluation and data extraction sections.</t>
  </si>
  <si>
    <t xml:space="preserve">Can't access the data extraction link (forbidden access error); clicked on link to enter study evaluation and there were no examples of answers to study evaluation domains four animal studies on that page (or at least could not find any). </t>
  </si>
  <si>
    <t xml:space="preserve">In an email, participant detailed issues regarding the extraction: 'impossible for an investigator to enter complex behavioral data', 'data has multiple end-points over multiple time points and HAWC doesn't allow for that; some of the fields are not clear (i.e. observation time, etc.).  A team member spoke directly to participant to discuss.  </t>
  </si>
  <si>
    <t>I finished the extraction the best I could.  I don't know if it will ultimately be very helpful going forward because the format was too constraining and couldn't capture the totality of the information.  Ultimately there was not much to "extract." After wrestling with it a few different ways, I've concluded that it would be impossible for an investigator to enter complex behavior data in the format provided.  It's too constraining and there are just too many variables that can't be entered.  For example, I'm using open field data, which has multiple endpoints collected over multiple time points. HAWC won't allow for that.  So that limited what I could do.  I elected to list total time in the open area.  That's only one endpoint, but there are dozens in that task (and most behavior tasks).  It also will only allow one sex (which is fine for the purposes of this exercise, but only captures a part of the data).  It's also not clear what some things mean (like "observation time" or the difference between "data reported" and "data extracted").  I'm sure we'll discuss this in our future phone calls but for something like this to work you'd likely need a worksheet for each commonly used behavior task with each of the commonly identified endpoints included or something like that to capture behavior data.  I made two attempts at it doing slightly different things but I think only the second one actually saved. </t>
  </si>
  <si>
    <t>Team member provided instructions for creating a HAWC account and set up a kick-off meeting; also,  provided information to accessing HAWC and the  RoB/study evaluation and extraction sections and noted available video; further noting this was for future reference (I will go over the information with her)</t>
  </si>
  <si>
    <t>Link provided so participant could access document; participant was directed on how to use the blue action buttons to view assignments and then click edit; Team member created two experimental groups for developmental study; participant told "you do not need to do anything with the female (dams) group.  This has confusion for others, so I wanted to be sure to explain that", "we are only asking to extract one endpoint for one sex..."</t>
  </si>
  <si>
    <t>Participant writes: "Not sure if I was supposed to use the data that Michele extracted form the article for this exercise, but I was not able to access it - every time I clicked on the link to the data extraction, I received an error message that I did not have access to that site.  So I pulled up the article and supplemental file and worked off of that";  "I cannot download the reporting quality worksheet from the share site - a file is downloaded but will not open on my machine"</t>
  </si>
  <si>
    <t xml:space="preserve">Exchanged emails to learn participant's interests; team member suggested study and data; participant offered to find a study on her own and found 2 but one had time-series data and the other required use of a digital ruler to interpret/glean the data; team member identified Kristensen and proposed data to extract; participant agreed on that study and data. </t>
  </si>
  <si>
    <t xml:space="preserve">Team member uploaded the document, front loaded sections and provided instructions to access the 'view assignments' section. </t>
  </si>
  <si>
    <t>Response</t>
  </si>
  <si>
    <t>Average (hrs)</t>
  </si>
  <si>
    <t>Average (min)</t>
  </si>
  <si>
    <t>Orientation</t>
  </si>
  <si>
    <t>Extraction</t>
  </si>
  <si>
    <t>Tech Support</t>
  </si>
  <si>
    <t>Study Eval</t>
  </si>
  <si>
    <t>Reptg Qual</t>
  </si>
  <si>
    <t>Study Evaluation (RoB) assistance</t>
  </si>
  <si>
    <t>Somewhat Disagree</t>
  </si>
  <si>
    <t>Strongly Diagree</t>
  </si>
  <si>
    <t>Problematic fields to extract (n=7)</t>
  </si>
  <si>
    <t>Entering endpoint and outcome details (86%)</t>
  </si>
  <si>
    <t>No. of Participants</t>
  </si>
  <si>
    <t>• Behavioral endpoint because there are many different types for each task/difficult to enter data by sex (1)</t>
  </si>
  <si>
    <t>• Outcome (2)</t>
  </si>
  <si>
    <t>• Not sure how to enter data for system, organ effect and sub-type; not sure what fran effect means (1)</t>
  </si>
  <si>
    <t>• Reproductive end points are difficult to enter (1)</t>
  </si>
  <si>
    <t>• Entering raw/dose response data was challenging [note: participant had issues with entering endpoint dose-response data] (1)</t>
  </si>
  <si>
    <t>Dosing regimen (14%)</t>
  </si>
  <si>
    <t>• Not clear on how to adjust doses; guess it may be done at set up (1)</t>
  </si>
  <si>
    <t>Easy fields to extract (participants may have provided more than one response) (n=7)</t>
  </si>
  <si>
    <t>Dose regimen/exposure</t>
  </si>
  <si>
    <t>Husbandry</t>
  </si>
  <si>
    <t>Animal group &amp; experiment set up</t>
  </si>
  <si>
    <t>Outcome/endpoint</t>
  </si>
  <si>
    <t>%</t>
  </si>
  <si>
    <t>No. of Responses</t>
  </si>
  <si>
    <t>Data Extraction Fields</t>
  </si>
  <si>
    <t>n =</t>
  </si>
  <si>
    <t>Participant X</t>
  </si>
  <si>
    <t>1st Extraction</t>
  </si>
  <si>
    <t>2nd Extraction</t>
  </si>
  <si>
    <t>Minutes</t>
  </si>
  <si>
    <t>Hours</t>
  </si>
  <si>
    <t>I am open to using structured data entry when submitting articles for publication.</t>
  </si>
  <si>
    <t>Given the potential application of structured data entry, approaches to implement this during the journal submission process should continue to be explored.</t>
  </si>
  <si>
    <t>My consideration of using structured data entry depends on the type of article being submitted for publication.</t>
  </si>
  <si>
    <t>Team member found a 2012 corrigendum for Participant's study</t>
  </si>
  <si>
    <t>Reviewed authors' publications, most mechanistic but 2 were animal studies; discussed studies and endpoints to extract</t>
  </si>
  <si>
    <t>Total Hours of Technical Assistance</t>
  </si>
  <si>
    <t>Total Number of Technical Assistance Requests</t>
  </si>
  <si>
    <t>Averge Time (Hours) Per Technical Assistance Request</t>
  </si>
  <si>
    <t>Averge Time (Minutes) Per Technical Assistance Request</t>
  </si>
  <si>
    <t>N/A*</t>
  </si>
  <si>
    <t>The chemical and animal assurance. More information on how the animals were assigned to a group/how bias was prevented.**</t>
  </si>
  <si>
    <t>N/A**</t>
  </si>
  <si>
    <t>* Reported after participant's first extraction exercise</t>
  </si>
  <si>
    <t>** Reported after participant's second extraction exercise</t>
  </si>
  <si>
    <t>Dose/Exposure</t>
  </si>
  <si>
    <r>
      <t xml:space="preserve">A,B,D,F, G </t>
    </r>
    <r>
      <rPr>
        <b/>
        <sz val="11"/>
        <color theme="1"/>
        <rFont val="Calibri"/>
        <family val="2"/>
      </rPr>
      <t>(n=5)</t>
    </r>
  </si>
  <si>
    <t>Animal Husbandry</t>
  </si>
  <si>
    <r>
      <t xml:space="preserve">D, F, G </t>
    </r>
    <r>
      <rPr>
        <b/>
        <sz val="11"/>
        <color theme="1"/>
        <rFont val="Calibri"/>
        <family val="2"/>
      </rPr>
      <t>(n=3)</t>
    </r>
  </si>
  <si>
    <t>Animal Group/ Experiment Set Up</t>
  </si>
  <si>
    <r>
      <t>C,D,E(</t>
    </r>
    <r>
      <rPr>
        <b/>
        <sz val="11"/>
        <color theme="1"/>
        <rFont val="Calibri"/>
        <family val="2"/>
      </rPr>
      <t>n=3</t>
    </r>
    <r>
      <rPr>
        <sz val="11"/>
        <color theme="1"/>
        <rFont val="Calibri"/>
        <family val="2"/>
      </rPr>
      <t>)</t>
    </r>
  </si>
  <si>
    <t>Outcome/Endpoint</t>
  </si>
  <si>
    <r>
      <t>D, G(</t>
    </r>
    <r>
      <rPr>
        <b/>
        <sz val="11"/>
        <color theme="1"/>
        <rFont val="Calibri"/>
        <family val="2"/>
      </rPr>
      <t>n=2</t>
    </r>
    <r>
      <rPr>
        <sz val="11"/>
        <color theme="1"/>
        <rFont val="Calibri"/>
        <family val="2"/>
      </rPr>
      <t>)</t>
    </r>
  </si>
  <si>
    <t>Category</t>
  </si>
  <si>
    <t>Response Tally</t>
  </si>
  <si>
    <t>Member A</t>
  </si>
  <si>
    <t>Member A and B</t>
  </si>
  <si>
    <t>Member B</t>
  </si>
  <si>
    <t>Member C</t>
  </si>
  <si>
    <t>Member A and C</t>
  </si>
  <si>
    <t>Member A, C and D</t>
  </si>
  <si>
    <t>Technical Assistance</t>
  </si>
  <si>
    <t>Getting Started</t>
  </si>
  <si>
    <t>Study Evaluation</t>
  </si>
  <si>
    <t xml:space="preserve">Extraction Assistance </t>
  </si>
  <si>
    <t>Total No. of Requests</t>
  </si>
  <si>
    <t>Total Time (Hours)</t>
  </si>
  <si>
    <t>Total Time (Minutes)</t>
  </si>
  <si>
    <t>Average Time (Hours)</t>
  </si>
  <si>
    <t>Average Time (Minutes)</t>
  </si>
  <si>
    <t>Minimum Time (Hours)</t>
  </si>
  <si>
    <t>Minimum Time (Minutes)</t>
  </si>
  <si>
    <t>Maximum Time (Hours)</t>
  </si>
  <si>
    <t>Maximum Time (Minutes)</t>
  </si>
  <si>
    <t>HOURS</t>
  </si>
  <si>
    <t>MINUTES</t>
  </si>
  <si>
    <t>The following visuals were shared with participants at the Results Meeting</t>
  </si>
  <si>
    <t>To access interactive versions of the below graphics, please log into HAWC using a non - Internet Explorer browser (i.e. Chrome, Firefox, etc.) and paste the below link in the URL:</t>
  </si>
  <si>
    <t>1)</t>
  </si>
  <si>
    <t>https://hawcprd.epa.gov/summary/visual/100000087/</t>
  </si>
  <si>
    <t xml:space="preserve">2) </t>
  </si>
  <si>
    <t>https://hawcprd.epa.gov/summary/data-pivot/assessment/100000039/pfbs-t3-effect-size-animal/</t>
  </si>
  <si>
    <t xml:space="preserve">3) </t>
  </si>
  <si>
    <t xml:space="preserve">https://hawcprd.epa.gov/summary/data-pivot/assessment/100000039/pfbs-kidney-histopathology-effect-size-animal/ </t>
  </si>
  <si>
    <t xml:space="preserve">4) </t>
  </si>
  <si>
    <t>https://hawcprd.epa.gov/summary/data-pivot/assessment/100000039/pfbs-thyroid-effects/</t>
  </si>
  <si>
    <t>Study Evaluation (Risk of Bias) Summary Tables</t>
  </si>
  <si>
    <t>These visuals summarize how participants evaluated various elements of study quality.</t>
  </si>
  <si>
    <t>Post-Extraction Survey Instrument</t>
  </si>
  <si>
    <t>This survey was administered following the extraction and study evaluation exercise</t>
  </si>
  <si>
    <t>Post-Pilot Survey Instrument</t>
  </si>
  <si>
    <t>This survey was administered at the end of the pilot after visuals of the results were aggregated across the studies and shared with participants.</t>
  </si>
  <si>
    <t>Data - Table 6:  Initial Survey Likert Scale Results (from Post-Extraction Survey)</t>
  </si>
  <si>
    <t>Data - Table 5: Participant Responses Describing Pilot’s Impact on Future Research Activities (Post-Extraction Survey Results)</t>
  </si>
  <si>
    <t>Data for Table 3: Participant Self-Reported Time Spent Performing Various Pilot Tasks (Post-Extraction Survey Results)</t>
  </si>
  <si>
    <t>Data - Results for Table 2:  Willingness to Consider Structured Data Entry During Publication Process (Post-Pilot Survey Results)</t>
  </si>
  <si>
    <t>Summary of Technical Assistance Provided by Team Members (to Assist Participants throughout duration of extraction exercise)</t>
  </si>
  <si>
    <t>Data - Assistance Provided by Team Members (throughout duration of extraction exercise)</t>
  </si>
  <si>
    <t>This table summarizes results for the one participant who repeated the extraction and study evaluation exercise twice.  Thus, it shows responses from the first versus the second extraction experience.</t>
  </si>
  <si>
    <t>Data - Post-Extraction Survey Results for Problematic and Easy Fields to Extract</t>
  </si>
  <si>
    <t>Read Me</t>
  </si>
  <si>
    <t>This Excel file contains several tabs with raw and supplemental data for the publication "Integrating study reporting templates into the manuscript submission process: a pilot feasibility study".</t>
  </si>
  <si>
    <t>Tabs for this Excel spreadsheet include:</t>
  </si>
  <si>
    <t>https://hawcprd.epa.gov/summary/visual/100500552/</t>
  </si>
  <si>
    <t>Raw Data &amp; Prep for Table 4</t>
  </si>
  <si>
    <t>Comparison of the First and Second Data Extraction Experience (Among the Same Participant)</t>
  </si>
  <si>
    <t>10) Results: Post-Extraction Survey ("Survey 1") Problematic &amp; Easy Fields to Extract</t>
  </si>
  <si>
    <t xml:space="preserve"> 1) Interactive HAWC Visuals</t>
  </si>
  <si>
    <t xml:space="preserve"> 2) Survey Tool 1: The Initial Post-Extraction Survey ("Survey 1")</t>
  </si>
  <si>
    <t xml:space="preserve"> 3) Survey Tool 2: The Final Post-Pilot Survey ("Survey 2")</t>
  </si>
  <si>
    <t xml:space="preserve"> 4) Results: Final Post-Pilot Survey ("Survey 2") - Willingness to Consider Structured Data During Publication Process (Table 2)</t>
  </si>
  <si>
    <t xml:space="preserve"> 5) Results: Initial Post-Extraction Survey ("Survey 1") - Participant Self-Reported Time Spent Performing Various Pilot Tasks (Table 3)</t>
  </si>
  <si>
    <t xml:space="preserve"> 6) Results:  Summary of Technical Assistance Provided by Team Members (Table 4)</t>
  </si>
  <si>
    <t xml:space="preserve"> 7) Results: Post-Extraction Survey ("Survey 2") Participant Responses Describing Pilot's Impact on Future Research Activities (Table 5)</t>
  </si>
  <si>
    <t xml:space="preserve"> 8) Results: Post-Extraction Survey ("Survey 1") Initial Survey Likert Scale Results (Table 6)</t>
  </si>
  <si>
    <t xml:space="preserve"> 9) Repeat Extraction: Comparison of the First and Second Data Extraction Experience (Among the Same Participant)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</si>
</sst>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8"/>
      <color rgb="FF000000"/>
      <name val="Arial"/>
      <family val="2"/>
    </font>
    <font>
      <sz val="8"/>
      <name val="Arial"/>
      <family val="2"/>
    </font>
    <font>
      <b/>
      <sz val="11"/>
      <color theme="1"/>
      <name val="Calibri"/>
      <family val="2"/>
      <scheme val="minor"/>
    </font>
    <font>
      <b/>
      <sz val="10"/>
      <color theme="1"/>
      <name val="Calibri"/>
      <family val="2"/>
      <scheme val="minor"/>
    </font>
    <font>
      <sz val="8"/>
      <color rgb="FFFF0000"/>
      <name val="Arial"/>
      <family val="2"/>
    </font>
    <font>
      <b/>
      <sz val="8"/>
      <color rgb="FF000000"/>
      <name val="Arial"/>
      <family val="2"/>
    </font>
    <font>
      <b/>
      <sz val="8"/>
      <name val="Arial"/>
      <family val="2"/>
    </font>
    <font>
      <sz val="8"/>
      <color theme="9"/>
      <name val="Arial"/>
      <family val="2"/>
    </font>
    <font>
      <sz val="8"/>
      <color rgb="FF0070C0"/>
      <name val="Arial"/>
      <family val="2"/>
    </font>
    <font>
      <sz val="11"/>
      <color theme="1"/>
      <name val="Calibri"/>
      <family val="2"/>
    </font>
    <font>
      <sz val="10"/>
      <color theme="1"/>
      <name val="Cambria"/>
      <family val="1"/>
    </font>
    <font>
      <b/>
      <sz val="11"/>
      <name val="Calibri"/>
      <family val="2"/>
      <scheme val="minor"/>
    </font>
    <font>
      <u/>
      <sz val="11"/>
      <color theme="10"/>
      <name val="Calibri"/>
      <family val="2"/>
      <scheme val="minor"/>
    </font>
    <font>
      <b/>
      <sz val="11"/>
      <color theme="1"/>
      <name val="Calibri"/>
      <family val="2"/>
    </font>
    <font>
      <sz val="14"/>
      <color theme="1"/>
      <name val="Calibri"/>
      <family val="2"/>
      <scheme val="minor"/>
    </font>
    <font>
      <sz val="16"/>
      <color theme="1"/>
      <name val="Calibri"/>
      <family val="2"/>
      <scheme val="minor"/>
    </font>
    <font>
      <sz val="16"/>
      <color rgb="FF000000"/>
      <name val="Calibri"/>
      <family val="2"/>
      <scheme val="minor"/>
    </font>
    <font>
      <u/>
      <sz val="14"/>
      <color theme="10"/>
      <name val="Calibri"/>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theme="8"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0" tint="-0.249977111117893"/>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s>
  <cellStyleXfs count="2">
    <xf numFmtId="0" fontId="0" fillId="0" borderId="0"/>
    <xf numFmtId="0" fontId="13" fillId="0" borderId="0" applyNumberFormat="0" applyFill="0" applyBorder="0" applyAlignment="0" applyProtection="0"/>
  </cellStyleXfs>
  <cellXfs count="75">
    <xf numFmtId="0" fontId="0" fillId="0" borderId="0" xfId="0"/>
    <xf numFmtId="0" fontId="0" fillId="0" borderId="0" xfId="0" applyAlignment="1">
      <alignment vertical="top" wrapText="1"/>
    </xf>
    <xf numFmtId="0" fontId="0" fillId="0" borderId="0" xfId="0" applyAlignment="1">
      <alignment vertical="top"/>
    </xf>
    <xf numFmtId="0" fontId="1" fillId="0" borderId="0" xfId="0" applyFont="1" applyAlignment="1">
      <alignment vertical="top" wrapText="1"/>
    </xf>
    <xf numFmtId="0" fontId="2" fillId="0" borderId="0" xfId="0" applyFont="1" applyAlignment="1">
      <alignment vertical="top"/>
    </xf>
    <xf numFmtId="0" fontId="1" fillId="0" borderId="0" xfId="0" applyFont="1" applyAlignment="1">
      <alignment vertical="top"/>
    </xf>
    <xf numFmtId="0" fontId="2" fillId="0" borderId="0" xfId="0" quotePrefix="1" applyFont="1" applyAlignment="1">
      <alignment vertical="top"/>
    </xf>
    <xf numFmtId="2" fontId="2" fillId="0" borderId="0" xfId="0" applyNumberFormat="1" applyFont="1" applyAlignment="1">
      <alignment vertical="top"/>
    </xf>
    <xf numFmtId="0" fontId="3" fillId="0" borderId="0" xfId="0" applyFont="1"/>
    <xf numFmtId="0" fontId="4" fillId="0" borderId="0" xfId="0" applyFont="1" applyAlignment="1">
      <alignment vertical="top" wrapText="1"/>
    </xf>
    <xf numFmtId="0" fontId="2" fillId="0" borderId="0" xfId="0" applyFont="1" applyAlignment="1">
      <alignment vertical="top" wrapText="1"/>
    </xf>
    <xf numFmtId="0" fontId="1" fillId="0" borderId="0" xfId="0" applyFont="1" applyFill="1" applyAlignment="1">
      <alignment vertical="top"/>
    </xf>
    <xf numFmtId="0" fontId="5" fillId="0" borderId="0" xfId="0" applyFont="1" applyFill="1" applyAlignment="1">
      <alignment vertical="top"/>
    </xf>
    <xf numFmtId="0" fontId="2" fillId="0" borderId="0" xfId="0" applyFont="1" applyFill="1" applyAlignment="1">
      <alignment vertical="top"/>
    </xf>
    <xf numFmtId="0" fontId="1" fillId="0" borderId="0" xfId="0" applyFont="1" applyFill="1" applyAlignment="1">
      <alignment vertical="top" wrapText="1"/>
    </xf>
    <xf numFmtId="0" fontId="6" fillId="0" borderId="0" xfId="0" applyFont="1" applyAlignment="1">
      <alignment vertical="top"/>
    </xf>
    <xf numFmtId="2" fontId="6" fillId="0" borderId="0" xfId="0" applyNumberFormat="1" applyFont="1" applyAlignment="1">
      <alignment vertical="top"/>
    </xf>
    <xf numFmtId="1" fontId="1" fillId="0" borderId="0" xfId="0" applyNumberFormat="1" applyFont="1" applyAlignment="1">
      <alignment vertical="top"/>
    </xf>
    <xf numFmtId="0" fontId="1" fillId="3" borderId="0" xfId="0" applyFont="1" applyFill="1" applyAlignment="1">
      <alignment vertical="top"/>
    </xf>
    <xf numFmtId="0" fontId="2" fillId="3" borderId="0" xfId="0" applyFont="1" applyFill="1" applyAlignment="1">
      <alignment vertical="top"/>
    </xf>
    <xf numFmtId="1" fontId="6" fillId="0" borderId="0" xfId="0" applyNumberFormat="1" applyFont="1" applyFill="1" applyAlignment="1">
      <alignment vertical="top"/>
    </xf>
    <xf numFmtId="0" fontId="1" fillId="4" borderId="0" xfId="0" applyFont="1" applyFill="1" applyAlignment="1">
      <alignment vertical="top"/>
    </xf>
    <xf numFmtId="0" fontId="0" fillId="0" borderId="0" xfId="0" applyFont="1"/>
    <xf numFmtId="1" fontId="3" fillId="0" borderId="0" xfId="0" applyNumberFormat="1" applyFont="1"/>
    <xf numFmtId="2" fontId="0" fillId="0" borderId="0" xfId="0" applyNumberFormat="1"/>
    <xf numFmtId="0" fontId="3" fillId="0" borderId="0" xfId="0" applyFont="1" applyAlignment="1">
      <alignment vertical="top" wrapText="1"/>
    </xf>
    <xf numFmtId="0" fontId="0" fillId="0" borderId="0" xfId="0" applyAlignment="1">
      <alignment wrapText="1"/>
    </xf>
    <xf numFmtId="0" fontId="5" fillId="0" borderId="0" xfId="0" applyFont="1" applyFill="1" applyAlignment="1">
      <alignment vertical="top" wrapText="1"/>
    </xf>
    <xf numFmtId="0" fontId="0" fillId="0" borderId="0" xfId="0" applyFill="1" applyAlignment="1">
      <alignment wrapText="1"/>
    </xf>
    <xf numFmtId="0" fontId="2" fillId="0" borderId="0" xfId="0" applyFont="1" applyFill="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1" fontId="0" fillId="0" borderId="0" xfId="0" applyNumberFormat="1" applyAlignment="1">
      <alignment wrapText="1"/>
    </xf>
    <xf numFmtId="0" fontId="0" fillId="5" borderId="0" xfId="0" applyFill="1" applyAlignment="1">
      <alignment horizontal="center" vertical="top" wrapText="1"/>
    </xf>
    <xf numFmtId="0" fontId="0" fillId="5" borderId="0" xfId="0" applyFill="1" applyAlignment="1">
      <alignment horizontal="center" wrapText="1"/>
    </xf>
    <xf numFmtId="0" fontId="0" fillId="5" borderId="0" xfId="0" applyFill="1"/>
    <xf numFmtId="0" fontId="0" fillId="6" borderId="0" xfId="0" applyFill="1" applyAlignment="1">
      <alignment vertical="top"/>
    </xf>
    <xf numFmtId="0" fontId="0" fillId="7" borderId="0" xfId="0" applyFill="1" applyAlignment="1">
      <alignment vertical="top"/>
    </xf>
    <xf numFmtId="0" fontId="0" fillId="7" borderId="0" xfId="0" applyFill="1" applyAlignment="1">
      <alignment vertical="top" wrapText="1"/>
    </xf>
    <xf numFmtId="0" fontId="3" fillId="6" borderId="0" xfId="0" applyFont="1" applyFill="1" applyAlignment="1">
      <alignment vertical="top"/>
    </xf>
    <xf numFmtId="0" fontId="10" fillId="2" borderId="0" xfId="0" applyFont="1" applyFill="1" applyAlignment="1">
      <alignment vertical="top"/>
    </xf>
    <xf numFmtId="0" fontId="0" fillId="2" borderId="0" xfId="0" applyFill="1"/>
    <xf numFmtId="0" fontId="3" fillId="2" borderId="0" xfId="0" applyFont="1" applyFill="1" applyAlignment="1">
      <alignment horizontal="left" vertical="top"/>
    </xf>
    <xf numFmtId="1" fontId="1" fillId="0" borderId="0" xfId="0" applyNumberFormat="1" applyFont="1" applyFill="1" applyAlignment="1">
      <alignment vertical="top"/>
    </xf>
    <xf numFmtId="0" fontId="1" fillId="5" borderId="0" xfId="0" applyFont="1" applyFill="1" applyAlignment="1">
      <alignment vertical="top"/>
    </xf>
    <xf numFmtId="0" fontId="2" fillId="5" borderId="0" xfId="0" applyFont="1" applyFill="1" applyAlignment="1">
      <alignment vertical="top"/>
    </xf>
    <xf numFmtId="0" fontId="11" fillId="0" borderId="0" xfId="0" applyFont="1"/>
    <xf numFmtId="0" fontId="12" fillId="0" borderId="0" xfId="0" applyFont="1" applyAlignment="1">
      <alignment vertical="top" wrapText="1"/>
    </xf>
    <xf numFmtId="1" fontId="12" fillId="0" borderId="0" xfId="0" applyNumberFormat="1" applyFont="1" applyAlignment="1">
      <alignment vertical="top" wrapText="1"/>
    </xf>
    <xf numFmtId="164" fontId="12" fillId="0" borderId="0" xfId="0" applyNumberFormat="1" applyFont="1" applyAlignment="1">
      <alignment vertical="top" wrapText="1"/>
    </xf>
    <xf numFmtId="164" fontId="3" fillId="0" borderId="0" xfId="0" applyNumberFormat="1" applyFont="1" applyAlignment="1">
      <alignment vertical="top" wrapText="1"/>
    </xf>
    <xf numFmtId="0" fontId="10" fillId="0" borderId="3" xfId="0" applyFont="1" applyBorder="1" applyAlignment="1">
      <alignment vertical="center" wrapText="1"/>
    </xf>
    <xf numFmtId="0" fontId="10" fillId="0" borderId="4" xfId="0" applyFont="1" applyBorder="1" applyAlignment="1">
      <alignment vertical="center" wrapText="1"/>
    </xf>
    <xf numFmtId="0" fontId="10" fillId="8" borderId="1" xfId="0" applyFont="1" applyFill="1" applyBorder="1" applyAlignment="1">
      <alignment vertical="center" wrapText="1"/>
    </xf>
    <xf numFmtId="0" fontId="10" fillId="8" borderId="2" xfId="0" applyFont="1" applyFill="1" applyBorder="1" applyAlignment="1">
      <alignment vertical="center" wrapText="1"/>
    </xf>
    <xf numFmtId="1" fontId="0" fillId="0" borderId="0" xfId="0" applyNumberFormat="1"/>
    <xf numFmtId="0" fontId="0" fillId="4" borderId="0" xfId="0" applyFill="1"/>
    <xf numFmtId="0" fontId="3" fillId="0" borderId="0" xfId="0" applyFont="1" applyFill="1"/>
    <xf numFmtId="1" fontId="3" fillId="0" borderId="0" xfId="0" applyNumberFormat="1" applyFont="1" applyFill="1"/>
    <xf numFmtId="0" fontId="3" fillId="4" borderId="0" xfId="0" applyFont="1" applyFill="1" applyAlignment="1">
      <alignment horizontal="center"/>
    </xf>
    <xf numFmtId="0" fontId="0" fillId="9" borderId="5" xfId="0" applyFill="1" applyBorder="1"/>
    <xf numFmtId="0" fontId="0" fillId="9" borderId="5" xfId="0" applyFill="1" applyBorder="1" applyAlignment="1">
      <alignment horizontal="center"/>
    </xf>
    <xf numFmtId="0" fontId="0" fillId="0" borderId="0" xfId="0" quotePrefix="1" applyAlignment="1">
      <alignment horizontal="left" indent="1"/>
    </xf>
    <xf numFmtId="0" fontId="15" fillId="0" borderId="0" xfId="0" applyFont="1"/>
    <xf numFmtId="0" fontId="15" fillId="0" borderId="0" xfId="0" applyFont="1" applyAlignment="1">
      <alignment wrapText="1"/>
    </xf>
    <xf numFmtId="0" fontId="16" fillId="0" borderId="0" xfId="0" applyFont="1"/>
    <xf numFmtId="0" fontId="16" fillId="0" borderId="0" xfId="0" applyFont="1" applyAlignment="1">
      <alignment vertical="top"/>
    </xf>
    <xf numFmtId="0" fontId="16" fillId="0" borderId="0" xfId="0" applyFont="1" applyAlignment="1">
      <alignment vertical="center"/>
    </xf>
    <xf numFmtId="0" fontId="9" fillId="0" borderId="0" xfId="0" applyFont="1" applyFill="1" applyAlignment="1">
      <alignment vertical="top" wrapText="1"/>
    </xf>
    <xf numFmtId="0" fontId="17" fillId="0" borderId="0" xfId="0" applyFont="1" applyAlignment="1">
      <alignment vertical="top"/>
    </xf>
    <xf numFmtId="0" fontId="18" fillId="0" borderId="0" xfId="1" applyFont="1"/>
    <xf numFmtId="0" fontId="2" fillId="6" borderId="0" xfId="0" applyFont="1" applyFill="1" applyAlignment="1">
      <alignment horizontal="center" vertical="top" wrapText="1"/>
    </xf>
    <xf numFmtId="0" fontId="2" fillId="8" borderId="0" xfId="0" applyFont="1" applyFill="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30480</xdr:rowOff>
    </xdr:from>
    <xdr:to>
      <xdr:col>1</xdr:col>
      <xdr:colOff>9571352</xdr:colOff>
      <xdr:row>36</xdr:row>
      <xdr:rowOff>149749</xdr:rowOff>
    </xdr:to>
    <xdr:pic>
      <xdr:nvPicPr>
        <xdr:cNvPr id="2" name="Picture 1">
          <a:extLst>
            <a:ext uri="{FF2B5EF4-FFF2-40B4-BE49-F238E27FC236}">
              <a16:creationId xmlns:a16="http://schemas.microsoft.com/office/drawing/2014/main" id="{CDF34932-FF7A-4625-8246-8495437B03B7}"/>
            </a:ext>
          </a:extLst>
        </xdr:cNvPr>
        <xdr:cNvPicPr>
          <a:picLocks noChangeAspect="1"/>
        </xdr:cNvPicPr>
      </xdr:nvPicPr>
      <xdr:blipFill>
        <a:blip xmlns:r="http://schemas.openxmlformats.org/officeDocument/2006/relationships" r:embed="rId1"/>
        <a:stretch>
          <a:fillRect/>
        </a:stretch>
      </xdr:blipFill>
      <xdr:spPr>
        <a:xfrm>
          <a:off x="0" y="1082040"/>
          <a:ext cx="10180952" cy="5971429"/>
        </a:xfrm>
        <a:prstGeom prst="rect">
          <a:avLst/>
        </a:prstGeom>
      </xdr:spPr>
    </xdr:pic>
    <xdr:clientData/>
  </xdr:twoCellAnchor>
  <xdr:twoCellAnchor editAs="oneCell">
    <xdr:from>
      <xdr:col>0</xdr:col>
      <xdr:colOff>121920</xdr:colOff>
      <xdr:row>40</xdr:row>
      <xdr:rowOff>152400</xdr:rowOff>
    </xdr:from>
    <xdr:to>
      <xdr:col>2</xdr:col>
      <xdr:colOff>2703</xdr:colOff>
      <xdr:row>82</xdr:row>
      <xdr:rowOff>159025</xdr:rowOff>
    </xdr:to>
    <xdr:pic>
      <xdr:nvPicPr>
        <xdr:cNvPr id="3" name="Picture 2">
          <a:extLst>
            <a:ext uri="{FF2B5EF4-FFF2-40B4-BE49-F238E27FC236}">
              <a16:creationId xmlns:a16="http://schemas.microsoft.com/office/drawing/2014/main" id="{4664F744-3B43-4D92-8CBB-BEA81E301A46}"/>
            </a:ext>
          </a:extLst>
        </xdr:cNvPr>
        <xdr:cNvPicPr>
          <a:picLocks noChangeAspect="1"/>
        </xdr:cNvPicPr>
      </xdr:nvPicPr>
      <xdr:blipFill>
        <a:blip xmlns:r="http://schemas.openxmlformats.org/officeDocument/2006/relationships" r:embed="rId2"/>
        <a:stretch>
          <a:fillRect/>
        </a:stretch>
      </xdr:blipFill>
      <xdr:spPr>
        <a:xfrm>
          <a:off x="121920" y="7787640"/>
          <a:ext cx="10495443" cy="7687585"/>
        </a:xfrm>
        <a:prstGeom prst="rect">
          <a:avLst/>
        </a:prstGeom>
      </xdr:spPr>
    </xdr:pic>
    <xdr:clientData/>
  </xdr:twoCellAnchor>
  <xdr:twoCellAnchor editAs="oneCell">
    <xdr:from>
      <xdr:col>0</xdr:col>
      <xdr:colOff>17534</xdr:colOff>
      <xdr:row>85</xdr:row>
      <xdr:rowOff>160020</xdr:rowOff>
    </xdr:from>
    <xdr:to>
      <xdr:col>2</xdr:col>
      <xdr:colOff>535637</xdr:colOff>
      <xdr:row>122</xdr:row>
      <xdr:rowOff>16148</xdr:rowOff>
    </xdr:to>
    <xdr:pic>
      <xdr:nvPicPr>
        <xdr:cNvPr id="4" name="Picture 3">
          <a:extLst>
            <a:ext uri="{FF2B5EF4-FFF2-40B4-BE49-F238E27FC236}">
              <a16:creationId xmlns:a16="http://schemas.microsoft.com/office/drawing/2014/main" id="{E9150489-4A46-4D64-8710-AE9B246807F1}"/>
            </a:ext>
          </a:extLst>
        </xdr:cNvPr>
        <xdr:cNvPicPr>
          <a:picLocks noChangeAspect="1"/>
        </xdr:cNvPicPr>
      </xdr:nvPicPr>
      <xdr:blipFill>
        <a:blip xmlns:r="http://schemas.openxmlformats.org/officeDocument/2006/relationships" r:embed="rId3"/>
        <a:stretch>
          <a:fillRect/>
        </a:stretch>
      </xdr:blipFill>
      <xdr:spPr>
        <a:xfrm>
          <a:off x="17534" y="16024860"/>
          <a:ext cx="11132763" cy="6622688"/>
        </a:xfrm>
        <a:prstGeom prst="rect">
          <a:avLst/>
        </a:prstGeom>
      </xdr:spPr>
    </xdr:pic>
    <xdr:clientData/>
  </xdr:twoCellAnchor>
  <xdr:twoCellAnchor editAs="oneCell">
    <xdr:from>
      <xdr:col>0</xdr:col>
      <xdr:colOff>91440</xdr:colOff>
      <xdr:row>124</xdr:row>
      <xdr:rowOff>160020</xdr:rowOff>
    </xdr:from>
    <xdr:to>
      <xdr:col>2</xdr:col>
      <xdr:colOff>521411</xdr:colOff>
      <xdr:row>158</xdr:row>
      <xdr:rowOff>170605</xdr:rowOff>
    </xdr:to>
    <xdr:pic>
      <xdr:nvPicPr>
        <xdr:cNvPr id="5" name="Picture 4">
          <a:extLst>
            <a:ext uri="{FF2B5EF4-FFF2-40B4-BE49-F238E27FC236}">
              <a16:creationId xmlns:a16="http://schemas.microsoft.com/office/drawing/2014/main" id="{2ACF2BF6-26E4-4823-9059-DC319E9585C5}"/>
            </a:ext>
          </a:extLst>
        </xdr:cNvPr>
        <xdr:cNvPicPr>
          <a:picLocks noChangeAspect="1"/>
        </xdr:cNvPicPr>
      </xdr:nvPicPr>
      <xdr:blipFill>
        <a:blip xmlns:r="http://schemas.openxmlformats.org/officeDocument/2006/relationships" r:embed="rId4"/>
        <a:stretch>
          <a:fillRect/>
        </a:stretch>
      </xdr:blipFill>
      <xdr:spPr>
        <a:xfrm>
          <a:off x="91440" y="23157180"/>
          <a:ext cx="11044631" cy="6228505"/>
        </a:xfrm>
        <a:prstGeom prst="rect">
          <a:avLst/>
        </a:prstGeom>
      </xdr:spPr>
    </xdr:pic>
    <xdr:clientData/>
  </xdr:twoCellAnchor>
  <xdr:twoCellAnchor editAs="oneCell">
    <xdr:from>
      <xdr:col>1</xdr:col>
      <xdr:colOff>0</xdr:colOff>
      <xdr:row>165</xdr:row>
      <xdr:rowOff>0</xdr:rowOff>
    </xdr:from>
    <xdr:to>
      <xdr:col>1</xdr:col>
      <xdr:colOff>6714286</xdr:colOff>
      <xdr:row>194</xdr:row>
      <xdr:rowOff>125051</xdr:rowOff>
    </xdr:to>
    <xdr:pic>
      <xdr:nvPicPr>
        <xdr:cNvPr id="6" name="Picture 5">
          <a:extLst>
            <a:ext uri="{FF2B5EF4-FFF2-40B4-BE49-F238E27FC236}">
              <a16:creationId xmlns:a16="http://schemas.microsoft.com/office/drawing/2014/main" id="{4E328C89-A5A5-449A-BACC-0F2B3154AA12}"/>
            </a:ext>
          </a:extLst>
        </xdr:cNvPr>
        <xdr:cNvPicPr>
          <a:picLocks noChangeAspect="1"/>
        </xdr:cNvPicPr>
      </xdr:nvPicPr>
      <xdr:blipFill>
        <a:blip xmlns:r="http://schemas.openxmlformats.org/officeDocument/2006/relationships" r:embed="rId5"/>
        <a:stretch>
          <a:fillRect/>
        </a:stretch>
      </xdr:blipFill>
      <xdr:spPr>
        <a:xfrm>
          <a:off x="609600" y="30129480"/>
          <a:ext cx="6714286" cy="5428571"/>
        </a:xfrm>
        <a:prstGeom prst="rect">
          <a:avLst/>
        </a:prstGeom>
      </xdr:spPr>
    </xdr:pic>
    <xdr:clientData/>
  </xdr:twoCellAnchor>
  <xdr:twoCellAnchor editAs="oneCell">
    <xdr:from>
      <xdr:col>1</xdr:col>
      <xdr:colOff>6941820</xdr:colOff>
      <xdr:row>167</xdr:row>
      <xdr:rowOff>106680</xdr:rowOff>
    </xdr:from>
    <xdr:to>
      <xdr:col>2</xdr:col>
      <xdr:colOff>117712</xdr:colOff>
      <xdr:row>173</xdr:row>
      <xdr:rowOff>180829</xdr:rowOff>
    </xdr:to>
    <xdr:pic>
      <xdr:nvPicPr>
        <xdr:cNvPr id="8" name="Picture 7">
          <a:extLst>
            <a:ext uri="{FF2B5EF4-FFF2-40B4-BE49-F238E27FC236}">
              <a16:creationId xmlns:a16="http://schemas.microsoft.com/office/drawing/2014/main" id="{EC02098D-8C47-4BFD-B0BD-00A4FDB21984}"/>
            </a:ext>
          </a:extLst>
        </xdr:cNvPr>
        <xdr:cNvPicPr>
          <a:picLocks noChangeAspect="1"/>
        </xdr:cNvPicPr>
      </xdr:nvPicPr>
      <xdr:blipFill>
        <a:blip xmlns:r="http://schemas.openxmlformats.org/officeDocument/2006/relationships" r:embed="rId6"/>
        <a:stretch>
          <a:fillRect/>
        </a:stretch>
      </xdr:blipFill>
      <xdr:spPr>
        <a:xfrm>
          <a:off x="7551420" y="30601920"/>
          <a:ext cx="3180952" cy="11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34290</xdr:colOff>
      <xdr:row>45</xdr:row>
      <xdr:rowOff>140970</xdr:rowOff>
    </xdr:from>
    <xdr:to>
      <xdr:col>10</xdr:col>
      <xdr:colOff>133350</xdr:colOff>
      <xdr:row>97</xdr:row>
      <xdr:rowOff>172267</xdr:rowOff>
    </xdr:to>
    <xdr:pic>
      <xdr:nvPicPr>
        <xdr:cNvPr id="2" name="Picture 1">
          <a:extLst>
            <a:ext uri="{FF2B5EF4-FFF2-40B4-BE49-F238E27FC236}">
              <a16:creationId xmlns:a16="http://schemas.microsoft.com/office/drawing/2014/main" id="{E2251DCC-6BEC-423F-AA72-F00ADED588F8}"/>
            </a:ext>
          </a:extLst>
        </xdr:cNvPr>
        <xdr:cNvPicPr>
          <a:picLocks noChangeAspect="1"/>
        </xdr:cNvPicPr>
      </xdr:nvPicPr>
      <xdr:blipFill>
        <a:blip xmlns:r="http://schemas.openxmlformats.org/officeDocument/2006/relationships" r:embed="rId1"/>
        <a:stretch>
          <a:fillRect/>
        </a:stretch>
      </xdr:blipFill>
      <xdr:spPr>
        <a:xfrm>
          <a:off x="34290" y="8454390"/>
          <a:ext cx="6195060" cy="9541057"/>
        </a:xfrm>
        <a:prstGeom prst="rect">
          <a:avLst/>
        </a:prstGeom>
      </xdr:spPr>
    </xdr:pic>
    <xdr:clientData/>
  </xdr:twoCellAnchor>
  <xdr:twoCellAnchor editAs="oneCell">
    <xdr:from>
      <xdr:col>0</xdr:col>
      <xdr:colOff>47625</xdr:colOff>
      <xdr:row>3</xdr:row>
      <xdr:rowOff>47625</xdr:rowOff>
    </xdr:from>
    <xdr:to>
      <xdr:col>10</xdr:col>
      <xdr:colOff>511625</xdr:colOff>
      <xdr:row>44</xdr:row>
      <xdr:rowOff>54316</xdr:rowOff>
    </xdr:to>
    <xdr:pic>
      <xdr:nvPicPr>
        <xdr:cNvPr id="3" name="Picture 2">
          <a:extLst>
            <a:ext uri="{FF2B5EF4-FFF2-40B4-BE49-F238E27FC236}">
              <a16:creationId xmlns:a16="http://schemas.microsoft.com/office/drawing/2014/main" id="{570D9DCC-0144-4CE4-ABC9-154714D5939E}"/>
            </a:ext>
          </a:extLst>
        </xdr:cNvPr>
        <xdr:cNvPicPr>
          <a:picLocks noChangeAspect="1"/>
        </xdr:cNvPicPr>
      </xdr:nvPicPr>
      <xdr:blipFill>
        <a:blip xmlns:r="http://schemas.openxmlformats.org/officeDocument/2006/relationships" r:embed="rId2"/>
        <a:stretch>
          <a:fillRect/>
        </a:stretch>
      </xdr:blipFill>
      <xdr:spPr>
        <a:xfrm>
          <a:off x="47625" y="680085"/>
          <a:ext cx="6560000" cy="7504771"/>
        </a:xfrm>
        <a:prstGeom prst="rect">
          <a:avLst/>
        </a:prstGeom>
      </xdr:spPr>
    </xdr:pic>
    <xdr:clientData/>
  </xdr:twoCellAnchor>
  <xdr:twoCellAnchor editAs="oneCell">
    <xdr:from>
      <xdr:col>0</xdr:col>
      <xdr:colOff>0</xdr:colOff>
      <xdr:row>103</xdr:row>
      <xdr:rowOff>0</xdr:rowOff>
    </xdr:from>
    <xdr:to>
      <xdr:col>11</xdr:col>
      <xdr:colOff>56303</xdr:colOff>
      <xdr:row>135</xdr:row>
      <xdr:rowOff>168801</xdr:rowOff>
    </xdr:to>
    <xdr:pic>
      <xdr:nvPicPr>
        <xdr:cNvPr id="4" name="Picture 3">
          <a:extLst>
            <a:ext uri="{FF2B5EF4-FFF2-40B4-BE49-F238E27FC236}">
              <a16:creationId xmlns:a16="http://schemas.microsoft.com/office/drawing/2014/main" id="{118C6EA9-F872-4E82-B197-91DB79B4D634}"/>
            </a:ext>
          </a:extLst>
        </xdr:cNvPr>
        <xdr:cNvPicPr>
          <a:picLocks noChangeAspect="1"/>
        </xdr:cNvPicPr>
      </xdr:nvPicPr>
      <xdr:blipFill>
        <a:blip xmlns:r="http://schemas.openxmlformats.org/officeDocument/2006/relationships" r:embed="rId3"/>
        <a:stretch>
          <a:fillRect/>
        </a:stretch>
      </xdr:blipFill>
      <xdr:spPr>
        <a:xfrm>
          <a:off x="0" y="18920460"/>
          <a:ext cx="6761903" cy="6020961"/>
        </a:xfrm>
        <a:prstGeom prst="rect">
          <a:avLst/>
        </a:prstGeom>
      </xdr:spPr>
    </xdr:pic>
    <xdr:clientData/>
  </xdr:twoCellAnchor>
  <xdr:twoCellAnchor editAs="oneCell">
    <xdr:from>
      <xdr:col>0</xdr:col>
      <xdr:colOff>0</xdr:colOff>
      <xdr:row>137</xdr:row>
      <xdr:rowOff>0</xdr:rowOff>
    </xdr:from>
    <xdr:to>
      <xdr:col>11</xdr:col>
      <xdr:colOff>570590</xdr:colOff>
      <xdr:row>149</xdr:row>
      <xdr:rowOff>16872</xdr:rowOff>
    </xdr:to>
    <xdr:pic>
      <xdr:nvPicPr>
        <xdr:cNvPr id="5" name="Picture 4">
          <a:extLst>
            <a:ext uri="{FF2B5EF4-FFF2-40B4-BE49-F238E27FC236}">
              <a16:creationId xmlns:a16="http://schemas.microsoft.com/office/drawing/2014/main" id="{893C6F03-4306-439A-894E-CBE5B12BE83B}"/>
            </a:ext>
          </a:extLst>
        </xdr:cNvPr>
        <xdr:cNvPicPr>
          <a:picLocks noChangeAspect="1"/>
        </xdr:cNvPicPr>
      </xdr:nvPicPr>
      <xdr:blipFill>
        <a:blip xmlns:r="http://schemas.openxmlformats.org/officeDocument/2006/relationships" r:embed="rId4"/>
        <a:stretch>
          <a:fillRect/>
        </a:stretch>
      </xdr:blipFill>
      <xdr:spPr>
        <a:xfrm>
          <a:off x="0" y="25138380"/>
          <a:ext cx="7276190" cy="22114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142875</xdr:rowOff>
    </xdr:from>
    <xdr:to>
      <xdr:col>10</xdr:col>
      <xdr:colOff>94476</xdr:colOff>
      <xdr:row>43</xdr:row>
      <xdr:rowOff>134375</xdr:rowOff>
    </xdr:to>
    <xdr:pic>
      <xdr:nvPicPr>
        <xdr:cNvPr id="2" name="Picture 1">
          <a:extLst>
            <a:ext uri="{FF2B5EF4-FFF2-40B4-BE49-F238E27FC236}">
              <a16:creationId xmlns:a16="http://schemas.microsoft.com/office/drawing/2014/main" id="{C25A97DC-56F3-4408-870F-4367229CF693}"/>
            </a:ext>
          </a:extLst>
        </xdr:cNvPr>
        <xdr:cNvPicPr>
          <a:picLocks noChangeAspect="1"/>
        </xdr:cNvPicPr>
      </xdr:nvPicPr>
      <xdr:blipFill>
        <a:blip xmlns:r="http://schemas.openxmlformats.org/officeDocument/2006/relationships" r:embed="rId1"/>
        <a:stretch>
          <a:fillRect/>
        </a:stretch>
      </xdr:blipFill>
      <xdr:spPr>
        <a:xfrm>
          <a:off x="0" y="920115"/>
          <a:ext cx="6190476" cy="7123820"/>
        </a:xfrm>
        <a:prstGeom prst="rect">
          <a:avLst/>
        </a:prstGeom>
      </xdr:spPr>
    </xdr:pic>
    <xdr:clientData/>
  </xdr:twoCellAnchor>
  <xdr:twoCellAnchor editAs="oneCell">
    <xdr:from>
      <xdr:col>0</xdr:col>
      <xdr:colOff>0</xdr:colOff>
      <xdr:row>45</xdr:row>
      <xdr:rowOff>9525</xdr:rowOff>
    </xdr:from>
    <xdr:to>
      <xdr:col>10</xdr:col>
      <xdr:colOff>383247</xdr:colOff>
      <xdr:row>65</xdr:row>
      <xdr:rowOff>132854</xdr:rowOff>
    </xdr:to>
    <xdr:pic>
      <xdr:nvPicPr>
        <xdr:cNvPr id="3" name="Picture 2">
          <a:extLst>
            <a:ext uri="{FF2B5EF4-FFF2-40B4-BE49-F238E27FC236}">
              <a16:creationId xmlns:a16="http://schemas.microsoft.com/office/drawing/2014/main" id="{29621119-3503-4E30-AB60-1A115D37B591}"/>
            </a:ext>
          </a:extLst>
        </xdr:cNvPr>
        <xdr:cNvPicPr>
          <a:picLocks noChangeAspect="1"/>
        </xdr:cNvPicPr>
      </xdr:nvPicPr>
      <xdr:blipFill>
        <a:blip xmlns:r="http://schemas.openxmlformats.org/officeDocument/2006/relationships" r:embed="rId2"/>
        <a:stretch>
          <a:fillRect/>
        </a:stretch>
      </xdr:blipFill>
      <xdr:spPr>
        <a:xfrm>
          <a:off x="0" y="8284845"/>
          <a:ext cx="6479247" cy="37809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13</xdr:col>
      <xdr:colOff>132343</xdr:colOff>
      <xdr:row>22</xdr:row>
      <xdr:rowOff>68137</xdr:rowOff>
    </xdr:to>
    <xdr:pic>
      <xdr:nvPicPr>
        <xdr:cNvPr id="4" name="Picture 3">
          <a:extLst>
            <a:ext uri="{FF2B5EF4-FFF2-40B4-BE49-F238E27FC236}">
              <a16:creationId xmlns:a16="http://schemas.microsoft.com/office/drawing/2014/main" id="{A26B8BE3-079F-4427-A6CD-F7CF5C8DDCD8}"/>
            </a:ext>
          </a:extLst>
        </xdr:cNvPr>
        <xdr:cNvPicPr>
          <a:picLocks noChangeAspect="1"/>
        </xdr:cNvPicPr>
      </xdr:nvPicPr>
      <xdr:blipFill>
        <a:blip xmlns:r="http://schemas.openxmlformats.org/officeDocument/2006/relationships" r:embed="rId1"/>
        <a:stretch>
          <a:fillRect/>
        </a:stretch>
      </xdr:blipFill>
      <xdr:spPr>
        <a:xfrm>
          <a:off x="0" y="182880"/>
          <a:ext cx="8057143" cy="3542857"/>
        </a:xfrm>
        <a:prstGeom prst="rect">
          <a:avLst/>
        </a:prstGeom>
      </xdr:spPr>
    </xdr:pic>
    <xdr:clientData/>
  </xdr:twoCellAnchor>
  <xdr:twoCellAnchor editAs="oneCell">
    <xdr:from>
      <xdr:col>0</xdr:col>
      <xdr:colOff>0</xdr:colOff>
      <xdr:row>24</xdr:row>
      <xdr:rowOff>0</xdr:rowOff>
    </xdr:from>
    <xdr:to>
      <xdr:col>13</xdr:col>
      <xdr:colOff>151390</xdr:colOff>
      <xdr:row>42</xdr:row>
      <xdr:rowOff>174827</xdr:rowOff>
    </xdr:to>
    <xdr:pic>
      <xdr:nvPicPr>
        <xdr:cNvPr id="5" name="Picture 4">
          <a:extLst>
            <a:ext uri="{FF2B5EF4-FFF2-40B4-BE49-F238E27FC236}">
              <a16:creationId xmlns:a16="http://schemas.microsoft.com/office/drawing/2014/main" id="{97782452-055A-4F57-B762-FF8C0E41A886}"/>
            </a:ext>
          </a:extLst>
        </xdr:cNvPr>
        <xdr:cNvPicPr>
          <a:picLocks noChangeAspect="1"/>
        </xdr:cNvPicPr>
      </xdr:nvPicPr>
      <xdr:blipFill>
        <a:blip xmlns:r="http://schemas.openxmlformats.org/officeDocument/2006/relationships" r:embed="rId2"/>
        <a:stretch>
          <a:fillRect/>
        </a:stretch>
      </xdr:blipFill>
      <xdr:spPr>
        <a:xfrm>
          <a:off x="0" y="4023360"/>
          <a:ext cx="8076190" cy="3466667"/>
        </a:xfrm>
        <a:prstGeom prst="rect">
          <a:avLst/>
        </a:prstGeom>
      </xdr:spPr>
    </xdr:pic>
    <xdr:clientData/>
  </xdr:twoCellAnchor>
  <xdr:twoCellAnchor editAs="oneCell">
    <xdr:from>
      <xdr:col>0</xdr:col>
      <xdr:colOff>0</xdr:colOff>
      <xdr:row>47</xdr:row>
      <xdr:rowOff>8618</xdr:rowOff>
    </xdr:from>
    <xdr:to>
      <xdr:col>14</xdr:col>
      <xdr:colOff>487680</xdr:colOff>
      <xdr:row>57</xdr:row>
      <xdr:rowOff>41655</xdr:rowOff>
    </xdr:to>
    <xdr:pic>
      <xdr:nvPicPr>
        <xdr:cNvPr id="6" name="Picture 5">
          <a:extLst>
            <a:ext uri="{FF2B5EF4-FFF2-40B4-BE49-F238E27FC236}">
              <a16:creationId xmlns:a16="http://schemas.microsoft.com/office/drawing/2014/main" id="{D6E906B1-7486-4D5A-AF74-F7D58F1ECC8A}"/>
            </a:ext>
          </a:extLst>
        </xdr:cNvPr>
        <xdr:cNvPicPr>
          <a:picLocks noChangeAspect="1"/>
        </xdr:cNvPicPr>
      </xdr:nvPicPr>
      <xdr:blipFill>
        <a:blip xmlns:r="http://schemas.openxmlformats.org/officeDocument/2006/relationships" r:embed="rId3"/>
        <a:stretch>
          <a:fillRect/>
        </a:stretch>
      </xdr:blipFill>
      <xdr:spPr>
        <a:xfrm>
          <a:off x="0" y="8238218"/>
          <a:ext cx="9022080" cy="18618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hawcprd.epa.gov/summary/data-pivot/assessment/100000039/pfbs-kidney-histopathology-effect-size-animal/" TargetMode="External"/><Relationship Id="rId2" Type="http://schemas.openxmlformats.org/officeDocument/2006/relationships/hyperlink" Target="https://hawcprd.epa.gov/summary/data-pivot/assessment/100000039/pfbs-t3-effect-size-animal/" TargetMode="External"/><Relationship Id="rId1" Type="http://schemas.openxmlformats.org/officeDocument/2006/relationships/hyperlink" Target="https://hawcprd.epa.gov/summary/visual/100000087/" TargetMode="External"/><Relationship Id="rId6" Type="http://schemas.openxmlformats.org/officeDocument/2006/relationships/drawing" Target="../drawings/drawing1.xml"/><Relationship Id="rId5" Type="http://schemas.openxmlformats.org/officeDocument/2006/relationships/hyperlink" Target="https://hawcprd.epa.gov/summary/visual/100500552/" TargetMode="External"/><Relationship Id="rId4" Type="http://schemas.openxmlformats.org/officeDocument/2006/relationships/hyperlink" Target="https://hawcprd.epa.gov/summary/data-pivot/assessment/100000039/pfbs-thyroid-effect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B4F4C-199E-4EC9-A12E-73F9A6710727}">
  <dimension ref="A1:A16"/>
  <sheetViews>
    <sheetView workbookViewId="0">
      <selection activeCell="A6" sqref="A6:A15"/>
    </sheetView>
  </sheetViews>
  <sheetFormatPr defaultRowHeight="14.4" x14ac:dyDescent="0.3"/>
  <cols>
    <col min="1" max="1" width="135.44140625" customWidth="1"/>
  </cols>
  <sheetData>
    <row r="1" spans="1:1" ht="21" x14ac:dyDescent="0.4">
      <c r="A1" s="67" t="s">
        <v>217</v>
      </c>
    </row>
    <row r="2" spans="1:1" ht="28.8" x14ac:dyDescent="0.3">
      <c r="A2" s="26" t="s">
        <v>218</v>
      </c>
    </row>
    <row r="5" spans="1:1" x14ac:dyDescent="0.3">
      <c r="A5" s="8" t="s">
        <v>219</v>
      </c>
    </row>
    <row r="6" spans="1:1" x14ac:dyDescent="0.3">
      <c r="A6" s="64" t="s">
        <v>224</v>
      </c>
    </row>
    <row r="7" spans="1:1" x14ac:dyDescent="0.3">
      <c r="A7" s="64" t="s">
        <v>225</v>
      </c>
    </row>
    <row r="8" spans="1:1" x14ac:dyDescent="0.3">
      <c r="A8" s="64" t="s">
        <v>226</v>
      </c>
    </row>
    <row r="9" spans="1:1" x14ac:dyDescent="0.3">
      <c r="A9" s="64" t="s">
        <v>227</v>
      </c>
    </row>
    <row r="10" spans="1:1" x14ac:dyDescent="0.3">
      <c r="A10" s="64" t="s">
        <v>228</v>
      </c>
    </row>
    <row r="11" spans="1:1" x14ac:dyDescent="0.3">
      <c r="A11" s="64" t="s">
        <v>229</v>
      </c>
    </row>
    <row r="12" spans="1:1" x14ac:dyDescent="0.3">
      <c r="A12" s="64" t="s">
        <v>230</v>
      </c>
    </row>
    <row r="13" spans="1:1" x14ac:dyDescent="0.3">
      <c r="A13" s="64" t="s">
        <v>231</v>
      </c>
    </row>
    <row r="14" spans="1:1" x14ac:dyDescent="0.3">
      <c r="A14" s="64" t="s">
        <v>232</v>
      </c>
    </row>
    <row r="15" spans="1:1" x14ac:dyDescent="0.3">
      <c r="A15" s="64" t="s">
        <v>223</v>
      </c>
    </row>
    <row r="16" spans="1:1" ht="21" x14ac:dyDescent="0.3">
      <c r="A16" s="7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D97DF-51EB-4CE0-8524-60F59E9FF1A7}">
  <dimension ref="A1:E163"/>
  <sheetViews>
    <sheetView topLeftCell="A157" workbookViewId="0">
      <selection activeCell="E166" sqref="E166"/>
    </sheetView>
  </sheetViews>
  <sheetFormatPr defaultRowHeight="14.4" x14ac:dyDescent="0.3"/>
  <cols>
    <col min="2" max="2" width="145.88671875" customWidth="1"/>
  </cols>
  <sheetData>
    <row r="1" spans="1:2" ht="18" x14ac:dyDescent="0.35">
      <c r="B1" s="65" t="s">
        <v>193</v>
      </c>
    </row>
    <row r="2" spans="1:2" ht="36" x14ac:dyDescent="0.35">
      <c r="B2" s="66" t="s">
        <v>194</v>
      </c>
    </row>
    <row r="4" spans="1:2" ht="18" x14ac:dyDescent="0.35">
      <c r="A4" s="65" t="s">
        <v>195</v>
      </c>
      <c r="B4" s="72" t="s">
        <v>196</v>
      </c>
    </row>
    <row r="40" spans="1:2" ht="18" x14ac:dyDescent="0.35">
      <c r="A40" s="65" t="s">
        <v>197</v>
      </c>
      <c r="B40" s="72" t="s">
        <v>198</v>
      </c>
    </row>
    <row r="85" spans="1:2" ht="18" x14ac:dyDescent="0.35">
      <c r="A85" s="65" t="s">
        <v>199</v>
      </c>
      <c r="B85" s="72" t="s">
        <v>200</v>
      </c>
    </row>
    <row r="124" spans="1:5" ht="18" x14ac:dyDescent="0.35">
      <c r="A124" s="65" t="s">
        <v>201</v>
      </c>
      <c r="B124" s="72" t="s">
        <v>202</v>
      </c>
      <c r="E124" s="26"/>
    </row>
    <row r="161" spans="1:2" ht="18" x14ac:dyDescent="0.35">
      <c r="A161" s="65">
        <v>5</v>
      </c>
      <c r="B161" s="72" t="s">
        <v>220</v>
      </c>
    </row>
    <row r="162" spans="1:2" x14ac:dyDescent="0.3">
      <c r="B162" s="22" t="s">
        <v>203</v>
      </c>
    </row>
    <row r="163" spans="1:2" x14ac:dyDescent="0.3">
      <c r="B163" s="22" t="s">
        <v>204</v>
      </c>
    </row>
  </sheetData>
  <hyperlinks>
    <hyperlink ref="B4" r:id="rId1" xr:uid="{1B90D919-B9B6-4B3B-A0BA-855702B4735E}"/>
    <hyperlink ref="B40" r:id="rId2" xr:uid="{73F8525D-BE9B-48E1-B847-5937ED2EB32B}"/>
    <hyperlink ref="B85" r:id="rId3" display="https://hawcprd.epa.gov/summary/data-pivot/assessment/100000039/pfbs-kidney-histopathology-effect-size-animal/" xr:uid="{6416F158-F6C7-41D9-95DA-AA0D5BA01720}"/>
    <hyperlink ref="B124" r:id="rId4" xr:uid="{C95F83E4-8EBA-4BFE-AC79-1F5A6C68713B}"/>
    <hyperlink ref="B161" r:id="rId5" xr:uid="{340E3100-8285-491B-8D4E-2470C1DCEDF5}"/>
  </hyperlink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0184D-30DE-4AEF-8AD2-1FDE555A7A01}">
  <dimension ref="A1:A2"/>
  <sheetViews>
    <sheetView workbookViewId="0"/>
  </sheetViews>
  <sheetFormatPr defaultRowHeight="14.4" x14ac:dyDescent="0.3"/>
  <sheetData>
    <row r="1" spans="1:1" ht="21" x14ac:dyDescent="0.4">
      <c r="A1" s="67" t="s">
        <v>205</v>
      </c>
    </row>
    <row r="2" spans="1:1" x14ac:dyDescent="0.3">
      <c r="A2" t="s">
        <v>206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6CD34-499E-4815-9FD8-44BE37A0170D}">
  <dimension ref="A1:A2"/>
  <sheetViews>
    <sheetView workbookViewId="0"/>
  </sheetViews>
  <sheetFormatPr defaultRowHeight="14.4" x14ac:dyDescent="0.3"/>
  <sheetData>
    <row r="1" spans="1:1" ht="21" x14ac:dyDescent="0.4">
      <c r="A1" s="67" t="s">
        <v>207</v>
      </c>
    </row>
    <row r="2" spans="1:1" x14ac:dyDescent="0.3">
      <c r="A2" t="s">
        <v>208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106A0-3AEE-410B-967E-8C097C7803C9}">
  <dimension ref="A1:A46"/>
  <sheetViews>
    <sheetView workbookViewId="0"/>
  </sheetViews>
  <sheetFormatPr defaultRowHeight="14.4" x14ac:dyDescent="0.3"/>
  <sheetData>
    <row r="1" spans="1:1" ht="21" x14ac:dyDescent="0.3">
      <c r="A1" s="69" t="s">
        <v>212</v>
      </c>
    </row>
    <row r="44" spans="1:1" x14ac:dyDescent="0.3">
      <c r="A44" s="48" t="s">
        <v>148</v>
      </c>
    </row>
    <row r="45" spans="1:1" x14ac:dyDescent="0.3">
      <c r="A45" s="48" t="s">
        <v>150</v>
      </c>
    </row>
    <row r="46" spans="1:1" x14ac:dyDescent="0.3">
      <c r="A46" s="48" t="s">
        <v>149</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240C2-18C2-4318-B133-60504E3D95AF}">
  <dimension ref="A1:M14"/>
  <sheetViews>
    <sheetView workbookViewId="0"/>
  </sheetViews>
  <sheetFormatPr defaultColWidth="8.88671875" defaultRowHeight="10.199999999999999" x14ac:dyDescent="0.3"/>
  <cols>
    <col min="1" max="1" width="9.6640625" style="5" customWidth="1"/>
    <col min="2" max="6" width="8.88671875" style="5"/>
    <col min="7" max="7" width="4.88671875" style="5" customWidth="1"/>
    <col min="8" max="8" width="14.88671875" style="5" customWidth="1"/>
    <col min="9" max="16384" width="8.88671875" style="5"/>
  </cols>
  <sheetData>
    <row r="1" spans="1:13" ht="21" x14ac:dyDescent="0.3">
      <c r="A1" s="69" t="s">
        <v>211</v>
      </c>
    </row>
    <row r="2" spans="1:13" s="3" customFormat="1" ht="153" x14ac:dyDescent="0.3">
      <c r="A2" s="10" t="s">
        <v>11</v>
      </c>
      <c r="B2" s="10" t="s">
        <v>12</v>
      </c>
      <c r="C2" s="10" t="s">
        <v>13</v>
      </c>
      <c r="D2" s="10" t="s">
        <v>14</v>
      </c>
      <c r="E2" s="10" t="s">
        <v>15</v>
      </c>
      <c r="F2" s="10" t="s">
        <v>16</v>
      </c>
      <c r="G2" s="10" t="s">
        <v>17</v>
      </c>
      <c r="H2" s="10" t="s">
        <v>18</v>
      </c>
      <c r="I2" s="10" t="s">
        <v>19</v>
      </c>
      <c r="J2" s="10" t="s">
        <v>18</v>
      </c>
    </row>
    <row r="3" spans="1:13" s="3" customFormat="1" x14ac:dyDescent="0.3">
      <c r="A3" s="10"/>
      <c r="B3" s="73" t="s">
        <v>147</v>
      </c>
      <c r="C3" s="73"/>
      <c r="D3" s="73"/>
      <c r="E3" s="73"/>
      <c r="F3" s="73"/>
      <c r="G3" s="10"/>
      <c r="H3" s="10"/>
      <c r="I3" s="73" t="s">
        <v>146</v>
      </c>
      <c r="J3" s="73"/>
      <c r="K3" s="73"/>
      <c r="L3" s="73"/>
      <c r="M3" s="73"/>
    </row>
    <row r="4" spans="1:13" s="11" customFormat="1" x14ac:dyDescent="0.3">
      <c r="B4" s="21" t="s">
        <v>116</v>
      </c>
      <c r="C4" s="21" t="s">
        <v>117</v>
      </c>
      <c r="D4" s="21" t="s">
        <v>118</v>
      </c>
      <c r="E4" s="21" t="s">
        <v>119</v>
      </c>
      <c r="F4" s="21" t="s">
        <v>120</v>
      </c>
      <c r="I4" s="21" t="s">
        <v>116</v>
      </c>
      <c r="J4" s="21" t="s">
        <v>117</v>
      </c>
      <c r="K4" s="21" t="s">
        <v>118</v>
      </c>
      <c r="L4" s="21" t="s">
        <v>119</v>
      </c>
      <c r="M4" s="21" t="s">
        <v>120</v>
      </c>
    </row>
    <row r="5" spans="1:13" s="11" customFormat="1" x14ac:dyDescent="0.3">
      <c r="A5" s="5"/>
      <c r="B5" s="4">
        <v>2</v>
      </c>
      <c r="C5" s="4">
        <v>2</v>
      </c>
      <c r="D5" s="4">
        <v>3</v>
      </c>
      <c r="E5" s="4">
        <v>0.5</v>
      </c>
      <c r="F5" s="4">
        <v>0.5</v>
      </c>
      <c r="G5" s="12"/>
      <c r="I5" s="11">
        <f>+B5*60</f>
        <v>120</v>
      </c>
      <c r="J5" s="11">
        <f t="shared" ref="J5:M13" si="0">+C5*60</f>
        <v>120</v>
      </c>
      <c r="K5" s="11">
        <f t="shared" si="0"/>
        <v>180</v>
      </c>
      <c r="L5" s="11">
        <f t="shared" si="0"/>
        <v>30</v>
      </c>
      <c r="M5" s="11">
        <f t="shared" si="0"/>
        <v>30</v>
      </c>
    </row>
    <row r="6" spans="1:13" s="11" customFormat="1" x14ac:dyDescent="0.3">
      <c r="A6" s="12"/>
      <c r="B6" s="13">
        <v>2</v>
      </c>
      <c r="C6" s="13">
        <v>1.5</v>
      </c>
      <c r="D6" s="13">
        <v>1</v>
      </c>
      <c r="E6" s="13">
        <v>0.5</v>
      </c>
      <c r="F6" s="13">
        <v>1</v>
      </c>
      <c r="I6" s="11">
        <f t="shared" ref="I6:I13" si="1">+B6*60</f>
        <v>120</v>
      </c>
      <c r="J6" s="11">
        <f t="shared" si="0"/>
        <v>90</v>
      </c>
      <c r="K6" s="11">
        <f t="shared" si="0"/>
        <v>60</v>
      </c>
      <c r="L6" s="11">
        <f t="shared" si="0"/>
        <v>30</v>
      </c>
      <c r="M6" s="11">
        <f t="shared" si="0"/>
        <v>60</v>
      </c>
    </row>
    <row r="7" spans="1:13" s="11" customFormat="1" x14ac:dyDescent="0.3">
      <c r="A7" s="5"/>
      <c r="B7" s="4">
        <v>0.5</v>
      </c>
      <c r="C7" s="4">
        <v>0.5</v>
      </c>
      <c r="D7" s="4">
        <v>0.5</v>
      </c>
      <c r="E7" s="4">
        <v>0.5</v>
      </c>
      <c r="F7" s="4">
        <v>0.5</v>
      </c>
      <c r="I7" s="11">
        <f t="shared" si="1"/>
        <v>30</v>
      </c>
      <c r="J7" s="11">
        <f t="shared" si="0"/>
        <v>30</v>
      </c>
      <c r="K7" s="11">
        <f t="shared" si="0"/>
        <v>30</v>
      </c>
      <c r="L7" s="11">
        <f t="shared" si="0"/>
        <v>30</v>
      </c>
      <c r="M7" s="11">
        <f t="shared" si="0"/>
        <v>30</v>
      </c>
    </row>
    <row r="8" spans="1:13" x14ac:dyDescent="0.3">
      <c r="B8" s="4">
        <v>1</v>
      </c>
      <c r="C8" s="4">
        <v>1</v>
      </c>
      <c r="D8" s="4">
        <v>0.5</v>
      </c>
      <c r="E8" s="4">
        <v>1</v>
      </c>
      <c r="F8" s="4">
        <v>0.5</v>
      </c>
      <c r="I8" s="11">
        <f t="shared" si="1"/>
        <v>60</v>
      </c>
      <c r="J8" s="11">
        <f t="shared" si="0"/>
        <v>60</v>
      </c>
      <c r="K8" s="11">
        <f t="shared" si="0"/>
        <v>30</v>
      </c>
      <c r="L8" s="11">
        <f t="shared" si="0"/>
        <v>60</v>
      </c>
      <c r="M8" s="11">
        <f t="shared" si="0"/>
        <v>30</v>
      </c>
    </row>
    <row r="9" spans="1:13" x14ac:dyDescent="0.3">
      <c r="B9" s="6">
        <v>1.5</v>
      </c>
      <c r="C9" s="6">
        <v>1.5</v>
      </c>
      <c r="D9" s="4">
        <v>0.5</v>
      </c>
      <c r="E9" s="6">
        <v>1.5</v>
      </c>
      <c r="F9" s="6">
        <v>1.5</v>
      </c>
      <c r="I9" s="11">
        <f t="shared" si="1"/>
        <v>90</v>
      </c>
      <c r="J9" s="11">
        <f t="shared" si="0"/>
        <v>90</v>
      </c>
      <c r="K9" s="11">
        <f t="shared" si="0"/>
        <v>30</v>
      </c>
      <c r="L9" s="11">
        <f t="shared" si="0"/>
        <v>90</v>
      </c>
      <c r="M9" s="11">
        <f t="shared" si="0"/>
        <v>90</v>
      </c>
    </row>
    <row r="10" spans="1:13" x14ac:dyDescent="0.3">
      <c r="B10" s="7">
        <f>10/60</f>
        <v>0.16666666666666666</v>
      </c>
      <c r="C10" s="4">
        <v>2</v>
      </c>
      <c r="D10" s="7">
        <f>10/60</f>
        <v>0.16666666666666666</v>
      </c>
      <c r="E10" s="4">
        <v>1</v>
      </c>
      <c r="F10" s="4">
        <v>1</v>
      </c>
      <c r="I10" s="11">
        <f t="shared" si="1"/>
        <v>10</v>
      </c>
      <c r="J10" s="11">
        <f t="shared" si="0"/>
        <v>120</v>
      </c>
      <c r="K10" s="11">
        <f t="shared" si="0"/>
        <v>10</v>
      </c>
      <c r="L10" s="11">
        <f t="shared" si="0"/>
        <v>60</v>
      </c>
      <c r="M10" s="11">
        <f t="shared" si="0"/>
        <v>60</v>
      </c>
    </row>
    <row r="11" spans="1:13" x14ac:dyDescent="0.3">
      <c r="B11" s="4">
        <v>1</v>
      </c>
      <c r="C11" s="4">
        <v>1</v>
      </c>
      <c r="D11" s="4">
        <v>0</v>
      </c>
      <c r="E11" s="4">
        <v>1.5</v>
      </c>
      <c r="F11" s="4">
        <v>1</v>
      </c>
      <c r="I11" s="11">
        <f t="shared" si="1"/>
        <v>60</v>
      </c>
      <c r="J11" s="11">
        <f t="shared" si="0"/>
        <v>60</v>
      </c>
      <c r="K11" s="11">
        <f t="shared" si="0"/>
        <v>0</v>
      </c>
      <c r="L11" s="11">
        <f t="shared" si="0"/>
        <v>90</v>
      </c>
      <c r="M11" s="11">
        <f t="shared" si="0"/>
        <v>60</v>
      </c>
    </row>
    <row r="12" spans="1:13" x14ac:dyDescent="0.3">
      <c r="B12" s="5">
        <f>30/60</f>
        <v>0.5</v>
      </c>
      <c r="C12" s="5">
        <v>1.5</v>
      </c>
      <c r="I12" s="11">
        <f t="shared" si="1"/>
        <v>30</v>
      </c>
      <c r="J12" s="11">
        <f t="shared" si="0"/>
        <v>90</v>
      </c>
      <c r="K12" s="11"/>
      <c r="L12" s="11"/>
      <c r="M12" s="11"/>
    </row>
    <row r="13" spans="1:13" x14ac:dyDescent="0.3">
      <c r="A13" s="15" t="s">
        <v>114</v>
      </c>
      <c r="B13" s="16">
        <f>AVERAGE(B5:B12)</f>
        <v>1.0833333333333335</v>
      </c>
      <c r="C13" s="16">
        <f>AVERAGE(C5:C12)</f>
        <v>1.375</v>
      </c>
      <c r="D13" s="16">
        <f>AVERAGE(D5:D12)</f>
        <v>0.80952380952380953</v>
      </c>
      <c r="E13" s="16">
        <f>AVERAGE(E5:E12)</f>
        <v>0.9285714285714286</v>
      </c>
      <c r="F13" s="16">
        <f>AVERAGE(F5:F12)</f>
        <v>0.8571428571428571</v>
      </c>
      <c r="H13" s="5" t="s">
        <v>115</v>
      </c>
      <c r="I13" s="20">
        <f t="shared" si="1"/>
        <v>65.000000000000014</v>
      </c>
      <c r="J13" s="20">
        <f t="shared" si="0"/>
        <v>82.5</v>
      </c>
      <c r="K13" s="20">
        <f t="shared" si="0"/>
        <v>48.571428571428569</v>
      </c>
      <c r="L13" s="20">
        <f t="shared" si="0"/>
        <v>55.714285714285715</v>
      </c>
      <c r="M13" s="20">
        <f t="shared" si="0"/>
        <v>51.428571428571423</v>
      </c>
    </row>
    <row r="14" spans="1:13" x14ac:dyDescent="0.3">
      <c r="A14" s="5" t="s">
        <v>115</v>
      </c>
      <c r="B14" s="17">
        <f>+B13*60</f>
        <v>65.000000000000014</v>
      </c>
      <c r="C14" s="17">
        <f t="shared" ref="C14:F14" si="2">+C13*60</f>
        <v>82.5</v>
      </c>
      <c r="D14" s="17">
        <f t="shared" si="2"/>
        <v>48.571428571428569</v>
      </c>
      <c r="E14" s="17">
        <f t="shared" si="2"/>
        <v>55.714285714285715</v>
      </c>
      <c r="F14" s="17">
        <f t="shared" si="2"/>
        <v>51.428571428571423</v>
      </c>
    </row>
  </sheetData>
  <mergeCells count="2">
    <mergeCell ref="B3:F3"/>
    <mergeCell ref="I3:M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CC9CE-DD05-4362-B366-49E25E55C74F}">
  <dimension ref="A1:S119"/>
  <sheetViews>
    <sheetView workbookViewId="0"/>
  </sheetViews>
  <sheetFormatPr defaultRowHeight="14.4" x14ac:dyDescent="0.3"/>
  <cols>
    <col min="1" max="1" width="22.21875" customWidth="1"/>
    <col min="2" max="2" width="19" customWidth="1"/>
    <col min="3" max="3" width="18.77734375" customWidth="1"/>
    <col min="4" max="4" width="16" customWidth="1"/>
    <col min="5" max="5" width="19.6640625" customWidth="1"/>
    <col min="6" max="6" width="17.21875" customWidth="1"/>
    <col min="7" max="7" width="10.33203125" customWidth="1"/>
    <col min="8" max="8" width="11.109375" customWidth="1"/>
    <col min="9" max="9" width="9.33203125" customWidth="1"/>
    <col min="10" max="10" width="10.109375" customWidth="1"/>
  </cols>
  <sheetData>
    <row r="1" spans="1:19" ht="21" x14ac:dyDescent="0.4">
      <c r="A1" s="67" t="s">
        <v>213</v>
      </c>
    </row>
    <row r="3" spans="1:19" x14ac:dyDescent="0.3">
      <c r="B3" t="s">
        <v>181</v>
      </c>
      <c r="C3" t="s">
        <v>180</v>
      </c>
      <c r="D3" t="s">
        <v>179</v>
      </c>
      <c r="E3" t="s">
        <v>67</v>
      </c>
      <c r="F3" t="s">
        <v>178</v>
      </c>
      <c r="K3" s="9"/>
      <c r="L3" s="9"/>
      <c r="M3" s="9"/>
      <c r="N3" s="9"/>
      <c r="O3" s="9"/>
      <c r="P3" s="9"/>
      <c r="Q3" s="9"/>
      <c r="R3" s="9"/>
      <c r="S3" s="9"/>
    </row>
    <row r="4" spans="1:19" x14ac:dyDescent="0.3">
      <c r="B4">
        <v>0.5</v>
      </c>
      <c r="C4">
        <v>0.5</v>
      </c>
      <c r="D4">
        <v>1</v>
      </c>
      <c r="E4">
        <v>1</v>
      </c>
      <c r="F4">
        <v>1</v>
      </c>
      <c r="K4" s="22"/>
      <c r="M4" s="24"/>
      <c r="N4" s="23"/>
      <c r="Q4" s="8"/>
      <c r="R4" s="8"/>
    </row>
    <row r="5" spans="1:19" x14ac:dyDescent="0.3">
      <c r="B5">
        <v>0.5</v>
      </c>
      <c r="C5">
        <v>0.5</v>
      </c>
      <c r="D5">
        <v>1</v>
      </c>
      <c r="E5">
        <v>0.5</v>
      </c>
      <c r="K5" s="22"/>
      <c r="M5" s="24"/>
      <c r="N5" s="23"/>
      <c r="Q5" s="8"/>
      <c r="R5" s="8"/>
    </row>
    <row r="6" spans="1:19" x14ac:dyDescent="0.3">
      <c r="B6">
        <v>0.5</v>
      </c>
      <c r="D6">
        <v>1</v>
      </c>
      <c r="E6">
        <v>0.5</v>
      </c>
      <c r="K6" s="22"/>
      <c r="M6" s="24"/>
      <c r="N6" s="23"/>
      <c r="Q6" s="8"/>
      <c r="R6" s="8"/>
    </row>
    <row r="7" spans="1:19" x14ac:dyDescent="0.3">
      <c r="B7">
        <v>1</v>
      </c>
      <c r="D7">
        <v>0.5</v>
      </c>
      <c r="E7">
        <v>1</v>
      </c>
      <c r="K7" s="22"/>
      <c r="M7" s="24"/>
      <c r="N7" s="23"/>
      <c r="Q7" s="8"/>
      <c r="R7" s="8"/>
    </row>
    <row r="8" spans="1:19" x14ac:dyDescent="0.3">
      <c r="D8">
        <v>1</v>
      </c>
      <c r="E8">
        <v>0.5</v>
      </c>
      <c r="K8" s="22"/>
      <c r="M8" s="24"/>
      <c r="N8" s="23"/>
      <c r="Q8" s="8"/>
      <c r="R8" s="8"/>
    </row>
    <row r="9" spans="1:19" x14ac:dyDescent="0.3">
      <c r="D9">
        <v>0.25</v>
      </c>
      <c r="E9">
        <v>0.25</v>
      </c>
      <c r="K9" s="22"/>
      <c r="M9" s="24"/>
      <c r="N9" s="23"/>
      <c r="Q9" s="8"/>
      <c r="R9" s="8"/>
    </row>
    <row r="10" spans="1:19" x14ac:dyDescent="0.3">
      <c r="D10">
        <v>0.5</v>
      </c>
      <c r="E10">
        <v>0.25</v>
      </c>
      <c r="K10" s="22"/>
      <c r="M10" s="24"/>
      <c r="N10" s="23"/>
      <c r="Q10" s="8"/>
      <c r="R10" s="8"/>
    </row>
    <row r="11" spans="1:19" x14ac:dyDescent="0.3">
      <c r="D11">
        <v>1</v>
      </c>
      <c r="K11" s="22"/>
      <c r="M11" s="24"/>
      <c r="N11" s="23"/>
      <c r="Q11" s="8"/>
      <c r="R11" s="8"/>
    </row>
    <row r="12" spans="1:19" x14ac:dyDescent="0.3">
      <c r="A12" s="63" t="s">
        <v>182</v>
      </c>
      <c r="B12" s="62">
        <f>COUNT(B4:B11)</f>
        <v>4</v>
      </c>
      <c r="C12" s="62">
        <f t="shared" ref="C12:F12" si="0">COUNT(C4:C11)</f>
        <v>2</v>
      </c>
      <c r="D12" s="62">
        <f t="shared" si="0"/>
        <v>8</v>
      </c>
      <c r="E12" s="62">
        <f t="shared" si="0"/>
        <v>7</v>
      </c>
      <c r="F12" s="62">
        <f t="shared" si="0"/>
        <v>1</v>
      </c>
      <c r="K12" s="22"/>
      <c r="M12" s="24"/>
      <c r="N12" s="23"/>
      <c r="Q12" s="8"/>
      <c r="R12" s="8"/>
    </row>
    <row r="13" spans="1:19" x14ac:dyDescent="0.3">
      <c r="A13" s="61" t="s">
        <v>191</v>
      </c>
      <c r="B13" s="58"/>
      <c r="C13" s="58"/>
      <c r="D13" s="58"/>
      <c r="E13" s="58"/>
      <c r="F13" s="58"/>
      <c r="K13" s="22"/>
      <c r="M13" s="24"/>
      <c r="N13" s="23"/>
      <c r="Q13" s="8"/>
      <c r="R13" s="8"/>
    </row>
    <row r="14" spans="1:19" x14ac:dyDescent="0.3">
      <c r="A14" t="s">
        <v>183</v>
      </c>
      <c r="B14" s="24">
        <f>SUM(B4:B11)</f>
        <v>2.5</v>
      </c>
      <c r="C14" s="24">
        <f t="shared" ref="C14:F14" si="1">SUM(C4:C11)</f>
        <v>1</v>
      </c>
      <c r="D14" s="24">
        <f t="shared" si="1"/>
        <v>6.25</v>
      </c>
      <c r="E14" s="24">
        <f t="shared" si="1"/>
        <v>4</v>
      </c>
      <c r="F14" s="24">
        <f t="shared" si="1"/>
        <v>1</v>
      </c>
      <c r="K14" s="22"/>
      <c r="M14" s="24"/>
      <c r="N14" s="23"/>
      <c r="Q14" s="8"/>
      <c r="R14" s="8"/>
    </row>
    <row r="15" spans="1:19" x14ac:dyDescent="0.3">
      <c r="A15" t="s">
        <v>185</v>
      </c>
      <c r="B15" s="24">
        <f>AVERAGE(B4:B11)</f>
        <v>0.625</v>
      </c>
      <c r="C15" s="24">
        <f t="shared" ref="C15:F15" si="2">AVERAGE(C4:C11)</f>
        <v>0.5</v>
      </c>
      <c r="D15" s="24">
        <f t="shared" si="2"/>
        <v>0.78125</v>
      </c>
      <c r="E15" s="24">
        <f t="shared" si="2"/>
        <v>0.5714285714285714</v>
      </c>
      <c r="F15" s="24">
        <f t="shared" si="2"/>
        <v>1</v>
      </c>
    </row>
    <row r="16" spans="1:19" x14ac:dyDescent="0.3">
      <c r="A16" t="s">
        <v>187</v>
      </c>
      <c r="B16" s="24">
        <f>MIN(B4:B11)</f>
        <v>0.5</v>
      </c>
      <c r="C16" s="24">
        <f t="shared" ref="C16:F16" si="3">MIN(C4:C11)</f>
        <v>0.5</v>
      </c>
      <c r="D16" s="24">
        <f t="shared" si="3"/>
        <v>0.25</v>
      </c>
      <c r="E16" s="24">
        <f t="shared" si="3"/>
        <v>0.25</v>
      </c>
      <c r="F16" s="24">
        <f t="shared" si="3"/>
        <v>1</v>
      </c>
    </row>
    <row r="17" spans="1:10" x14ac:dyDescent="0.3">
      <c r="A17" t="s">
        <v>189</v>
      </c>
      <c r="B17" s="24">
        <f>MAX(B4:B11)</f>
        <v>1</v>
      </c>
      <c r="C17" s="24">
        <f t="shared" ref="C17:F17" si="4">MAX(C4:C11)</f>
        <v>0.5</v>
      </c>
      <c r="D17" s="24">
        <f t="shared" si="4"/>
        <v>1</v>
      </c>
      <c r="E17" s="24">
        <f t="shared" si="4"/>
        <v>1</v>
      </c>
      <c r="F17" s="24">
        <f t="shared" si="4"/>
        <v>1</v>
      </c>
    </row>
    <row r="18" spans="1:10" x14ac:dyDescent="0.3">
      <c r="A18" s="61" t="s">
        <v>192</v>
      </c>
      <c r="B18" s="58"/>
      <c r="C18" s="58"/>
      <c r="D18" s="58"/>
      <c r="E18" s="58"/>
      <c r="F18" s="58"/>
    </row>
    <row r="19" spans="1:10" x14ac:dyDescent="0.3">
      <c r="A19" t="s">
        <v>184</v>
      </c>
      <c r="B19" s="57">
        <f>+B14*60</f>
        <v>150</v>
      </c>
      <c r="C19" s="57">
        <f t="shared" ref="C19:F19" si="5">+C14*60</f>
        <v>60</v>
      </c>
      <c r="D19" s="57">
        <f t="shared" si="5"/>
        <v>375</v>
      </c>
      <c r="E19" s="57">
        <f t="shared" si="5"/>
        <v>240</v>
      </c>
      <c r="F19" s="57">
        <f t="shared" si="5"/>
        <v>60</v>
      </c>
    </row>
    <row r="20" spans="1:10" x14ac:dyDescent="0.3">
      <c r="A20" s="59" t="s">
        <v>186</v>
      </c>
      <c r="B20" s="60">
        <f t="shared" ref="B20:F20" si="6">+B15*60</f>
        <v>37.5</v>
      </c>
      <c r="C20" s="60">
        <f t="shared" si="6"/>
        <v>30</v>
      </c>
      <c r="D20" s="60">
        <f t="shared" si="6"/>
        <v>46.875</v>
      </c>
      <c r="E20" s="60">
        <f t="shared" si="6"/>
        <v>34.285714285714285</v>
      </c>
      <c r="F20" s="60">
        <f t="shared" si="6"/>
        <v>60</v>
      </c>
    </row>
    <row r="21" spans="1:10" x14ac:dyDescent="0.3">
      <c r="A21" t="s">
        <v>188</v>
      </c>
      <c r="B21" s="57">
        <f t="shared" ref="B21:F21" si="7">+B16*60</f>
        <v>30</v>
      </c>
      <c r="C21" s="57">
        <f t="shared" si="7"/>
        <v>30</v>
      </c>
      <c r="D21" s="57">
        <f t="shared" si="7"/>
        <v>15</v>
      </c>
      <c r="E21" s="57">
        <f t="shared" si="7"/>
        <v>15</v>
      </c>
      <c r="F21" s="57">
        <f t="shared" si="7"/>
        <v>60</v>
      </c>
    </row>
    <row r="22" spans="1:10" x14ac:dyDescent="0.3">
      <c r="A22" t="s">
        <v>190</v>
      </c>
      <c r="B22" s="57">
        <f t="shared" ref="B22:F22" si="8">+B17*60</f>
        <v>60</v>
      </c>
      <c r="C22" s="57">
        <f t="shared" si="8"/>
        <v>30</v>
      </c>
      <c r="D22" s="57">
        <f t="shared" si="8"/>
        <v>60</v>
      </c>
      <c r="E22" s="57">
        <f t="shared" si="8"/>
        <v>60</v>
      </c>
      <c r="F22" s="57">
        <f t="shared" si="8"/>
        <v>60</v>
      </c>
    </row>
    <row r="25" spans="1:10" x14ac:dyDescent="0.3">
      <c r="A25" t="s">
        <v>221</v>
      </c>
    </row>
    <row r="26" spans="1:10" ht="21" x14ac:dyDescent="0.3">
      <c r="A26" s="68" t="s">
        <v>214</v>
      </c>
      <c r="B26" s="1"/>
      <c r="C26" s="1"/>
      <c r="D26" s="1"/>
      <c r="E26" s="1"/>
      <c r="F26" s="1"/>
      <c r="G26" s="1"/>
      <c r="H26" s="1"/>
      <c r="I26" s="2"/>
      <c r="J26" s="2"/>
    </row>
    <row r="27" spans="1:10" ht="28.8" x14ac:dyDescent="0.3">
      <c r="A27" s="25" t="s">
        <v>60</v>
      </c>
      <c r="B27" s="25" t="s">
        <v>58</v>
      </c>
      <c r="C27" s="25" t="s">
        <v>61</v>
      </c>
      <c r="D27" s="25" t="s">
        <v>63</v>
      </c>
      <c r="E27" s="25" t="s">
        <v>57</v>
      </c>
      <c r="F27" s="25" t="s">
        <v>62</v>
      </c>
      <c r="G27" s="1"/>
      <c r="H27" s="1"/>
      <c r="I27" s="1"/>
      <c r="J27" s="1"/>
    </row>
    <row r="28" spans="1:10" ht="216" x14ac:dyDescent="0.3">
      <c r="A28" s="1" t="s">
        <v>76</v>
      </c>
      <c r="B28" s="1" t="s">
        <v>172</v>
      </c>
      <c r="C28" s="1" t="s">
        <v>75</v>
      </c>
      <c r="D28" s="1" t="s">
        <v>77</v>
      </c>
      <c r="E28" s="1">
        <v>0.5</v>
      </c>
      <c r="F28" s="1"/>
      <c r="G28" s="1"/>
      <c r="H28" s="1"/>
      <c r="I28" s="1"/>
      <c r="J28" s="1"/>
    </row>
    <row r="29" spans="1:10" ht="172.8" x14ac:dyDescent="0.3">
      <c r="A29" s="1" t="s">
        <v>105</v>
      </c>
      <c r="B29" s="1" t="s">
        <v>174</v>
      </c>
      <c r="C29" s="1" t="s">
        <v>75</v>
      </c>
      <c r="D29" s="1" t="s">
        <v>100</v>
      </c>
      <c r="E29" s="1">
        <v>0.5</v>
      </c>
      <c r="F29" s="1"/>
      <c r="G29" s="1"/>
      <c r="H29" s="1"/>
      <c r="I29" s="2"/>
      <c r="J29" s="2"/>
    </row>
    <row r="30" spans="1:10" ht="115.2" x14ac:dyDescent="0.3">
      <c r="A30" s="1" t="s">
        <v>93</v>
      </c>
      <c r="B30" s="1" t="s">
        <v>174</v>
      </c>
      <c r="C30" s="1" t="s">
        <v>75</v>
      </c>
      <c r="D30" s="1" t="s">
        <v>94</v>
      </c>
      <c r="E30" s="1">
        <v>0.5</v>
      </c>
      <c r="F30" s="1"/>
      <c r="G30" s="1"/>
      <c r="H30" s="1"/>
      <c r="I30" s="2"/>
      <c r="J30" s="2"/>
    </row>
    <row r="31" spans="1:10" ht="409.6" x14ac:dyDescent="0.3">
      <c r="A31" s="1" t="s">
        <v>80</v>
      </c>
      <c r="B31" s="1" t="s">
        <v>173</v>
      </c>
      <c r="C31" s="1" t="s">
        <v>75</v>
      </c>
      <c r="D31" s="1" t="s">
        <v>106</v>
      </c>
      <c r="E31" s="1">
        <v>1</v>
      </c>
      <c r="F31" s="1" t="s">
        <v>107</v>
      </c>
      <c r="G31" s="1"/>
      <c r="H31" s="1"/>
      <c r="I31" s="2"/>
      <c r="J31" s="2"/>
    </row>
    <row r="32" spans="1:10" ht="331.2" x14ac:dyDescent="0.3">
      <c r="A32" s="1" t="s">
        <v>74</v>
      </c>
      <c r="B32" s="1" t="s">
        <v>66</v>
      </c>
      <c r="C32" s="1" t="s">
        <v>64</v>
      </c>
      <c r="D32" s="1" t="s">
        <v>108</v>
      </c>
      <c r="E32" s="1">
        <v>1</v>
      </c>
      <c r="F32" s="1"/>
      <c r="G32" s="1"/>
      <c r="H32" s="1"/>
      <c r="I32" s="2"/>
      <c r="J32" s="2"/>
    </row>
    <row r="33" spans="1:10" ht="172.8" x14ac:dyDescent="0.3">
      <c r="A33" s="1" t="s">
        <v>65</v>
      </c>
      <c r="B33" s="1" t="s">
        <v>174</v>
      </c>
      <c r="C33" s="1" t="s">
        <v>64</v>
      </c>
      <c r="D33" s="1" t="s">
        <v>85</v>
      </c>
      <c r="E33" s="1">
        <v>1</v>
      </c>
      <c r="F33" s="1"/>
      <c r="G33" s="1"/>
      <c r="H33" s="1"/>
      <c r="I33" s="2"/>
      <c r="J33" s="2"/>
    </row>
    <row r="34" spans="1:10" ht="403.2" x14ac:dyDescent="0.3">
      <c r="A34" s="1" t="s">
        <v>59</v>
      </c>
      <c r="B34" s="1" t="s">
        <v>174</v>
      </c>
      <c r="C34" s="1" t="s">
        <v>64</v>
      </c>
      <c r="D34" s="1" t="s">
        <v>109</v>
      </c>
      <c r="E34" s="1">
        <v>1</v>
      </c>
      <c r="F34" s="1" t="s">
        <v>110</v>
      </c>
      <c r="G34" s="1"/>
      <c r="H34" s="1"/>
      <c r="I34" s="2"/>
      <c r="J34" s="2"/>
    </row>
    <row r="35" spans="1:10" ht="100.8" x14ac:dyDescent="0.3">
      <c r="A35" s="1" t="s">
        <v>84</v>
      </c>
      <c r="B35" s="1" t="s">
        <v>174</v>
      </c>
      <c r="C35" s="1" t="s">
        <v>64</v>
      </c>
      <c r="D35" s="1" t="s">
        <v>104</v>
      </c>
      <c r="E35" s="1">
        <v>0.5</v>
      </c>
      <c r="F35" s="1"/>
      <c r="G35" s="1"/>
      <c r="H35" s="1"/>
      <c r="I35" s="2"/>
      <c r="J35" s="2"/>
    </row>
    <row r="36" spans="1:10" ht="129.6" x14ac:dyDescent="0.3">
      <c r="A36" s="1" t="s">
        <v>99</v>
      </c>
      <c r="B36" s="1" t="s">
        <v>174</v>
      </c>
      <c r="C36" s="1" t="s">
        <v>64</v>
      </c>
      <c r="D36" s="1" t="s">
        <v>112</v>
      </c>
      <c r="E36" s="1">
        <v>1</v>
      </c>
      <c r="F36" s="1"/>
      <c r="G36" s="1"/>
      <c r="H36" s="1"/>
      <c r="I36" s="2"/>
      <c r="J36" s="2"/>
    </row>
    <row r="37" spans="1:10" ht="129.6" x14ac:dyDescent="0.3">
      <c r="A37" s="1" t="s">
        <v>88</v>
      </c>
      <c r="B37" s="1" t="s">
        <v>174</v>
      </c>
      <c r="C37" s="1" t="s">
        <v>64</v>
      </c>
      <c r="D37" s="1" t="s">
        <v>89</v>
      </c>
      <c r="E37" s="1">
        <v>0.25</v>
      </c>
      <c r="F37" s="1"/>
      <c r="G37" s="1"/>
      <c r="H37" s="1"/>
      <c r="I37" s="2"/>
      <c r="J37" s="2"/>
    </row>
    <row r="38" spans="1:10" ht="158.4" x14ac:dyDescent="0.3">
      <c r="A38" s="1" t="s">
        <v>90</v>
      </c>
      <c r="B38" s="1" t="s">
        <v>174</v>
      </c>
      <c r="C38" s="1" t="s">
        <v>64</v>
      </c>
      <c r="D38" s="1" t="s">
        <v>91</v>
      </c>
      <c r="E38" s="1">
        <v>0.5</v>
      </c>
      <c r="F38" s="1" t="s">
        <v>92</v>
      </c>
      <c r="G38" s="1"/>
      <c r="H38" s="1"/>
      <c r="I38" s="2"/>
      <c r="J38" s="2"/>
    </row>
    <row r="39" spans="1:10" ht="86.4" x14ac:dyDescent="0.3">
      <c r="A39" s="1" t="s">
        <v>102</v>
      </c>
      <c r="B39" s="1" t="s">
        <v>174</v>
      </c>
      <c r="C39" s="1" t="s">
        <v>64</v>
      </c>
      <c r="D39" s="1" t="s">
        <v>101</v>
      </c>
      <c r="E39" s="1">
        <v>1</v>
      </c>
      <c r="F39" s="1"/>
      <c r="G39" s="1"/>
      <c r="H39" s="1"/>
      <c r="I39" s="2"/>
      <c r="J39" s="2"/>
    </row>
    <row r="40" spans="1:10" ht="158.4" x14ac:dyDescent="0.3">
      <c r="A40" s="1" t="s">
        <v>81</v>
      </c>
      <c r="B40" s="1" t="s">
        <v>172</v>
      </c>
      <c r="C40" s="1" t="s">
        <v>82</v>
      </c>
      <c r="D40" s="1" t="s">
        <v>83</v>
      </c>
      <c r="E40" s="1">
        <v>0</v>
      </c>
      <c r="F40" s="1"/>
      <c r="G40" s="1"/>
      <c r="H40" s="1"/>
      <c r="I40" s="2"/>
      <c r="J40" s="2"/>
    </row>
    <row r="41" spans="1:10" ht="129.6" x14ac:dyDescent="0.3">
      <c r="A41" s="1" t="s">
        <v>86</v>
      </c>
      <c r="B41" s="1" t="s">
        <v>172</v>
      </c>
      <c r="C41" s="1" t="s">
        <v>121</v>
      </c>
      <c r="D41" s="1" t="s">
        <v>87</v>
      </c>
      <c r="E41" s="1">
        <v>0.5</v>
      </c>
      <c r="F41" s="1"/>
      <c r="G41" s="1"/>
      <c r="H41" s="1"/>
      <c r="I41" s="2"/>
      <c r="J41" s="2"/>
    </row>
    <row r="42" spans="1:10" ht="115.2" x14ac:dyDescent="0.3">
      <c r="A42" s="1" t="s">
        <v>78</v>
      </c>
      <c r="B42" s="1" t="s">
        <v>172</v>
      </c>
      <c r="C42" s="1" t="s">
        <v>121</v>
      </c>
      <c r="D42" s="1" t="s">
        <v>79</v>
      </c>
      <c r="E42" s="1">
        <v>0.5</v>
      </c>
      <c r="F42" s="1"/>
      <c r="G42" s="1"/>
      <c r="H42" s="1"/>
      <c r="I42" s="2"/>
      <c r="J42" s="2"/>
    </row>
    <row r="43" spans="1:10" ht="129.6" x14ac:dyDescent="0.3">
      <c r="A43" s="1" t="s">
        <v>71</v>
      </c>
      <c r="B43" s="1" t="s">
        <v>177</v>
      </c>
      <c r="C43" s="1" t="s">
        <v>67</v>
      </c>
      <c r="D43" s="1" t="s">
        <v>152</v>
      </c>
      <c r="E43" s="1">
        <v>1</v>
      </c>
      <c r="F43" s="1" t="s">
        <v>103</v>
      </c>
      <c r="G43" s="1"/>
      <c r="H43" s="1"/>
      <c r="I43" s="2"/>
      <c r="J43" s="2"/>
    </row>
    <row r="44" spans="1:10" ht="360" x14ac:dyDescent="0.3">
      <c r="A44" s="1" t="s">
        <v>71</v>
      </c>
      <c r="B44" s="1" t="s">
        <v>172</v>
      </c>
      <c r="C44" s="1" t="s">
        <v>67</v>
      </c>
      <c r="D44" s="1" t="s">
        <v>111</v>
      </c>
      <c r="E44" s="1">
        <v>0.5</v>
      </c>
      <c r="F44" s="1" t="s">
        <v>103</v>
      </c>
      <c r="G44" s="1"/>
      <c r="H44" s="1"/>
      <c r="I44" s="2"/>
      <c r="J44" s="2"/>
    </row>
    <row r="45" spans="1:10" ht="86.4" x14ac:dyDescent="0.3">
      <c r="A45" s="1" t="s">
        <v>151</v>
      </c>
      <c r="B45" s="1" t="s">
        <v>176</v>
      </c>
      <c r="C45" s="1" t="s">
        <v>67</v>
      </c>
      <c r="D45" s="1" t="s">
        <v>70</v>
      </c>
      <c r="E45" s="1">
        <v>0.5</v>
      </c>
      <c r="F45" s="1"/>
      <c r="G45" s="1"/>
      <c r="H45" s="1"/>
      <c r="I45" s="2"/>
      <c r="J45" s="2"/>
    </row>
    <row r="46" spans="1:10" ht="129.6" x14ac:dyDescent="0.3">
      <c r="A46" s="1" t="s">
        <v>71</v>
      </c>
      <c r="B46" s="1" t="s">
        <v>175</v>
      </c>
      <c r="C46" s="1" t="s">
        <v>67</v>
      </c>
      <c r="D46" s="1" t="s">
        <v>72</v>
      </c>
      <c r="E46" s="1">
        <v>1</v>
      </c>
      <c r="F46" s="1"/>
      <c r="G46" s="1"/>
      <c r="H46" s="1"/>
      <c r="I46" s="2"/>
      <c r="J46" s="2"/>
    </row>
    <row r="47" spans="1:10" ht="72" x14ac:dyDescent="0.3">
      <c r="A47" s="1" t="s">
        <v>69</v>
      </c>
      <c r="B47" s="1" t="s">
        <v>172</v>
      </c>
      <c r="C47" s="1" t="s">
        <v>67</v>
      </c>
      <c r="D47" s="1" t="s">
        <v>68</v>
      </c>
      <c r="E47" s="1">
        <v>0.5</v>
      </c>
      <c r="F47" s="1"/>
      <c r="G47" s="1"/>
      <c r="H47" s="1"/>
      <c r="I47" s="1"/>
      <c r="J47" s="1"/>
    </row>
    <row r="48" spans="1:10" ht="57.6" x14ac:dyDescent="0.3">
      <c r="A48" s="1" t="s">
        <v>71</v>
      </c>
      <c r="B48" s="1" t="s">
        <v>172</v>
      </c>
      <c r="C48" s="1" t="s">
        <v>67</v>
      </c>
      <c r="D48" s="1" t="s">
        <v>73</v>
      </c>
      <c r="E48" s="1">
        <v>0.25</v>
      </c>
      <c r="F48" s="1"/>
      <c r="G48" s="1"/>
      <c r="H48" s="1"/>
      <c r="I48" s="2"/>
      <c r="J48" s="2"/>
    </row>
    <row r="49" spans="1:10" ht="86.4" x14ac:dyDescent="0.3">
      <c r="A49" s="1" t="s">
        <v>97</v>
      </c>
      <c r="B49" s="1" t="s">
        <v>174</v>
      </c>
      <c r="C49" s="1" t="s">
        <v>67</v>
      </c>
      <c r="D49" s="1" t="s">
        <v>98</v>
      </c>
      <c r="E49" s="1">
        <v>0.25</v>
      </c>
      <c r="F49" s="1"/>
      <c r="G49" s="1"/>
      <c r="H49" s="1"/>
      <c r="I49" s="2"/>
      <c r="J49" s="2"/>
    </row>
    <row r="50" spans="1:10" ht="230.4" x14ac:dyDescent="0.3">
      <c r="A50" s="1" t="s">
        <v>95</v>
      </c>
      <c r="B50" s="1" t="s">
        <v>174</v>
      </c>
      <c r="C50" s="1" t="s">
        <v>0</v>
      </c>
      <c r="D50" s="1" t="s">
        <v>96</v>
      </c>
      <c r="E50" s="1">
        <v>1</v>
      </c>
      <c r="F50" s="1"/>
      <c r="G50" s="1"/>
      <c r="H50" s="1"/>
      <c r="I50" s="2"/>
      <c r="J50" s="2"/>
    </row>
    <row r="51" spans="1:10" ht="57.6" x14ac:dyDescent="0.3">
      <c r="A51" s="1"/>
      <c r="B51" s="1"/>
      <c r="C51" s="1"/>
      <c r="D51" s="49" t="s">
        <v>154</v>
      </c>
      <c r="E51" s="49">
        <f>COUNT(E28:E50)</f>
        <v>23</v>
      </c>
      <c r="F51" s="1"/>
      <c r="G51" s="1"/>
      <c r="H51" s="1"/>
      <c r="I51" s="2"/>
      <c r="J51" s="2"/>
    </row>
    <row r="52" spans="1:10" ht="43.2" x14ac:dyDescent="0.3">
      <c r="A52" s="1"/>
      <c r="B52" s="1"/>
      <c r="C52" s="1"/>
      <c r="D52" s="49" t="s">
        <v>153</v>
      </c>
      <c r="E52" s="50">
        <f>SUM(E28:E50)</f>
        <v>14.75</v>
      </c>
      <c r="F52" s="1"/>
      <c r="G52" s="1"/>
      <c r="H52" s="1"/>
      <c r="I52" s="2"/>
      <c r="J52" s="2"/>
    </row>
    <row r="53" spans="1:10" ht="72" x14ac:dyDescent="0.3">
      <c r="A53" s="1"/>
      <c r="B53" s="1"/>
      <c r="C53" s="1"/>
      <c r="D53" s="49" t="s">
        <v>155</v>
      </c>
      <c r="E53" s="51">
        <f>AVERAGE(E28:E50)</f>
        <v>0.64130434782608692</v>
      </c>
      <c r="F53" s="1"/>
      <c r="G53" s="1"/>
      <c r="H53" s="1"/>
      <c r="I53" s="2"/>
      <c r="J53" s="2"/>
    </row>
    <row r="54" spans="1:10" ht="72" x14ac:dyDescent="0.3">
      <c r="A54" s="1"/>
      <c r="B54" s="1"/>
      <c r="C54" s="1"/>
      <c r="D54" s="25" t="s">
        <v>156</v>
      </c>
      <c r="E54" s="52">
        <f>+E53*60</f>
        <v>38.478260869565219</v>
      </c>
      <c r="F54" s="1"/>
      <c r="G54" s="1"/>
      <c r="H54" s="1"/>
      <c r="I54" s="2"/>
      <c r="J54" s="2"/>
    </row>
    <row r="55" spans="1:10" x14ac:dyDescent="0.3">
      <c r="A55" s="1"/>
      <c r="B55" s="1"/>
      <c r="C55" s="1"/>
      <c r="D55" s="1"/>
      <c r="E55" s="1"/>
      <c r="F55" s="1"/>
      <c r="G55" s="1"/>
      <c r="H55" s="1"/>
      <c r="I55" s="2"/>
      <c r="J55" s="2"/>
    </row>
    <row r="56" spans="1:10" x14ac:dyDescent="0.3">
      <c r="A56" s="1"/>
      <c r="B56" s="1"/>
      <c r="C56" s="1"/>
      <c r="D56" s="1"/>
      <c r="E56" s="1"/>
      <c r="F56" s="1"/>
      <c r="G56" s="1"/>
      <c r="H56" s="1"/>
      <c r="I56" s="2"/>
      <c r="J56" s="2"/>
    </row>
    <row r="57" spans="1:10" x14ac:dyDescent="0.3">
      <c r="A57" s="1"/>
      <c r="B57" s="1"/>
      <c r="C57" s="1"/>
      <c r="D57" s="1"/>
      <c r="E57" s="1"/>
      <c r="F57" s="1"/>
      <c r="G57" s="1"/>
      <c r="H57" s="1"/>
      <c r="I57" s="2"/>
      <c r="J57" s="2"/>
    </row>
    <row r="58" spans="1:10" x14ac:dyDescent="0.3">
      <c r="A58" s="1"/>
      <c r="B58" s="1"/>
      <c r="C58" s="1"/>
      <c r="D58" s="1"/>
      <c r="E58" s="1"/>
      <c r="F58" s="1"/>
      <c r="G58" s="1"/>
      <c r="H58" s="1"/>
      <c r="I58" s="2"/>
      <c r="J58" s="2"/>
    </row>
    <row r="59" spans="1:10" x14ac:dyDescent="0.3">
      <c r="A59" s="1"/>
      <c r="B59" s="1"/>
      <c r="C59" s="1"/>
      <c r="D59" s="1"/>
      <c r="E59" s="1"/>
      <c r="F59" s="1"/>
      <c r="G59" s="1"/>
      <c r="H59" s="1"/>
      <c r="I59" s="2"/>
      <c r="J59" s="2"/>
    </row>
    <row r="60" spans="1:10" x14ac:dyDescent="0.3">
      <c r="A60" s="1"/>
      <c r="B60" s="1"/>
      <c r="C60" s="1"/>
      <c r="D60" s="1"/>
      <c r="E60" s="1"/>
      <c r="F60" s="1"/>
      <c r="G60" s="1"/>
      <c r="H60" s="1"/>
      <c r="I60" s="2"/>
      <c r="J60" s="2"/>
    </row>
    <row r="61" spans="1:10" x14ac:dyDescent="0.3">
      <c r="A61" s="1"/>
      <c r="B61" s="1"/>
      <c r="C61" s="1"/>
      <c r="D61" s="1"/>
      <c r="E61" s="1"/>
      <c r="F61" s="1"/>
      <c r="G61" s="1"/>
      <c r="H61" s="1"/>
      <c r="I61" s="2"/>
      <c r="J61" s="2"/>
    </row>
    <row r="62" spans="1:10" x14ac:dyDescent="0.3">
      <c r="A62" s="1"/>
      <c r="B62" s="1"/>
      <c r="C62" s="1"/>
      <c r="D62" s="1"/>
      <c r="E62" s="1"/>
      <c r="F62" s="1"/>
      <c r="G62" s="1"/>
      <c r="H62" s="1"/>
      <c r="I62" s="2"/>
      <c r="J62" s="2"/>
    </row>
    <row r="63" spans="1:10" x14ac:dyDescent="0.3">
      <c r="A63" s="1"/>
      <c r="B63" s="1"/>
      <c r="C63" s="1"/>
      <c r="D63" s="1"/>
      <c r="E63" s="1"/>
      <c r="F63" s="1"/>
      <c r="G63" s="1"/>
      <c r="H63" s="1"/>
      <c r="I63" s="2"/>
      <c r="J63" s="2"/>
    </row>
    <row r="64" spans="1:10" x14ac:dyDescent="0.3">
      <c r="A64" s="1"/>
      <c r="B64" s="1"/>
      <c r="C64" s="1"/>
      <c r="D64" s="1"/>
      <c r="E64" s="1"/>
      <c r="F64" s="1"/>
      <c r="G64" s="1"/>
      <c r="H64" s="1"/>
      <c r="I64" s="2"/>
      <c r="J64" s="2"/>
    </row>
    <row r="65" spans="1:10" x14ac:dyDescent="0.3">
      <c r="A65" s="1"/>
      <c r="B65" s="1"/>
      <c r="C65" s="1"/>
      <c r="D65" s="1"/>
      <c r="E65" s="1"/>
      <c r="F65" s="1"/>
      <c r="G65" s="1"/>
      <c r="H65" s="1"/>
      <c r="I65" s="2"/>
      <c r="J65" s="2"/>
    </row>
    <row r="66" spans="1:10" x14ac:dyDescent="0.3">
      <c r="A66" s="1"/>
      <c r="B66" s="1"/>
      <c r="C66" s="1"/>
      <c r="D66" s="1"/>
      <c r="E66" s="1"/>
      <c r="F66" s="1"/>
      <c r="G66" s="1"/>
      <c r="H66" s="1"/>
      <c r="I66" s="2"/>
      <c r="J66" s="2"/>
    </row>
    <row r="67" spans="1:10" x14ac:dyDescent="0.3">
      <c r="A67" s="1"/>
      <c r="B67" s="1"/>
      <c r="C67" s="1"/>
      <c r="D67" s="1"/>
      <c r="E67" s="1"/>
      <c r="F67" s="1"/>
      <c r="G67" s="1"/>
      <c r="H67" s="1"/>
      <c r="I67" s="2"/>
      <c r="J67" s="2"/>
    </row>
    <row r="68" spans="1:10" x14ac:dyDescent="0.3">
      <c r="A68" s="1"/>
      <c r="B68" s="1"/>
      <c r="C68" s="1"/>
      <c r="D68" s="1"/>
      <c r="E68" s="1"/>
      <c r="F68" s="1"/>
      <c r="G68" s="1"/>
      <c r="H68" s="1"/>
      <c r="I68" s="2"/>
      <c r="J68" s="2"/>
    </row>
    <row r="69" spans="1:10" x14ac:dyDescent="0.3">
      <c r="A69" s="1"/>
      <c r="B69" s="1"/>
      <c r="C69" s="1"/>
      <c r="D69" s="1"/>
      <c r="E69" s="1"/>
      <c r="F69" s="1"/>
      <c r="G69" s="1"/>
      <c r="H69" s="1"/>
      <c r="I69" s="2"/>
      <c r="J69" s="2"/>
    </row>
    <row r="70" spans="1:10" x14ac:dyDescent="0.3">
      <c r="A70" s="1"/>
      <c r="B70" s="1"/>
      <c r="C70" s="1"/>
      <c r="D70" s="1"/>
      <c r="E70" s="1"/>
      <c r="F70" s="1"/>
      <c r="G70" s="1"/>
      <c r="H70" s="1"/>
      <c r="I70" s="2"/>
      <c r="J70" s="2"/>
    </row>
    <row r="71" spans="1:10" x14ac:dyDescent="0.3">
      <c r="A71" s="1"/>
      <c r="B71" s="1"/>
      <c r="C71" s="1"/>
      <c r="D71" s="1"/>
      <c r="E71" s="1"/>
      <c r="F71" s="1"/>
      <c r="G71" s="1"/>
      <c r="H71" s="1"/>
      <c r="I71" s="2"/>
      <c r="J71" s="2"/>
    </row>
    <row r="72" spans="1:10" x14ac:dyDescent="0.3">
      <c r="A72" s="1"/>
      <c r="B72" s="1"/>
      <c r="C72" s="1"/>
      <c r="D72" s="1"/>
      <c r="E72" s="1"/>
      <c r="F72" s="1"/>
      <c r="G72" s="1"/>
      <c r="H72" s="1"/>
      <c r="I72" s="2"/>
      <c r="J72" s="2"/>
    </row>
    <row r="73" spans="1:10" x14ac:dyDescent="0.3">
      <c r="A73" s="1"/>
      <c r="B73" s="1"/>
      <c r="C73" s="1"/>
      <c r="D73" s="1"/>
      <c r="E73" s="1"/>
      <c r="F73" s="1"/>
      <c r="G73" s="1"/>
      <c r="H73" s="1"/>
      <c r="I73" s="2"/>
      <c r="J73" s="2"/>
    </row>
    <row r="74" spans="1:10" x14ac:dyDescent="0.3">
      <c r="A74" s="1"/>
      <c r="B74" s="1"/>
      <c r="C74" s="1"/>
      <c r="D74" s="1"/>
      <c r="E74" s="1"/>
      <c r="F74" s="1"/>
      <c r="G74" s="1"/>
      <c r="H74" s="1"/>
      <c r="I74" s="2"/>
      <c r="J74" s="2"/>
    </row>
    <row r="75" spans="1:10" x14ac:dyDescent="0.3">
      <c r="A75" s="1"/>
      <c r="B75" s="1"/>
      <c r="C75" s="1"/>
      <c r="D75" s="1"/>
      <c r="E75" s="1"/>
      <c r="F75" s="1"/>
      <c r="G75" s="1"/>
      <c r="H75" s="1"/>
      <c r="I75" s="2"/>
      <c r="J75" s="2"/>
    </row>
    <row r="76" spans="1:10" x14ac:dyDescent="0.3">
      <c r="A76" s="1"/>
      <c r="B76" s="1"/>
      <c r="C76" s="1"/>
      <c r="D76" s="1"/>
      <c r="E76" s="1"/>
      <c r="F76" s="1"/>
      <c r="G76" s="1"/>
      <c r="H76" s="1"/>
      <c r="I76" s="2"/>
      <c r="J76" s="2"/>
    </row>
    <row r="77" spans="1:10" x14ac:dyDescent="0.3">
      <c r="A77" s="1"/>
      <c r="B77" s="1"/>
      <c r="C77" s="1"/>
      <c r="D77" s="1"/>
      <c r="E77" s="1"/>
      <c r="F77" s="1"/>
      <c r="G77" s="1"/>
      <c r="H77" s="1"/>
      <c r="I77" s="2"/>
      <c r="J77" s="2"/>
    </row>
    <row r="78" spans="1:10" x14ac:dyDescent="0.3">
      <c r="A78" s="1"/>
      <c r="B78" s="1"/>
      <c r="C78" s="1"/>
      <c r="D78" s="1"/>
      <c r="E78" s="1"/>
      <c r="F78" s="1"/>
      <c r="G78" s="1"/>
      <c r="H78" s="1"/>
      <c r="I78" s="2"/>
      <c r="J78" s="2"/>
    </row>
    <row r="79" spans="1:10" x14ac:dyDescent="0.3">
      <c r="A79" s="1"/>
      <c r="B79" s="1"/>
      <c r="C79" s="1"/>
      <c r="D79" s="1"/>
      <c r="E79" s="1"/>
      <c r="F79" s="1"/>
      <c r="G79" s="1"/>
      <c r="H79" s="1"/>
      <c r="I79" s="2"/>
      <c r="J79" s="2"/>
    </row>
    <row r="80" spans="1:10" x14ac:dyDescent="0.3">
      <c r="A80" s="1"/>
      <c r="B80" s="1"/>
      <c r="C80" s="1"/>
      <c r="D80" s="1"/>
      <c r="E80" s="1"/>
      <c r="F80" s="1"/>
      <c r="G80" s="1"/>
      <c r="H80" s="1"/>
      <c r="I80" s="2"/>
      <c r="J80" s="2"/>
    </row>
    <row r="81" spans="1:10" x14ac:dyDescent="0.3">
      <c r="A81" s="1"/>
      <c r="B81" s="1"/>
      <c r="C81" s="1"/>
      <c r="D81" s="1"/>
      <c r="E81" s="1"/>
      <c r="F81" s="1"/>
      <c r="G81" s="1"/>
      <c r="H81" s="1"/>
      <c r="I81" s="2"/>
      <c r="J81" s="2"/>
    </row>
    <row r="82" spans="1:10" x14ac:dyDescent="0.3">
      <c r="A82" s="1"/>
      <c r="B82" s="1"/>
      <c r="C82" s="1"/>
      <c r="D82" s="1"/>
      <c r="E82" s="1"/>
      <c r="F82" s="1"/>
      <c r="G82" s="1"/>
      <c r="H82" s="1"/>
      <c r="I82" s="2"/>
      <c r="J82" s="2"/>
    </row>
    <row r="83" spans="1:10" x14ac:dyDescent="0.3">
      <c r="A83" s="1"/>
      <c r="B83" s="1"/>
      <c r="C83" s="1"/>
      <c r="D83" s="1"/>
      <c r="E83" s="1"/>
      <c r="F83" s="1"/>
      <c r="G83" s="1"/>
      <c r="H83" s="1"/>
      <c r="I83" s="2"/>
      <c r="J83" s="2"/>
    </row>
    <row r="84" spans="1:10" x14ac:dyDescent="0.3">
      <c r="A84" s="1"/>
      <c r="B84" s="1"/>
      <c r="C84" s="1"/>
      <c r="D84" s="1"/>
      <c r="E84" s="1"/>
      <c r="F84" s="1"/>
      <c r="G84" s="1"/>
      <c r="H84" s="1"/>
      <c r="I84" s="2"/>
      <c r="J84" s="2"/>
    </row>
    <row r="85" spans="1:10" x14ac:dyDescent="0.3">
      <c r="A85" s="1"/>
      <c r="B85" s="1"/>
      <c r="C85" s="1"/>
      <c r="D85" s="1"/>
      <c r="E85" s="1"/>
      <c r="F85" s="1"/>
      <c r="G85" s="1"/>
      <c r="H85" s="1"/>
      <c r="I85" s="2"/>
      <c r="J85" s="2"/>
    </row>
    <row r="86" spans="1:10" x14ac:dyDescent="0.3">
      <c r="A86" s="1"/>
      <c r="B86" s="1"/>
      <c r="C86" s="1"/>
      <c r="D86" s="1"/>
      <c r="E86" s="1"/>
      <c r="F86" s="1"/>
      <c r="G86" s="1"/>
      <c r="H86" s="1"/>
      <c r="I86" s="2"/>
      <c r="J86" s="2"/>
    </row>
    <row r="87" spans="1:10" x14ac:dyDescent="0.3">
      <c r="A87" s="1"/>
      <c r="B87" s="1"/>
      <c r="C87" s="1"/>
      <c r="D87" s="1"/>
      <c r="E87" s="1"/>
      <c r="F87" s="1"/>
      <c r="G87" s="1"/>
      <c r="H87" s="1"/>
      <c r="I87" s="2"/>
      <c r="J87" s="2"/>
    </row>
    <row r="88" spans="1:10" x14ac:dyDescent="0.3">
      <c r="A88" s="1"/>
      <c r="B88" s="1"/>
      <c r="C88" s="1"/>
      <c r="D88" s="1"/>
      <c r="E88" s="1"/>
      <c r="F88" s="1"/>
      <c r="G88" s="1"/>
      <c r="H88" s="1"/>
      <c r="I88" s="2"/>
      <c r="J88" s="2"/>
    </row>
    <row r="89" spans="1:10" x14ac:dyDescent="0.3">
      <c r="A89" s="1"/>
      <c r="B89" s="1"/>
      <c r="C89" s="1"/>
      <c r="D89" s="1"/>
      <c r="E89" s="1"/>
      <c r="F89" s="1"/>
      <c r="G89" s="1"/>
      <c r="H89" s="1"/>
      <c r="I89" s="2"/>
      <c r="J89" s="2"/>
    </row>
    <row r="90" spans="1:10" x14ac:dyDescent="0.3">
      <c r="A90" s="1"/>
      <c r="B90" s="1"/>
      <c r="C90" s="1"/>
      <c r="D90" s="1"/>
      <c r="E90" s="1"/>
      <c r="F90" s="1"/>
      <c r="G90" s="1"/>
      <c r="H90" s="1"/>
      <c r="I90" s="2"/>
      <c r="J90" s="2"/>
    </row>
    <row r="91" spans="1:10" x14ac:dyDescent="0.3">
      <c r="A91" s="1"/>
      <c r="B91" s="1"/>
      <c r="C91" s="1"/>
      <c r="D91" s="1"/>
      <c r="E91" s="1"/>
      <c r="F91" s="1"/>
      <c r="G91" s="1"/>
      <c r="H91" s="1"/>
      <c r="I91" s="2"/>
      <c r="J91" s="2"/>
    </row>
    <row r="92" spans="1:10" x14ac:dyDescent="0.3">
      <c r="A92" s="1"/>
      <c r="B92" s="1"/>
      <c r="C92" s="1"/>
      <c r="D92" s="1"/>
      <c r="E92" s="1"/>
      <c r="F92" s="1"/>
      <c r="G92" s="1"/>
      <c r="H92" s="1"/>
      <c r="I92" s="2"/>
      <c r="J92" s="2"/>
    </row>
    <row r="93" spans="1:10" x14ac:dyDescent="0.3">
      <c r="A93" s="1"/>
      <c r="B93" s="1"/>
      <c r="C93" s="1"/>
      <c r="D93" s="1"/>
      <c r="E93" s="1"/>
      <c r="F93" s="1"/>
      <c r="G93" s="1"/>
      <c r="H93" s="1"/>
      <c r="I93" s="2"/>
      <c r="J93" s="2"/>
    </row>
    <row r="94" spans="1:10" x14ac:dyDescent="0.3">
      <c r="A94" s="1"/>
      <c r="B94" s="1"/>
      <c r="C94" s="1"/>
      <c r="D94" s="1"/>
      <c r="E94" s="1"/>
      <c r="F94" s="1"/>
      <c r="G94" s="1"/>
      <c r="H94" s="1"/>
      <c r="I94" s="2"/>
      <c r="J94" s="2"/>
    </row>
    <row r="95" spans="1:10" x14ac:dyDescent="0.3">
      <c r="A95" s="1"/>
      <c r="B95" s="1"/>
      <c r="C95" s="1"/>
      <c r="D95" s="1"/>
      <c r="E95" s="1"/>
      <c r="F95" s="1"/>
      <c r="G95" s="1"/>
      <c r="H95" s="1"/>
      <c r="I95" s="2"/>
      <c r="J95" s="2"/>
    </row>
    <row r="96" spans="1:10" x14ac:dyDescent="0.3">
      <c r="A96" s="1"/>
      <c r="B96" s="1"/>
      <c r="C96" s="1"/>
      <c r="D96" s="1"/>
      <c r="E96" s="1"/>
      <c r="F96" s="1"/>
      <c r="G96" s="1"/>
      <c r="H96" s="1"/>
      <c r="I96" s="2"/>
      <c r="J96" s="2"/>
    </row>
    <row r="97" spans="1:10" x14ac:dyDescent="0.3">
      <c r="A97" s="1"/>
      <c r="B97" s="1"/>
      <c r="C97" s="1"/>
      <c r="D97" s="1"/>
      <c r="E97" s="1"/>
      <c r="F97" s="1"/>
      <c r="G97" s="1"/>
      <c r="H97" s="1"/>
      <c r="I97" s="2"/>
      <c r="J97" s="2"/>
    </row>
    <row r="98" spans="1:10" x14ac:dyDescent="0.3">
      <c r="A98" s="1"/>
      <c r="B98" s="1"/>
      <c r="C98" s="1"/>
      <c r="D98" s="1"/>
      <c r="E98" s="1"/>
      <c r="F98" s="1"/>
      <c r="G98" s="1"/>
      <c r="H98" s="1"/>
      <c r="I98" s="2"/>
      <c r="J98" s="2"/>
    </row>
    <row r="99" spans="1:10" x14ac:dyDescent="0.3">
      <c r="A99" s="1"/>
      <c r="B99" s="1"/>
      <c r="C99" s="1"/>
      <c r="D99" s="1"/>
      <c r="E99" s="1"/>
      <c r="F99" s="1"/>
      <c r="G99" s="1"/>
      <c r="H99" s="1"/>
      <c r="I99" s="2"/>
      <c r="J99" s="2"/>
    </row>
    <row r="100" spans="1:10" x14ac:dyDescent="0.3">
      <c r="A100" s="1"/>
      <c r="B100" s="1"/>
      <c r="C100" s="1"/>
      <c r="D100" s="1"/>
      <c r="E100" s="1"/>
      <c r="F100" s="1"/>
      <c r="G100" s="1"/>
      <c r="H100" s="1"/>
      <c r="I100" s="2"/>
      <c r="J100" s="2"/>
    </row>
    <row r="101" spans="1:10" x14ac:dyDescent="0.3">
      <c r="A101" s="1"/>
      <c r="B101" s="1"/>
      <c r="C101" s="1"/>
      <c r="D101" s="1"/>
      <c r="E101" s="1"/>
      <c r="F101" s="1"/>
      <c r="G101" s="1"/>
      <c r="H101" s="1"/>
      <c r="I101" s="2"/>
      <c r="J101" s="2"/>
    </row>
    <row r="102" spans="1:10" x14ac:dyDescent="0.3">
      <c r="A102" s="1"/>
      <c r="B102" s="1"/>
      <c r="C102" s="1"/>
      <c r="D102" s="1"/>
      <c r="E102" s="1"/>
      <c r="F102" s="1"/>
      <c r="G102" s="1"/>
      <c r="H102" s="1"/>
      <c r="I102" s="2"/>
      <c r="J102" s="2"/>
    </row>
    <row r="103" spans="1:10" x14ac:dyDescent="0.3">
      <c r="A103" s="1"/>
      <c r="B103" s="1"/>
      <c r="C103" s="1"/>
      <c r="D103" s="1"/>
      <c r="E103" s="1"/>
      <c r="F103" s="1"/>
      <c r="G103" s="1"/>
      <c r="H103" s="1"/>
      <c r="I103" s="2"/>
      <c r="J103" s="2"/>
    </row>
    <row r="104" spans="1:10" x14ac:dyDescent="0.3">
      <c r="A104" s="1"/>
      <c r="B104" s="1"/>
      <c r="C104" s="1"/>
      <c r="D104" s="1"/>
      <c r="E104" s="1"/>
      <c r="F104" s="1"/>
      <c r="G104" s="1"/>
      <c r="H104" s="1"/>
      <c r="I104" s="2"/>
      <c r="J104" s="2"/>
    </row>
    <row r="105" spans="1:10" x14ac:dyDescent="0.3">
      <c r="A105" s="1"/>
      <c r="B105" s="1"/>
      <c r="C105" s="1"/>
      <c r="D105" s="1"/>
      <c r="E105" s="1"/>
      <c r="F105" s="1"/>
      <c r="G105" s="1"/>
      <c r="H105" s="1"/>
      <c r="I105" s="2"/>
      <c r="J105" s="2"/>
    </row>
    <row r="106" spans="1:10" x14ac:dyDescent="0.3">
      <c r="A106" s="1"/>
      <c r="B106" s="1"/>
      <c r="C106" s="1"/>
      <c r="D106" s="1"/>
      <c r="E106" s="1"/>
      <c r="F106" s="1"/>
      <c r="G106" s="1"/>
      <c r="H106" s="1"/>
      <c r="I106" s="2"/>
      <c r="J106" s="2"/>
    </row>
    <row r="107" spans="1:10" x14ac:dyDescent="0.3">
      <c r="A107" s="1"/>
      <c r="B107" s="1"/>
      <c r="C107" s="1"/>
      <c r="D107" s="1"/>
      <c r="E107" s="1"/>
      <c r="F107" s="1"/>
      <c r="G107" s="1"/>
      <c r="H107" s="1"/>
      <c r="I107" s="2"/>
      <c r="J107" s="2"/>
    </row>
    <row r="108" spans="1:10" x14ac:dyDescent="0.3">
      <c r="A108" s="1"/>
      <c r="B108" s="1"/>
      <c r="C108" s="1"/>
      <c r="D108" s="1"/>
      <c r="E108" s="1"/>
      <c r="F108" s="1"/>
      <c r="G108" s="1"/>
      <c r="H108" s="1"/>
      <c r="I108" s="2"/>
      <c r="J108" s="2"/>
    </row>
    <row r="109" spans="1:10" x14ac:dyDescent="0.3">
      <c r="A109" s="1"/>
      <c r="B109" s="1"/>
      <c r="C109" s="1"/>
      <c r="D109" s="1"/>
      <c r="E109" s="1"/>
      <c r="F109" s="1"/>
      <c r="G109" s="1"/>
      <c r="H109" s="1"/>
      <c r="I109" s="2"/>
      <c r="J109" s="2"/>
    </row>
    <row r="110" spans="1:10" x14ac:dyDescent="0.3">
      <c r="A110" s="1"/>
      <c r="B110" s="1"/>
      <c r="C110" s="1"/>
      <c r="D110" s="1"/>
      <c r="E110" s="1"/>
      <c r="F110" s="1"/>
      <c r="G110" s="1"/>
      <c r="H110" s="1"/>
      <c r="I110" s="2"/>
      <c r="J110" s="2"/>
    </row>
    <row r="111" spans="1:10" x14ac:dyDescent="0.3">
      <c r="A111" s="1"/>
      <c r="B111" s="1"/>
      <c r="C111" s="1"/>
      <c r="D111" s="1"/>
      <c r="E111" s="1"/>
      <c r="F111" s="1"/>
      <c r="G111" s="1"/>
      <c r="H111" s="1"/>
      <c r="I111" s="2"/>
      <c r="J111" s="2"/>
    </row>
    <row r="112" spans="1:10" x14ac:dyDescent="0.3">
      <c r="A112" s="1"/>
      <c r="B112" s="1"/>
      <c r="C112" s="1"/>
      <c r="D112" s="1"/>
      <c r="E112" s="1"/>
      <c r="F112" s="1"/>
      <c r="G112" s="1"/>
      <c r="H112" s="1"/>
      <c r="I112" s="2"/>
      <c r="J112" s="2"/>
    </row>
    <row r="113" spans="1:10" x14ac:dyDescent="0.3">
      <c r="A113" s="1"/>
      <c r="B113" s="1"/>
      <c r="C113" s="1"/>
      <c r="D113" s="1"/>
      <c r="E113" s="1"/>
      <c r="F113" s="1"/>
      <c r="G113" s="1"/>
      <c r="H113" s="1"/>
      <c r="I113" s="2"/>
      <c r="J113" s="2"/>
    </row>
    <row r="114" spans="1:10" x14ac:dyDescent="0.3">
      <c r="A114" s="1"/>
      <c r="B114" s="1"/>
      <c r="C114" s="1"/>
      <c r="D114" s="1"/>
      <c r="E114" s="1"/>
      <c r="F114" s="1"/>
      <c r="G114" s="1"/>
      <c r="H114" s="1"/>
      <c r="I114" s="2"/>
      <c r="J114" s="2"/>
    </row>
    <row r="115" spans="1:10" x14ac:dyDescent="0.3">
      <c r="A115" s="1"/>
      <c r="B115" s="1"/>
      <c r="C115" s="1"/>
      <c r="D115" s="1"/>
      <c r="E115" s="1"/>
      <c r="F115" s="1"/>
      <c r="G115" s="1"/>
      <c r="H115" s="1"/>
      <c r="I115" s="2"/>
      <c r="J115" s="2"/>
    </row>
    <row r="116" spans="1:10" x14ac:dyDescent="0.3">
      <c r="A116" s="1"/>
      <c r="B116" s="1"/>
      <c r="C116" s="1"/>
      <c r="D116" s="1"/>
      <c r="E116" s="1"/>
      <c r="F116" s="1"/>
      <c r="G116" s="1"/>
      <c r="H116" s="1"/>
      <c r="I116" s="2"/>
      <c r="J116" s="2"/>
    </row>
    <row r="117" spans="1:10" x14ac:dyDescent="0.3">
      <c r="A117" s="1"/>
      <c r="B117" s="1"/>
      <c r="C117" s="1"/>
      <c r="D117" s="1"/>
      <c r="E117" s="1"/>
      <c r="F117" s="1"/>
      <c r="G117" s="1"/>
      <c r="H117" s="1"/>
      <c r="I117" s="2"/>
      <c r="J117" s="2"/>
    </row>
    <row r="118" spans="1:10" x14ac:dyDescent="0.3">
      <c r="A118" s="1"/>
      <c r="B118" s="1"/>
      <c r="C118" s="1"/>
      <c r="D118" s="1"/>
      <c r="E118" s="1"/>
      <c r="F118" s="1"/>
      <c r="G118" s="1"/>
      <c r="H118" s="1"/>
      <c r="I118" s="2"/>
      <c r="J118" s="2"/>
    </row>
    <row r="119" spans="1:10" x14ac:dyDescent="0.3">
      <c r="A119" s="1"/>
      <c r="B119" s="1"/>
      <c r="C119" s="1"/>
      <c r="D119" s="1"/>
      <c r="E119" s="1"/>
      <c r="F119" s="1"/>
      <c r="G119" s="1"/>
      <c r="H119" s="1"/>
      <c r="I119" s="2"/>
      <c r="J119" s="2"/>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CA3B9-8364-4815-8D6C-46000A966162}">
  <dimension ref="A1:C13"/>
  <sheetViews>
    <sheetView workbookViewId="0">
      <selection activeCell="B16" sqref="B16"/>
    </sheetView>
  </sheetViews>
  <sheetFormatPr defaultRowHeight="14.4" x14ac:dyDescent="0.3"/>
  <cols>
    <col min="1" max="1" width="50.88671875" style="26" customWidth="1"/>
    <col min="2" max="2" width="37.88671875" style="26" customWidth="1"/>
    <col min="3" max="3" width="18.109375" style="26" customWidth="1"/>
    <col min="4" max="16384" width="8.88671875" style="26"/>
  </cols>
  <sheetData>
    <row r="1" spans="1:3" ht="21" x14ac:dyDescent="0.3">
      <c r="A1" s="69" t="s">
        <v>210</v>
      </c>
    </row>
    <row r="2" spans="1:3" ht="51" x14ac:dyDescent="0.3">
      <c r="A2" s="30" t="s">
        <v>7</v>
      </c>
      <c r="B2" s="30" t="s">
        <v>8</v>
      </c>
      <c r="C2" s="10"/>
    </row>
    <row r="3" spans="1:3" ht="20.399999999999999" x14ac:dyDescent="0.3">
      <c r="A3" s="10" t="s">
        <v>28</v>
      </c>
      <c r="B3" s="10" t="s">
        <v>29</v>
      </c>
      <c r="C3" s="3"/>
    </row>
    <row r="4" spans="1:3" s="28" customFormat="1" x14ac:dyDescent="0.3">
      <c r="A4" s="29" t="s">
        <v>157</v>
      </c>
      <c r="B4" s="29" t="s">
        <v>157</v>
      </c>
      <c r="C4" s="27"/>
    </row>
    <row r="5" spans="1:3" ht="20.399999999999999" x14ac:dyDescent="0.3">
      <c r="A5" s="10" t="s">
        <v>36</v>
      </c>
      <c r="B5" s="10" t="s">
        <v>37</v>
      </c>
      <c r="C5" s="3"/>
    </row>
    <row r="6" spans="1:3" s="28" customFormat="1" ht="20.399999999999999" x14ac:dyDescent="0.3">
      <c r="A6" s="29" t="s">
        <v>158</v>
      </c>
      <c r="B6" s="29" t="s">
        <v>159</v>
      </c>
      <c r="C6" s="14"/>
    </row>
    <row r="7" spans="1:3" ht="30.6" x14ac:dyDescent="0.3">
      <c r="A7" s="10" t="s">
        <v>43</v>
      </c>
      <c r="B7" s="10" t="s">
        <v>44</v>
      </c>
      <c r="C7" s="3"/>
    </row>
    <row r="8" spans="1:3" ht="30.6" x14ac:dyDescent="0.3">
      <c r="A8" s="10" t="s">
        <v>47</v>
      </c>
      <c r="B8" s="10" t="s">
        <v>48</v>
      </c>
      <c r="C8" s="3"/>
    </row>
    <row r="9" spans="1:3" ht="20.399999999999999" x14ac:dyDescent="0.3">
      <c r="A9" s="10" t="s">
        <v>51</v>
      </c>
      <c r="B9" s="10" t="s">
        <v>52</v>
      </c>
      <c r="C9" s="3"/>
    </row>
    <row r="10" spans="1:3" ht="40.799999999999997" x14ac:dyDescent="0.3">
      <c r="A10" s="10" t="s">
        <v>55</v>
      </c>
      <c r="B10" s="10" t="s">
        <v>56</v>
      </c>
      <c r="C10" s="3"/>
    </row>
    <row r="12" spans="1:3" x14ac:dyDescent="0.3">
      <c r="A12" s="10" t="s">
        <v>160</v>
      </c>
    </row>
    <row r="13" spans="1:3" x14ac:dyDescent="0.3">
      <c r="A13" s="10" t="s">
        <v>161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B5F92-0D17-4C56-81F5-AA9A8BFBAB85}">
  <dimension ref="A1:G15"/>
  <sheetViews>
    <sheetView tabSelected="1" workbookViewId="0">
      <selection activeCell="I20" sqref="I20"/>
    </sheetView>
  </sheetViews>
  <sheetFormatPr defaultRowHeight="14.4" x14ac:dyDescent="0.3"/>
  <cols>
    <col min="1" max="1" width="16.88671875" customWidth="1"/>
    <col min="2" max="2" width="12" customWidth="1"/>
    <col min="3" max="3" width="12.77734375" customWidth="1"/>
    <col min="4" max="4" width="20" customWidth="1"/>
    <col min="5" max="5" width="14" customWidth="1"/>
    <col min="6" max="6" width="14.33203125" customWidth="1"/>
    <col min="7" max="7" width="13.5546875" customWidth="1"/>
  </cols>
  <sheetData>
    <row r="1" spans="1:7" ht="21" x14ac:dyDescent="0.4">
      <c r="A1" s="67" t="s">
        <v>209</v>
      </c>
    </row>
    <row r="2" spans="1:7" ht="122.4" x14ac:dyDescent="0.3">
      <c r="B2" s="31" t="s">
        <v>1</v>
      </c>
      <c r="C2" s="31" t="s">
        <v>10</v>
      </c>
      <c r="D2" s="31"/>
      <c r="E2" s="32" t="s">
        <v>4</v>
      </c>
      <c r="F2" s="32" t="s">
        <v>5</v>
      </c>
      <c r="G2" s="32" t="s">
        <v>6</v>
      </c>
    </row>
    <row r="3" spans="1:7" x14ac:dyDescent="0.3">
      <c r="B3" s="4" t="s">
        <v>25</v>
      </c>
      <c r="C3" s="4" t="s">
        <v>30</v>
      </c>
      <c r="D3" s="4"/>
      <c r="E3" s="4" t="s">
        <v>21</v>
      </c>
      <c r="F3" s="4" t="s">
        <v>21</v>
      </c>
      <c r="G3" s="4" t="s">
        <v>21</v>
      </c>
    </row>
    <row r="4" spans="1:7" x14ac:dyDescent="0.3">
      <c r="B4" s="13" t="s">
        <v>20</v>
      </c>
      <c r="C4" s="13" t="s">
        <v>20</v>
      </c>
      <c r="D4" s="13"/>
      <c r="E4" s="13" t="s">
        <v>21</v>
      </c>
      <c r="F4" s="13" t="s">
        <v>20</v>
      </c>
      <c r="G4" s="13" t="s">
        <v>20</v>
      </c>
    </row>
    <row r="5" spans="1:7" x14ac:dyDescent="0.3">
      <c r="B5" s="4" t="s">
        <v>30</v>
      </c>
      <c r="C5" s="4" t="s">
        <v>30</v>
      </c>
      <c r="D5" s="4"/>
      <c r="E5" s="4" t="s">
        <v>23</v>
      </c>
      <c r="F5" s="4" t="s">
        <v>23</v>
      </c>
      <c r="G5" s="4" t="s">
        <v>23</v>
      </c>
    </row>
    <row r="6" spans="1:7" x14ac:dyDescent="0.3">
      <c r="B6" s="4" t="s">
        <v>24</v>
      </c>
      <c r="C6" s="4" t="s">
        <v>24</v>
      </c>
      <c r="D6" s="4"/>
      <c r="E6" s="4" t="s">
        <v>23</v>
      </c>
      <c r="F6" s="4" t="s">
        <v>23</v>
      </c>
      <c r="G6" s="4" t="s">
        <v>21</v>
      </c>
    </row>
    <row r="7" spans="1:7" x14ac:dyDescent="0.3">
      <c r="B7" s="4" t="s">
        <v>24</v>
      </c>
      <c r="C7" s="4" t="s">
        <v>24</v>
      </c>
      <c r="D7" s="4"/>
      <c r="E7" s="4" t="s">
        <v>23</v>
      </c>
      <c r="F7" s="4" t="s">
        <v>23</v>
      </c>
      <c r="G7" s="4" t="s">
        <v>23</v>
      </c>
    </row>
    <row r="8" spans="1:7" x14ac:dyDescent="0.3">
      <c r="B8" s="4" t="s">
        <v>30</v>
      </c>
      <c r="C8" s="4" t="s">
        <v>24</v>
      </c>
      <c r="D8" s="4"/>
      <c r="E8" s="4" t="s">
        <v>50</v>
      </c>
      <c r="F8" s="4" t="s">
        <v>50</v>
      </c>
      <c r="G8" s="4" t="s">
        <v>23</v>
      </c>
    </row>
    <row r="9" spans="1:7" x14ac:dyDescent="0.3">
      <c r="B9" s="4" t="s">
        <v>24</v>
      </c>
      <c r="C9" s="4" t="s">
        <v>30</v>
      </c>
      <c r="D9" s="4"/>
      <c r="E9" s="4" t="s">
        <v>23</v>
      </c>
      <c r="F9" s="4" t="s">
        <v>23</v>
      </c>
      <c r="G9" s="4" t="s">
        <v>23</v>
      </c>
    </row>
    <row r="10" spans="1:7" x14ac:dyDescent="0.3">
      <c r="A10" s="4" t="s">
        <v>30</v>
      </c>
      <c r="B10" s="4">
        <f>COUNTIF(B3:B9,"Easy")</f>
        <v>2</v>
      </c>
      <c r="C10" s="4">
        <f>COUNTIF(C3:C9,"Easy")</f>
        <v>3</v>
      </c>
      <c r="D10" s="4" t="s">
        <v>23</v>
      </c>
      <c r="E10" s="4">
        <f>COUNTIF(E3:E9,"Strongly Agree")</f>
        <v>4</v>
      </c>
      <c r="F10" s="4">
        <f>COUNTIF(F3:F9,"Strongly Agree")</f>
        <v>4</v>
      </c>
      <c r="G10" s="4">
        <f>COUNTIF(G3:G9,"Strongly Agree")</f>
        <v>4</v>
      </c>
    </row>
    <row r="11" spans="1:7" x14ac:dyDescent="0.3">
      <c r="A11" s="4" t="s">
        <v>24</v>
      </c>
      <c r="B11" s="4">
        <f>COUNTIF(B3:B9,"Relatively Easy")</f>
        <v>3</v>
      </c>
      <c r="C11" s="4">
        <f>COUNTIF(C3:C9,"Relatively Easy")</f>
        <v>3</v>
      </c>
      <c r="D11" s="4" t="s">
        <v>21</v>
      </c>
      <c r="E11" s="4">
        <f>COUNTIF(E3:E9,"Somewhat Agree")</f>
        <v>2</v>
      </c>
      <c r="F11" s="4">
        <f>COUNTIF(F3:F9,"Somewhat Agree")</f>
        <v>1</v>
      </c>
      <c r="G11" s="4">
        <f>COUNTIF(G3:G9,"Somewhat Agree")</f>
        <v>2</v>
      </c>
    </row>
    <row r="12" spans="1:7" x14ac:dyDescent="0.3">
      <c r="A12" s="4" t="s">
        <v>20</v>
      </c>
      <c r="B12" s="4">
        <f>COUNTIF(B3:B9,"Neutral")</f>
        <v>1</v>
      </c>
      <c r="C12" s="4">
        <f>COUNTIF(C3:C9,"Neutral")</f>
        <v>1</v>
      </c>
      <c r="D12" s="4" t="s">
        <v>20</v>
      </c>
      <c r="E12" s="4">
        <f>COUNTIF(E3:E9,"Neutral")</f>
        <v>0</v>
      </c>
      <c r="F12" s="4">
        <f>COUNTIF(F3:F9,"Neutral")</f>
        <v>1</v>
      </c>
      <c r="G12" s="4">
        <f>COUNTIF(G3:G9,"Neutral")</f>
        <v>1</v>
      </c>
    </row>
    <row r="13" spans="1:7" x14ac:dyDescent="0.3">
      <c r="A13" s="4" t="s">
        <v>25</v>
      </c>
      <c r="B13" s="4">
        <f>COUNTIF(B3:B9,"Relatively Difficult")</f>
        <v>1</v>
      </c>
      <c r="C13" s="4">
        <f>COUNTIF(C3:C9,"Relatively Difficult")</f>
        <v>0</v>
      </c>
      <c r="D13" s="3" t="s">
        <v>122</v>
      </c>
      <c r="E13" s="4">
        <f>COUNTIF(E3:E9,"Somewhat Disagree")</f>
        <v>0</v>
      </c>
      <c r="F13" s="4">
        <f>COUNTIF(F3:F9,"Somewhat Disagree")</f>
        <v>0</v>
      </c>
      <c r="G13" s="4">
        <f>COUNTIF(G3:G9,"Somewhat Disagree")</f>
        <v>0</v>
      </c>
    </row>
    <row r="14" spans="1:7" x14ac:dyDescent="0.3">
      <c r="A14" s="4" t="s">
        <v>22</v>
      </c>
      <c r="B14" s="4">
        <f>COUNTIF(B3:B9,"Difficult")</f>
        <v>0</v>
      </c>
      <c r="C14" s="4">
        <f>COUNTIF(C3:C9,"Difficult")</f>
        <v>0</v>
      </c>
      <c r="D14" s="3" t="s">
        <v>123</v>
      </c>
      <c r="E14" s="4">
        <f>COUNTIF(E3:E9,"Strongly Disagree")</f>
        <v>1</v>
      </c>
      <c r="F14" s="4">
        <f>COUNTIF(F3:F9,"Strongly Disagree")</f>
        <v>1</v>
      </c>
      <c r="G14" s="4">
        <f>COUNTIF(G3:G9,"Strongly Disagree")</f>
        <v>0</v>
      </c>
    </row>
    <row r="15" spans="1:7" x14ac:dyDescent="0.3">
      <c r="A15" s="4" t="s">
        <v>142</v>
      </c>
      <c r="B15" s="3">
        <f>SUM(B10:B14)</f>
        <v>7</v>
      </c>
      <c r="C15" s="3">
        <f>SUM(C10:C14)</f>
        <v>7</v>
      </c>
      <c r="D15" s="4" t="s">
        <v>142</v>
      </c>
      <c r="E15" s="3">
        <f>SUM(E10:E14)</f>
        <v>7</v>
      </c>
      <c r="F15" s="3">
        <f t="shared" ref="F15:G15" si="0">SUM(F10:F14)</f>
        <v>7</v>
      </c>
      <c r="G15" s="3">
        <f t="shared" si="0"/>
        <v>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470F5-ECFE-4D68-9EAE-B6BF66F80C66}">
  <dimension ref="A1:X10"/>
  <sheetViews>
    <sheetView topLeftCell="C1" workbookViewId="0">
      <selection activeCell="H13" sqref="H13"/>
    </sheetView>
  </sheetViews>
  <sheetFormatPr defaultColWidth="8.88671875" defaultRowHeight="10.199999999999999" x14ac:dyDescent="0.3"/>
  <cols>
    <col min="1" max="1" width="19.33203125" style="11" customWidth="1"/>
    <col min="2" max="2" width="19.33203125" style="3" customWidth="1"/>
    <col min="3" max="3" width="14.33203125" style="3" customWidth="1"/>
    <col min="4" max="4" width="8.88671875" style="3"/>
    <col min="5" max="5" width="11.88671875" style="3" customWidth="1"/>
    <col min="6" max="6" width="8.88671875" style="3"/>
    <col min="7" max="7" width="14.44140625" style="3" customWidth="1"/>
    <col min="8" max="8" width="23.21875" style="3" customWidth="1"/>
    <col min="9" max="10" width="8.88671875" style="3"/>
    <col min="11" max="11" width="12.5546875" style="3" customWidth="1"/>
    <col min="12" max="12" width="9.6640625" style="5" customWidth="1"/>
    <col min="13" max="17" width="8.88671875" style="5"/>
    <col min="18" max="18" width="8.109375" style="5" customWidth="1"/>
    <col min="19" max="19" width="10" style="5" customWidth="1"/>
    <col min="20" max="16384" width="8.88671875" style="5"/>
  </cols>
  <sheetData>
    <row r="1" spans="1:24" ht="21" x14ac:dyDescent="0.4">
      <c r="C1" s="67" t="s">
        <v>222</v>
      </c>
    </row>
    <row r="2" spans="1:24" ht="14.4" x14ac:dyDescent="0.3">
      <c r="C2" t="s">
        <v>215</v>
      </c>
    </row>
    <row r="3" spans="1:24" ht="14.4" x14ac:dyDescent="0.3">
      <c r="C3"/>
    </row>
    <row r="4" spans="1:24" s="3" customFormat="1" ht="224.4" x14ac:dyDescent="0.3">
      <c r="A4" s="14" t="s">
        <v>143</v>
      </c>
      <c r="B4" s="31" t="s">
        <v>1</v>
      </c>
      <c r="C4" s="10" t="s">
        <v>2</v>
      </c>
      <c r="D4" s="10" t="s">
        <v>3</v>
      </c>
      <c r="E4" s="32" t="s">
        <v>4</v>
      </c>
      <c r="F4" s="70" t="s">
        <v>5</v>
      </c>
      <c r="G4" s="70" t="s">
        <v>6</v>
      </c>
      <c r="H4" s="10" t="s">
        <v>7</v>
      </c>
      <c r="I4" s="10" t="s">
        <v>8</v>
      </c>
      <c r="J4" s="10" t="s">
        <v>9</v>
      </c>
      <c r="K4" s="10" t="s">
        <v>10</v>
      </c>
      <c r="L4" s="10" t="s">
        <v>11</v>
      </c>
      <c r="M4" s="10" t="s">
        <v>12</v>
      </c>
      <c r="N4" s="10" t="s">
        <v>13</v>
      </c>
      <c r="O4" s="10" t="s">
        <v>14</v>
      </c>
      <c r="P4" s="10" t="s">
        <v>15</v>
      </c>
      <c r="Q4" s="10" t="s">
        <v>16</v>
      </c>
      <c r="R4" s="10" t="s">
        <v>12</v>
      </c>
      <c r="S4" s="10" t="s">
        <v>13</v>
      </c>
      <c r="T4" s="10" t="s">
        <v>14</v>
      </c>
      <c r="U4" s="10" t="s">
        <v>15</v>
      </c>
      <c r="V4" s="10" t="s">
        <v>16</v>
      </c>
    </row>
    <row r="5" spans="1:24" s="3" customFormat="1" x14ac:dyDescent="0.3">
      <c r="A5" s="14"/>
      <c r="B5" s="31"/>
      <c r="C5" s="10"/>
      <c r="D5" s="10"/>
      <c r="E5" s="32"/>
      <c r="F5" s="32"/>
      <c r="G5" s="32"/>
      <c r="H5" s="10"/>
      <c r="I5" s="10"/>
      <c r="J5" s="10"/>
      <c r="K5" s="31"/>
      <c r="L5" s="10"/>
      <c r="M5" s="73" t="s">
        <v>147</v>
      </c>
      <c r="N5" s="73"/>
      <c r="O5" s="73"/>
      <c r="P5" s="73"/>
      <c r="Q5" s="73"/>
      <c r="R5" s="74" t="s">
        <v>146</v>
      </c>
      <c r="S5" s="74"/>
      <c r="T5" s="74"/>
      <c r="U5" s="74"/>
      <c r="V5" s="74"/>
    </row>
    <row r="6" spans="1:24" s="11" customFormat="1" x14ac:dyDescent="0.3">
      <c r="A6" s="19" t="s">
        <v>144</v>
      </c>
      <c r="B6" s="19" t="s">
        <v>20</v>
      </c>
      <c r="C6" s="19" t="s">
        <v>31</v>
      </c>
      <c r="D6" s="19" t="s">
        <v>32</v>
      </c>
      <c r="E6" s="19" t="s">
        <v>21</v>
      </c>
      <c r="F6" s="19" t="s">
        <v>20</v>
      </c>
      <c r="G6" s="19" t="s">
        <v>20</v>
      </c>
      <c r="H6" s="19" t="s">
        <v>33</v>
      </c>
      <c r="I6" s="19" t="s">
        <v>33</v>
      </c>
      <c r="J6" s="19"/>
      <c r="K6" s="19" t="s">
        <v>20</v>
      </c>
      <c r="L6" s="19"/>
      <c r="M6" s="19">
        <v>2</v>
      </c>
      <c r="N6" s="19">
        <v>1.5</v>
      </c>
      <c r="O6" s="19">
        <v>1</v>
      </c>
      <c r="P6" s="19">
        <v>0.5</v>
      </c>
      <c r="Q6" s="19">
        <v>1</v>
      </c>
      <c r="R6" s="18">
        <f>+M6*60</f>
        <v>120</v>
      </c>
      <c r="S6" s="18">
        <f>+N6*60</f>
        <v>90</v>
      </c>
      <c r="T6" s="18">
        <f>+O6*60</f>
        <v>60</v>
      </c>
      <c r="U6" s="18">
        <f>+P6*60</f>
        <v>30</v>
      </c>
      <c r="V6" s="18">
        <f>+Q6*60</f>
        <v>60</v>
      </c>
    </row>
    <row r="7" spans="1:24" x14ac:dyDescent="0.3">
      <c r="A7" s="47" t="s">
        <v>145</v>
      </c>
      <c r="B7" s="47" t="s">
        <v>20</v>
      </c>
      <c r="C7" s="47" t="s">
        <v>38</v>
      </c>
      <c r="D7" s="47" t="s">
        <v>39</v>
      </c>
      <c r="E7" s="47" t="s">
        <v>21</v>
      </c>
      <c r="F7" s="47" t="s">
        <v>23</v>
      </c>
      <c r="G7" s="47" t="s">
        <v>23</v>
      </c>
      <c r="H7" s="47" t="s">
        <v>40</v>
      </c>
      <c r="I7" s="47" t="s">
        <v>33</v>
      </c>
      <c r="J7" s="46"/>
      <c r="K7" s="47" t="s">
        <v>25</v>
      </c>
      <c r="L7" s="46"/>
      <c r="M7" s="47">
        <v>0.25</v>
      </c>
      <c r="N7" s="47">
        <v>1</v>
      </c>
      <c r="O7" s="47">
        <v>0</v>
      </c>
      <c r="P7" s="47">
        <v>0.5</v>
      </c>
      <c r="Q7" s="47">
        <v>0.25</v>
      </c>
      <c r="R7" s="47">
        <f>0.25*60</f>
        <v>15</v>
      </c>
      <c r="S7" s="47">
        <f>1*60</f>
        <v>60</v>
      </c>
      <c r="T7" s="47">
        <f>+O7*60</f>
        <v>0</v>
      </c>
      <c r="U7" s="47">
        <f>+P7*60</f>
        <v>30</v>
      </c>
      <c r="V7" s="47">
        <f>+Q7*60</f>
        <v>15</v>
      </c>
    </row>
    <row r="8" spans="1:24" x14ac:dyDescent="0.3">
      <c r="L8" s="15"/>
      <c r="M8" s="5" t="s">
        <v>116</v>
      </c>
      <c r="N8" s="5" t="s">
        <v>117</v>
      </c>
      <c r="O8" s="5" t="s">
        <v>118</v>
      </c>
      <c r="P8" s="5" t="s">
        <v>119</v>
      </c>
      <c r="Q8" s="5" t="s">
        <v>120</v>
      </c>
      <c r="R8" s="11" t="s">
        <v>116</v>
      </c>
      <c r="S8" s="11" t="s">
        <v>117</v>
      </c>
      <c r="T8" s="11" t="s">
        <v>118</v>
      </c>
      <c r="U8" s="11" t="s">
        <v>119</v>
      </c>
      <c r="V8" s="11" t="s">
        <v>120</v>
      </c>
    </row>
    <row r="9" spans="1:24" x14ac:dyDescent="0.3">
      <c r="M9" s="17"/>
      <c r="N9" s="17"/>
      <c r="O9" s="17"/>
      <c r="P9" s="17"/>
      <c r="Q9" s="17"/>
      <c r="S9" s="11"/>
      <c r="T9" s="45"/>
      <c r="U9" s="45"/>
      <c r="V9" s="45"/>
      <c r="W9" s="45"/>
      <c r="X9" s="45"/>
    </row>
    <row r="10" spans="1:24" x14ac:dyDescent="0.3">
      <c r="S10" s="11"/>
      <c r="T10" s="11"/>
      <c r="U10" s="11"/>
      <c r="V10" s="11"/>
      <c r="W10" s="11"/>
      <c r="X10" s="11"/>
    </row>
  </sheetData>
  <mergeCells count="2">
    <mergeCell ref="R5:V5"/>
    <mergeCell ref="M5:Q5"/>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BD485-FCAE-4ACA-878F-B5ED6A4BCEDA}">
  <dimension ref="A1:O31"/>
  <sheetViews>
    <sheetView workbookViewId="0">
      <selection activeCell="C18" sqref="C18"/>
    </sheetView>
  </sheetViews>
  <sheetFormatPr defaultColWidth="8.88671875" defaultRowHeight="10.199999999999999" x14ac:dyDescent="0.3"/>
  <cols>
    <col min="1" max="1" width="41.6640625" style="3" customWidth="1"/>
    <col min="2" max="2" width="55.88671875" style="3" customWidth="1"/>
    <col min="3" max="3" width="28.88671875" style="3" customWidth="1"/>
    <col min="4" max="4" width="8.88671875" style="3"/>
    <col min="5" max="5" width="14.44140625" style="3" customWidth="1"/>
    <col min="6" max="16384" width="8.88671875" style="5"/>
  </cols>
  <sheetData>
    <row r="1" spans="1:15" ht="21" x14ac:dyDescent="0.3">
      <c r="A1" s="71" t="s">
        <v>216</v>
      </c>
    </row>
    <row r="3" spans="1:15" s="3" customFormat="1" ht="15" customHeight="1" x14ac:dyDescent="0.3">
      <c r="A3" s="10" t="s">
        <v>2</v>
      </c>
      <c r="B3" s="10" t="s">
        <v>3</v>
      </c>
      <c r="C3" s="3" t="s">
        <v>124</v>
      </c>
      <c r="F3" s="10"/>
      <c r="G3" s="10"/>
      <c r="H3" s="10"/>
      <c r="I3" s="10"/>
      <c r="J3" s="10"/>
      <c r="K3" s="10"/>
      <c r="L3" s="10"/>
      <c r="M3" s="10"/>
      <c r="N3" s="10"/>
      <c r="O3" s="10"/>
    </row>
    <row r="4" spans="1:15" ht="33" customHeight="1" x14ac:dyDescent="0.3">
      <c r="A4" s="10" t="s">
        <v>26</v>
      </c>
      <c r="B4" s="10" t="s">
        <v>27</v>
      </c>
      <c r="C4" s="4"/>
      <c r="D4" s="4"/>
      <c r="E4" s="4"/>
      <c r="G4" s="4"/>
      <c r="H4" s="4"/>
      <c r="I4" s="4"/>
      <c r="J4" s="4"/>
      <c r="K4" s="4"/>
    </row>
    <row r="5" spans="1:15" s="11" customFormat="1" ht="17.399999999999999" customHeight="1" x14ac:dyDescent="0.3">
      <c r="A5" s="29" t="s">
        <v>31</v>
      </c>
      <c r="B5" s="29" t="s">
        <v>32</v>
      </c>
      <c r="C5" s="13"/>
      <c r="D5" s="13"/>
      <c r="E5" s="13"/>
      <c r="F5" s="12"/>
      <c r="G5" s="12"/>
      <c r="H5" s="12"/>
      <c r="I5" s="12"/>
      <c r="J5" s="12"/>
      <c r="K5" s="12"/>
      <c r="L5" s="12"/>
    </row>
    <row r="6" spans="1:15" ht="36" customHeight="1" x14ac:dyDescent="0.3">
      <c r="A6" s="10" t="s">
        <v>34</v>
      </c>
      <c r="B6" s="10" t="s">
        <v>35</v>
      </c>
      <c r="C6" s="4"/>
      <c r="D6" s="4"/>
      <c r="E6" s="4"/>
      <c r="G6" s="4"/>
      <c r="H6" s="4"/>
      <c r="I6" s="4"/>
      <c r="J6" s="4"/>
      <c r="K6" s="4"/>
    </row>
    <row r="7" spans="1:15" s="11" customFormat="1" ht="18" customHeight="1" x14ac:dyDescent="0.3">
      <c r="A7" s="10" t="s">
        <v>41</v>
      </c>
      <c r="B7" s="10" t="s">
        <v>42</v>
      </c>
      <c r="C7" s="13"/>
      <c r="D7" s="13"/>
      <c r="E7" s="13"/>
      <c r="G7" s="13"/>
      <c r="H7" s="13"/>
      <c r="I7" s="13"/>
      <c r="J7" s="13"/>
      <c r="K7" s="13"/>
    </row>
    <row r="8" spans="1:15" x14ac:dyDescent="0.3">
      <c r="A8" s="10" t="s">
        <v>45</v>
      </c>
      <c r="B8" s="10" t="s">
        <v>46</v>
      </c>
      <c r="C8" s="4"/>
      <c r="D8" s="4"/>
      <c r="E8" s="4"/>
      <c r="G8" s="4"/>
      <c r="H8" s="4"/>
      <c r="I8" s="4"/>
      <c r="J8" s="4"/>
      <c r="K8" s="4"/>
    </row>
    <row r="9" spans="1:15" ht="16.8" customHeight="1" x14ac:dyDescent="0.3">
      <c r="A9" s="10" t="s">
        <v>31</v>
      </c>
      <c r="B9" s="10" t="s">
        <v>49</v>
      </c>
      <c r="C9" s="4"/>
      <c r="D9" s="4"/>
      <c r="E9" s="4"/>
      <c r="G9" s="6"/>
      <c r="H9" s="6"/>
      <c r="I9" s="4"/>
      <c r="J9" s="6"/>
      <c r="K9" s="6"/>
    </row>
    <row r="10" spans="1:15" ht="22.8" customHeight="1" x14ac:dyDescent="0.3">
      <c r="A10" s="10" t="s">
        <v>53</v>
      </c>
      <c r="B10" s="10" t="s">
        <v>54</v>
      </c>
      <c r="C10" s="4"/>
      <c r="D10" s="4"/>
      <c r="E10" s="4"/>
      <c r="G10" s="7"/>
      <c r="H10" s="4"/>
      <c r="I10" s="7"/>
      <c r="J10" s="4"/>
      <c r="K10" s="4"/>
    </row>
    <row r="11" spans="1:15" x14ac:dyDescent="0.3">
      <c r="C11" s="4"/>
      <c r="D11" s="4"/>
      <c r="E11" s="4"/>
      <c r="G11" s="4"/>
      <c r="H11" s="4"/>
      <c r="I11" s="4"/>
      <c r="J11" s="4"/>
      <c r="K11" s="4"/>
    </row>
    <row r="12" spans="1:15" ht="14.4" x14ac:dyDescent="0.3">
      <c r="A12" s="41" t="s">
        <v>124</v>
      </c>
      <c r="B12" s="38"/>
    </row>
    <row r="13" spans="1:15" ht="14.4" x14ac:dyDescent="0.3">
      <c r="A13" s="39" t="s">
        <v>113</v>
      </c>
      <c r="B13" s="40" t="s">
        <v>126</v>
      </c>
      <c r="C13"/>
    </row>
    <row r="14" spans="1:15" ht="28.8" x14ac:dyDescent="0.3">
      <c r="A14" s="2" t="s">
        <v>125</v>
      </c>
      <c r="B14" s="33" t="s">
        <v>127</v>
      </c>
      <c r="C14"/>
    </row>
    <row r="15" spans="1:15" ht="14.4" x14ac:dyDescent="0.3">
      <c r="A15" s="2"/>
      <c r="B15" s="33" t="s">
        <v>128</v>
      </c>
      <c r="C15"/>
    </row>
    <row r="16" spans="1:15" ht="28.8" x14ac:dyDescent="0.3">
      <c r="A16" s="2"/>
      <c r="B16" s="33" t="s">
        <v>129</v>
      </c>
      <c r="C16"/>
    </row>
    <row r="17" spans="1:3" ht="14.4" x14ac:dyDescent="0.3">
      <c r="A17" s="2"/>
      <c r="B17" s="33" t="s">
        <v>130</v>
      </c>
      <c r="C17"/>
    </row>
    <row r="18" spans="1:3" ht="43.2" x14ac:dyDescent="0.3">
      <c r="A18" s="2"/>
      <c r="B18" s="33" t="s">
        <v>131</v>
      </c>
      <c r="C18"/>
    </row>
    <row r="19" spans="1:3" ht="28.8" x14ac:dyDescent="0.3">
      <c r="A19" s="2" t="s">
        <v>132</v>
      </c>
      <c r="B19" s="33" t="s">
        <v>133</v>
      </c>
      <c r="C19"/>
    </row>
    <row r="20" spans="1:3" ht="14.4" x14ac:dyDescent="0.3">
      <c r="A20" s="44" t="s">
        <v>134</v>
      </c>
      <c r="B20" s="42"/>
      <c r="C20" s="43"/>
    </row>
    <row r="21" spans="1:3" ht="14.4" x14ac:dyDescent="0.3">
      <c r="A21" s="37" t="s">
        <v>141</v>
      </c>
      <c r="B21" s="35" t="s">
        <v>140</v>
      </c>
      <c r="C21" s="36" t="s">
        <v>139</v>
      </c>
    </row>
    <row r="22" spans="1:3" ht="14.4" x14ac:dyDescent="0.3">
      <c r="A22" s="1" t="s">
        <v>135</v>
      </c>
      <c r="B22" s="1">
        <v>5</v>
      </c>
      <c r="C22" s="34">
        <f>+(B22/7)*100</f>
        <v>71.428571428571431</v>
      </c>
    </row>
    <row r="23" spans="1:3" ht="14.4" x14ac:dyDescent="0.3">
      <c r="A23" s="1" t="s">
        <v>136</v>
      </c>
      <c r="B23" s="1">
        <v>3</v>
      </c>
      <c r="C23" s="34">
        <f>+(B23/7)*100</f>
        <v>42.857142857142854</v>
      </c>
    </row>
    <row r="24" spans="1:3" ht="14.4" x14ac:dyDescent="0.3">
      <c r="A24" s="1" t="s">
        <v>137</v>
      </c>
      <c r="B24" s="1">
        <v>3</v>
      </c>
      <c r="C24" s="34">
        <f>+(B24/7)*100</f>
        <v>42.857142857142854</v>
      </c>
    </row>
    <row r="25" spans="1:3" ht="14.4" x14ac:dyDescent="0.3">
      <c r="A25" s="1" t="s">
        <v>138</v>
      </c>
      <c r="B25" s="1">
        <v>2</v>
      </c>
      <c r="C25" s="34">
        <f>+(B25/7)*100</f>
        <v>28.571428571428569</v>
      </c>
    </row>
    <row r="26" spans="1:3" ht="10.8" thickBot="1" x14ac:dyDescent="0.35"/>
    <row r="27" spans="1:3" ht="15" thickBot="1" x14ac:dyDescent="0.35">
      <c r="A27" s="55" t="s">
        <v>170</v>
      </c>
      <c r="B27" s="56" t="s">
        <v>171</v>
      </c>
    </row>
    <row r="28" spans="1:3" ht="15" thickBot="1" x14ac:dyDescent="0.35">
      <c r="A28" s="53" t="s">
        <v>162</v>
      </c>
      <c r="B28" s="54" t="s">
        <v>163</v>
      </c>
    </row>
    <row r="29" spans="1:3" ht="15" thickBot="1" x14ac:dyDescent="0.35">
      <c r="A29" s="53" t="s">
        <v>164</v>
      </c>
      <c r="B29" s="54" t="s">
        <v>165</v>
      </c>
    </row>
    <row r="30" spans="1:3" ht="15" thickBot="1" x14ac:dyDescent="0.35">
      <c r="A30" s="53" t="s">
        <v>166</v>
      </c>
      <c r="B30" s="54" t="s">
        <v>167</v>
      </c>
    </row>
    <row r="31" spans="1:3" ht="15" thickBot="1" x14ac:dyDescent="0.35">
      <c r="A31" s="53" t="s">
        <v>168</v>
      </c>
      <c r="B31" s="54" t="s">
        <v>169</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Records_x0020_Date xmlns="c7442c65-92ff-440c-9345-eab1a5cdb447"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2019-08-22T19:24:00+00:00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Records_x0020_Status xmlns="c7442c65-92ff-440c-9345-eab1a5cdb447">Pending</Records_x0020_Status>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documentManagement>
</p:properties>
</file>

<file path=customXml/item2.xml><?xml version="1.0" encoding="utf-8"?>
<?mso-contentType ?>
<SharedContentType xmlns="Microsoft.SharePoint.Taxonomy.ContentTypeSync" SourceId="29f62856-1543-49d4-a736-4569d363f533"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2ADE054607723547A58706940E97741B" ma:contentTypeVersion="33" ma:contentTypeDescription="Create a new document." ma:contentTypeScope="" ma:versionID="c9d96cc526f91d9121540ae9cd6d0361">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c7442c65-92ff-440c-9345-eab1a5cdb447" xmlns:ns7="28bcc04f-2132-4985-b67e-a499d20b6166" targetNamespace="http://schemas.microsoft.com/office/2006/metadata/properties" ma:root="true" ma:fieldsID="05cfcdf109ca411f0141f172cea1fe41" ns1:_="" ns3:_="" ns4:_="" ns5:_="" ns6:_="" ns7:_="">
    <xsd:import namespace="http://schemas.microsoft.com/sharepoint/v3"/>
    <xsd:import namespace="4ffa91fb-a0ff-4ac5-b2db-65c790d184a4"/>
    <xsd:import namespace="http://schemas.microsoft.com/sharepoint.v3"/>
    <xsd:import namespace="http://schemas.microsoft.com/sharepoint/v3/fields"/>
    <xsd:import namespace="c7442c65-92ff-440c-9345-eab1a5cdb447"/>
    <xsd:import namespace="28bcc04f-2132-4985-b67e-a499d20b6166"/>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6:SharingHintHash" minOccurs="0"/>
                <xsd:element ref="ns6:SharedWithDetails" minOccurs="0"/>
                <xsd:element ref="ns7:MediaServiceMetadata" minOccurs="0"/>
                <xsd:element ref="ns7:MediaServiceFastMetadata" minOccurs="0"/>
                <xsd:element ref="ns6:Records_x0020_Status" minOccurs="0"/>
                <xsd:element ref="ns6:Records_x0020_Date" minOccurs="0"/>
                <xsd:element ref="ns7:MediaServiceAutoTags" minOccurs="0"/>
                <xsd:element ref="ns7:MediaServiceOCR" minOccurs="0"/>
                <xsd:element ref="ns7:MediaServiceDateTaken" minOccurs="0"/>
                <xsd:element ref="ns7:MediaServiceGenerationTime" minOccurs="0"/>
                <xsd:element ref="ns7:MediaServiceEventHashCode" minOccurs="0"/>
                <xsd:element ref="ns7:MediaServiceAutoKeyPoints" minOccurs="0"/>
                <xsd:element ref="ns7: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b4daf003-cf7f-417d-8dab-870f176e3dd1}" ma:internalName="TaxCatchAllLabel" ma:readOnly="true" ma:showField="CatchAllDataLabel" ma:web="c7442c65-92ff-440c-9345-eab1a5cdb447">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b4daf003-cf7f-417d-8dab-870f176e3dd1}" ma:internalName="TaxCatchAll" ma:showField="CatchAllData" ma:web="c7442c65-92ff-440c-9345-eab1a5cdb44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7442c65-92ff-440c-9345-eab1a5cdb447"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29" nillable="true" ma:displayName="Sharing Hint Hash" ma:internalName="SharingHintHash" ma:readOnly="true">
      <xsd:simpleType>
        <xsd:restriction base="dms:Text"/>
      </xsd:simpleType>
    </xsd:element>
    <xsd:element name="SharedWithDetails" ma:index="30" nillable="true" ma:displayName="Shared With Details" ma:description="" ma:internalName="SharedWithDetails" ma:readOnly="true">
      <xsd:simpleType>
        <xsd:restriction base="dms:Note">
          <xsd:maxLength value="255"/>
        </xsd:restriction>
      </xsd:simpleType>
    </xsd:element>
    <xsd:element name="Records_x0020_Status" ma:index="33" nillable="true" ma:displayName="Records Status" ma:default="Pending" ma:internalName="Records_x0020_Status">
      <xsd:simpleType>
        <xsd:restriction base="dms:Text"/>
      </xsd:simpleType>
    </xsd:element>
    <xsd:element name="Records_x0020_Date" ma:index="34"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8bcc04f-2132-4985-b67e-a499d20b6166" elementFormDefault="qualified">
    <xsd:import namespace="http://schemas.microsoft.com/office/2006/documentManagement/types"/>
    <xsd:import namespace="http://schemas.microsoft.com/office/infopath/2007/PartnerControls"/>
    <xsd:element name="MediaServiceMetadata" ma:index="31" nillable="true" ma:displayName="MediaServiceMetadata" ma:description="" ma:hidden="true" ma:internalName="MediaServiceMetadata" ma:readOnly="true">
      <xsd:simpleType>
        <xsd:restriction base="dms:Note"/>
      </xsd:simpleType>
    </xsd:element>
    <xsd:element name="MediaServiceFastMetadata" ma:index="32" nillable="true" ma:displayName="MediaServiceFastMetadata" ma:description="" ma:hidden="true" ma:internalName="MediaServiceFastMetadata" ma:readOnly="true">
      <xsd:simpleType>
        <xsd:restriction base="dms:Note"/>
      </xsd:simpleType>
    </xsd:element>
    <xsd:element name="MediaServiceAutoTags" ma:index="35" nillable="true" ma:displayName="MediaServiceAutoTags" ma:internalName="MediaServiceAutoTags" ma:readOnly="true">
      <xsd:simpleType>
        <xsd:restriction base="dms:Text"/>
      </xsd:simpleType>
    </xsd:element>
    <xsd:element name="MediaServiceOCR" ma:index="36" nillable="true" ma:displayName="MediaServiceOCR" ma:internalName="MediaServiceOCR" ma:readOnly="true">
      <xsd:simpleType>
        <xsd:restriction base="dms:Note">
          <xsd:maxLength value="255"/>
        </xsd:restriction>
      </xsd:simpleType>
    </xsd:element>
    <xsd:element name="MediaServiceDateTaken" ma:index="37" nillable="true" ma:displayName="MediaServiceDateTaken" ma:hidden="true" ma:internalName="MediaServiceDateTaken" ma:readOnly="true">
      <xsd:simpleType>
        <xsd:restriction base="dms:Text"/>
      </xsd:simpleType>
    </xsd:element>
    <xsd:element name="MediaServiceGenerationTime" ma:index="38" nillable="true" ma:displayName="MediaServiceGenerationTime" ma:hidden="true" ma:internalName="MediaServiceGenerationTime" ma:readOnly="true">
      <xsd:simpleType>
        <xsd:restriction base="dms:Text"/>
      </xsd:simpleType>
    </xsd:element>
    <xsd:element name="MediaServiceEventHashCode" ma:index="39" nillable="true" ma:displayName="MediaServiceEventHashCode" ma:hidden="true" ma:internalName="MediaServiceEventHashCode" ma:readOnly="true">
      <xsd:simpleType>
        <xsd:restriction base="dms:Text"/>
      </xsd:simpleType>
    </xsd:element>
    <xsd:element name="MediaServiceAutoKeyPoints" ma:index="40" nillable="true" ma:displayName="MediaServiceAutoKeyPoints" ma:hidden="true" ma:internalName="MediaServiceAutoKeyPoints" ma:readOnly="true">
      <xsd:simpleType>
        <xsd:restriction base="dms:Note"/>
      </xsd:simpleType>
    </xsd:element>
    <xsd:element name="MediaServiceKeyPoints" ma:index="4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F3CEA1-8967-4EC6-8390-C445FD9FEDFD}">
  <ds:schemaRefs>
    <ds:schemaRef ds:uri="http://schemas.microsoft.com/office/infopath/2007/PartnerControls"/>
    <ds:schemaRef ds:uri="http://purl.org/dc/elements/1.1/"/>
    <ds:schemaRef ds:uri="4ffa91fb-a0ff-4ac5-b2db-65c790d184a4"/>
    <ds:schemaRef ds:uri="http://schemas.microsoft.com/sharepoint.v3"/>
    <ds:schemaRef ds:uri="c7442c65-92ff-440c-9345-eab1a5cdb447"/>
    <ds:schemaRef ds:uri="http://purl.org/dc/terms/"/>
    <ds:schemaRef ds:uri="http://schemas.openxmlformats.org/package/2006/metadata/core-properties"/>
    <ds:schemaRef ds:uri="http://schemas.microsoft.com/sharepoint/v3/fields"/>
    <ds:schemaRef ds:uri="http://schemas.microsoft.com/office/2006/documentManagement/types"/>
    <ds:schemaRef ds:uri="28bcc04f-2132-4985-b67e-a499d20b6166"/>
    <ds:schemaRef ds:uri="http://schemas.microsoft.com/office/2006/metadata/properties"/>
    <ds:schemaRef ds:uri="http://schemas.microsoft.com/sharepoint/v3"/>
    <ds:schemaRef ds:uri="http://www.w3.org/XML/1998/namespace"/>
    <ds:schemaRef ds:uri="http://purl.org/dc/dcmitype/"/>
  </ds:schemaRefs>
</ds:datastoreItem>
</file>

<file path=customXml/itemProps2.xml><?xml version="1.0" encoding="utf-8"?>
<ds:datastoreItem xmlns:ds="http://schemas.openxmlformats.org/officeDocument/2006/customXml" ds:itemID="{A67E7D56-F9AC-4572-BC4B-386C017A2A3B}">
  <ds:schemaRefs>
    <ds:schemaRef ds:uri="Microsoft.SharePoint.Taxonomy.ContentTypeSync"/>
  </ds:schemaRefs>
</ds:datastoreItem>
</file>

<file path=customXml/itemProps3.xml><?xml version="1.0" encoding="utf-8"?>
<ds:datastoreItem xmlns:ds="http://schemas.openxmlformats.org/officeDocument/2006/customXml" ds:itemID="{4D00581D-088D-4594-8F81-50CEA9941C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c7442c65-92ff-440c-9345-eab1a5cdb447"/>
    <ds:schemaRef ds:uri="28bcc04f-2132-4985-b67e-a499d20b61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0538482-896B-428B-AC53-34EC2F9EE4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ReadMe</vt:lpstr>
      <vt:lpstr>1) Interactive HAWC Visuals</vt:lpstr>
      <vt:lpstr>2) Survey 1</vt:lpstr>
      <vt:lpstr>3) Survey 2</vt:lpstr>
      <vt:lpstr>4) Table 2 Data</vt:lpstr>
      <vt:lpstr>5) Table 3 Data</vt:lpstr>
      <vt:lpstr>6) Table 4 Data</vt:lpstr>
      <vt:lpstr>7) Table 5 Data</vt:lpstr>
      <vt:lpstr>8) Table 6 Data</vt:lpstr>
      <vt:lpstr>9) Repeated Extraction</vt:lpstr>
      <vt:lpstr>10) Problematic &amp; Easy Fields</vt:lpstr>
      <vt:lpstr>'8) Table 6 Data'!_ftn1</vt:lpstr>
      <vt:lpstr>'4) Table 2 Data'!_Ref21956830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Wilkins, Amina</dc:creator>
  <cp:lastModifiedBy>Wilkins, Amina</cp:lastModifiedBy>
  <dcterms:created xsi:type="dcterms:W3CDTF">2019-08-22T15:13:11Z</dcterms:created>
  <dcterms:modified xsi:type="dcterms:W3CDTF">2020-10-20T19:25:44Z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0x0101002ADE054607723547A58706940E97741B</vt:lpwstr>
  </property>
</Properties>
</file>