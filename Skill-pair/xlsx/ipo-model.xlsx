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Non Course Content\Macabacus Learning Resources\Complete Models - Complete\"/>
    </mc:Choice>
  </mc:AlternateContent>
  <xr:revisionPtr revIDLastSave="0" documentId="13_ncr:1_{3FBB0542-68E0-4474-ABA7-0E137082C924}" xr6:coauthVersionLast="47" xr6:coauthVersionMax="47" xr10:uidLastSave="{00000000-0000-0000-0000-000000000000}"/>
  <bookViews>
    <workbookView xWindow="-96" yWindow="-96" windowWidth="23232" windowHeight="12696" tabRatio="776" firstSheet="1" activeTab="1" xr2:uid="{00000000-000D-0000-FFFF-FFFF00000000}"/>
  </bookViews>
  <sheets>
    <sheet name="__FDSCACHE__" sheetId="33" state="veryHidden" r:id="rId1"/>
    <sheet name="Cover Page" sheetId="60" r:id="rId2"/>
    <sheet name="Assumptions" sheetId="59" r:id="rId3"/>
    <sheet name="FDSO" sheetId="49" r:id="rId4"/>
    <sheet name="IPO" sheetId="57" r:id="rId5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2">Assumptions!$B$3:$F$42</definedName>
    <definedName name="_xlnm.Print_Area" localSheetId="1">'Cover Page'!$A$1:$N$52</definedName>
    <definedName name="_xlnm.Print_Area" localSheetId="3">FDSO!$B$3:$K$15</definedName>
    <definedName name="_xlnm.Print_Area" localSheetId="4">IPO!$B$3:$H$69</definedName>
    <definedName name="_xlnm.Print_Area">#REF!</definedName>
  </definedNames>
  <calcPr calcId="191029" calcMode="autoNoTable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9" l="1"/>
  <c r="B11" i="49"/>
  <c r="B40" i="57"/>
  <c r="B41" i="57"/>
  <c r="B42" i="57"/>
  <c r="B43" i="57"/>
  <c r="B44" i="57"/>
  <c r="B45" i="57"/>
  <c r="B46" i="57"/>
  <c r="B39" i="57"/>
  <c r="D6" i="49"/>
  <c r="D5" i="49"/>
  <c r="E12" i="49"/>
  <c r="E11" i="49"/>
  <c r="F46" i="57"/>
  <c r="F45" i="57"/>
  <c r="F44" i="57"/>
  <c r="F43" i="57"/>
  <c r="F42" i="57"/>
  <c r="F41" i="57"/>
  <c r="F40" i="57"/>
  <c r="F39" i="57"/>
  <c r="B35" i="57"/>
  <c r="F67" i="57"/>
  <c r="G67" i="57" s="1"/>
  <c r="H67" i="57" s="1"/>
  <c r="F63" i="57"/>
  <c r="G63" i="57" s="1"/>
  <c r="H63" i="57" s="1"/>
  <c r="H7" i="57"/>
  <c r="F7" i="57"/>
  <c r="G12" i="57"/>
  <c r="H12" i="57"/>
  <c r="G13" i="57"/>
  <c r="H13" i="57"/>
  <c r="F13" i="57"/>
  <c r="F12" i="57"/>
  <c r="F14" i="57" l="1"/>
  <c r="G7" i="57"/>
  <c r="G40" i="57"/>
  <c r="H40" i="57" s="1"/>
  <c r="G41" i="57"/>
  <c r="H41" i="57" s="1"/>
  <c r="G42" i="57"/>
  <c r="H42" i="57" s="1"/>
  <c r="G43" i="57"/>
  <c r="H43" i="57" s="1"/>
  <c r="G44" i="57"/>
  <c r="H44" i="57" s="1"/>
  <c r="G45" i="57"/>
  <c r="H45" i="57" s="1"/>
  <c r="G46" i="57"/>
  <c r="H46" i="57" s="1"/>
  <c r="G39" i="57"/>
  <c r="H39" i="57" s="1"/>
  <c r="H34" i="57"/>
  <c r="H35" i="57" s="1"/>
  <c r="H36" i="57" s="1"/>
  <c r="F34" i="57"/>
  <c r="F35" i="57" s="1"/>
  <c r="F47" i="57"/>
  <c r="F53" i="57" s="1"/>
  <c r="G14" i="57" l="1"/>
  <c r="G16" i="57" s="1"/>
  <c r="F27" i="57"/>
  <c r="F15" i="57"/>
  <c r="F16" i="57"/>
  <c r="H14" i="57"/>
  <c r="G34" i="57"/>
  <c r="G35" i="57" s="1"/>
  <c r="G36" i="57" s="1"/>
  <c r="H47" i="57"/>
  <c r="G47" i="57"/>
  <c r="F36" i="57"/>
  <c r="G15" i="57" l="1"/>
  <c r="G17" i="57" s="1"/>
  <c r="G28" i="57" s="1"/>
  <c r="G27" i="57"/>
  <c r="F17" i="57"/>
  <c r="H15" i="57"/>
  <c r="H16" i="57"/>
  <c r="H27" i="57"/>
  <c r="F22" i="57"/>
  <c r="H53" i="57"/>
  <c r="G53" i="57"/>
  <c r="G29" i="57" l="1"/>
  <c r="F28" i="57"/>
  <c r="F29" i="57" s="1"/>
  <c r="F18" i="57"/>
  <c r="G18" i="57"/>
  <c r="H17" i="57"/>
  <c r="H28" i="57" s="1"/>
  <c r="H29" i="57" s="1"/>
  <c r="F51" i="57"/>
  <c r="F52" i="57"/>
  <c r="G22" i="57"/>
  <c r="H18" i="57" l="1"/>
  <c r="F54" i="57"/>
  <c r="G52" i="57"/>
  <c r="G51" i="57"/>
  <c r="H22" i="57"/>
  <c r="G54" i="57" l="1"/>
  <c r="H52" i="57"/>
  <c r="H51" i="57"/>
  <c r="H54" i="57" l="1"/>
  <c r="E14" i="49" l="1"/>
  <c r="E13" i="49"/>
  <c r="F12" i="49"/>
  <c r="G12" i="49" s="1"/>
  <c r="H12" i="49" s="1"/>
  <c r="I12" i="49" s="1"/>
  <c r="J12" i="49" s="1"/>
  <c r="K12" i="49" s="1"/>
  <c r="F11" i="49"/>
  <c r="G11" i="49" s="1"/>
  <c r="A10" i="49"/>
  <c r="A11" i="49" s="1"/>
  <c r="A12" i="49" s="1"/>
  <c r="A13" i="49" s="1"/>
  <c r="A14" i="49" s="1"/>
  <c r="A15" i="49" s="1"/>
  <c r="F9" i="49"/>
  <c r="E15" i="49" l="1"/>
  <c r="F13" i="49"/>
  <c r="G9" i="49"/>
  <c r="G14" i="49" s="1"/>
  <c r="F14" i="49"/>
  <c r="G13" i="49"/>
  <c r="H11" i="49"/>
  <c r="F15" i="49" l="1"/>
  <c r="G15" i="49"/>
  <c r="F21" i="57" s="1"/>
  <c r="F23" i="57" s="1"/>
  <c r="F59" i="57" s="1"/>
  <c r="H9" i="49"/>
  <c r="H13" i="49"/>
  <c r="I11" i="49"/>
  <c r="I9" i="49"/>
  <c r="F68" i="57" l="1"/>
  <c r="F61" i="57"/>
  <c r="F64" i="57"/>
  <c r="H14" i="49"/>
  <c r="H15" i="49" s="1"/>
  <c r="G21" i="57" s="1"/>
  <c r="G23" i="57" s="1"/>
  <c r="G59" i="57" s="1"/>
  <c r="J11" i="49"/>
  <c r="I13" i="49"/>
  <c r="J9" i="49"/>
  <c r="I14" i="49"/>
  <c r="G68" i="57" l="1"/>
  <c r="G64" i="57"/>
  <c r="G61" i="57"/>
  <c r="F65" i="57"/>
  <c r="F69" i="57"/>
  <c r="F60" i="57"/>
  <c r="I15" i="49"/>
  <c r="H21" i="57" s="1"/>
  <c r="H23" i="57" s="1"/>
  <c r="H59" i="57" s="1"/>
  <c r="J14" i="49"/>
  <c r="K9" i="49"/>
  <c r="K11" i="49"/>
  <c r="J13" i="49"/>
  <c r="G65" i="57" l="1"/>
  <c r="G69" i="57"/>
  <c r="G60" i="57"/>
  <c r="H61" i="57"/>
  <c r="H68" i="57"/>
  <c r="H64" i="57"/>
  <c r="J15" i="49"/>
  <c r="K14" i="49"/>
  <c r="K13" i="49"/>
  <c r="H60" i="57" l="1"/>
  <c r="H65" i="57"/>
  <c r="H69" i="57"/>
  <c r="K15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Grossberg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卟䙄_x0001_＀＀嘊偉)䵕児䥞彃卅䥔䅍䕔䔨卐䴬䅅ⱎ乁ⱎ〲㌱㐬ㄱ㠵착_x0018_＀＀_x0018_＀＀_x0008_＀＀_x0001_＀＀_x0001_＀＀炤਽ꏗ㿬䃤偉_x0012_䵃幁彐剐䍉⡅〴㤷⤳_x0018_＀＀_x0018_＀＀_x0008_＀＀_x0001_＀＀_x0001_＀＀휊炣訽䀷嘊偉(䍔幂䍉䕟呓䵉呁⡅偅ⱓ䕍乁䄬乎㈬㄰ⰲㄴ㔱⤸_x0018_＀＀_x0018_＀＀_x0008_＀＀_x0001_＀＀_x0001_＀＀⋐率뿲嘋偉)呓䅓䥞彃卅䥔䅍䕔䔨卐䴬䅅ⱎ乁ⱎ〲㈱㐬ㄱ㠵착_x0018_＀＀_x0018_＀＀_x0008_＀＀_x0001_＀＀_x0001_＀＀슐⣵轜䀙嘉偉_x001B_䵈呓偞䵟呋噟䱁㐨ㄱ㠵Ⱜ唬䑓착_x0018_＀＀_x0018_＀＀_x0008_＀＀_x0001_＀＀_x0001_＀＀鞍ቮ⺃䁰䃣偉)乆䝆䥞彄卅䥔䅍䕔䔨卐䴬䅅ⱎ乁ⱎ〲㌱〬Ⱜ〬착_x0018_＀＀_x0018_＀＀_x0008_＀＀_x0001_＀＀_x0001_＀＀ᑺ䞮㿩嘉偉(呓幉䍉䕟呓䵉呁⡅偅ⱓ䕍乁䄬乎㈬㄰ⰴㄴ㔱⤸_x0018_＀＀_x0018_＀＀_x0008_＀＀_x0001_＀＀_x0001_＀＀_xDD2F_ؤ閁䀈噡偊_x0013_呓䅂偞偟䥒䕃㐨㤰㤰착_x0018_＀＀_x0018_＀＀_x0008_＀＀_x0001_＀＀_x0001_＀＀쳍쳌賌䀳嘊偉)啓兓䥞彃卅䥔䅍䕔䔨卐䴬䅅ⱎ乁ⱎ〲㌱㐬ㄱ㠵착_x0018_＀＀_x0018_＀＀_x0008_＀＀_x0001_＀＀_x0001_＀＀譄ꧻ㿭噟偊_x0012_塂幓彐剐䍉⡅ㄴ㔱⤹_x0018_＀＀_x0018_＀＀_x0008_＀＀_x0001_＀＀_x0001_＀＀＀＀＀＀耀䀮噡偊(佂幈䍉䕟呓䵉呁⡅偅ⱓ䕍乁䄬乎㈬㄰ⰴㄴ㔱⤹_x0018_＀＀_x0018_＀＀_x0008_＀＀_x0001_＀＀_x0001_＀＀晧晦晦䀌嘋偉)䉕䥓䥞彃卅䥔䅍䕔䔨卐䴬䅅ⱎ乁ⱎ〲㐱㐬ㄱ㠵착_x0018_＀＀_x0018_＀＀_x0008_＀＀_x0001_＀＀_x0001_＀＀ᑻ䞮竡㿼嘋偉)乐偆䥞彃卅䥔䅍䕔䔨卐䴬䅅ⱎ乁ⱎ〲㌱㐬ㄱ㠵착_x0018_＀＀_x0018_＀＀_x0008_＀＀_x0001_＀＀_x0001_＀＀凬Ẹ㿳噡偊)䵆剅䥞彃卅䥔䅍䕔䔨卐䴬䅅ⱎ乁ⱎ〲㈱㐬ㄱ㤵착_x0018_＀＀_x0018_＀＀_x0008_＀＀_x0001_＀＀_x0001_＀＀롑蔞㿳嘉偉_x001A_䉗幓彐䭍彔䅖⡌ㄴ㔱ⰸⰬ单⥄_x0018_＀＀_x0018_＀＀_x0008_＀＀_x0001_＀＀_x0001_＀＀됺盈諭䂞噢偊)噃䙂䥞彃卅䥔䅍䕔䔨卐䴬䅅ⱎ乁ⱎ〲㈱㐬ㄱ㤵착_x0018_＀＀_x0018_＀＀_x0008_＀＀_x0001_＀＀_x0001_＀＀炤਽ꏗ㿨噠偊_x001A_千幅彐䭍彔䅖⡌ㄴ㔱ⰹⰬ单⥄_x0018_＀＀_x0018_＀＀_x0008_＀＀_x0001_＀＀_x0001_＀＀뀡桲㒑䂙䃤偉_x0013_䉈䍈偞偟䥒䕃㐨㜰㌹착_x0018_＀＀_x0018_＀＀_x0008_＀＀_x0001_＀＀_x0001_＀＀炤਽ꏗ䀽嘋偉)䍔䥂䥞彃卅䥔䅍䕔䔨卐䴬䅅ⱎ乁ⱎ〲㐱㐬ㄱ㠵착_x0018_＀＀_x0018_＀＀_x0008_＀＀_x0001_＀＀_x0001_＀＀_xDF3C_赏溗䀊噡偊)䵕䙂䥞彃卅䥔䅍䕔䔨卐䴬䅅ⱎ乁ⱎ〲㐱㐬ㄱ㤵착_x0018_＀＀_x0018_＀＀_x0008_＀＀_x0001_＀＀_x0001_＀＀㌳㌳㌳䀍嘊偉_x001B_䡃䍆偞䵟呋噟䱁㐨ㄱ㠵Ⱜ唬䑓착_x0018_＀＀_x0018_＀＀_x0008_＀＀_x0001_＀＀_x0001_＀＀殺契疠䂄嘊偉_x001B_䉂乃偞䵟呋噟䱁㐨ㄱ㠵Ⱜ唬䑓착_x0018_＀＀_x0018_＀＀_x0008_＀＀_x0001_＀＀_x0001_＀＀횢䂎嘉偉_x0012_乓幖彐剐䍉⡅ㄴ㔱⤸_x0018_＀＀_x0018_＀＀_x0008_＀＀_x0001_＀＀_x0001_＀＀⣶轜䀂嘋偉(䅗幌䍉䕟呓䵉呁⡅偅ⱓ䕍乁䄬乎㈬㄰ⰳㄴ㔱⤸_x0018_＀＀_x0018_＀＀_x0008_＀＀_x0001_＀＀_x0001_＀＀炤਽ꏗ㿨噞偊_x0013_十䍂偞偟䥒䕃㐨ㄱ㤵착_x0018_＀＀_x0018_＀＀_x0008_＀＀_x0001_＀＀_x0001_＀＀쳍쳌䳌䀪嘊偉_x0012_䙐幓彐剐䍉⡅ㄴ㔱⤸_x0018_＀＀_x0018_＀＀_x0008_＀＀_x0001_＀＀_x0001_＀＀凬Ẹ殅䀯噢偊)䥆䭂䥞彃卅䥔䅍䕔䔨卐䴬䅅ⱎ乁ⱎ〲㐱㐬ㄱ㤵착_x0018_＀＀_x0018_＀＀_x0008_＀＀_x0001_＀＀_x0001_＀＀＀＀＀＀＀＀㿶䃤偉_x0013_䅃奔偞偟䥒䕃㐨㜰㌹착_x0018_＀＀_x0018_＀＀_x0008_＀＀_x0001_＀＀_x0001_＀＀슐⣵轜䀨嘉偉_x001B_䵕児偞䵟呋噟䱁㐨ㄱ㠵Ⱜ唬䑓착_x0018_＀＀_x0018_＀＀_x0008_＀＀_x0001_＀＀_x0001_＀＀䞮竡隔䂖噡偊(䡆幎䍉䕟呓䵉呁⡅偅ⱓ䕍乁䄬乎㈬㄰ⰲㄴ㔱⤹_x0018_＀＀_x0018_＀＀_x0008_＀＀_x0001_＀＀_x0001_＀＀ꧼ틱才㽐䃤偉_x0012_千幅彐剐䍉⡅〴㤷⤳_x0018_＀＀_x0018_＀＀_x0008_＀＀_x0001_＀＀_x0001_＀＀ਾꏗ㵰䀚䃤偉_x0012_䭂幕彐剐䍉⡅〴㤷⤳_x0018_＀＀_x0018_＀＀_x0008_＀＀_x0001_＀＀_x0001_＀＀ᑻ䞮﫡䀶噝偊_x0012_呍幂彐剐䍉⡅〴〹⤹_x0018_＀＀_x0018_＀＀_x0008_＀＀_x0001_＀＀_x0001_＀＀⣶轜ᗂ䁓嘋偉(乆幂䍉䕟呓䵉呁⡅偅ⱓ䕍乁䄬乎㈬㄰ⰳㄴ㔱⤸_x0018_＀＀_x0018_＀＀_x0008_＀＀_x0001_＀＀_x0001_＀＀尩슏⣵㿬噞偊)䥆䉔䥞彃卅䥔䅍䕔䔨卐䴬䅅ⱎ乁ⱎ〲㐱㐬ㄱ㤵착_x0018_＀＀_x0018_＀＀_x0008_＀＀_x0001_＀＀_x0001_＀＀竡긔㿺嘋偉)呓䅂䥞彃卅䥔䅍䕔䔨卐䴬䅅ⱎ乁ⱎ〲㐱㐬ㄱ㠵착_x0018_＀＀_x0018_＀＀_x0008_＀＀_x0001_＀＀_x0001_＀＀馚香香㿹嘋偉)婏䭒䥞彃卅䥔䅍䕔䔨卐䴬䅅ⱎ乁ⱎ〲㈱㐬ㄱ㠵착_x0018_＀＀_x0018_＀＀_x0008_＀＀_x0001_＀＀_x0001_＀＀㽽帵䦺䀁噞偊(䕋幙䍉䕟呓䵉呁⡅偅ⱓ䕍乁䄬乎㈬㄰ⰳㄴ㔱⤹_x0018_＀＀_x0018_＀＀_x0008_＀＀_x0001_＀＀_x0001_＀＀犰酨糭㿫噡偊_x0013_䍓呂偞偟䥒䕃㐨ㄱ㤵착_x0018_＀＀_x0018_＀＀_x0008_＀＀_x0001_＀＀_x0001_＀＀凬Ẹ讅䁄嘊偉_x0013_䉂乃偞偟䥒䕃㐨㤰㤰착_x0018_＀＀_x0018_＀＀_x0008_＀＀_x0001_＀＀_x0001_＀＀晧晦䀢噢偊)䍕䥂䥞彃卅䥔䅍䕔䔨卐䴬䅅ⱎ乁ⱎ〲㐱㐬ㄱ㤵착_x0018_＀＀_x0018_＀＀_x0008_＀＀_x0001_＀＀_x0001_＀＀凬Ẹ㿱噟偊_x001B_䉍䥆偞䵟呋噟䱁㐨ㄱ㤵Ⱜ唬䑓착_x0018_＀＀_x0018_＀＀_x0008_＀＀_x0001_＀＀_x0001_＀＀竡긔齇䂑噡偊_x0013_䉐呃偞偟䥒䕃㐨ㄱ㤵착_x0018_＀＀_x0018_＀＀_x0008_＀＀_x0001_＀＀_x0001_＀＀竡긔慇䀨噝偊_x001A_乓幖彐䭍彔䅖⡌ㄴ㔱ⰹⰬ单⥄_x0018_＀＀_x0018_＀＀_x0008_＀＀_x0001_＀＀_x0001_＀＀ꗤ쒛缠䂝䃤偉_x0012_䙏幇彐剐䍉⡅〴㤷⤳_x0018_＀＀_x0018_＀＀_x0008_＀＀_x0001_＀＀_x0001_＀＀蔟凫Ẹ䀥嘊偉_x001B_䍕䥂偞䵟呋噟䱁㐨ㄱ㠵Ⱜ唬䑓착_x0018_＀＀_x0018_＀＀_x0008_＀＀_x0001_＀＀_x0001_＀＀呡❒쪠䁾䃤偉_x0013_偎䍂偞偟䥒䕃㐨㜰㌹착_x0018_＀＀_x0018_＀＀_x0008_＀＀_x0001_＀＀_x0001_＀＀晧晦晦䀜嘉偉_x001B_剔䭍偞䵟呋噟䱁㐨ㄱ㠵Ⱜ唬䑓착_x0018_＀＀_x0018_＀＀_x0008_＀＀_x0001_＀＀_x0001_＀＀沋ﯧ䂘嘊偉_x0013_䅗䍂偞偟䥒䕃㐨㤰㤰착_x0018_＀＀_x0018_＀＀_x0008_＀＀_x0001_＀＀_x0001_＀＀㌴㌳䁅嘉偉'䙒䥞彃卅䥔䅍䕔䔨卐䴬䅅ⱎ乁ⱎ〲㐱㐬ㄱ㠵착_x0018_＀＀_x0018_＀＀_x0008_＀＀_x0001_＀＀_x0001_＀＀⋑率橾㿬噡偊)呗䍆䥞彃卅䥔䅍䕔䔨卐䴬䅅ⱎ乁ⱎ〲㐱㐬ㄱ㤵착_x0018_＀＀_x0018_＀＀_x0008_＀＀_x0001_＀＀_x0001_＀＀㝌䆉䀇噡偊)商呌䥞彃卅䥔䅍䕔䔨卐䴬䅅ⱎ乁ⱎ〲㈱㐬ㄱ㤵착_x0018_＀＀_x0018_＀＀_x0008_＀＀_x0001_＀＀_x0001_＀＀桳㽼㿩嘉偉_x001A_䙃幒彐䭍彔䅖⡌ㄴ㔱ⰸⰬ单⥄_x0018_＀＀_x0018_＀＀_x0008_＀＀_x0001_＀＀_x0001_＀＀鍵И꩖䂫嘋偉)剔䭍䥞彃卅䥔䅍䕔䔨卐䴬䅅ⱎ乁ⱎ〲㐱㐬ㄱ㠵착_x0018_＀＀_x0018_＀＀_x0008_＀＀_x0001_＀＀_x0001_＀＀Ẹ롑㿾嘋偉)坎䥂䥞彃卅䥔䅍䕔䔨卐䴬䅅ⱎ乁ⱎ〲㐱㐬ㄱ㠵착_x0018_＀＀_x0018_＀＀_x0008_＀＀_x0001_＀＀_x0001_＀＀롑蔞㿫噠偊_x0012_剐幋彐剐䍉⡅ㄴ㔱⤹_x0018_＀＀_x0018_＀＀_x0008_＀＀_x0001_＀＀_x0001_＀＀䞮竡渔䁑噞偊)䉈乁䥞彃卅䥔䅍䕔䔨卐䴬䅅ⱎ乁ⱎ〲㌱㐬ㄱ㤵착_x0018_＀＀_x0018_＀＀_x0008_＀＀_x0001_＀＀_x0001_＀＀ﷴ磔⛩㿥噜偊_x0013_䉉䍋偞偟䥒䕃㐨ㄱ㤵착_x0018_＀＀_x0018_＀＀_x0008_＀＀_x0001_＀＀_x0001_＀＀馚香ᦙ䁈䃤偉_x0013_噐䉔偞偟䥒䕃㐨㜰㌹착_x0018_＀＀_x0018_＀＀_x0008_＀＀_x0001_＀＀_x0001_＀＀竡긔慇䀠嘉偉(䵃幁䍉䕟呓䵉呁⡅偅ⱓ䕍乁䄬乎㈬㄰ⰲㄴ㔱⤸_x0018_＀＀_x0018_＀＀_x0008_＀＀_x0001_＀＀_x0001_＀＀ᑻ䞮竡䀅䃤偉_x0013_䥆䉔偞偟䥒䕃㐨㜰㌹착_x0018_＀＀_x0018_＀＀_x0008_＀＀_x0001_＀＀_x0001_＀＀晧晦䀤䃤偉_x0014_䥚乏䙞彇剐䍉⡅〴〹⤹_x0018_＀＀_x0018_＀＀_x0008_＀＀_x0001_＀＀_x0001_＀＀ᑺ䞮䀰嘊偉(䙃幒䍉䕟呓䵉呁⡅偅ⱓ䕍乁䄬乎㈬㄰ⰲㄴ㔱⤸_x0018_＀＀_x0018_＀＀_x0008_＀＀_x0001_＀＀_x0001_＀＀茓쫀䖡䀎嘊偉)䉍䥆䥞彃卅䥔䅍䕔䔨卐䴬䅅ⱎ乁ⱎ〲㐱㐬ㄱ㠵착_x0018_＀＀_x0018_＀＀_x0008_＀＀_x0001_＀＀_x0001_＀＀쫁䖡㿻嘋偉(䙏幇䍉䕟呓䵉呁⡅偅ⱓ䕍乁䄬乎㈬㄰ⰴㄴ㔱⤸_x0018_＀＀_x0018_＀＀_x0008_＀＀_x0001_＀＀_x0001_＀＀凬Ẹ㿽噡偊_x001B_佈䉍偞䵟呋噟䱁㐨ㄱ㤵Ⱜ唬䑓착_x0018_＀＀_x0018_＀＀_x0008_＀＀_x0001_＀＀_x0001_＀＀ꜝ器䂍噡偊_x001A_奎幂彐䭍彔䅖⡌ㄴ㔱ⰹⰬ单⥄_x0018_＀＀_x0018_＀＀_x0008_＀＀_x0001_＀＀_x0001_＀＀ﷴ磔峉䂷䃤偉_x0012_䱖幙彐剐䍉⡅〴㤷⤳_x0018_＀＀_x0018_＀＀_x0008_＀＀_x0001_＀＀_x0001_＀＀Ḙ뇻䀥嘋偉(剐幋䍉䕟呓䵉呁⡅偅ⱓ䕍乁䄬乎㈬㄰ⰳㄴ㔱⤸_x0018_＀＀_x0018_＀＀_x0008_＀＀_x0001_＀＀_x0001_＀＀俟鞍ቮ䀕嘋偉)佈䉍䥞彃卅䥔䅍䕔䔨卐䴬䅅ⱎ乁ⱎ〲㌱㐬ㄱ㠵착_x0018_＀＀_x0018_＀＀_x0008_＀＀_x0001_＀＀_x0001_＀＀Ẹ롑䀂噡偊(䉗幓䍉䕟呓䵉呁⡅偅ⱓ䕍乁䄬乎㈬㄰ⰳㄴ㔱⤹_x0018_＀＀_x0018_＀＀_x0008_＀＀_x0001_＀＀_x0001_＀＀⋐率㿼嘉偉_x001A_䉆幃彐䭍彔䅖⡌ㄴ㔱ⰸⰬ单⥄_x0018_＀＀_x0018_＀＀_x0008_＀＀_x0001_＀＀_x0001_＀＀禧⧇꠺䂀噢偊)䵕児䥞彃卅䥔䅍䕔䔨卐䴬䅅ⱎ乁ⱎ〲㌱㐬ㄱ㤵착_x0018_＀＀_x0018_＀＀_x0008_＀＀_x0001_＀＀_x0001_＀＀炤਽ꏗ㿬噡偊(䍔幂䍉䕟呓䵉呁⡅偅ⱓ䕍乁䄬乎㈬㄰ⰲㄴ㔱⤹_x0018_＀＀_x0018_＀＀_x0008_＀＀_x0001_＀＀_x0001_＀＀⋐率뿲䃤偉_x0013_䍐䍂偞偟䥒䕃㐨㜰㌹착_x0018_＀＀_x0018_＀＀_x0008_＀＀_x0001_＀＀_x0001_＀＀＀＀＀＀쀀䀹嘊偉_x0013_䅐坃偞偟䥒䕃㐨㤰㤰착_x0018_＀＀_x0018_＀＀_x0008_＀＀_x0001_＀＀_x0001_＀＀㌳㌳䀲嘋偉)䵆䥂䥞彃卅䥔䅍䕔䔨卐䴬䅅ⱎ乁ⱎ〲㌱㐬ㄱ㠵착_x0018_＀＀_x0018_＀＀_x0008_＀＀_x0001_＀＀_x0001_＀＀鮥㿬嘋偉(䍆幆䍉䕟呓䵉呁⡅偅ⱓ䕍乁䄬乎㈬㄰ⰴㄴ㔱⤸_x0018_＀＀_x0018_＀＀_x0008_＀＀_x0001_＀＀_x0001_＀＀凬Ẹ㿡噡偊)啓兓䥞彃卅䥔䅍䕔䔨卐䴬䅅ⱎ乁ⱎ〲㌱㐬ㄱ㤵착_x0018_＀＀_x0018_＀＀_x0008_＀＀_x0001_＀＀_x0001_＀＀譄ꧻ㿭噞偊(呓幉䍉䕟呓䵉呁⡅偅ⱓ䕍乁䄬乎㈬㄰ⰴㄴ㔱⤹_x0018_＀＀_x0018_＀＀_x0008_＀＀_x0001_＀＀_x0001_＀＀_xDD2F_ؤ閁䀈䃤偉_x0013_䵕䙂偞偟䥒䕃㐨㜰㌹착_x0018_＀＀_x0018_＀＀_x0008_＀＀_x0001_＀＀_x0001_＀＀晧晦虦䁂䃤偉_x0013_坅䍂偞偟䥒䕃㐨㜰㌹착_x0018_＀＀_x0018_＀＀_x0008_＀＀_x0001_＀＀_x0001_＀＀䞮竡⸔䀰嘊偉_x0013_䉎䉔偞偟䥒䕃㐨㤰㤰착_x0018_＀＀_x0018_＀＀_x0008_＀＀_x0001_＀＀_x0001_＀＀竡긔ⅇ䀶噢偊)乐偆䥞彃卅䥔䅍䕔䔨卐䴬䅅ⱎ乁ⱎ〲㌱㐬ㄱ㤵착_x0018_＀＀_x0018_＀＀_x0008_＀＀_x0001_＀＀_x0001_＀＀凬Ẹ㿳噢偊)䉕䥓䥞彃卅䥔䅍䕔䔨卐䴬䅅ⱎ乁ⱎ〲㐱㐬ㄱ㤵착_x0018_＀＀_x0018_＀＀_x0008_＀＀_x0001_＀＀_x0001_＀＀ᑻ䞮竡㿼䃤偉_x0013_䉍䥆偞偟䥒䕃㐨㜰㌹착_x0018_＀＀_x0018_＀＀_x0008_＀＀_x0001_＀＀_x0001_＀＀ᑻ䞮﫡䀯嘉偉_x001B_䉓奎偞䵟呋噟䱁㐨ㄱ㠵Ⱜ唬䑓착_x0018_＀＀_x0018_＀＀_x0008_＀＀_x0001_＀＀_x0001_＀＀凬Ẹ佅䂧嘊偉)䉃䡓䥞彃卅䥔䅍䕔䔨卐䴬䅅ⱎ乁ⱎ〲㌱㐬ㄱ㠵착_x0018_＀＀_x0018_＀＀_x0008_＀＀_x0001_＀＀_x0001_＀＀率橾璼䀈噢偊)䍔䥂䥞彃卅䥔䅍䕔䔨卐䴬䅅ⱎ乁ⱎ〲㐱㐬ㄱ㤵착_x0018_＀＀_x0018_＀＀_x0008_＀＀_x0001_＀＀_x0001_＀＀_xDF3C_赏溗䀊䃤偉_x0013_䵆剅偞偟䥒䕃㐨㜰㌹착_x0018_＀＀_x0018_＀＀_x0008_＀＀_x0001_＀＀_x0001_＀＀롑Ԟ䀨噢偊(䅗幌䍉䕟呓䵉呁⡅偅ⱓ䕍乁䄬乎㈬㄰ⰳㄴ㔱⤹_x0018_＀＀_x0018_＀＀_x0008_＀＀_x0001_＀＀_x0001_＀＀炤਽ꏗ㿨噟偊_x001B_䵆剅偞䵟呋噟䱁㐨ㄱ㤵Ⱜ唬䑓착_x0018_＀＀_x0018_＀＀_x0008_＀＀_x0001_＀＀_x0001_＀＀犰酨⡭䂝噝偊_x0012_乓幖彐剐䍉⡅ㄴ㔱⤹_x0018_＀＀_x0018_＀＀_x0008_＀＀_x0001_＀＀_x0001_＀＀㌴㌳㌳䀃嘋偉)䉎䉔䥞彃卅䥔䅍䕔䔨卐䴬䅅ⱎ乁ⱎ〲㐱㐬ㄱ㠵착_x0018_＀＀_x0018_＀＀_x0008_＀＀_x0001_＀＀_x0001_＀＀豀碵꼝쐕嘉偉_x0014_䉃奃幂彐剐䍉⡅ㄴ㔱⤸_x0018_＀＀_x0018_＀＀_x0008_＀＀_x0001_＀＀_x0001_＀＀＀＀＀＀倀䁴䃡偉_x0014_䉃䡓䙞彇剐䍉⡅〴〹⤹_x0018_＀＀_x0018_＀＀_x0008_＀＀_x0001_＀＀_x0001_＀＀슏⣵ཛྷ䁃噢偊)呓䅂䥞彃卅䥔䅍䕔䔨卐䴬䅅ⱎ乁ⱎ〲㐱㐬ㄱ㤵착_x0018_＀＀_x0018_＀＀_x0008_＀＀_x0001_＀＀_x0001_＀＀馚香香㿹嘉偉)䵈呓䥞彃卅䥔䅍䕔䔨卐䴬䅅ⱎ乁ⱎ〲㌱㐬ㄱ㠵착_x0018_＀＀_x0018_＀＀_x0008_＀＀_x0001_＀＀_x0001_＀＀晧晦晦䀙嘊偉(佂幈䍉䕟呓䵉呁⡅偅ⱓ䕍乁䄬乎㈬㄰ⰲㄴ㔱⤸_x0018_＀＀_x0018_＀＀_x0008_＀＀_x0001_＀＀_x0001_＀＀凬Ẹ䀌噢偊)婏䭒䥞彃卅䥔䅍䕔䔨卐䴬䅅ⱎ乁ⱎ〲㈱㐬ㄱ㤵착_x0018_＀＀_x0018_＀＀_x0008_＀＀_x0001_＀＀_x0001_＀＀㽽帵䦺䀁嘉偉_x001B_䥚乏偞䵟呋噟䱁㐨ㄱ㠵Ⱜ唬䑓착_x0018_＀＀_x0018_＀＀_x0008_＀＀_x0001_＀＀_x0001_＀＀긕扺䂬嘋偉)䙃乆䥞彃卅䥔䅍䕔䔨卐䴬䅅ⱎ乁ⱎ〲㐱㐬ㄱ㠵착_x0018_＀＀_x0018_＀＀_x0008_＀＀_x0001_＀＀_x0001_＀＀尩슏⣵㿜嘊偉'䉐䥞彃卅䥔䅍䕔䔨卐䴬䅅ⱎ乁ⱎ〲㐱㐬ㄱ㠵착_x0018_＀＀_x0018_＀＀_x0008_＀＀_x0001_＀＀_x0001_＀＀溘茒쫀䀌嘊偉)䵕䙂䥞彃卅䥔䅍䕔䔨卐䴬䅅ⱎ乁ⱎ〲㈱㐬ㄱ㠵착_x0018_＀＀_x0018_＀＀_x0008_＀＀_x0001_＀＀_x0001_＀＀ᢔ嘄ⴎ䀊噜偊_x0011_䉐偞偟䥒䕃㐨㤰㤰착_x0018_＀＀_x0018_＀＀_x0008_＀＀_x0001_＀＀_x0001_＀＀쳍쳌Ⳍ䁄嘊偉)䉓奎䥞彃卅䥔䅍䕔䔨卐䴬䅅ⱎ乁ⱎ〲㌱㐬ㄱ㠵착_x0018_＀＀_x0018_＀＀_x0008_＀＀_x0001_＀＀_x0001_＀＀溘茒쫀䀐噞偊'䙒䥞彃卅䥔䅍䕔䔨卐䴬䅅ⱎ乁ⱎ〲㐱㐬ㄱ㤵착_x0018_＀＀_x0018_＀＀_x0008_＀＀_x0001_＀＀_x0001_＀＀⋑率橾㿬嘊偉_x001B_偂䡆偞䵟呋噟䱁㐨ㄱ㠵Ⱜ唬䑓착_x0018_＀＀_x0018_＀＀_x0008_＀＀_x0001_＀＀_x0001_＀＀℮ⱬ䂈噢偊)坎䥂䥞彃卅䥔䅍䕔䔨卐䴬䅅ⱎ乁ⱎ〲㐱㐬ㄱ㤵착_x0018_＀＀_x0018_＀＀_x0008_＀＀_x0001_＀＀_x0001_＀＀롑蔞㿫噢偊)剔䭍䥞彃卅䥔䅍䕔䔨卐䴬䅅ⱎ乁ⱎ〲㐱㐬ㄱ㤵착_x0018_＀＀_x0018_＀＀_x0008_＀＀_x0001_＀＀_x0001_＀＀Ẹ롑㿾嘊偉_x001A_䍆幆彐䭍彔䅖⡌ㄴ㔱ⰸⰬ单⥄_x0018_＀＀_x0018_＀＀_x0008_＀＀_x0001_＀＀_x0001_＀＀㖩㯍쫎䂇嘉偉_x001B_䉉䍏偞䵟呋噟䱁㐨ㄱ㠵Ⱜ唬䑓착_x0018_＀＀_x0018_＀＀_x0008_＀＀_x0001_＀＀_x0001_＀＀鞍ቮ㸃䂔嘋偉(乏幂䍉䕟呓䵉呁⡅偅ⱓ䕍乁䄬乎㈬㄰ⰳㄴ㔱⤸_x0018_＀＀_x0018_＀＀_x0008_＀＀_x0001_＀＀_x0001_＀＀糮㔿멞㿱嘋偉)䥆䭂䥞彃卅䥔䅍䕔䔨卐䴬䅅ⱎ乁ⱎ〲㈱㐬ㄱ㠵착_x0018_＀＀_x0018_＀＀_x0008_＀＀_x0001_＀＀_x0001_＀＀롒蔞凫㿲噞偊(䵃幁䍉䕟呓䵉呁⡅偅ⱓ䕍乁䄬乎㈬㄰ⰲㄴ㔱⤹_x0018_＀＀_x0018_＀＀_x0008_＀＀_x0001_＀＀_x0001_＀＀ᑻ䞮竡䀅䃤偉_x0013_䥆乎偞偟䥒䕃㐨㜰㌹착_x0018_＀＀_x0018_＀＀_x0008_＀＀_x0001_＀＀_x0001_＀＀＀＀＀＀䂦䃤偉_x0014_䉈乁䙞彇剐䍉⡅〴〹⤹_x0018_＀＀_x0018_＀＀_x0008_＀＀_x0001_＀＀_x0001_＀＀⣶轜䀕噝偊(䙃幒䍉䕟呓䵉呁⡅偅ⱓ䕍乁䄬乎㈬㄰ⰲㄴ㔱⤹_x0018_＀＀_x0018_＀＀_x0008_＀＀_x0001_＀＀_x0001_＀＀茓쫀䖡䀎䃤偉_x0013_坎䥂偞偟䥒䕃㐨㜰㌹착_x0018_＀＀_x0018_＀＀_x0008_＀＀_x0001_＀＀_x0001_＀＀㵱휊䀧䃢偉_x0014_乆䝆䙞彇剐䍉⡅〴〹⤹_x0018_＀＀_x0018_＀＀_x0008_＀＀_x0001_＀＀_x0001_＀＀尨䊏䀡嘉偉_x0012_䉆幐彐剐䍉⡅〴〹⤹_x0018_＀＀_x0018_＀＀_x0008_＀＀_x0001_＀＀_x0001_＀＀凬Ẹ䀋嘉偉)䥆䉔䥞彃卅䥔䅍䕔䔨卐䴬䅅ⱎ乁ⱎ〲㈱㐬ㄱ㠵착_x0018_＀＀_x0018_＀＀_x0008_＀＀_x0001_＀＀_x0001_＀＀롑蔞㿹嘋偉)䅗䍂䥞彃卅䥔䅍䕔䔨卐䴬䅅ⱎ乁ⱎ〲㌱㐬ㄱ㠵착_x0018_＀＀_x0018_＀＀_x0008_＀＀_x0001_＀＀_x0001_＀＀쫁䖡䀈噢偊)䉍䥆䥞彃卅䥔䅍䕔䔨卐䴬䅅ⱎ乁ⱎ〲㐱㐬ㄱ㤵착_x0018_＀＀_x0018_＀＀_x0008_＀＀_x0001_＀＀_x0001_＀＀쫁䖡㿻嘉偉_x0012_䉆幃彐剐䍉⡅ㄴ㔱⤸_x0018_＀＀_x0018_＀＀_x0008_＀＀_x0001_＀＀_x0001_＀＀Ẹ롑㿮嘉偉_x001A_佂幈彐䭍彔䅖⡌ㄴ㔱ⰸⰬ单⥄_x0018_＀＀_x0018_＀＀_x0008_＀＀_x0001_＀＀_x0001_＀＀갈娜폤䂠噢偊)佈䉍䥞彃卅䥔䅍䕔䔨卐䴬䅅ⱎ乁ⱎ〲㌱㐬ㄱ㤵착_x0018_＀＀_x0018_＀＀_x0008_＀＀_x0001_＀＀_x0001_＀＀Ẹ롑䀂噢偊(剐幋䍉䕟呓䵉呁⡅偅ⱓ䕍乁䄬乎㈬㄰ⰳㄴ㔱⤹_x0018_＀＀_x0018_＀＀_x0008_＀＀_x0001_＀＀_x0001_＀＀俟鞍ቮ䀕噟偊_x001B_商呌偞䵟呋噟䱁㐨ㄱ㤵Ⱜ唬䑓착_x0018_＀＀_x0018_＀＀_x0008_＀＀_x0001_＀＀_x0001_＀＀퓾羦䂟嘉偉_x001B_䉈䍈偞䵟呋噟䱁㐨ㄱ㠵Ⱜ唬䑓착_x0018_＀＀_x0018_＀＀_x0008_＀＀_x0001_＀＀_x0001_＀＀赐溗壒䂤嘋偉)䍕䥂䥞彃卅䥔䅍䕔䔨卐䴬䅅ⱎ乁ⱎ〲㈱㐬ㄱ㠵착_x0018_＀＀_x0018_＀＀_x0008_＀＀_x0001_＀＀_x0001_＀＀Ẹ롑㿞噡偊_x001B_䉐呃偞䵟呋噟䱁㐨ㄱ㤵Ⱜ唬䑓착_x0018_＀＀_x0018_＀＀_x0008_＀＀_x0001_＀＀_x0001_＀＀譄맛䂰噠偊_x001B_䍔䥂偞䵟呋噟䱁㐨ㄱ㤵Ⱜ唬䑓착_x0018_＀＀_x0018_＀＀_x0008_＀＀_x0001_＀＀_x0001_＀＀욨㝋眉䂝嘋偉)䍆乂䥞彃卅䥔䅍䕔䔨卐䴬䅅ⱎ乁ⱎ〲㐱㐬ㄱ㠵착_x0014_＀＀_x0018_＀＀_x0004_＀＀_x0001_＀＀_x0003_＀＀＀＀耀噢偊)䵆䥂䥞彃卅䥔䅍䕔䔨卐䴬䅅ⱎ乁ⱎ〲㌱㐬ㄱ㤵착_x0018_＀＀_x0018_＀＀_x0008_＀＀_x0001_＀＀_x0001_＀＀鮥㿬嘊偉)呗䍆䥞彃卅䥔䅍䕔䔨卐䴬䅅ⱎ乁ⱎ〲㈱㐬ㄱ㠵착_x0018_＀＀_x0018_＀＀_x0008_＀＀_x0001_＀＀_x0001_＀＀_xDB23_绹뱪䀀噟偊_x001A_乏幂彐䭍彔䅖⡌ㄴ㔱ⰹⰬ单⥄_x0018_＀＀_x0018_＀＀_x0008_＀＀_x0001_＀＀_x0001_＀＀尨䄏䂔䃤偉_x0014_䉉䍋䙞彇剐䍉⡅〴〹⤹_x0018_＀＀_x0018_＀＀_x0008_＀＀_x0001_＀＀_x0001_＀＀晦晦Ꙧ䁈嘉偉_x0013_䅗䑆偞偟䥒䕃㐨㤰㤰착_x0018_＀＀_x0018_＀＀_x0008_＀＀_x0001_＀＀_x0001_＀＀ᑻ䞮﫡䀫嘋偉)剔䭍䥞彃卅䥔䅍䕔䔨卐䴬䅅ⱎ乁ⱎ〲㈱㐬ㄱ㠵착_x0018_＀＀_x0018_＀＀_x0008_＀＀_x0001_＀＀_x0001_＀＀ㄦ갈㿼嘊偉(塂幓䍉䕟呓䵉呁⡅偅ⱓ䕍乁䄬乎㈬㄰ⰴㄴ㔱⤸_x0018_＀＀_x0018_＀＀_x0008_＀＀_x0001_＀＀_x0001_＀＀긕ᑺ㿮嘋偉)坎䥂䥞彃卅䥔䅍䕔䔨卐䴬䅅ⱎ乁ⱎ〲㈱㐬ㄱ㠵착_x0018_＀＀_x0018_＀＀_x0008_＀＀_x0001_＀＀_x0001_＀＀譄ꧻ㿥䃤偉_x0013_偂䡆偞偟䥒䕃㐨㜰㌹착_x0018_＀＀_x0018_＀＀_x0008_＀＀_x0001_＀＀_x0001_＀＀轜尨䀗噟偊_x001B_啓兓偞䵟呋噟䱁㐨ㄱ㤵Ⱜ唬䑓착_x0018_＀＀_x0018_＀＀_x0008_＀＀_x0001_＀＀_x0001_＀＀휊炣﮽䂟嘊偉_x001B_䥆䭂偞䵟呋噟䱁㐨ㄱ㠵Ⱜ唬䑓착_x0018_＀＀_x0018_＀＀_x0008_＀＀_x0001_＀＀_x0001_＀＀尩슏鳵䁮嘊偉_x0012_䅗幌彐剐䍉⡅ㄴ㔱⤸_x0018_＀＀_x0018_＀＀_x0008_＀＀_x0001_＀＀_x0001_＀＀슏⣵ཛྷ䀣噝偊_x001A_䕋幙彐䭍彔䅖⡌ㄴ㔱ⰹⰬ单⥄_x0018_＀＀_x0018_＀＀_x0008_＀＀_x0001_＀＀_x0001_＀＀꟰䯆묷䂿噝偊)䉃䡓䥞彃卅䥔䅍䕔䔨卐䴬䅅ⱎ乁ⱎ〲㌱㐬ㄱ㤵착_x0018_＀＀_x0018_＀＀_x0008_＀＀_x0001_＀＀_x0001_＀＀率橾璼䀈嘊偉_x001B_䙂䙃偞䵟呋噟䱁㐨ㄱ㠵Ⱜ唬䑓착_x0018_＀＀_x0018_＀＀_x0008_＀＀_x0001_＀＀_x0001_＀＀輞ꠙ䎌䁉嘉偉_x0013_䉕䥓偞偟䥒䕃㐨ㄱ㠵착_x0018_＀＀_x0018_＀＀_x0008_＀＀_x0001_＀＀_x0001_＀＀롑蔞䀸嘉偉_x0013_䉈乁偞偟䥒䕃㐨ㄱ㠵착_x0018_＀＀_x0018_＀＀_x0008_＀＀_x0001_＀＀_x0001_＀＀凬Ẹ殅䀚噠偊_x001A_䉃幕彐䭍彔䅖⡌ㄴ㔱ⰹⰬ单⥄_x0018_＀＀_x0018_＀＀_x0008_＀＀_x0001_＀＀_x0001_＀＀凬Ẹ䂑嘉偉_x0013_呓䅓偞偟䥒䕃㐨㤰㤰착_x0018_＀＀_x0018_＀＀_x0008_＀＀_x0001_＀＀_x0001_＀＀㌳㌳댳䀰噡偊_x001B_䍓呂偞䵟呋噟䱁㐨ㄱ㤵Ⱜ唬䑓착_x0018_＀＀_x0018_＀＀_x0008_＀＀_x0001_＀＀_x0001_＀＀㌳㌳憳䂃嘉偉_x001B_䙃乆偞䵟呋噟䱁㐨ㄱ㠵Ⱜ唬䑓착_x0018_＀＀_x0018_＀＀_x0008_＀＀_x0001_＀＀_x0001_＀＀㭥俟禍䂝䃣偉(奎幂䑉䕟呓䵉呁⡅偅ⱓ䕍乁䄬乎㈬㄰ⰳⰰⰬ⤰_x0018_＀＀_x0018_＀＀_x0008_＀＀_x0001_＀＀_x0001_＀＀ꛫ힔ꡊ㿰噟偊_x0013_商呌偞偟䥒䕃㐨㤰㤰착_x0018_＀＀_x0018_＀＀_x0008_＀＀_x0001_＀＀_x0001_＀＀蔟凫麸䀣噠偊_x0013_噃䙂偞偟䥒䕃㐨㤰㤰착_x0018_＀＀_x0018_＀＀_x0008_＀＀_x0001_＀＀_x0001_＀＀슏⣵ཛྷ䀤嘊偉_x0013_䉇䥃偞偟䥒䕃㐨ㄱ㠵착_x0018_＀＀_x0018_＀＀_x0008_＀＀_x0001_＀＀_x0001_＀＀ẹ롑䀯嘋偉)乆䝆䥞彃卅䥔䅍䕔䔨卐䴬䅅ⱎ乁ⱎ〲㐱㐬ㄱ㠵착_x0018_＀＀_x0018_＀＀_x0008_＀＀_x0001_＀＀_x0001_＀＀_xDD2F_ؤ閁㿫噝偊_x0012_䕋幙彐剐䍉⡅〴〹⤹_x0018_＀＀_x0018_＀＀_x0008_＀＀_x0001_＀＀_x0001_＀＀尨슏䀞嘉偉(呓幉䍉䕟呓䵉呁⡅偅ⱓ䕍乁䄬乎㈬㄰ⰲㄴ㔱⤸_x0018_＀＀_x0018_＀＀_x0008_＀＀_x0001_＀＀_x0001_＀＀쫁䖡㿿嘊偉(䉆幐䍉䕟呓䵉呁⡅偅ⱓ䕍乁䄬乎㈬㄰ⰴㄴ㔱⤸_x0018_＀＀_x0018_＀＀_x0008_＀＀_x0001_＀＀_x0001_＀＀ᑻ䞮竡㿔噡偊(佂幈䍉䕟呓䵉呁⡅偅ⱓ䕍乁䄬乎㈬㄰ⰲㄴ㔱⤹_x0018_＀＀_x0018_＀＀_x0008_＀＀_x0001_＀＀_x0001_＀＀凬Ẹ䀌噝偊)䵈呓䥞彃卅䥔䅍䕔䔨卐䴬䅅ⱎ乁ⱎ〲㌱㐬ㄱ㤵착_x0018_＀＀_x0018_＀＀_x0008_＀＀_x0001_＀＀_x0001_＀＀晧晦晦䀙嘋偉)䉕䥓䥞彃卅䥔䅍䕔䔨卐䴬䅅ⱎ乁ⱎ〲㈱㐬ㄱ㠵착_x0018_＀＀_x0018_＀＀_x0008_＀＀_x0001_＀＀_x0001_＀＀롑蔞㿻噢偊'䉐䥞彃卅䥔䅍䕔䔨卐䴬䅅ⱎ乁ⱎ〲㐱㐬ㄱ㤵착_x0018_＀＀_x0018_＀＀_x0008_＀＀_x0001_＀＀_x0001_＀＀溘茒쫀䀌䃤偉_x0013_䉂幔䝆偟䥒䕃㐨㤰㤰착_x0018_＀＀_x0018_＀＀_x0008_＀＀_x0001_＀＀_x0001_＀＀凬Ẹ⮅䀹嘋偉)䍔䥂䥞彃卅䥔䅍䕔䔨卐䴬䅅ⱎ乁ⱎ〲㈱㐬ㄱ㠵착_x0018_＀＀_x0018_＀＀_x0008_＀＀_x0001_＀＀_x0001_＀＀쫁䖡䀇嘋偉)䉐呃䥞彃卅䥔䅍䕔䔨卐䴬䅅ⱎ乁ⱎ〲㌱㐬ㄱ㠵착_x0018_＀＀_x0018_＀＀_x0008_＀＀_x0001_＀＀_x0001_＀＀됺盈龾㿪噡偊)䵕䙂䥞彃卅䥔䅍䕔䔨卐䴬䅅ⱎ乁ⱎ〲㈱㐬ㄱ㤵착_x0018_＀＀_x0018_＀＀_x0008_＀＀_x0001_＀＀_x0001_＀＀ᢔ嘄ⴎ䀊䃤偉_x0012_呍幂彐剐䍉⡅〴㤷⤳_x0018_＀＀_x0018_＀＀_x0008_＀＀_x0001_＀＀_x0001_＀＀⣶轜䁒嘉偉(呍幂䍉䕟呓䵉呁⡅偅ⱓ䕍乁䄬乎㈬㄰ⰴㄴ㔱⤸_x0018_＀＀_x0018_＀＀_x0008_＀＀_x0001_＀＀_x0001_＀＀컙号䀠噡偊)䉓奎䥞彃卅䥔䅍䕔䔨卐䴬䅅ⱎ乁ⱎ〲㌱㐬ㄱ㤵착_x0018_＀＀_x0018_＀＀_x0008_＀＀_x0001_＀＀_x0001_＀＀溘茒쫀䀐噟偊_x0013_呗䍆偞偟䥒䕃㐨㤰㤰착_x0018_＀＀_x0018_＀＀_x0008_＀＀_x0001_＀＀_x0001_＀＀쳍쳌ೌ䀼嘋偉)䙂䙃䥞彃卅䥔䅍䕔䔨卐䴬䅅ⱎ乁ⱎ〲㐱㐬ㄱ㠵착_x0018_＀＀_x0018_＀＀_x0008_＀＀_x0001_＀＀_x0001_＀＀豀碵꼝쐕嘊偉_x0013_䙂䙃偞偟䥒䕃㐨ㄱ㠵착_x0018_＀＀_x0018_＀＀_x0008_＀＀_x0001_＀＀_x0001_＀＀帵䦺Ȍ㿧嘊偉)䥓䉖䥞彃卅䥔䅍䕔䔨卐䴬䅅ⱎ乁ⱎ〲㐱㐬ㄱ㠵착_x0018_＀＀_x0018_＀＀_x0008_＀＀_x0001_＀＀_x0001_＀＀갈娜㭤䀐噢偊)䥆䭂䥞彃卅䥔䅍䕔䔨卐䴬䅅ⱎ乁ⱎ〲㈱㐬ㄱ㤵착_x0018_＀＀_x0018_＀＀_x0008_＀＀_x0001_＀＀_x0001_＀＀롒蔞凫㿲噢偊(乏幂䍉䕟呓䵉呁⡅偅ⱓ䕍乁䄬乎㈬㄰ⰳㄴ㔱⤹_x0018_＀＀_x0018_＀＀_x0008_＀＀_x0001_＀＀_x0001_＀＀糮㔿멞㿱噜偊_x001B_䉉䍋偞䵟呋噟䱁㐨ㄱ㤵Ⱜ唬䑓착_x0018_＀＀_x0018_＀＀_x0008_＀＀_x0001_＀＀_x0001_＀＀譄㟻䂖嘉偉_x001C_䉃奃幂彐䭍彔䅖⡌ㄴ㔱ⰸⰬ单⥄_x0018_＀＀_x0018_＀＀_x0008_＀＀_x0001_＀＀_x0001_＀＀＀＀＀＀＀＀＀＀嘉偉_x0013_䥓䉖偞偟䥒䕃㐨ㄱ㠵착_x0018_＀＀_x0018_＀＀_x0008_＀＀_x0001_＀＀_x0001_＀＀ਾꏗ嵰䁎嘊偉(䱖幙䍉䕟呓䵉呁⡅偅ⱓ䕍乁䄬乎㈬㄰ⰴㄴ㔱⤸_x0018_＀＀_x0018_＀＀_x0008_＀＀_x0001_＀＀_x0001_＀＀Й๖눭㿥䃤偉_x0013_䉂乃偞偟䥒䕃㐨㜰㌹착_x0018_＀＀_x0018_＀＀_x0008_＀＀_x0001_＀＀_x0001_＀＀竡긔䀛噞偊)䥆䉔䥞彃卅䥔䅍䕔䔨卐䴬䅅ⱎ乁ⱎ〲㈱㐬ㄱ㤵착_x0018_＀＀_x0018_＀＀_x0008_＀＀_x0001_＀＀_x0001_＀＀롑蔞㿹䃤偉_x0013_䅗䍂偞偟䥒䕃㐨㜰㌹착_x0018_＀＀_x0018_＀＀_x0008_＀＀_x0001_＀＀_x0001_＀＀쳍쳌泌䁄噟偊_x0012_塂幓彐剐䍉⡅〴〹⤹_x0018_＀＀_x0018_＀＀_x0008_＀＀_x0001_＀＀_x0001_＀＀휊炣਽䀦嘋偉)呓䅂䥞彃卅䥔䅍䕔䔨卐䴬䅅ⱎ乁ⱎ〲㈱㐬ㄱ㠵착_x0018_＀＀_x0018_＀＀_x0008_＀＀_x0001_＀＀_x0001_＀＀휊炣਽㿳嘊偉)䉈䍈䥞彃卅䥔䅍䕔䔨卐䴬䅅ⱎ乁ⱎ〲㐱㐬ㄱ㠵착_x0018_＀＀_x0018_＀＀_x0008_＀＀_x0001_＀＀_x0001_＀＀Წ摚_xDF3B_䀅嘊偉*䍆䍎幁䍉䕟呓䵉呁⡅偅ⱓ䕍乁䄬乎㈬㄰ⰳㄴ㔱⤸_x0018_＀＀_x0018_＀＀_x0008_＀＀_x0001_＀＀_x0001_＀＀豀碵꼝쐕噢偊)䍕䥂䥞彃卅䥔䅍䕔䔨卐䴬䅅ⱎ乁ⱎ〲㈱㐬ㄱ㤵착_x0018_＀＀_x0018_＀＀_x0008_＀＀_x0001_＀＀_x0001_＀＀Ẹ롑㿞嘊偉_x0012_䍆幆彐剐䍉⡅ㄴ㔱⤸_x0018_＀＀_x0018_＀＀_x0008_＀＀_x0001_＀＀_x0001_＀＀긕ᑺ䀝嘉偉_x0012_䍔幂彐剐䍉⡅ㄴ㔱⤸_x0018_＀＀_x0018_＀＀_x0008_＀＀_x0001_＀＀_x0001_＀＀ᑻ䞮﫡䀦䃤偉_x0013_䵃幁䝆偟䥒䕃㐨㤰㤰착_x0018_＀＀_x0018_＀＀_x0008_＀＀_x0001_＀＀_x0001_＀＀쳍쳌쳌䀹嘊偉)坅䍂䥞彃卅䥔䅍䕔䔨卐䴬䅅ⱎ乁ⱎ〲㌱㐬ㄱ㠵착_x0018_＀＀_x0018_＀＀_x0008_＀＀_x0001_＀＀_x0001_＀＀⋐率㿾嘉偉'䙒䥞彃卅䥔䅍䕔䔨卐䴬䅅ⱎ乁ⱎ〲㈱㐬ㄱ㠵착_x0018_＀＀_x0018_＀＀_x0008_＀＀_x0001_＀＀_x0001_＀＀퓽㿦噡偊)呗䍆䥞彃卅䥔䅍䕔䔨卐䴬䅅ⱎ乁ⱎ〲㈱㐬ㄱ㤵착_x0018_＀＀_x0018_＀＀_x0008_＀＀_x0001_＀＀_x0001_＀＀_xDB23_绹뱪䀀噞偊_x0013_十䍂偞偟䥒䕃㐨㤰㤰착_x0018_＀＀_x0018_＀＀_x0008_＀＀_x0001_＀＀_x0001_＀＀ꏗ㵰圊䀦噢偊)坎䥂䥞彃卅䥔䅍䕔䔨卐䴬䅅ⱎ乁ⱎ〲㈱㐬ㄱ㤵착_x0018_＀＀_x0018_＀＀_x0008_＀＀_x0001_＀＀_x0001_＀＀譄ꧻ㿥噡偊(塂幓䍉䕟呓䵉呁⡅偅ⱓ䕍乁䄬乎㈬㄰ⰴㄴ㔱⤹_x0018_＀＀_x0018_＀＀_x0008_＀＀_x0001_＀＀_x0001_＀＀긕ᑺ㿮噢偊)剔䭍䥞彃卅䥔䅍䕔䔨卐䴬䅅ⱎ乁ⱎ〲㈱㐬ㄱ㤵착_x0018_＀＀_x0018_＀＀_x0008_＀＀_x0001_＀＀_x0001_＀＀ㄦ갈㿼噟偊_x0019_䙁偞䵟呋噟䱁㐨ㄱ㤵Ⱜ唬䑓착_x0018_＀＀_x0018_＀＀_x0008_＀＀_x0001_＀＀_x0001_＀＀빷᪟ᶯ䂐嘊偉_x0013_䡃䍆偞偟䥒䕃㐨㤰㤰착_x0018_＀＀_x0018_＀＀_x0008_＀＀_x0001_＀＀_x0001_＀＀롒蔞凫䀵嘉偉_x0012_呓幉彐剐䍉⡅ㄴ㔱⤸_x0018_＀＀_x0018_＀＀_x0008_＀＀_x0001_＀＀_x0001_＀＀䞮竡긔䀺嘊偉)十䍂䥞彃卅䥔䅍䕔䔨卐䴬䅅ⱎ乁ⱎ〲㌱㐬ㄱ㠵착_x0018_＀＀_x0018_＀＀_x0008_＀＀_x0001_＀＀_x0001_＀＀⬂ᚇ컙㿯噠偊_x0012_䅗幌彐剐䍉⡅ㄴ㔱⤹_x0018_＀＀_x0018_＀＀_x0008_＀＀_x0001_＀＀_x0001_＀＀轜尨䀣嘉偉_x001A_奃幎彐䭍彔䅖⡌ㄴ㔱ⰸⰬ单⥄_x0018_＀＀_x0018_＀＀_x0008_＀＀_x0001_＀＀_x0001_＀＀틲才ᨐ䂦嘋偉)䙆䍂䥞彃卅䥔䅍䕔䔨卐䴬䅅ⱎ乁ⱎ〲㐱㐬ㄱ㠵착_x0018_＀＀_x0018_＀＀_x0008_＀＀_x0001_＀＀_x0001_＀＀㌳㌳㌳㿵噟偊_x0013_䉕䥓偞偟䥒䕃㐨ㄱ㤵착_x0018_＀＀_x0018_＀＀_x0008_＀＀_x0001_＀＀_x0001_＀＀䞮竡긔䀸噝偊_x0013_䉈乁偞偟䥒䕃㐨ㄱ㤵착_x0018_＀＀_x0018_＀＀_x0008_＀＀_x0001_＀＀_x0001_＀＀쳍쳌쳌䀚䃤偉_x0013_䅐坃偞偟䥒䕃㐨㜰㌹착_x0018_＀＀_x0018_＀＀_x0008_＀＀_x0001_＀＀_x0001_＀＀竡긔䀯嘊偉)䉍䥆䥞彃卅䥔䅍䕔䔨卐䴬䅅ⱎ乁ⱎ〲㈱㐬ㄱ㠵착_x0018_＀＀_x0018_＀＀_x0008_＀＀_x0001_＀＀_x0001_＀＀ⴎ鶲꟯㿸嘋偉(䙏幇䍉䕟呓䵉呁⡅偅ⱓ䕍乁䄬乎㈬㄰ⰲㄴ㔱⤸_x0018_＀＀_x0018_＀＀_x0008_＀＀_x0001_＀＀_x0001_＀＀竡긔㿪䃤偉_x0013_䉎䉔偞偟䥒䕃㐨㜰㌹착_x0018_＀＀_x0018_＀＀_x0008_＀＀_x0001_＀＀_x0001_＀＀轜尨䀳嘊偉_x001A_䅗幌彐䭍彔䅖⡌ㄴ㔱ⰸⰬ单⥄_x0018_＀＀_x0018_＀＀_x0008_＀＀_x0001_＀＀_x0001_＀＀钰补쏣䂈嘉偉_x001B_䅃奔偞䵟呋噟䱁㐨ㄱ㠵Ⱜ唬䑓착_x0018_＀＀_x0018_＀＀_x0008_＀＀_x0001_＀＀_x0001_＀＀_xD917_ᵓ䂕噡偊_x0013_䍓呂偞偟䥒䕃㐨㤰㤰착_x0018_＀＀_x0018_＀＀_x0008_＀＀_x0001_＀＀_x0001_＀＀尨ʏ䀽嘉偉(乓幖䍉䕟呓䵉呁⡅偅ⱓ䕍乁䄬乎㈬㄰ⰳㄴ㔱⤸_x0018_＀＀_x0018_＀＀_x0008_＀＀_x0001_＀＀_x0001_＀＀率橾璼㿃噡偊_x0013_䉐呃偞偟䥒䕃㐨㤰㤰착_x0018_＀＀_x0018_＀＀_x0008_＀＀_x0001_＀＀_x0001_＀＀㌳㌳댳䀩嘋偉(䍆幆䍉䕟呓䵉呁⡅偅ⱓ䕍乁䄬乎㈬㄰ⰲㄴ㔱⤸_x0018_＀＀_x0018_＀＀_x0008_＀＀_x0001_＀＀_x0001_＀＀ꇋ뙅ﷳ㿜噢偊)乆䝆䥞彃卅䥔䅍䕔䔨卐䴬䅅ⱎ乁ⱎ〲㐱㐬ㄱ㤵착_x0018_＀＀_x0018_＀＀_x0008_＀＀_x0001_＀＀_x0001_＀＀_xDD2F_ؤ閁㿫噠偊_x0013_䉇䥃偞偟䥒䕃㐨ㄱ㤵착_x0018_＀＀_x0018_＀＀_x0008_＀＀_x0001_＀＀_x0001_＀＀蔟凫麸䀯噞偊(呓幉䍉䕟呓䵉呁⡅偅ⱓ䕍乁䄬乎㈬㄰ⰲㄴ㔱⤹_x0018_＀＀_x0018_＀＀_x0008_＀＀_x0001_＀＀_x0001_＀＀䎖沋ﯧ㿿噜偊_x0013_䉉䍋偞偟䥒䕃㐨㤰㤰착_x0018_＀＀_x0018_＀＀_x0008_＀＀_x0001_＀＀_x0001_＀＀晧晦Ꙧ䁈噠偊_x0012_剐幋彐剐䍉⡅〴〹⤹_x0018_＀＀_x0018_＀＀_x0008_＀＀_x0001_＀＀_x0001_＀＀炤਽䏗䁐嘉偉(剆幃䍉䕟呓䵉呁⡅偅ⱓ䕍乁䄬乎㈬㄰ⰴㄴ㔱⤸_x0018_＀＀_x0018_＀＀_x0008_＀＀_x0001_＀＀_x0001_＀＀빷᪟_xDD2F_䀅嘊偉_x001B_呓䅂偞䵟呋噟䱁㐨ㄱ㠵Ⱜ唬䑓착_x0018_＀＀_x0018_＀＀_x0008_＀＀_x0001_＀＀_x0001_＀＀읺㨩_xD992_䁿嘊偉'䙁䥞彃卅䥔䅍䕔䔨卐䴬䅅ⱎ乁ⱎ〲㐱㐬ㄱ㠵착_x0018_＀＀_x0018_＀＀_x0008_＀＀_x0001_＀＀_x0001_＀＀譄ꧻ㿩嘊偉(塂幓䍉䕟呓䵉呁⡅偅ⱓ䕍乁䄬乎㈬㄰ⰲㄴ㔱⤸_x0018_＀＀_x0018_＀＀_x0008_＀＀_x0001_＀＀_x0001_＀＀䖢퓽㿬嘋偉)偂䡆䥞彃卅䥔䅍䕔䔨卐䴬䅅ⱎ乁ⱎ〲㐱㐬ㄱ㠵착_x0018_＀＀_x0018_＀＀_x0008_＀＀_x0001_＀＀_x0001_＀＀⼛ⓝ脆㿩噢偊)䉕䥓䥞彃卅䥔䅍䕔䔨卐䴬䅅ⱎ乁ⱎ〲㈱㐬ㄱ㤵착_x0018_＀＀_x0018_＀＀_x0008_＀＀_x0001_＀＀_x0001_＀＀롑蔞㿻嘉偉_x0012_佂幈彐剐䍉⡅ㄴ㔱⤸_x0018_＀＀_x0018_＀＀_x0008_＀＀_x0001_＀＀_x0001_＀＀긕푺䁇噢偊)䉐呃䥞彃卅䥔䅍䕔䔨卐䴬䅅ⱎ乁ⱎ〲㌱㐬ㄱ㤵착_x0018_＀＀_x0018_＀＀_x0008_＀＀_x0001_＀＀_x0001_＀＀됺盈龾㿪噢偊)䍔䥂䥞彃卅䥔䅍䕔䔨卐䴬䅅ⱎ乁ⱎ〲㈱㐬ㄱ㤵착_x0018_＀＀_x0018_＀＀_x0008_＀＀_x0001_＀＀_x0001_＀＀쫁䖡䀇嘉偉_x0012_䉗幓彐剐䍉⡅ㄴ㔱⤸_x0018_＀＀_x0018_＀＀_x0008_＀＀_x0001_＀＀_x0001_＀＀슏⣵轜䀶噞偊(呍幂䍉䕟呓䵉呁⡅偅ⱓ䕍乁䄬乎㈬㄰ⰴㄴ㔱⤹_x0018_＀＀_x0018_＀＀_x0008_＀＀_x0001_＀＀_x0001_＀＀컙号䀠嘉偉_x0013_剃䍂偞偟䥒䕃㐨ㄱ㠵착_x0018_＀＀_x0018_＀＀_x0008_＀＀_x0001_＀＀_x0001_＀＀㌳㌳猳䀴嘋偉)䉇䥃䥞彃卅䥔䅍䕔䔨卐䴬䅅ⱎ乁ⱎ〲㌱㐬ㄱ㠵착_x0018_＀＀_x0018_＀＀_x0008_＀＀_x0001_＀＀_x0001_＀＀＀＀＀＀＀＀㿲噛偊_x001A_䱖幙彐䭍彔䅖⡌ㄴ㔱ⰹⰬ单⥄_x0018_＀＀_x0018_＀＀_x0008_＀＀_x0001_＀＀_x0001_＀＀鮥迄䂟嘋偉)䉎䉔䥞彃卅䥔䅍䕔䔨卐䴬䅅ⱎ乁ⱎ〲㈱㐬ㄱ㠵착_x0018_＀＀_x0018_＀＀_x0008_＀＀_x0001_＀＀_x0001_＀＀컙号ꗣ㿹噡偊)䥓䉖䥞彃卅䥔䅍䕔䔨卐䴬䅅ⱎ乁ⱎ〲㐱㐬ㄱ㤵착_x0018_＀＀_x0018_＀＀_x0008_＀＀_x0001_＀＀_x0001_＀＀갈娜㭤䀐噟偊_x0013_䥓䉖偞偟䥒䕃㐨ㄱ㤵착_x0018_＀＀_x0018_＀＀_x0008_＀＀_x0001_＀＀_x0001_＀＀ꏗ㵰眊䁎噡偊(䱖幙䍉䕟呓䵉呁⡅偅ⱓ䕍乁䄬乎㈬㄰ⰴㄴ㔱⤹_x0018_＀＀_x0018_＀＀_x0008_＀＀_x0001_＀＀_x0001_＀＀Й๖눭㿥嘉偉(䉂幔䍉䕟呓䵉呁⡅偅ⱓ䕍乁䄬乎㈬㄰ⰴㄴ㔱⤸_x0018_＀＀_x0018_＀＀_x0008_＀＀_x0001_＀＀_x0001_＀＀쫁䖡䀊嘊偉_x0013_南䍂偞偟䥒䕃㐨ㄱ㠵착_x0018_＀＀_x0018_＀＀_x0008_＀＀_x0001_＀＀_x0001_＀＀롒蔞퇫䀴嘉偉_x001C_䍆䍎幁彐䭍彔䅖⡌ㄴ㔱ⰸⰬ单⥄_x0018_＀＀_x0018_＀＀_x0008_＀＀_x0001_＀＀_x0001_＀＀帵䦺薌䂖䃤偉_x0011_䉐偞偟䥒䕃㐨㜰㌹착_x0018_＀＀_x0018_＀＀_x0008_＀＀_x0001_＀＀_x0001_＀＀㵱휊傣䁂噢偊)呓䅂䥞彃卅䥔䅍䕔䔨卐䴬䅅ⱎ乁ⱎ〲㈱㐬ㄱ㤵착_x0018_＀＀_x0018_＀＀_x0008_＀＀_x0001_＀＀_x0001_＀＀휊炣਽㿳噡偊)䉈䍈䥞彃卅䥔䅍䕔䔨卐䴬䅅ⱎ乁ⱎ〲㐱㐬ㄱ㤵착_x0018_＀＀_x0018_＀＀_x0008_＀＀_x0001_＀＀_x0001_＀＀Წ摚_xDF3B_䀅嘋偉)䙃乆䥞彃卅䥔䅍䕔䔨卐䴬䅅ⱎ乁ⱎ〲㈱㐬ㄱ㠵착_x0018_＀＀_x0018_＀＀_x0008_＀＀_x0001_＀＀_x0001_＀＀茓쫀䖡㿞嘊偉'䉐䥞彃卅䥔䅍䕔䔨卐䴬䅅ⱎ乁ⱎ〲㈱㐬ㄱ㠵착_x0018_＀＀_x0018_＀＀_x0008_＀＀_x0001_＀＀_x0001_＀＀ᚇ컙号䀉噟偊_x0012_䍔幂彐剐䍉⡅ㄴ㔱⤹_x0018_＀＀_x0018_＀＀_x0008_＀＀_x0001_＀＀_x0001_＀＀ꏗ㵰휊䀦嘊偉_x001A_剐幋彐䭍彔䅖⡌ㄴ㔱ⰸⰬ单⥄_x0018_＀＀_x0018_＀＀_x0008_＀＀_x0001_＀＀_x0001_＀＀뙆ﷳퟔ䂐嘉偉_x0013_䉉䍏偞偟䥒䕃㐨ㄱ㠵착_x0018_＀＀_x0018_＀＀_x0008_＀＀_x0001_＀＀_x0001_＀＀롑䔞䀳噡偊)坅䍂䥞彃卅䥔䅍䕔䔨卐䴬䅅ⱎ乁ⱎ〲㌱㐬ㄱ㤵착_x0018_＀＀_x0018_＀＀_x0008_＀＀_x0001_＀＀_x0001_＀＀휊炣਽㿿䃤偉_x0012_䉆幐彐剐䍉⡅〴㤷⤳_x0018_＀＀_x0018_＀＀_x0008_＀＀_x0001_＀＀_x0001_＀＀尨슏䀉嘊偉(䉆幃䍉䕟呓䵉呁⡅偅ⱓ䕍乁䄬乎㈬㄰ⰴㄴ㔱⤸_x0018_＀＀_x0018_＀＀_x0008_＀＀_x0001_＀＀_x0001_＀＀豀碵꼝쐕噞偊'䙒䥞彃卅䥔䅍䕔䔨卐䴬䅅ⱎ乁ⱎ〲㈱㐬ㄱ㤵착_x0018_＀＀_x0018_＀＀_x0008_＀＀_x0001_＀＀_x0001_＀＀沋ﯧ㿦嘉偉_x0013_䥚乏偞偟䥒䕃㐨ㄱ㠵착_x0018_＀＀_x0018_＀＀_x0008_＀＀_x0001_＀＀_x0001_＀＀ᑻ䞮뫡䀳噝偊_x0012_乓幖彐剐䍉⡅〴〹⤹_x0018_＀＀_x0018_＀＀_x0008_＀＀_x0001_＀＀_x0001_＀＀슏⣵轜㿶䃡偉_x0012_䉐䙞彇剐䍉⡅〴〹⤹_x0018_＀＀_x0018_＀＀_x0008_＀＀_x0001_＀＀_x0001_＀＀쳍쳌Ⳍ䁄嘊偉_x0012_䙐幓彐剐䍉⡅〴〹⤹_x0018_＀＀_x0018_＀＀_x0008_＀＀_x0001_＀＀_x0001_＀＀ᑺ잮䀪嘊偉)䥓䉖䥞彃卅䥔䅍䕔䔨卐䴬䅅ⱎ乁ⱎ〲㈱㐬ㄱ㠵착_x0018_＀＀_x0018_＀＀_x0008_＀＀_x0001_＀＀_x0001_＀＀糮㔿멞䀌噝偊_x001B_䉈乁偞䵟呋噟䱁㐨ㄱ㤵Ⱜ唬䑓착_x0018_＀＀_x0018_＀＀_x0008_＀＀_x0001_＀＀_x0001_＀＀ﷴ磔睉䂶噡偊)十䍂䥞彃卅䥔䅍䕔䔨卐䴬䅅ⱎ乁ⱎ〲㌱㐬ㄱ㤵착_x0018_＀＀_x0018_＀＀_x0008_＀＀_x0001_＀＀_x0001_＀＀눭욧㿯噞偊_x0012_呓幉彐剐䍉⡅ㄴ㔱⤹_x0018_＀＀_x0018_＀＀_x0008_＀＀_x0001_＀＀_x0001_＀＀＀＀＀＀耀䀻噢偊)䙆䍂䥞彃卅䥔䅍䕔䔨卐䴬䅅ⱎ乁ⱎ〲㐱㐬ㄱ㤵착_x0018_＀＀_x0018_＀＀_x0008_＀＀_x0001_＀＀_x0001_＀＀㌳㌳㌳㿵嘋偉)䅐坃䥞彃卅䥔䅍䕔䔨卐䴬䅅ⱎ乁ⱎ〲㌱㐬ㄱ㠵착_x0018_＀＀_x0018_＀＀_x0008_＀＀_x0001_＀＀_x0001_＀＀䷒ၢ㿾噢偊)䉍䥆䥞彃卅䥔䅍䕔䔨卐䴬䅅ⱎ乁ⱎ〲㈱㐬ㄱ㤵착_x0018_＀＀_x0018_＀＀_x0008_＀＀_x0001_＀＀_x0001_＀＀ⴎ鶲꟯㿸嘊偉)䉉䍏䥞彃卅䥔䅍䕔䔨卐䴬䅅ⱎ乁ⱎ〲㐱㐬ㄱ㠵착_x0018_＀＀_x0018_＀＀_x0008_＀＀_x0001_＀＀_x0001_＀＀ᑻ䞮竡㿸嘋偉)偎䍂䥞彃卅䥔䅍䕔䔨卐䴬䅅ⱎ乁ⱎ〲㌱㐬ㄱ㠵착_x0018_＀＀_x0018_＀＀_x0008_＀＀_x0001_＀＀_x0001_＀＀뙆ﷳ磔㿥䃤偉_x0013_䅗䑆偞偟䥒䕃㐨㜰㌹착_x0018_＀＀_x0018_＀＀_x0008_＀＀_x0001_＀＀_x0001_＀＀Ẹ롑䀭嘊偉(奃幎䍉䕟呓䵉呁⡅偅ⱓ䕍乁䄬乎㈬㄰ⰴㄴ㔱⤸_x0018_＀＀_x0018_＀＀_x0008_＀＀_x0001_＀＀_x0001_＀＀㵱휊炣䀐䃢偉_x0013_奎幂䝆偟䥒䕃㐨ㄱ㠵착_x0018_＀＀_x0018_＀＀_x0008_＀＀_x0001_＀＀_x0001_＀＀炤਽⏗䀫噛偊_x001B_䉃䡓偞䵟呋噟䱁㐨ㄱ㤵Ⱜ唬䑓착_x0018_＀＀_x0018_＀＀_x0008_＀＀_x0001_＀＀_x0001_＀＀롒蔞᢫䂬嘊偉_x001A_䙏幇彐䭍彔䅖⡌ㄴ㔱ⰸⰬ单⥄_x0018_＀＀_x0018_＀＀_x0008_＀＀_x0001_＀＀_x0001_＀＀浝ﻅ羲䁻嘊偉)䅃奔䥞彃卅䥔䅍䕔䔨卐䴬䅅ⱎ乁ⱎ〲㌱㐬ㄱ㠵착_x0018_＀＀_x0018_＀＀_x0008_＀＀_x0001_＀＀_x0001_＀＀䯇褷恁㿷噞偊(乓幖䍉䕟呓䵉呁⡅偅ⱓ䕍乁䄬乎㈬㄰ⰳㄴ㔱⤹_x0018_＀＀_x0018_＀＀_x0008_＀＀_x0001_＀＀_x0001_＀＀率橾璼㿃嘋偉)南䍂䥞彃卅䥔䅍䕔䔨卐䴬䅅ⱎ乁ⱎ〲㌱㐬ㄱ㠵착_x0018_＀＀_x0018_＀＀_x0008_＀＀_x0001_＀＀_x0001_＀＀糮㔿멞㿽嘊偉_x0012_奎幂彐剐䍉⡅ㄴ㔱⤸_x0018_＀＀_x0018_＀＀_x0008_＀＀_x0001_＀＀_x0001_＀＀炤਽⏗䀫䃤偉_x0013_䭂幕䝆偟䥒䕃㐨㤰㤰착_x0018_＀＀_x0018_＀＀_x0008_＀＀_x0001_＀＀_x0001_＀＀਽ꏗﵰ䀵嘋偉)䍆乂䥞彃卅䥔䅍䕔䔨卐䴬䅅ⱎ乁ⱎ〲㈱㐬ㄱ㠵착_x0014_＀＀_x0018_＀＀_x0004_＀＀_x0001_＀＀_x0003_＀＀＀＀耀䃣偉_x0016_奎幂䍉䵟䅅彎偅当呌⡇⤰_x0018_＀＀_x0018_＀＀_x0008_＀＀_x0001_＀＀_x0001_＀＀㌴㌳㌳䀋噡偊(塂幓䍉䕟呓䵉呁⡅偅ⱓ䕍乁䄬乎㈬㄰ⰲㄴ㔱⤹_x0018_＀＀_x0018_＀＀_x0008_＀＀_x0001_＀＀_x0001_＀＀䖢퓽㿬噡偊'䙁䥞彃卅䥔䅍䕔䔨卐䴬䅅ⱎ乁ⱎ〲㐱㐬ㄱ㤵착_x0018_＀＀_x0018_＀＀_x0008_＀＀_x0001_＀＀_x0001_＀＀譄ꧻ㿩噝偊(剆幃䍉䕟呓䵉呁⡅偅ⱓ䕍乁䄬乎㈬㄰ⰴㄴ㔱⤹_x0018_＀＀_x0018_＀＀_x0008_＀＀_x0001_＀＀_x0001_＀＀빷᪟_xDD2F_䀅䃤偉_x0013_呓䅓偞偟䥒䕃㐨㜰㌹착_x0018_＀＀_x0018_＀＀_x0008_＀＀_x0001_＀＀_x0001_＀＀尨䊏䀬嘉偉_x0013_啓兓偞偟䥒䕃㐨ㄱ㠵착_x0018_＀＀_x0018_＀＀_x0008_＀＀_x0001_＀＀_x0001_＀＀ꏗ㵰霊䀥噟偊_x001B_噐䉔偞䵟呋噟䱁㐨ㄱ㤵Ⱜ唬䑓착_x0018_＀＀_x0018_＀＀_x0008_＀＀_x0001_＀＀_x0001_＀＀盉龾䌚䂓嘉偉_x001B_坅䍂偞䵟呋噟䱁㐨ㄱ㠵Ⱜ唬䑓착_x0018_＀＀_x0018_＀＀_x0008_＀＀_x0001_＀＀_x0001_＀＀迥䂨噟偊_x0012_佂幈彐剐䍉⡅ㄴ㔱⤹_x0018_＀＀_x0018_＀＀_x0008_＀＀_x0001_＀＀_x0001_＀＀롑씞䁇䃤偉_x0013_噃䙂偞偟䥒䕃㐨㜰㌹착_x0018_＀＀_x0018_＀＀_x0008_＀＀_x0001_＀＀_x0001_＀＀凬Ẹ䀠䃤偉_x0013_商呌偞偟䥒䕃㐨㜰㌹착_x0018_＀＀_x0018_＀＀_x0008_＀＀_x0001_＀＀_x0001_＀＀긕鑺䀡嘉偉_x001A_䍔幂彐䭍彔䅖⡌ㄴ㔱ⰸⰬ单⥄_x0018_＀＀_x0018_＀＀_x0008_＀＀_x0001_＀＀_x0001_＀＀ⓝ脆䂕䂝噟偊_x0012_䉗幓彐剐䍉⡅ㄴ㔱⤹_x0018_＀＀_x0018_＀＀_x0008_＀＀_x0001_＀＀_x0001_＀＀긕鑺䀶噢偊)䉇䥃䥞彃卅䥔䅍䕔䔨卐䴬䅅ⱎ乁ⱎ〲㌱㐬ㄱ㤵착_x0018_＀＀_x0018_＀＀_x0008_＀＀_x0001_＀＀_x0001_＀＀＀＀＀＀＀＀㿲噟偊_x0013_剃䍂偞偟䥒䕃㐨ㄱ㤵착_x0018_＀＀_x0018_＀＀_x0008_＀＀_x0001_＀＀_x0001_＀＀쳍쳌䳌䀴噝偊_x001B_䥆䉔偞䵟呋噟䱁㐨ㄱ㤵Ⱜ唬䑓착_x0018_＀＀_x0018_＀＀_x0008_＀＀_x0001_＀＀_x0001_＀＀_xDF3C_赏穇䃋䃤偉_x0012_䕋幙彐剐䍉⡅〴㤷⤳_x0018_＀＀_x0018_＀＀_x0008_＀＀_x0001_＀＀_x0001_＀＀슐⣵轜䀚嘊偉_x001B_䉇䥃偞䵟呋噟䱁㐨ㄱ㠵Ⱜ唬䑓착_x0018_＀＀_x0018_＀＀_x0008_＀＀_x0001_＀＀_x0001_＀＀龿⼚퍝䂑䃤偉_x0013_乓幖䝆偟䥒䕃㐨㤰㤰착_x0018_＀＀_x0018_＀＀_x0008_＀＀_x0001_＀＀_x0001_＀＀슏⣵轜㿶嘋偉(䉃幕䍉䕟呓䵉呁⡅偅ⱓ䕍乁䄬乎㈬㄰ⰴㄴ㔱⤸_x0018_＀＀_x0018_＀＀_x0008_＀＀_x0001_＀＀_x0001_＀＀㌳㌳㌳䀁嘋偉(奎幂䍉䕟呓䵉呁⡅偅ⱓ䕍乁䄬乎㈬㄰ⰴㄴ㔱⤸_x0018_＀＀_x0018_＀＀_x0008_＀＀_x0001_＀＀_x0001_＀＀茓쫀䖡㿰噞偊(䉂幔䍉䕟呓䵉呁⡅偅ⱓ䕍乁䄬乎㈬㄰ⰴㄴ㔱⤹_x0018_＀＀_x0018_＀＀_x0008_＀＀_x0001_＀＀_x0001_＀＀쫁䖡䀊䃤偉_x0012_䙒䙞彇剐䍉⡅〴〹⤹_x0018_＀＀_x0018_＀＀_x0008_＀＀_x0001_＀＀_x0001_＀＀㌳㌳㌳䀑嘋偉)乆䝆䥞彃卅䥔䅍䕔䔨卐䴬䅅ⱎ乁ⱎ〲㈱㐬ㄱ㠵착_x0018_＀＀_x0018_＀＀_x0008_＀＀_x0001_＀＀_x0001_＀＀䆉⋐㿧嘉偉_x0012_乆幂彐剐䍉⡅ㄴ㔱⤸_x0018_＀＀_x0018_＀＀_x0008_＀＀_x0001_＀＀_x0001_＀＀尩슏ꣵ䀦嘊偉(䉆幐䍉䕟呓䵉呁⡅偅ⱓ䕍乁䄬乎㈬㄰ⰲㄴ㔱⤸_x0018_＀＀_x0018_＀＀_x0008_＀＀_x0001_＀＀_x0001_＀＀ᑻ䞮竡㾴噡偊_x001B_乐偆偞䵟呋噟䱁㐨ㄱ㤵Ⱜ唬䑓착_x0018_＀＀_x0018_＀＀_x0008_＀＀_x0001_＀＀_x0001_＀＀꾷쪃䂅䃤偉_x0013_呗䍆偞偟䥒䕃㐨㜰㌹착_x0018_＀＀_x0018_＀＀_x0008_＀＀_x0001_＀＀_x0001_＀＀휊炣訽䀾嘊偉)䅗䑆䥞彃卅䥔䅍䕔䔨卐䴬䅅ⱎ乁ⱎ〲㐱㐬ㄱ㠵착_x0018_＀＀_x0018_＀＀_x0008_＀＀_x0001_＀＀_x0001_＀＀됹盈龾㿶嘉偉_x001B_䵕䙂偞䵟呋噟䱁㐨ㄱ㠵Ⱜ唬䑓착_x0018_＀＀_x0018_＀＀_x0008_＀＀_x0001_＀＀_x0001_＀＀갈娜迤䂟䃡偉_x0013_奃幎䝆偟䥒䕃㐨㤰㤰착_x0018_＀＀_x0018_＀＀_x0008_＀＀_x0001_＀＀_x0001_＀＀ꏗ㵰ᜊ䁆嘉偉_x001B_呗䍆偞䵟呋噟䱁㐨ㄱ㠵Ⱜ唬䑓착_x0018_＀＀_x0018_＀＀_x0008_＀＀_x0001_＀＀_x0001_＀＀磕⛩宱䂕噢偊'䉐䥞彃卅䥔䅍䕔䔨卐䴬䅅ⱎ乁ⱎ〲㈱㐬ㄱ㤵착_x0018_＀＀_x0018_＀＀_x0008_＀＀_x0001_＀＀_x0001_＀＀ᚇ컙号䀉嘉偉_x001B_䥆乎偞䵟呋噟䱁㐨ㄱ㠵Ⱜ唬䑓착_x0018_＀＀_x0018_＀＀_x0008_＀＀_x0001_＀＀_x0001_＀＀뙆ﷳ䂔䃡偉_x0014_剔䭍䙞彇剐䍉⡅〴〹⤹_x0018_＀＀_x0018_＀＀_x0008_＀＀_x0001_＀＀_x0001_＀＀휊炣䨽䀸嘊偉)噐䉔䥞彃卅䥔䅍䕔䔨卐䴬䅅ⱎ乁ⱎ〲㌱㐬ㄱ㠵착_x0018_＀＀_x0018_＀＀_x0008_＀＀_x0001_＀＀_x0001_＀＀ꏗ㵰휊㿱嘉偉(呍幂䍉䕟呓䵉呁⡅偅ⱓ䕍乁䄬乎㈬㄰ⰲㄴ㔱⤸_x0018_＀＀_x0018_＀＀_x0008_＀＀_x0001_＀＀_x0001_＀＀俟鞍鉮䀛噟偊_x0013_䉉䍏偞偟䥒䕃㐨ㄱ㤵착_x0018_＀＀_x0018_＀＀_x0008_＀＀_x0001_＀＀_x0001_＀＀凬Ẹ殅䀳䃤偉_x0012_塂幓彐剐䍉⡅〴㤷⤳_x0018_＀＀_x0018_＀＀_x0008_＀＀_x0001_＀＀_x0001_＀＀䞮竡⸔䀥嘋偉)䙂䙃䥞彃卅䥔䅍䕔䔨卐䴬䅅ⱎ乁ⱎ〲㈱㐬ㄱ㠵착_x0018_＀＀_x0018_＀＀_x0008_＀＀_x0001_＀＀_x0001_＀＀豀碵꼝쐕噞偊_x0013_䥚乏偞偟䥒䕃㐨ㄱ㤵착_x0018_＀＀_x0018_＀＀_x0008_＀＀_x0001_＀＀_x0001_＀＀쳍쳌䳌䀴嘊偉_x001A_剄幌彐䭍彔䅖⡌ㄴ㔱ⰸⰬ单⥄_x0018_＀＀_x0018_＀＀_x0008_＀＀_x0001_＀＀_x0001_＀＀_xDAB9_즊䁢嘊偉)䥆乎䥞彃卅䥔䅍䕔䔨卐䴬䅅ⱎ乁ⱎ〲㐱㐬ㄱ㠵착_x0014_＀＀_x0018_＀＀_x0004_＀＀_x0001_＀＀_x0003_＀＀＀＀耀噡偊)䥓䉖䥞彃卅䥔䅍䕔䔨卐䴬䅅ⱎ乁ⱎ〲㈱㐬ㄱ㤵착_x0018_＀＀_x0018_＀＀_x0008_＀＀_x0001_＀＀_x0001_＀＀糮㔿멞䀌嘉偉_x001A_䵃幁彐䭍彔䅖⡌ㄴ㔱ⰸⰬ单⥄_x0018_＀＀_x0018_＀＀_x0008_＀＀_x0001_＀＀_x0001_＀＀ၢ㥘䂷嘊偉(䱖幙䍉䕟呓䵉呁⡅偅ⱓ䕍乁䄬乎㈬㄰ⰲㄴ㔱⤸_x0018_＀＀_x0018_＀＀_x0008_＀＀_x0001_＀＀_x0001_＀＀ᢔ嘄ⴎ㿦嘉偉(䉂幔䍉䕟呓䵉呁⡅偅ⱓ䕍乁䄬乎㈬㄰ⰲㄴ㔱⤸_x0018_＀＀_x0018_＀＀_x0008_＀＀_x0001_＀＀_x0001_＀＀俟鞍ቮ䀆嘉偉_x0014_䉃奃幂彐剐䍉⡅〴〹⤹_x0018_＀＀_x0018_＀＀_x0008_＀＀_x0001_＀＀_x0001_＀＀＀＀＀＀ 䁴嘊偉_x001B_䵆䥂偞䵟呋噟䱁㐨ㄱ㠵Ⱜ唬䑓착_x0018_＀＀_x0018_＀＀_x0008_＀＀_x0001_＀＀_x0001_＀＀鳡ꔑ岽䂌嘋偉(千幅䍉䕟呓䵉呁⡅偅ⱓ䕍乁䄬乎㈬㄰ⰴㄴ㔱⤸_x0018_＀＀_x0018_＀＀_x0008_＀＀_x0001_＀＀_x0001_＀＀轜尨㿧噢偊)偎䍂䥞彃卅䥔䅍䕔䔨卐䴬䅅ⱎ乁ⱎ〲㌱㐬ㄱ㤵착_x0018_＀＀_x0018_＀＀_x0008_＀＀_x0001_＀＀_x0001_＀＀뙆ﷳ磔㿥噢偊)䉉䍏䥞彃卅䥔䅍䕔䔨卐䴬䅅ⱎ乁ⱎ〲㐱㐬ㄱ㤵착_x0018_＀＀_x0018_＀＀_x0008_＀＀_x0001_＀＀_x0001_＀＀ᑻ䞮竡㿸䃤偉_x0013_十䍂偞偟䥒䕃㐨㜰㌹착_x0018_＀＀_x0018_＀＀_x0008_＀＀_x0001_＀＀_x0001_＀＀긕鑺䀥嘉偉_x0012_剆幃彐剐䍉⡅ㄴ㔱⤸_x0018_＀＀_x0018_＀＀_x0008_＀＀_x0001_＀＀_x0001_＀＀竡긔腇䁀嘉偉)䥚乏䥞彃卅䥔䅍䕔䔨卐䴬䅅ⱎ乁ⱎ〲㐱㐬ㄱ㠵착_x0018_＀＀_x0018_＀＀_x0008_＀＀_x0001_＀＀_x0001_＀＀鮥⃄䀀嘊偉)䉈䍈䥞彃卅䥔䅍䕔䔨卐䴬䅅ⱎ乁ⱎ〲㈱㐬ㄱ㠵착_x0018_＀＀_x0018_＀＀_x0008_＀＀_x0001_＀＀_x0001_＀＀竡긔䀁噝偊(奃幎䍉䕟呓䵉呁⡅偅ⱓ䕍乁䄬乎㈬㄰ⰴㄴ㔱⤹_x0018_＀＀_x0018_＀＀_x0008_＀＀_x0001_＀＀_x0001_＀＀㵱휊炣䀐嘉偉_x001A_塂幓彐䭍彔䅖⡌ㄴ㔱ⰸⰬ单⥄_x0018_＀＀_x0018_＀＀_x0008_＀＀_x0001_＀＀_x0001_＀＀뱫鍴肘䂖嘉偉_x0013_䉓奎偞偟䥒䕃㐨ㄱ㠵착_x0018_＀＀_x0018_＀＀_x0008_＀＀_x0001_＀＀_x0001_＀＀ᑺ➮䁐嘋偉)剃䍂䥞彃卅䥔䅍䕔䔨卐䴬䅅ⱎ乁ⱎ〲㌱㐬ㄱ㠵착_x0018_＀＀_x0018_＀＀_x0008_＀＀_x0001_＀＀_x0001_＀＀茓쫀䖡㿴䃤偉_x0013_䡃䍆偞偟䥒䕃㐨㜰㌹착_x0018_＀＀_x0018_＀＀_x0008_＀＀_x0001_＀＀_x0001_＀＀슏⣵轜䀰嘋偉)䍓呂䥞彃卅䥔䅍䕔䔨卐䴬䅅ⱎ乁ⱎ〲㐱㐬ㄱ㠵착_x0018_＀＀_x0018_＀＀_x0008_＀＀_x0001_＀＀_x0001_＀＀晧晦晦䀌噢偊)䅃奔䥞彃卅䥔䅍䕔䔨卐䴬䅅ⱎ乁ⱎ〲㌱㐬ㄱ㤵착_x0018_＀＀_x0018_＀＀_x0008_＀＀_x0001_＀＀_x0001_＀＀䯇褷恁㿷嘊偉_x001B_䍐䍂偞䵟呋噟䱁㐨ㄱ㠵Ⱜ唬䑓착_x0018_＀＀_x0018_＀＀_x0008_＀＀_x0001_＀＀_x0001_＀＀눭꘧䂗嘊偉_x001B_坎䥂偞䵟呋噟䱁㐨ㄱ㠵Ⱜ唬䑓착_x0018_＀＀_x0018_＀＀_x0008_＀＀_x0001_＀＀_x0001_＀＀㽽帵䂒噡偊_x0012_奎幂彐剐䍉⡅ㄴ㔱⤹_x0018_＀＀_x0018_＀＀_x0008_＀＀_x0001_＀＀_x0001_＀＀ਾꏗ㵰䀫噝偊_x001A_䉂幔彐䭍彔䅖⡌ㄴ㔱ⰹⰬ单⥄_x0018_＀＀_x0018_＀＀_x0008_＀＀_x0001_＀＀_x0001_＀＀尩슏焕䃖噟偊_x0013_啓兓偞偟䥒䕃㐨ㄱ㤵착_x0018_＀＀_x0018_＀＀_x0008_＀＀_x0001_＀＀_x0001_＀＀⣶轜䀥噡偊_x001B_婏䭒偞䵟呋噟䱁㐨ㄱ㤵Ⱜ唬䑓착_x0018_＀＀_x0018_＀＀_x0008_＀＀_x0001_＀＀_x0001_＀＀ᚇ컙⻷䂒嘉偉_x0019_䙒偞䵟呋噟䱁㐨ㄱ㠵Ⱜ唬䑓착_x0018_＀＀_x0018_＀＀_x0008_＀＀_x0001_＀＀_x0001_＀＀䦺Ȍ䃃嘊偉_x0013_䍕䥂偞偟䥒䕃㐨ㄱ㠵착_x0018_＀＀_x0018_＀＀_x0008_＀＀_x0001_＀＀_x0001_＀＀긕ᑺ䀡嘊偉)䉉䍋䥞彃卅䥔䅍䕔䔨卐䴬䅅ⱎ乁ⱎ〲㌱㐬ㄱ㠵착_x0018_＀＀_x0018_＀＀_x0008_＀＀_x0001_＀＀_x0001_＀＀Й๖눭䀇嘊偉(䭂幕䍉䕟呓䵉呁⡅偅ⱓ䕍乁䄬乎㈬㄰ⰴㄴ㔱⤸_x0018_＀＀_x0018_＀＀_x0008_＀＀_x0001_＀＀_x0001_＀＀＀＀＀＀＀＀㿺嘋偉)䙆䍂䥞彃卅䥔䅍䕔䔨卐䴬䅅ⱎ乁ⱎ〲㈱㐬ㄱ㠵착_x0018_＀＀_x0018_＀＀_x0008_＀＀_x0001_＀＀_x0001_＀＀ၢ㥘좴㿲䃤偉_x0013_䉐呃偞偟䥒䕃㐨㜰㌹착_x0018_＀＀_x0018_＀＀_x0008_＀＀_x0001_＀＀_x0001_＀＀蔟凫麸䀧嘉偉_x0013_䉃䡓偞偟䥒䕃㐨ㄱ㠵착_x0018_＀＀_x0018_＀＀_x0008_＀＀_x0001_＀＀_x0001_＀＀晧晦晦䁄嘉偉_x001B_䥓䉖偞䵟呋噟䱁㐨ㄱ㠵Ⱜ唬䑓착_x0018_＀＀_x0018_＀＀_x0008_＀＀_x0001_＀＀_x0001_＀＀㕀멞ሉ䂥䃤偉_x0012_剐幋彐剐䍉⡅〴㤷⤳_x0018_＀＀_x0018_＀＀_x0008_＀＀_x0001_＀＀_x0001_＀＀Ẹ롑䁊䃤偉_x0013_䉉䍋偞偟䥒䕃㐨㜰㌹착_x0018_＀＀_x0018_＀＀_x0008_＀＀_x0001_＀＀_x0001_＀＀尩슏⣵䁇嘉偉_x0012_䉆幃彐剐䍉⡅〴〹⤹_x0018_＀＀_x0018_＀＀_x0008_＀＀_x0001_＀＀_x0001_＀＀尩슏⣵㿠噢偊(奎幂䍉䕟呓䵉呁⡅偅ⱓ䕍乁䄬乎㈬㄰ⰴㄴ㔱⤹_x0018_＀＀_x0018_＀＀_x0008_＀＀_x0001_＀＀_x0001_＀＀茓쫀䖡㿰噢偊(䉃幕䍉䕟呓䵉呁⡅偅ⱓ䕍乁䄬乎㈬㄰ⰴㄴ㔱⤹_x0018_＀＀_x0018_＀＀_x0008_＀＀_x0001_＀＀_x0001_＀＀㌳㌳㌳䀁嘋偉)䅂䙎䥞彃卅䥔䅍䕔䔨卐䴬䅅ⱎ乁ⱎ〲㌱㐬ㄱ㠵착_x0018_＀＀_x0018_＀＀_x0008_＀＀_x0001_＀＀_x0001_＀＀馚香香䀉噝偊_x0015_䵈呓偞偟䥒䕃㈨ㄯ⼰㈱착_x0018_＀＀_x0018_＀＀_x0008_＀＀_x0001_＀＀_x0001_＀＀＀＀＀＀＀＀䀸噢偊)乆䝆䥞彃卅䥔䅍䕔䔨卐䴬䅅ⱎ乁ⱎ〲㈱㐬ㄱ㤵착_x0018_＀＀_x0018_＀＀_x0008_＀＀_x0001_＀＀_x0001_＀＀䆉⋐㿧嘉偉_x0012_䡆幎彐剐䍉⡅ㄴ㔱⤸_x0018_＀＀_x0018_＀＀_x0008_＀＀_x0001_＀＀_x0001_＀＀炤਽ꏗ䀢嘉偉(剆幃䍉䕟呓䵉呁⡅偅ⱓ䕍乁䄬乎㈬㄰ⰲㄴ㔱⤸_x0018_＀＀_x0018_＀＀_x0008_＀＀_x0001_＀＀_x0001_＀＀⼛ⓝ脆䀅嘊偉'䙁䥞彃卅䥔䅍䕔䔨卐䴬䅅ⱎ乁ⱎ〲㈱㐬ㄱ㠵착_x0018_＀＀_x0018_＀＀_x0008_＀＀_x0001_＀＀_x0001_＀＀_xDB23_绹뱪㿠嘊偉)䵆剅䥞彃卅䥔䅍䕔䔨卐䴬䅅ⱎ乁ⱎ〲㌱㐬ㄱ㠵착_x0018_＀＀_x0018_＀＀_x0008_＀＀_x0001_＀＀_x0001_＀＀摚_xDF3B_赏㿵嘋偉)噃䙂䥞彃卅䥔䅍䕔䔨卐䴬䅅ⱎ乁ⱎ〲㌱㐬ㄱ㠵착_x0018_＀＀_x0018_＀＀_x0008_＀＀_x0001_＀＀_x0001_＀＀ᢔ嘄ⴎ㿮嘋偉)偂䡆䥞彃卅䥔䅍䕔䔨卐䴬䅅ⱎ乁ⱎ〲㈱㐬ㄱ㠵착_x0018_＀＀_x0018_＀＀_x0008_＀＀_x0001_＀＀_x0001_＀＀갈娜㭤㿣嘊偉_x001B_䍆乂偞䵟呋噟䱁㐨ㄱ㠵Ⱜ唬䑓착_x0018_＀＀_x0018_＀＀_x0008_＀＀_x0001_＀＀_x0001_＀＀凬Ẹ䮅䁻噠偊_x0012_䅗幌彐剐䍉⡅〴〹⤹_x0018_＀＀_x0018_＀＀_x0008_＀＀_x0001_＀＀_x0001_＀＀凬Ẹ䀘噢偊)噐䉔䥞彃卅䥔䅍䕔䔨卐䴬䅅ⱎ乁ⱎ〲㌱㐬ㄱ㤵착_x0018_＀＀_x0018_＀＀_x0008_＀＀_x0001_＀＀_x0001_＀＀ꏗ㵰휊㿱噝偊_x0013_䉈乁偞偟䥒䕃㐨㤰㤰착_x0018_＀＀_x0018_＀＀_x0008_＀＀_x0001_＀＀_x0001_＀＀⣶轜䀕噟偊_x0013_䉕䥓偞偟䥒䕃㐨㤰㤰착_x0018_＀＀_x0018_＀＀_x0008_＀＀_x0001_＀＀_x0001_＀＀롑䔞䀼噞偊(呍幂䍉䕟呓䵉呁⡅偅ⱓ䕍乁䄬乎㈬㄰ⰲㄴ㔱⤹_x0018_＀＀_x0018_＀＀_x0008_＀＀_x0001_＀＀_x0001_＀＀俟鞍鉮䀛嘋偉(剄幌䍉䕟呓䵉呁⡅偅ⱓ䕍乁䄬乎㈬㄰ⰴㄴ㔱⤸_x0018_＀＀_x0018_＀＀_x0008_＀＀_x0001_＀＀_x0001_＀＀豀碵꼝쐕噟偊_x001B_剃䍂偞䵟呋噟䱁㐨ㄱ㤵Ⱜ唬䑓착_x0018_＀＀_x0018_＀＀_x0008_＀＀_x0001_＀＀_x0001_＀＀硬ꕺ눬䂉嘊偉_x001B_䙆䍂偞䵟呋噟䱁㐨ㄱ㠵Ⱜ唬䑓착_x0018_＀＀_x0018_＀＀_x0008_＀＀_x0001_＀＀_x0001_＀＀稐ꬶ_xDC3E_䂎嘉偉_x0012_奃幎彐剐䍉⡅ㄴ㔱⤸_x0018_＀＀_x0018_＀＀_x0008_＀＀_x0001_＀＀_x0001_＀＀ᑺ枮䁊嘊偉(䡆幎䍉䕟呓䵉呁⡅偅ⱓ䕍乁䄬乎㈬㄰ⰳㄴ㔱⤸_x0018_＀＀_x0018_＀＀_x0008_＀＀_x0001_＀＀_x0001_＀＀휊炣਽㿫嘋偉)䡃䍆䥞彃卅䥔䅍䕔䔨卐䴬䅅ⱎ乁ⱎ〲㐱㐬ㄱ㠵착_x0018_＀＀_x0018_＀＀_x0008_＀＀_x0001_＀＀_x0001_＀＀豀碵꼝쐕噡偊(䱖幙䍉䕟呓䵉呁⡅偅ⱓ䕍乁䄬乎㈬㄰ⰲㄴ㔱⤹_x0018_＀＀_x0018_＀＀_x0008_＀＀_x0001_＀＀_x0001_＀＀ᢔ嘄ⴎ㿦嘋偉)䍐䍂䥞彃卅䥔䅍䕔䔨卐䴬䅅ⱎ乁ⱎ〲㐱㐬ㄱ㠵착_x0018_＀＀_x0018_＀＀_x0008_＀＀_x0001_＀＀_x0001_＀＀豀碵꼝쐕噞偊(䉂幔䍉䕟呓䵉呁⡅偅ⱓ䕍乁䄬乎㈬㄰ⰲㄴ㔱⤹_x0018_＀＀_x0018_＀＀_x0008_＀＀_x0001_＀＀_x0001_＀＀俟鞍ቮ䀆噠偊_x0013_䉇䥃偞偟䥒䕃㐨㤰㤰착_x0018_＀＀_x0018_＀＀_x0008_＀＀_x0001_＀＀_x0001_＀＀슐⣵ཛྷ䀨嘉偉(䕋幙䍉䕟呓䵉呁⡅偅ⱓ䕍乁䄬乎㈬㄰ⰴㄴ㔱⤸_x0018_＀＀_x0018_＀＀_x0008_＀＀_x0001_＀＀_x0001_＀＀脆䎕沋㿯嘋偉*䉃奃幂䍉䕟呓䵉呁⡅偅ⱓ䕍乁䄬乎㈬㄰ⰳㄴ㔱⤸_x0014_＀＀_x0018_＀＀_x0004_＀＀_x0001_＀＀_x0003_＀＀＀＀耀噢偊(千幅䍉䕟呓䵉呁⡅偅ⱓ䕍乁䄬乎㈬㄰ⰴㄴ㔱⤹_x0018_＀＀_x0018_＀＀_x0008_＀＀_x0001_＀＀_x0001_＀＀轜尨㿧嘉偉_x001B_偎䍂偞䵟呋噟䱁㐨ㄱ㠵Ⱜ唬䑓착_x0018_＀＀_x0018_＀＀_x0008_＀＀_x0001_＀＀_x0001_＀＀⬂ᚇ䂕䃤偉_x0012_乓幖彐剐䍉⡅〴㤷⤳_x0018_＀＀_x0018_＀＀_x0008_＀＀_x0001_＀＀_x0001_＀＀㌳㌳㌳㿷噡偊)䉈䍈䥞彃卅䥔䅍䕔䔨卐䴬䅅ⱎ乁ⱎ〲㈱㐬ㄱ㤵착_x0018_＀＀_x0018_＀＀_x0008_＀＀_x0001_＀＀_x0001_＀＀竡긔䀁噞偊)䥚乏䥞彃卅䥔䅍䕔䔨卐䴬䅅ⱎ乁ⱎ〲㐱㐬ㄱ㤵착_x0018_＀＀_x0018_＀＀_x0008_＀＀_x0001_＀＀_x0001_＀＀鮥⃄䀀噝偊_x0012_剆幃彐剐䍉⡅ㄴ㔱⤹_x0018_＀＀_x0018_＀＀_x0008_＀＀_x0001_＀＀_x0001_＀＀＀＀＀＀ꀀ䁀䃤偉_x0012_䙐幓彐剐䍉⡅〴㤷⤳_x0018_＀＀_x0018_＀＀_x0008_＀＀_x0001_＀＀_x0001_＀＀䞮竡⸔䀨噢偊)剃䍂䥞彃卅䥔䅍䕔䔨卐䴬䅅ⱎ乁ⱎ〲㌱㐬ㄱ㤵착_x0018_＀＀_x0018_＀＀_x0008_＀＀_x0001_＀＀_x0001_＀＀茓쫀䖡㿴噟偊_x0013_䉓奎偞偟䥒䕃㐨ㄱ㤵착_x0018_＀＀_x0018_＀＀_x0008_＀＀_x0001_＀＀_x0001_＀＀馚香妙䁐噢偊)䍓呂䥞彃卅䥔䅍䕔䔨卐䴬䅅ⱎ乁ⱎ〲㐱㐬ㄱ㤵착_x0018_＀＀_x0018_＀＀_x0008_＀＀_x0001_＀＀_x0001_＀＀晧晦晦䀌嘊偉_x0013_婏䭒偞偟䥒䕃㐨ㄱ㠵착_x0018_＀＀_x0018_＀＀_x0008_＀＀_x0001_＀＀_x0001_＀＀尨䁀嘊偉)商呌䥞彃卅䥔䅍䕔䔨卐䴬䅅ⱎ乁ⱎ〲㌱㐬ㄱ㠵착_x0018_＀＀_x0018_＀＀_x0008_＀＀_x0001_＀＀_x0001_＀＀ᚇ컙号㿫嘋偉(䙐幓䍉䕟呓䵉呁⡅偅ⱓ䕍乁䄬乎㈬㄰ⰴㄴ㔱⤸_x0018_＀＀_x0018_＀＀_x0008_＀＀_x0001_＀＀_x0001_＀＀尩슏⣵㿴嘉偉)䉈乁䥞彃卅䥔䅍䕔䔨卐䴬䅅ⱎ乁ⱎ〲㐱㐬ㄱ㠵착_x0018_＀＀_x0018_＀＀_x0008_＀＀_x0001_＀＀_x0001_＀＀퓽㿦嘊偉(䉆幃䍉䕟呓䵉呁⡅偅ⱓ䕍乁䄬乎㈬㄰ⰲㄴ㔱⤸_x0018_＀＀_x0018_＀＀_x0008_＀＀_x0001_＀＀_x0001_＀＀ꏗ㵰휊㿓嘊偉_x0013_䙂䙃偞偟䥒䕃㐨㤰㤰착_x0018_＀＀_x0018_＀＀_x0008_＀＀_x0001_＀＀_x0001_＀＀晧晦晦㿖噟偊_x0013_䥓䉖偞偟䥒䕃㐨㤰㤰착_x0018_＀＀_x0018_＀＀_x0008_＀＀_x0001_＀＀_x0001_＀＀Ẹ_xD851_䁇嘉偉_x0011_䙁偞偟䥒䕃㐨ㄱ㠵착_x0018_＀＀_x0018_＀＀_x0008_＀＀_x0001_＀＀_x0001_＀＀롒蔞퇫䀤噞偊_x001A_䡆幎彐䭍彔䅖⡌ㄴ㔱ⰹⰬ单⥄_x0018_＀＀_x0018_＀＀_x0008_＀＀_x0001_＀＀_x0001_＀＀㌳㌳㚳䂢噢偊)䙆䍂䥞彃卅䥔䅍䕔䔨卐䴬䅅ⱎ乁ⱎ〲㈱㐬ㄱ㤵착_x0018_＀＀_x0018_＀＀_x0008_＀＀_x0001_＀＀_x0001_＀＀ၢ㥘좴㿲噠偊_x0013_䍕䥂偞偟䥒䕃㐨ㄱ㤵착_x0018_＀＀_x0018_＀＀_x0008_＀＀_x0001_＀＀_x0001_＀＀롒蔞凫䀡噝偊_x001A_呍幂彐䭍彔䅖⡌ㄴ㔱ⰹⰬ单⥄_x0018_＀＀_x0018_＀＀_x0008_＀＀_x0001_＀＀_x0001_＀＀ꏗ㵰磪䃆噢偊(䭂幕䍉䕟呓䵉呁⡅偅ⱓ䕍乁䄬乎㈬㄰ⰴㄴ㔱⤹_x0018_＀＀_x0018_＀＀_x0008_＀＀_x0001_＀＀_x0001_＀＀＀＀＀＀＀＀㿺噢偊)䉉䍋䥞彃卅䥔䅍䕔䔨卐䴬䅅ⱎ乁ⱎ〲㌱㐬ㄱ㤵착_x0018_＀＀_x0018_＀＀_x0008_＀＀_x0001_＀＀_x0001_＀＀Й๖눭䀇嘋偉)䉂乃䥞彃卅䥔䅍䕔䔨卐䴬䅅ⱎ乁ⱎ〲㐱㐬ㄱ㠵착_x0018_＀＀_x0018_＀＀_x0008_＀＀_x0001_＀＀_x0001_＀＀ਾꏗ㵰㿲噛偊_x0013_䉃䡓偞偟䥒䕃㐨ㄱ㤵착_x0018_＀＀_x0018_＀＀_x0008_＀＀_x0001_＀＀_x0001_＀＀롑蔞䁄嘉偉_x0012_䉂幔彐剐䍉⡅ㄴ㔱⤸_x0018_＀＀_x0018_＀＀_x0008_＀＀_x0001_＀＀_x0001_＀＀롑┞䁀嘊偉(䉗幓䍉䕟呓䵉呁⡅偅ⱓ䕍乁䄬乎㈬㄰ⰴㄴ㔱⤸_x0018_＀＀_x0018_＀＀_x0008_＀＀_x0001_＀＀_x0001_＀＀욨㝋䆉㿼嘊偉)䉉䍏䥞彃卅䥔䅍䕔䔨卐䴬䅅ⱎ乁ⱎ〲㈱㐬ㄱ㠵착_x0018_＀＀_x0018_＀＀_x0008_＀＀_x0001_＀＀_x0001_＀＀晧晦晦㿶嘊偉_x0013_䙆䍂偞偟䥒䕃㐨ㄱ㠵착_x0018_＀＀_x0018_＀＀_x0008_＀＀_x0001_＀＀_x0001_＀＀竡긔䀰嘊偉(奃幎䍉䕟呓䵉呁⡅偅ⱓ䕍乁䄬乎㈬㄰ⰲㄴ㔱⤸_x0018_＀＀_x0018_＀＀_x0008_＀＀_x0001_＀＀_x0001_＀＀䎖沋ﯧ䀍嘊偉_x0012_剄幌彐剐䍉⡅ㄴ㔱⤸_x0018_＀＀_x0018_＀＀_x0008_＀＀_x0001_＀＀_x0001_＀＀Ẹ롑㿲嘉偉_x001B_十䍂偞䵟呋噟䱁㐨ㄱ㠵Ⱜ唬䑓착_x0018_＀＀_x0018_＀＀_x0008_＀＀_x0001_＀＀_x0001_＀＀ꗣ쒛訠䂡嘊偉)䵕児䥞彃卅䥔䅍䕔䔨卐䴬䅅ⱎ乁ⱎ〲㐱㐬ㄱ㠵착_x0018_＀＀_x0018_＀＀_x0008_＀＀_x0001_＀＀_x0001_＀＀䯇褷恁㿭嘊偉_x001B_䅗䍂偞䵟呋噟䱁㐨ㄱ㠵Ⱜ唬䑓착_x0018_＀＀_x0018_＀＀_x0008_＀＀_x0001_＀＀_x0001_＀＀龿⼚ꗝ䂔䃣偉_x0017_乆䝆䥞彃䕍乁䕟卐䱟䝔〨착_x0018_＀＀_x0018_＀＀_x0008_＀＀_x0001_＀＀_x0001_＀＀＀＀＀＀＀＀䀘嘊偉(䍔幂䍉䕟呓䵉呁⡅偅ⱓ䕍乁䄬乎㈬㄰ⰳㄴ㔱⤸_x0018_＀＀_x0018_＀＀_x0008_＀＀_x0001_＀＀_x0001_＀＀鮦⃄犰㿰嘉偉_x0014_䍆䍎幁彐剐䍉⡅ㄴ㔱⤸_x0018_＀＀_x0018_＀＀_x0008_＀＀_x0001_＀＀_x0001_＀＀＀＀＀＀_xD800_䁤噟偊_x0012_䍔幂彐剐䍉⡅〴〹⤹_x0018_＀＀_x0018_＀＀_x0008_＀＀_x0001_＀＀_x0001_＀＀炤਽ꏗ䀤嘊偉_x0012_䍆幆彐剐䍉⡅〴〹⤹_x0018_＀＀_x0018_＀＀_x0008_＀＀_x0001_＀＀_x0001_＀＀휊炣਽䀕嘋偉)呓䅓䥞彃卅䥔䅍䕔䔨卐䴬䅅ⱎ乁ⱎ〲㌱㐬ㄱ㠵착_x0018_＀＀_x0018_＀＀_x0008_＀＀_x0001_＀＀_x0001_＀＀炤਽ꏗ㿴噝偊_x001B_䵈呓偞䵟呋噟䱁㐨ㄱ㤵Ⱜ唬䑓착_x0018_＀＀_x0018_＀＀_x0008_＀＀_x0001_＀＀_x0001_＀＀Ք銣䁯䃣偉)乆䝆䥞彄卅䥔䅍䕔䔨卐䴬䅅ⱎ乁ⱎ〲㐱〬Ⱜ〬착_x0018_＀＀_x0018_＀＀_x0008_＀＀_x0001_＀＀_x0001_＀＀䂸飇㿫嘊偉)啓兓䥞彃卅䥔䅍䕔䔨卐䴬䅅ⱎ乁ⱎ〲㐱㐬ㄱ㠵착_x0018_＀＀_x0018_＀＀_x0008_＀＀_x0001_＀＀_x0001_＀＀눭욧㿯噞偊_x0012_䡆幎彐剐䍉⡅ㄴ㔱⤹_x0018_＀＀_x0018_＀＀_x0008_＀＀_x0001_＀＀_x0001_＀＀ਾꏗ뵰䀢嘊偉_x001A_䙐幓彐䭍彔䅖⡌ㄴ㔱ⰸⰬ单⥄_x0018_＀＀_x0018_＀＀_x0008_＀＀_x0001_＀＀_x0001_＀＀ែ匦蚅䂍嘊偉_x0013_䵆䥂偞偟䥒䕃㐨ㄱ㠵착_x0018_＀＀_x0018_＀＀_x0008_＀＀_x0001_＀＀_x0001_＀＀＀＀＀＀䀀䀨嘉偉_x001A_䭂幕彐䭍彔䅖⡌ㄴ㔱ⰸⰬ单⥄_x0018_＀＀_x0018_＀＀_x0008_＀＀_x0001_＀＀_x0001_＀＀⣶轜❂䂢嘋偉)乐偆䥞彃卅䥔䅍䕔䔨卐䴬䅅ⱎ乁ⱎ〲㐱㐬ㄱ㠵착_x0018_＀＀_x0018_＀＀_x0008_＀＀_x0001_＀＀_x0001_＀＀桳㽼㿷噡偊)䵆剅䥞彃卅䥔䅍䕔䔨卐䴬䅅ⱎ乁ⱎ〲㌱㐬ㄱ㤵착_x0018_＀＀_x0018_＀＀_x0008_＀＀_x0001_＀＀_x0001_＀＀摚_xDF3B_赏㿵噡偊'䙁䥞彃卅䥔䅍䕔䔨卐䴬䅅ⱎ乁ⱎ〲㈱㐬ㄱ㤵착_x0018_＀＀_x0018_＀＀_x0008_＀＀_x0001_＀＀_x0001_＀＀_xDB23_绹뱪㿠噟偊_x001A_䉗幓彐䭍彔䅖⡌ㄴ㔱ⰹⰬ单⥄_x0018_＀＀_x0018_＀＀_x0008_＀＀_x0001_＀＀_x0001_＀＀삃ꇊǅ䂟噝偊(剆幃䍉䕟呓䵉呁⡅偅ⱓ䕍乁䄬乎㈬㄰ⰲㄴ㔱⤹_x0018_＀＀_x0018_＀＀_x0008_＀＀_x0001_＀＀_x0001_＀＀⼛ⓝ脆䀅噢偊)噃䙂䥞彃卅䥔䅍䕔䔨卐䴬䅅ⱎ乁ⱎ〲㌱㐬ㄱ㤵착_x0018_＀＀_x0018_＀＀_x0008_＀＀_x0001_＀＀_x0001_＀＀ﯨ䷒㿮䃣偉)䉐呃䥞彄卅䥔䅍䕔䔨卐䴬䅅ⱎ乁ⱎ〲㌱〬Ⱜ〬착_x0018_＀＀_x0018_＀＀_x0008_＀＀_x0001_＀＀_x0001_＀＀㊒⻳鴨㿪噞偊_x0012_呓幉彐剐䍉⡅〴〹⤹_x0018_＀＀_x0018_＀＀_x0008_＀＀_x0001_＀＀_x0001_＀＀㌳㌳댳䀱嘉偉_x001B_䅗䑆偞䵟呋噟䱁㐨ㄱ㠵Ⱜ唬䑓착_x0018_＀＀_x0018_＀＀_x0008_＀＀_x0001_＀＀_x0001_＀＀鮥乄䂛嘋偉(䅗幌䍉䕟呓䵉呁⡅偅ⱓ䕍乁䄬乎㈬㄰ⰴㄴ㔱⤸_x0018_＀＀_x0018_＀＀_x0008_＀＀_x0001_＀＀_x0001_＀＀ᑻ䞮竡㿰噟偊_x001B_䵕児偞䵟呋噟䱁㐨ㄱ㤵Ⱜ唬䑓착_x0018_＀＀_x0018_＀＀_x0008_＀＀_x0001_＀＀_x0001_＀＀䷒멢䂖噡偊(䡆幎䍉䕟呓䵉呁⡅偅ⱓ䕍乁䄬乎㈬㄰ⰳㄴ㔱⤹_x0018_＀＀_x0018_＀＀_x0008_＀＀_x0001_＀＀_x0001_＀＀휊炣਽㿫噛偊_x0012_奃幎彐剐䍉⡅ㄴ㔱⤹_x0018_＀＀_x0018_＀＀_x0008_＀＀_x0001_＀＀_x0001_＀＀⣶轜헂䁊嘋偉(䉃幕䍉䕟呓䵉呁⡅偅ⱓ䕍乁䄬乎㈬㄰ⰲㄴ㔱⤸_x0018_＀＀_x0018_＀＀_x0008_＀＀_x0001_＀＀_x0001_＀＀⼛ⓝ脆䀀嘋偉(奎幂䍉䕟呓䵉呁⡅偅ⱓ䕍乁䄬乎㈬㄰ⰲㄴ㔱⤸_x0018_＀＀_x0018_＀＀_x0008_＀＀_x0001_＀＀_x0001_＀＀＀＀＀＀＀＀㿲嘉偉_x001A_呓幉彐䭍彔䅖⡌ㄴ㔱ⰸⰬ单⥄_x0018_＀＀_x0018_＀＀_x0008_＀＀_x0001_＀＀_x0001_＀＀溘茒འ䃌嘋偉(乆幂䍉䕟呓䵉呁⡅偅ⱓ䕍乁䄬乎㈬㄰ⰴㄴ㔱⤸_x0018_＀＀_x0018_＀＀_x0008_＀＀_x0001_＀＀_x0001_＀＀컙号ꗣ㿯嘋偉)婏䭒䥞彃卅䥔䅍䕔䔨卐䴬䅅ⱎ乁ⱎ〲㌱㐬ㄱ㠵착_x0018_＀＀_x0018_＀＀_x0008_＀＀_x0001_＀＀_x0001_＀＀＀＀＀＀＀＀䀂噞偊(䕋幙䍉䕟呓䵉呁⡅偅ⱓ䕍乁䄬乎㈬㄰ⰴㄴ㔱⤹_x0018_＀＀_x0018_＀＀_x0008_＀＀_x0001_＀＀_x0001_＀＀犰酨糭㿯嘊偉)䅗䑆䥞彃卅䥔䅍䕔䔨卐䴬䅅ⱎ乁ⱎ〲㈱㐬ㄱ㠵착_x0018_＀＀_x0018_＀＀_x0008_＀＀_x0001_＀＀_x0001_＀＀_xDF3C_赏溗㿴噟偊_x0012_佂幈彐剐䍉⡅〴〹⤹_x0018_＀＀_x0018_＀＀_x0008_＀＀_x0001_＀＀_x0001_＀＀蔟凫㺸䁆噡偊_x0013_婏䭒偞偟䥒䕃㐨ㄱ㤵착_x0018_＀＀_x0018_＀＀_x0008_＀＀_x0001_＀＀_x0001_＀＀롒蔞퇫䁀噠偊_x001B_䍕䥂偞䵟呋噟䱁㐨ㄱ㤵Ⱜ唬䑓착_x0018_＀＀_x0018_＀＀_x0008_＀＀_x0001_＀＀_x0001_＀＀ःᾊ㥣䁿噜偊_x001B_剔䭍偞䵟呋噟䱁㐨ㄱ㤵Ⱜ唬䑓착_x0018_＀＀_x0018_＀＀_x0008_＀＀_x0001_＀＀_x0001_＀＀㌴㌳䂘䃤偉_x0014_䉃奃幂彐剐䍉⡅〴㤷⤳_x0018_＀＀_x0018_＀＀_x0008_＀＀_x0001_＀＀_x0001_＀＀＀＀＀＀ 䁴噟偊_x0012_䉗幓彐剐䍉⡅〴〹⤹_x0018_＀＀_x0018_＀＀_x0008_＀＀_x0001_＀＀_x0001_＀＀炤਽揗䀴噡偊)商呌䥞彃卅䥔䅍䕔䔨卐䴬䅅ⱎ乁ⱎ〲㌱㐬ㄱ㤵착_x0018_＀＀_x0018_＀＀_x0008_＀＀_x0001_＀＀_x0001_＀＀ᚇ컙号㿫噛偊_x001A_䙃幒彐䭍彔䅖⡌ㄴ㔱ⰹⰬ单⥄_x0018_＀＀_x0018_＀＀_x0008_＀＀_x0001_＀＀_x0001_＀＀㭥俟멍䂫噟偊_x0013_剃䍂偞偟䥒䕃㐨㤰㤰착_x0018_＀＀_x0018_＀＀_x0008_＀＀_x0001_＀＀_x0001_＀＀쳍쳌쳌䀦嘋偉(剄幌䍉䕟呓䵉呁⡅偅ⱓ䕍乁䄬乎㈬㄰ⰲㄴ㔱⤸_x0018_＀＀_x0018_＀＀_x0008_＀＀_x0001_＀＀_x0001_＀＀Ẹ롑㾞噞偊)䉈乁䥞彃卅䥔䅍䕔䔨卐䴬䅅ⱎ乁ⱎ〲㐱㐬ㄱ㤵착_x0018_＀＀_x0018_＀＀_x0008_＀＀_x0001_＀＀_x0001_＀＀퓽㿦嘉偉(䵃幁䍉䕟呓䵉呁⡅偅ⱓ䕍乁䄬乎㈬㄰ⰳㄴ㔱⤸_x0018_＀＀_x0018_＀＀_x0008_＀＀_x0001_＀＀_x0001_＀＀嘄ⴎ鶲䀅嘊偉)䥆乎䥞彃卅䥔䅍䕔䔨卐䴬䅅ⱎ乁ⱎ〲㈱㐬ㄱ㠵착_x0014_＀＀_x0018_＀＀_x0004_＀＀_x0001_＀＀_x0003_＀＀＀＀耀嘊偉(䙃幒䍉䕟呓䵉呁⡅偅ⱓ䕍乁䄬乎㈬㄰ⰳㄴ㔱⤸_x0018_＀＀_x0018_＀＀_x0008_＀＀_x0001_＀＀_x0001_＀＀酩糭㔿䀎噟偊_x0011_䙁偞偟䥒䕃㐨ㄱ㤵착_x0018_＀＀_x0018_＀＀_x0008_＀＀_x0001_＀＀_x0001_＀＀⣶轜䀤嘊偉_x0013_南䍂偞偟䥒䕃㐨㤰㤰착_x0018_＀＀_x0018_＀＀_x0008_＀＀_x0001_＀＀_x0001_＀＀Ẹ硑䀳嘋偉(千幅䍉䕟呓䵉呁⡅偅ⱓ䕍乁䄬乎㈬㄰ⰲㄴ㔱⤸_x0018_＀＀_x0018_＀＀_x0008_＀＀_x0001_＀＀_x0001_＀＀퓾ㄦ䀀嘋偉(剐幋䍉䕟呓䵉呁⡅偅ⱓ䕍乁䄬乎㈬㄰ⰴㄴ㔱⤸_x0018_＀＀_x0018_＀＀_x0008_＀＀_x0001_＀＀_x0001_＀＀Ẹ롑䀕嘋偉)佈䉍䥞彃卅䥔䅍䕔䔨卐䴬䅅ⱎ乁ⱎ〲㐱㐬ㄱ㠵착_x0018_＀＀_x0018_＀＀_x0008_＀＀_x0001_＀＀_x0001_＀＀豀碵꼝쐕噢偊)䉉䍏䥞彃卅䥔䅍䕔䔨卐䴬䅅ⱎ乁ⱎ〲㈱㐬ㄱ㤵착_x0018_＀＀_x0018_＀＀_x0008_＀＀_x0001_＀＀_x0001_＀＀晧晦晦㿶噡偊(䉗幓䍉䕟呓䵉呁⡅偅ⱓ䕍乁䄬乎㈬㄰ⰴㄴ㔱⤹_x0018_＀＀_x0018_＀＀_x0008_＀＀_x0001_＀＀_x0001_＀＀욨㝋䆉㿼噝偊_x0012_䉂幔彐剐䍉⡅ㄴ㔱⤹_x0018_＀＀_x0018_＀＀_x0008_＀＀_x0001_＀＀_x0001_＀＀슏⣵潜䁀嘉偉_x001A_乆幂彐䭍彔䅖⡌ㄴ㔱ⰸⰬ单⥄_x0018_＀＀_x0018_＀＀_x0008_＀＀_x0001_＀＀_x0001_＀＀䷒믢䂘嘉偉)䥚乏䥞彃卅䥔䅍䕔䔨卐䴬䅅ⱎ乁ⱎ〲㈱㐬ㄱ㠵착_x0018_＀＀_x0018_＀＀_x0008_＀＀_x0001_＀＀_x0001_＀＀롒蔞凫㿲噠偊_x0013_䙆䍂偞偟䥒䕃㐨ㄱ㤵착_x0018_＀＀_x0018_＀＀_x0008_＀＀_x0001_＀＀_x0001_＀＀凬Ẹ⮅䀱噝偊(奃幎䍉䕟呓䵉呁⡅偅ⱓ䕍乁䄬乎㈬㄰ⰲㄴ㔱⤹_x0018_＀＀_x0018_＀＀_x0008_＀＀_x0001_＀＀_x0001_＀＀䎖沋ﯧ䀍噢偊)䵕児䥞彃卅䥔䅍䕔䔨卐䴬䅅ⱎ乁ⱎ〲㐱㐬ㄱ㤵착_x0018_＀＀_x0018_＀＀_x0008_＀＀_x0001_＀＀_x0001_＀＀䯇褷恁㿭嘋偉)䍓呂䥞彃卅䥔䅍䕔䔨卐䴬䅅ⱎ乁ⱎ〲㈱㐬ㄱ㠵착_x0018_＀＀_x0018_＀＀_x0008_＀＀_x0001_＀＀_x0001_＀＀譄ꧻ䀂噡偊(䍔幂䍉䕟呓䵉呁⡅偅ⱓ䕍乁䄬乎㈬㄰ⰳㄴ㔱⤹_x0018_＀＀_x0018_＀＀_x0008_＀＀_x0001_＀＀_x0001_＀＀鮦⃄犰㿰嘋偉)䵆䥂䥞彃卅䥔䅍䕔䔨卐䴬䅅ⱎ乁ⱎ〲㐱㐬ㄱ㠵착_x0018_＀＀_x0018_＀＀_x0008_＀＀_x0001_＀＀_x0001_＀＀㌴㌳㌳㿳嘉偉_x0011_䙒偞偟䥒䕃㐨ㄱ㠵착_x0018_＀＀_x0018_＀＀_x0008_＀＀_x0001_＀＀_x0001_＀＀竡긔䀜噟偊_x0013_䉉䍏偞偟䥒䕃㐨㤰㤰착_x0018_＀＀_x0018_＀＀_x0008_＀＀_x0001_＀＀_x0001_＀＀⣶轜嗂䀲噡偊)啓兓䥞彃卅䥔䅍䕔䔨卐䴬䅅ⱎ乁ⱎ〲㐱㐬ㄱ㤵착_x0018_＀＀_x0018_＀＀_x0008_＀＀_x0001_＀＀_x0001_＀＀눭욧㿯嘉偉_x0012_乏幂彐剐䍉⡅ㄴ㔱⤸_x0018_＀＀_x0018_＀＀_x0008_＀＀_x0001_＀＀_x0001_＀＀尩슏⣵䀫噞偊_x0013_䥚乏偞偟䥒䕃㐨㤰㤰착_x0018_＀＀_x0018_＀＀_x0008_＀＀_x0001_＀＀_x0001_＀＀ᑺ䞮䀰噢偊)乐偆䥞彃卅䥔䅍䕔䔨卐䴬䅅ⱎ乁ⱎ〲㐱㐬ㄱ㤵착_x0018_＀＀_x0018_＀＀_x0008_＀＀_x0001_＀＀_x0001_＀＀桳㽼㿷噠偊_x0013_䵆䥂偞偟䥒䕃㐨ㄱ㤵착_x0018_＀＀_x0018_＀＀_x0008_＀＀_x0001_＀＀_x0001_＀＀竡긔慇䀩噟偊_x001B_䉓奎偞䵟呋噟䱁㐨ㄱ㤵Ⱜ唬䑓착_x0018_＀＀_x0018_＀＀_x0008_＀＀_x0001_＀＀_x0001_＀＀帵䦺靌䂧嘉偉_x0013_䙃乆偞偟䥒䕃㐨ㄱ㠵착_x0018_＀＀_x0018_＀＀_x0008_＀＀_x0001_＀＀_x0001_＀＀㵱휊䀧䃤偉_x0012_䉆幃彐剐䍉⡅〴㤷⤳_x0018_＀＀_x0018_＀＀_x0008_＀＀_x0001_＀＀_x0001_＀＀_xDA51_簛㉡㿣嘊偉)䉃䡓䥞彃卅䥔䅍䕔䔨卐䴬䅅ⱎ乁ⱎ〲㐱㐬ㄱ㠵착_x0018_＀＀_x0018_＀＀_x0008_＀＀_x0001_＀＀_x0001_＀＀ᑺ䞮䀉嘊偉_x001B_噃䙂偞䵟呋噟䱁㐨ㄱ㠵Ⱜ唬䑓착_x0018_＀＀_x0018_＀＀_x0008_＀＀_x0001_＀＀_x0001_＀＀酩糭ﶿ䂓嘊偉(䭂幕䍉䕟呓䵉呁⡅偅ⱓ䕍乁䄬乎㈬㄰ⰲㄴ㔱⤸_x0018_＀＀_x0018_＀＀_x0008_＀＀_x0001_＀＀_x0001_＀＀酩糭㔿㿼噢偊(䅗幌䍉䕟呓䵉呁⡅偅ⱓ䕍乁䄬乎㈬㄰ⰴㄴ㔱⤹_x0018_＀＀_x0018_＀＀_x0008_＀＀_x0001_＀＀_x0001_＀＀ᑻ䞮竡㿰䃣偉_x0017_䉐呃䥞彃䕍乁䕟卐䱟䝔〨착_x0018_＀＀_x0018_＀＀_x0008_＀＀_x0001_＀＀_x0001_＀＀쳍쳌䳌䀢嘉偉_x0019_䉐偞䵟呋噟䱁㐨ㄱ㠵Ⱜ唬䑓착_x0018_＀＀_x0018_＀＀_x0008_＀＀_x0001_＀＀_x0001_＀＀إ閁檃䂣嘉偉_x0013_䵈呓偞偟䥒䕃㐨ㄱ㠵착_x0018_＀＀_x0018_＀＀_x0008_＀＀_x0001_＀＀_x0001_＀＀롒蔞ᇫ䁂䃡偉_x0013_奎幂䝆偟䥒䕃㐨㤰㤰착_x0018_＀＀_x0018_＀＀_x0008_＀＀_x0001_＀＀_x0001_＀＀਽ꏗ뵰䀨噢偊(奎幂䍉䕟呓䵉呁⡅偅ⱓ䕍乁䄬乎㈬㄰ⰲㄴ㔱⤹_x0018_＀＀_x0018_＀＀_x0008_＀＀_x0001_＀＀_x0001_＀＀＀＀＀＀＀＀㿲噢偊(䉃幕䍉䕟呓䵉呁⡅偅ⱓ䕍乁䄬乎㈬㄰ⰲㄴ㔱⤹_x0018_＀＀_x0018_＀＀_x0008_＀＀_x0001_＀＀_x0001_＀＀⼛ⓝ脆䀀䃤偉_x0012_䅗幌彐剐䍉⡅〴㤷⤳_x0018_＀＀_x0018_＀＀_x0008_＀＀_x0001_＀＀_x0001_＀＀휊炣਽䀗䃤偉_x0014_䉈䍈䙞彇剐䍉⡅〴〹⤹_x0018_＀＀_x0018_＀＀_x0008_＀＀_x0001_＀＀_x0001_＀＀Ẹ䀿嘊偉_x001B_乆䝆偞䵟呋噟䱁㐨ㄱ㠵Ⱜ唬䑓착_x0018_＀＀_x0018_＀＀_x0008_＀＀_x0001_＀＀_x0001_＀＀赐溗髒䂦䃤偉_x0013_䉕䥓偞偟䥒䕃㐨㜰㌹착_x0018_＀＀_x0018_＀＀_x0008_＀＀_x0001_＀＀_x0001_＀＀롒蔞퇫䀵䃤偉_x0013_䉈乁偞偟䥒䕃㐨㜰㌹착_x0018_＀＀_x0018_＀＀_x0008_＀＀_x0001_＀＀_x0001_＀＀竡긔䀓噡偊_x0012_奎幂彐剐䍉⡅〴〹⤹_x0018_＀＀_x0018_＀＀_x0008_＀＀_x0001_＀＀_x0001_＀＀ਾꏗ뵰䀨嘉偉)䵈呓䥞彃卅䥔䅍䕔䔨卐䴬䅅ⱎ乁ⱎ〲㐱㐬ㄱ㠵착_x0018_＀＀_x0018_＀＀_x0008_＀＀_x0001_＀＀_x0001_＀＀豀碵꼝쐕嘊偉(佂幈䍉䕟呓䵉呁⡅偅ⱓ䕍乁䄬乎㈬㄰ⰳㄴ㔱⤸_x0018_＀＀_x0018_＀＀_x0008_＀＀_x0001_＀＀_x0001_＀＀뀡桲䀋噢偊)婏䭒䥞彃卅䥔䅍䕔䔨卐䴬䅅ⱎ乁ⱎ〲㌱㐬ㄱ㤵착_x0018_＀＀_x0018_＀＀_x0008_＀＀_x0001_＀＀_x0001_＀＀＀＀＀＀＀＀䀂噞偊_x001B_䥚乏偞䵟呋噟䱁㐨ㄱ㤵Ⱜ唬䑓착_x0018_＀＀_x0018_＀＀_x0008_＀＀_x0001_＀＀_x0001_＀＀⃅犰㑨䂭噟偊_x0013_啓兓偞偟䥒䕃㐨㤰㤰착_x0018_＀＀_x0018_＀＀_x0008_＀＀_x0001_＀＀_x0001_＀＀尨슏䀠嘊偉)䵕䙂䥞彃卅䥔䅍䕔䔨卐䴬䅅ⱎ乁ⱎ〲㌱㐬ㄱ㠵착_x0018_＀＀_x0018_＀＀_x0008_＀＀_x0001_＀＀_x0001_＀＀鞍ቮ삃䀈嘊偉_x0013_䥆䭂偞偟䥒䕃㐨ㄱ㠵착_x0018_＀＀_x0018_＀＀_x0008_＀＀_x0001_＀＀_x0001_＀＀＀＀＀＀＀＀䀭嘊偉)䉓奎䥞彃卅䥔䅍䕔䔨卐䴬䅅ⱎ乁ⱎ〲㐱㐬ㄱ㠵착_x0018_＀＀_x0018_＀＀_x0008_＀＀_x0001_＀＀_x0001_＀＀蜫_xD916_矎䀒䃤偉_x0013_䉇䥃偞偟䥒䕃㐨㜰㌹착_x0018_＀＀_x0018_＀＀_x0008_＀＀_x0001_＀＀_x0001_＀＀긕ᑺ䀦噟偊_x001B_䉉䍏偞䵟呋噟䱁㐨ㄱ㤵Ⱜ唬䑓착_x0018_＀＀_x0018_＀＀_x0008_＀＀_x0001_＀＀_x0001_＀＀⬂ᚇ晙䂔嘋偉(乏幂䍉䕟呓䵉呁⡅偅ⱓ䕍乁䄬乎㈬㄰ⰴㄴ㔱⤸_x0018_＀＀_x0018_＀＀_x0008_＀＀_x0001_＀＀_x0001_＀＀馚香香㿳嘋偉)䥆䭂䥞彃卅䥔䅍䕔䔨卐䴬䅅ⱎ乁ⱎ〲㌱㐬ㄱ㠵착_x0018_＀＀_x0018_＀＀_x0008_＀＀_x0001_＀＀_x0001_＀＀ᑻ䞮竡㿴嘋偉)䡃䍆䥞彃卅䥔䅍䕔䔨卐䴬䅅ⱎ乁ⱎ〲㈱㐬ㄱ㠵착_x0018_＀＀_x0018_＀＀_x0008_＀＀_x0001_＀＀_x0001_＀＀ꏗ㵰휊㿽噞偊(䵃幁䍉䕟呓䵉呁⡅偅ⱓ䕍乁䄬乎㈬㄰ⰳㄴ㔱⤹_x0018_＀＀_x0018_＀＀_x0008_＀＀_x0001_＀＀_x0001_＀＀嘄ⴎ鶲䀅嘊偉_x0013_䅂䙎偞偟䥒䕃㐨ㄱ㠵착_x0018_＀＀_x0018_＀＀_x0008_＀＀_x0001_＀＀_x0001_＀＀휊炣樽䁅嘊偉_x0013_䍔䥂偞偟䥒䕃㐨ㄱ㠵착_x0018_＀＀_x0018_＀＀_x0008_＀＀_x0001_＀＀_x0001_＀＀롒蔞釫䁇嘉偉_x001B_䉕䥓偞䵟呋噟䱁㐨ㄱ㠵Ⱜ唬䑓착_x0018_＀＀_x0018_＀＀_x0008_＀＀_x0001_＀＀_x0001_＀＀赐溗䌒䂓嘋偉)䍐䍂䥞彃卅䥔䅍䕔䔨卐䴬䅅ⱎ乁ⱎ〲㈱㐬ㄱ㠵착_x0018_＀＀_x0018_＀＀_x0008_＀＀_x0001_＀＀_x0001_＀＀豀碵꼝쐕噝偊(䙃幒䍉䕟呓䵉呁⡅偅ⱓ䕍乁䄬乎㈬㄰ⰳㄴ㔱⤹_x0018_＀＀_x0018_＀＀_x0008_＀＀_x0001_＀＀_x0001_＀＀酩糭㔿䀎嘉偉)䥆䉔䥞彃卅䥔䅍䕔䔨卐䴬䅅ⱎ乁ⱎ〲㌱㐬ㄱ㠵착_x0018_＀＀_x0018_＀＀_x0008_＀＀_x0001_＀＀_x0001_＀＀갈娜㭤㿹嘋偉)䅗䍂䥞彃卅䥔䅍䕔䔨卐䴬䅅ⱎ乁ⱎ〲㐱㐬ㄱ㠵착_x0018_＀＀_x0018_＀＀_x0008_＀＀_x0001_＀＀_x0001_＀＀蔟凫Ẹ䀇䃤偉_x0015_䍆䍎幁䝆偟䥒䕃㐨㤰㤰착_x0018_＀＀_x0018_＀＀_x0008_＀＀_x0001_＀＀_x0001_＀＀ᑺ_xDFAE_䁥噟偊_x001A_佂幈彐䭍彔䅖⡌ㄴ㔱ⰹⰬ单⥄_x0018_＀＀_x0018_＀＀_x0008_＀＀_x0001_＀＀_x0001_＀＀욧줋䂠嘉偉_x0012_乆幂彐剐䍉⡅〴〹⤹_x0018_＀＀_x0018_＀＀_x0008_＀＀_x0001_＀＀_x0001_＀＀蔟凫麸䀦嘉偉(䕋幙䍉䕟呓䵉呁⡅偅ⱓ䕍乁䄬乎㈬㄰ⰲㄴ㔱⤸_x0018_＀＀_x0018_＀＀_x0008_＀＀_x0001_＀＀_x0001_＀＀䆉⋐㿫噢偊)佈䉍䥞彃卅䥔䅍䕔䔨卐䴬䅅ⱎ乁ⱎ〲㐱㐬ㄱ㤵착_x0018_＀＀_x0018_＀＀_x0008_＀＀_x0001_＀＀_x0001_＀＀豀碵꼝쐕噢偊(剐幋䍉䕟呓䵉呁⡅偅ⱓ䕍乁䄬乎㈬㄰ⰴㄴ㔱⤹_x0018_＀＀_x0018_＀＀_x0008_＀＀_x0001_＀＀_x0001_＀＀Ẹ롑䀕噢偊(千幅䍉䕟呓䵉呁⡅偅ⱓ䕍乁䄬乎㈬㄰ⰲㄴ㔱⤹_x0018_＀＀_x0018_＀＀_x0008_＀＀_x0001_＀＀_x0001_＀＀퓾ㄦ䀀噟偊_x001B_䉈䍈偞䵟呋噟䱁㐨ㄱ㤵Ⱜ唬䑓착_x0018_＀＀_x0018_＀＀_x0008_＀＀_x0001_＀＀_x0001_＀＀눭蓧䂤噞偊)䥚乏䥞彃卅䥔䅍䕔䔨卐䴬䅅ⱎ乁ⱎ〲㈱㐬ㄱ㤵착_x0018_＀＀_x0018_＀＀_x0008_＀＀_x0001_＀＀_x0001_＀＀롒蔞凫㿲䃤偉_x0013_䙂䙃偞偟䥒䕃㐨㜰㌹착_x0018_＀＀_x0018_＀＀_x0008_＀＀_x0001_＀＀_x0001_＀＀蔟凫Ẹ㿕嘋偉)䍕䥂䥞彃卅䥔䅍䕔䔨卐䴬䅅ⱎ乁ⱎ〲㌱㐬ㄱ㠵착_x0018_＀＀_x0018_＀＀_x0008_＀＀_x0001_＀＀_x0001_＀＀إ閁譃㿤䃤偉_x0013_䥓䉖偞偟䥒䕃㐨㜰㌹착_x0018_＀＀_x0018_＀＀_x0008_＀＀_x0001_＀＀_x0001_＀＀尨芏䁆噢偊)䍓呂䥞彃卅䥔䅍䕔䔨卐䴬䅅ⱎ乁ⱎ〲㈱㐬ㄱ㤵착_x0018_＀＀_x0018_＀＀_x0008_＀＀_x0001_＀＀_x0001_＀＀譄ꧻ䀂噢偊)䵆䥂䥞彃卅䥔䅍䕔䔨卐䴬䅅ⱎ乁ⱎ〲㐱㐬ㄱ㤵착_x0018_＀＀_x0018_＀＀_x0008_＀＀_x0001_＀＀_x0001_＀＀㌴㌳㌳㿳嘊偉)呗䍆䥞彃卅䥔䅍䕔䔨卐䴬䅅ⱎ乁ⱎ〲㌱㐬ㄱ㠵착_x0018_＀＀_x0018_＀＀_x0008_＀＀_x0001_＀＀_x0001_＀＀_xDD2F_ؤ閁䀃嘋偉(䙐幓䍉䕟呓䵉呁⡅偅ⱓ䕍乁䄬乎㈬㄰ⰲㄴ㔱⤸_x0018_＀＀_x0018_＀＀_x0008_＀＀_x0001_＀＀_x0001_＀＀ⴎ鶲꟯㿲噝偊_x0011_䙒偞偟䥒䕃㐨ㄱ㤵착_x0018_＀＀_x0018_＀＀_x0008_＀＀_x0001_＀＀_x0001_＀＀ᑻ䞮竡䀝嘊偉_x001B_䅂䙎偞䵟呋噟䱁㐨ㄱ㠵Ⱜ唬䑓착_x0018_＀＀_x0018_＀＀_x0008_＀＀_x0001_＀＀_x0001_＀＀쯻짮䫃䂄嘉偉)䉈乁䥞彃卅䥔䅍䕔䔨卐䴬䅅ⱎ乁ⱎ〲㈱㐬ㄱ㠵착_x0018_＀＀_x0018_＀＀_x0008_＀＀_x0001_＀＀_x0001_＀＀蔟凫Ẹ㿥噟偊_x0012_乏幂彐剐䍉⡅ㄴ㔱⤹_x0018_＀＀_x0018_＀＀_x0008_＀＀_x0001_＀＀_x0001_＀＀竡긔慇䀫噠偊_x001B_䥆䭂偞䵟呋噟䱁㐨ㄱ㤵Ⱜ唬䑓착_x0018_＀＀_x0018_＀＀_x0008_＀＀_x0001_＀＀_x0001_＀＀ꞇ쩗젲䁮䃡偉_x0013_䱖幙䝆偟䥒䕃㐨㤰㤰착_x0018_＀＀_x0018_＀＀_x0008_＀＀_x0001_＀＀_x0001_＀＀緘还䀧噝偊)䉃䡓䥞彃卅䥔䅍䕔䔨卐䴬䅅ⱎ乁ⱎ〲㐱㐬ㄱ㤵착_x0018_＀＀_x0018_＀＀_x0008_＀＀_x0001_＀＀_x0001_＀＀ᑺ䞮䀉嘉偉_x001A_剆幃彐䭍彔䅖⡌ㄴ㔱ⰸⰬ单⥄_x0018_＀＀_x0018_＀＀_x0008_＀＀_x0001_＀＀_x0001_＀＀탥_xDB22_쓙䂰嘉偉_x0013_剔䭍偞偟䥒䕃㐨ㄱ㠵착_x0018_＀＀_x0018_＀＀_x0008_＀＀_x0001_＀＀_x0001_＀＀ꏗ㵰霊䀸䃤偉_x0012_䍆幆彐剐䍉⡅〴㤷⤳_x0018_＀＀_x0018_＀＀_x0008_＀＀_x0001_＀＀_x0001_＀＀㌳㌳㌳䀑䃤偉_x0012_䍔幂彐剐䍉⡅〴㤷⤳_x0018_＀＀_x0018_＀＀_x0008_＀＀_x0001_＀＀_x0001_＀＀轜_xDC28_䀣噢偊(䭂幕䍉䕟呓䵉呁⡅偅ⱓ䕍乁䄬乎㈬㄰ⰲㄴ㔱⤹_x0018_＀＀_x0018_＀＀_x0008_＀＀_x0001_＀＀_x0001_＀＀酩糭㔿㿼嘋偉)䉂乃䥞彃卅䥔䅍䕔䔨卐䴬䅅ⱎ乁ⱎ〲㈱㐬ㄱ㠵착_x0018_＀＀_x0018_＀＀_x0008_＀＀_x0001_＀＀_x0001_＀＀脆䎕沋㿯嘊偉_x001A_奎幂彐䭍彔䅖⡌ㄴ㔱ⰸⰬ单⥄_x0018_＀＀_x0018_＀＀_x0008_＀＀_x0001_＀＀_x0001_＀＀绺뱪䛔䂷嘊偉(䉗幓䍉䕟呓䵉呁⡅偅ⱓ䕍乁䄬乎㈬㄰ⰲㄴ㔱⤸_x0018_＀＀_x0018_＀＀_x0008_＀＀_x0001_＀＀_x0001_＀＀茓쫀䖡㿼噝偊_x0012_剆幃彐剐䍉⡅〴〹⤹_x0018_＀＀_x0018_＀＀_x0008_＀＀_x0001_＀＀_x0001_＀＀轜鰨䀾噟偊_x0013_䉓奎偞偟䥒䕃㐨㤰㤰착_x0018_＀＀_x0018_＀＀_x0008_＀＀_x0001_＀＀_x0001_＀＀蔟凫ﺸ䁍嘊偉)䵕児䥞彃卅䥔䅍䕔䔨卐䴬䅅ⱎ乁ⱎ〲㈱㐬ㄱ㠵착_x0018_＀＀_x0018_＀＀_x0008_＀＀_x0001_＀＀_x0001_＀＀磕⛩࠱㿬噝偊_x0013_䵈呓偞偟䥒䕃㐨ㄱ㤵착_x0018_＀＀_x0018_＀＀_x0008_＀＀_x0001_＀＀_x0001_＀＀쳍쳌쳌䁁䃣偉(奎幂䑉䕟呓䵉呁⡅偅ⱓ䕍乁䄬乎㈬㄰ⰴⰰⰬ⤰_x0018_＀＀_x0018_＀＀_x0008_＀＀_x0001_＀＀_x0001_＀＀⩞䑵㿰嘊偉_x001B_䉎䉔偞䵟呋噟䱁㐨ㄱ㠵Ⱜ唬䑓착_x0018_＀＀_x0018_＀＀_x0008_＀＀_x0001_＀＀_x0001_＀＀윑뢺_xD88D_䂆䃤偉_x0012_呓幉彐剐䍉⡅〴㤷⤳_x0018_＀＀_x0018_＀＀_x0008_＀＀_x0001_＀＀_x0001_＀＀尩슏ꣵ䀳嘉偉(呓幉䍉䕟呓䵉呁⡅偅ⱓ䕍乁䄬乎㈬㄰ⰳㄴ㔱⤸_x0018_＀＀_x0018_＀＀_x0008_＀＀_x0001_＀＀_x0001_＀＀_xD917_䀄嘊偉)啓兓䥞彃卅䥔䅍䕔䔨卐䴬䅅ⱎ乁ⱎ〲㈱㐬ㄱ㠵착_x0018_＀＀_x0018_＀＀_x0008_＀＀_x0001_＀＀_x0001_＀＀⛪࠱Წ㿪噡偊(佂幈䍉䕟呓䵉呁⡅偅ⱓ䕍乁䄬乎㈬㄰ⰳㄴ㔱⤹_x0018_＀＀_x0018_＀＀_x0008_＀＀_x0001_＀＀_x0001_＀＀뀡桲䀋噝偊)䵈呓䥞彃卅䥔䅍䕔䔨卐䴬䅅ⱎ乁ⱎ〲㐱㐬ㄱ㤵착_x0018_＀＀_x0018_＀＀_x0008_＀＀_x0001_＀＀_x0001_＀＀豀碵꼝쐕嘋偉)䉕䥓䥞彃卅䥔䅍䕔䔨卐䴬䅅ⱎ乁ⱎ〲㌱㐬ㄱ㠵착_x0018_＀＀_x0018_＀＀_x0008_＀＀_x0001_＀＀_x0001_＀＀⋐率㿼嘋偉)乐偆䥞彃卅䥔䅍䕔䔨卐䴬䅅ⱎ乁ⱎ〲㈱㐬ㄱ㠵착_x0018_＀＀_x0018_＀＀_x0008_＀＀_x0001_＀＀_x0001_＀＀司ꗣ쒛㿰嘉偉_x001A_千幅彐䭍彔䅖⡌ㄴ㔱ⰸⰬ单⥄_x0018_＀＀_x0018_＀＀_x0008_＀＀_x0001_＀＀_x0001_＀＀赐溗䂘嘋偉)䍔䥂䥞彃卅䥔䅍䕔䔨卐䴬䅅ⱎ乁ⱎ〲㌱㐬ㄱ㠵착_x0018_＀＀_x0018_＀＀_x0008_＀＀_x0001_＀＀_x0001_＀＀뙆ﷳ磔䀉嘋偉)䉐呃䥞彃卅䥔䅍䕔䔨卐䴬䅅ⱎ乁ⱎ〲㐱㐬ㄱ㠵착_x0018_＀＀_x0018_＀＀_x0008_＀＀_x0001_＀＀_x0001_＀＀ၢ㥘좴㿮噡偊)䵕䙂䥞彃卅䥔䅍䕔䔨卐䴬䅅ⱎ乁ⱎ〲㌱㐬ㄱ㤵착_x0018_＀＀_x0018_＀＀_x0008_＀＀_x0001_＀＀_x0001_＀＀鞍ቮ삃䀈噠偊_x0013_䥆䭂偞偟䥒䕃㐨ㄱ㤵착_x0018_＀＀_x0018_＀＀_x0008_＀＀_x0001_＀＀_x0001_＀＀尩슏⣵䀭嘊偉_x0012_䉃幕彐剐䍉⡅ㄴ㔱⤸_x0018_＀＀_x0018_＀＀_x0008_＀＀_x0001_＀＀_x0001_＀＀쳍쳌쳌䀼噠偊_x0013_䍕䥂偞偟䥒䕃㐨㤰㤰착_x0018_＀＀_x0018_＀＀_x0008_＀＀_x0001_＀＀_x0001_＀＀⣶轜䀛噡偊)䉓奎䥞彃卅䥔䅍䕔䔨卐䴬䅅ⱎ乁ⱎ〲㐱㐬ㄱ㤵착_x0018_＀＀_x0018_＀＀_x0008_＀＀_x0001_＀＀_x0001_＀＀蜫_xD916_矎䀒嘊偉_x001B_䅐坃偞䵟呋噟䱁㐨ㄱ㠵Ⱜ唬䑓착_x0018_＀＀_x0018_＀＀_x0008_＀＀_x0001_＀＀_x0001_＀＀⁜ꃣ䂊噛偊_x0013_䉃䡓偞偟䥒䕃㐨㤰㤰착_x0018_＀＀_x0018_＀＀_x0008_＀＀_x0001_＀＀_x0001_＀＀슏⣵ཛྷ䁃嘋偉(䅗幌䍉䕟呓䵉呁⡅偅ⱓ䕍乁䄬乎㈬㄰ⰲㄴ㔱⤸_x0018_＀＀_x0018_＀＀_x0008_＀＀_x0001_＀＀_x0001_＀＀Ȍ蜫_xD916_㿢噢偊)䥆䭂䥞彃卅䥔䅍䕔䔨卐䴬䅅ⱎ乁ⱎ〲㌱㐬ㄱ㤵착_x0018_＀＀_x0018_＀＀_x0008_＀＀_x0001_＀＀_x0001_＀＀ᑻ䞮竡㿴噢偊(乏幂䍉䕟呓䵉呁⡅偅ⱓ䕍乁䄬乎㈬㄰ⰴㄴ㔱⤹_x0018_＀＀_x0018_＀＀_x0008_＀＀_x0001_＀＀_x0001_＀＀馚香香㿳嘉偉_x0012_䙃幒彐剐䍉⡅ㄴ㔱⤸_x0018_＀＀_x0018_＀＀_x0008_＀＀_x0001_＀＀_x0001_＀＀⣶轜헂䁌䃤偉_x0012_佂幈彐剐䍉⡅〴㤷⤳_x0018_＀＀_x0018_＀＀_x0008_＀＀_x0001_＀＀_x0001_＀＀ꏗ㵰䁃噠偊_x0013_䍔䥂偞偟䥒䕃㐨ㄱ㤵착_x0018_＀＀_x0018_＀＀_x0008_＀＀_x0001_＀＀_x0001_＀＀竡긔腇䁇䃤偉_x0013_䍔幂䝆偟䥒䕃㐨㤰㤰착_x0018_＀＀_x0018_＀＀_x0008_＀＀_x0001_＀＀_x0001_＀＀炤਽ꏗ䀤嘋偉(乆幂䍉䕟呓䵉呁⡅偅ⱓ䕍乁䄬乎㈬㄰ⰲㄴ㔱⤸_x0018_＀＀_x0018_＀＀_x0008_＀＀_x0001_＀＀_x0001_＀＀쫁䖡㿩噞偊)䥆䉔䥞彃卅䥔䅍䕔䔨卐䴬䅅ⱎ乁ⱎ〲㌱㐬ㄱ㤵착_x0018_＀＀_x0018_＀＀_x0008_＀＀_x0001_＀＀_x0001_＀＀갈娜㭤㿹嘊偉_x0013_䍆乂偞偟䥒䕃㐨ㄱ㠵착_x0018_＀＀_x0018_＀＀_x0008_＀＀_x0001_＀＀_x0001_＀＀＀＀＀＀᠀䂀䃤偉_x0012_䉗幓彐剐䍉⡅〴㤷⤳_x0018_＀＀_x0018_＀＀_x0008_＀＀_x0001_＀＀_x0001_＀＀ਾꏗﵰ䀰嘋偉)呓䅂䥞彃卅䥔䅍䕔䔨卐䴬䅅ⱎ乁ⱎ〲㌱㐬ㄱ㠵착_x0018_＀＀_x0018_＀＀_x0008_＀＀_x0001_＀＀_x0001_＀＀쫁䖡㿷䃤偉_x0013_剃䍂偞偟䥒䕃㐨㜰㌹착_x0018_＀＀_x0018_＀＀_x0008_＀＀_x0001_＀＀_x0001_＀＀㵱휊炣䀞噞偊_x0012_䡆幎彐剐䍉⡅〴〹⤹_x0018_＀＀_x0018_＀＀_x0008_＀＀_x0001_＀＀_x0001_＀＀＀＀＀＀＀＀䀠噞偊(䕋幙䍉䕟呓䵉呁⡅偅ⱓ䕍乁䄬乎㈬㄰ⰲㄴ㔱⤹_x0018_＀＀_x0018_＀＀_x0008_＀＀_x0001_＀＀_x0001_＀＀䆉⋐㿫嘉偉_x0013_䵕児偞偟䥒䕃㐨ㄱ㠵착_x0018_＀＀_x0018_＀＀_x0008_＀＀_x0001_＀＀_x0001_＀＀ꏗ㵰휊䀩嘊偉_x0013_乆䝆偞偟䥒䕃㐨ㄱ㠵착_x0018_＀＀_x0018_＀＀_x0008_＀＀_x0001_＀＀_x0001_＀＀尩슏棵䀠嘊偉*䍆䍎幁䍉䕟呓䵉呁⡅偅ⱓ䕍乁䄬乎㈬㄰ⰴㄴ㔱⤸_x0018_＀＀_x0018_＀＀_x0008_＀＀_x0001_＀＀_x0001_＀＀豀碵꼝쐕噢偊)䍕䥂䥞彃卅䥔䅍䕔䔨卐䴬䅅ⱎ乁ⱎ〲㌱㐬ㄱ㤵착_x0018_＀＀_x0018_＀＀_x0008_＀＀_x0001_＀＀_x0001_＀＀إ閁譃㿤嘉偉_x001B_䉍䥆偞䵟呋噟䱁㐨ㄱ㠵Ⱜ唬䑓착_x0018_＀＀_x0018_＀＀_x0008_＀＀_x0001_＀＀_x0001_＀＀沋ﯧ梩䂑嘊偉)坅䍂䥞彃卅䥔䅍䕔䔨卐䴬䅅ⱎ乁ⱎ〲㐱㐬ㄱ㠵착_x0018_＀＀_x0018_＀＀_x0008_＀＀_x0001_＀＀_x0001_＀＀탥_xDB22_绹䀀嘉偉_x001A_乓幖彐䭍彔䅖⡌ㄴ㔱ⰸⰬ单⥄_x0018_＀＀_x0018_＀＀_x0008_＀＀_x0001_＀＀_x0001_＀＀휊炣₽䂝嘉偉'䙒䥞彃卅䥔䅍䕔䔨卐䴬䅅ⱎ乁ⱎ〲㌱㐬ㄱ㠵착_x0018_＀＀_x0018_＀＀_x0008_＀＀_x0001_＀＀_x0001_＀＀꟰䯆褷㿩噡偊)呗䍆䥞彃卅䥔䅍䕔䔨卐䴬䅅ⱎ乁ⱎ〲㌱㐬ㄱ㤵착_x0018_＀＀_x0018_＀＀_x0008_＀＀_x0001_＀＀_x0001_＀＀_xDD2F_ؤ閁䀃䃤偉_x0013_南䍂偞偟䥒䕃㐨㜰㌹착_x0018_＀＀_x0018_＀＀_x0008_＀＀_x0001_＀＀_x0001_＀＀롒蔞釫䀲嘋偉)剔䭍䥞彃卅䥔䅍䕔䔨卐䴬䅅ⱎ乁ⱎ〲㌱㐬ㄱ㠵착_x0018_＀＀_x0018_＀＀_x0008_＀＀_x0001_＀＀_x0001_＀＀ꧻ틱㿽嘋偉)坎䥂䥞彃卅䥔䅍䕔䔨卐䴬䅅ⱎ乁ⱎ〲㌱㐬ㄱ㠵착_x0018_＀＀_x0018_＀＀_x0008_＀＀_x0001_＀＀_x0001_＀＀ᚇ컙号㿧噞偊)䉈乁䥞彃卅䥔䅍䕔䔨卐䴬䅅ⱎ乁ⱎ〲㈱㐬ㄱ㤵착_x0018_＀＀_x0018_＀＀_x0008_＀＀_x0001_＀＀_x0001_＀＀蔟凫Ẹ㿥嘉偉_x0012_䵃幁彐剐䍉⡅ㄴ㔱⤸_x0018_＀＀_x0018_＀＀_x0008_＀＀_x0001_＀＀_x0001_＀＀䞮竡긔䀿噛偊_x0012_奃幎彐剐䍉⡅〴〹⤹_x0018_＀＀_x0018_＀＀_x0008_＀＀_x0001_＀＀_x0001_＀＀ꏗ㵰ᜊ䁆嘊偉)十䍂䥞彃卅䥔䅍䕔䔨卐䴬䅅ⱎ乁ⱎ〲㐱㐬ㄱ㠵착_x0018_＀＀_x0018_＀＀_x0008_＀＀_x0001_＀＀_x0001_＀＀脆䎕沋㿱噛偊_x001A_奃幎彐䭍彔䅖⡌ㄴ㔱ⰹⰬ单⥄_x0018_＀＀_x0018_＀＀_x0008_＀＀_x0001_＀＀_x0001_＀＀㌴㌳瘳䂦噜偊_x0013_剔䭍偞偟䥒䕃㐨ㄱ㤵착_x0018_＀＀_x0018_＀＀_x0008_＀＀_x0001_＀＀_x0001_＀＀晧晦Ꙧ䀸嘊偉)䉍䥆䥞彃卅䥔䅍䕔䔨卐䴬䅅ⱎ乁ⱎ〲㌱㐬ㄱ㠵착_x0018_＀＀_x0018_＀＀_x0008_＀＀_x0001_＀＀_x0001_＀＀褷恁탥㿺䃤偉_x0013_䉉䍏偞偟䥒䕃㐨㜰㌹착_x0018_＀＀_x0018_＀＀_x0008_＀＀_x0001_＀＀_x0001_＀＀炤਽ꏗ䀭嘋偉(䙏幇䍉䕟呓䵉呁⡅偅ⱓ䕍乁䄬乎㈬㄰ⰳㄴ㔱⤸_x0018_＀＀_x0018_＀＀_x0008_＀＀_x0001_＀＀_x0001_＀＀晧晦晦㿺噠偊_x001A_䅗幌彐䭍彔䅖⡌ㄴ㔱ⰹⰬ单⥄_x0018_＀＀_x0018_＀＀_x0008_＀＀_x0001_＀＀_x0001_＀＀ᑺ➮䂉嘊偉_x001B_佈䉍偞䵟呋噟䱁㐨ㄱ㠵Ⱜ唬䑓착_x0018_＀＀_x0018_＀＀_x0008_＀＀_x0001_＀＀_x0001_＀＀蔟凫⊸䂍嘋偉(剐幋䍉䕟呓䵉呁⡅偅ⱓ䕍乁䄬乎㈬㄰ⰲㄴ㔱⤸_x0018_＀＀_x0018_＀＀_x0008_＀＀_x0001_＀＀_x0001_＀＀ᑺ䞮䀖嘋偉)佈䉍䥞彃卅䥔䅍䕔䔨卐䴬䅅ⱎ乁ⱎ〲㈱㐬ㄱ㠵착_x0018_＀＀_x0018_＀＀_x0008_＀＀_x0001_＀＀_x0001_＀＀⃅犰酨䀁噡偊(䉗幓䍉䕟呓䵉呁⡅偅ⱓ䕍乁䄬乎㈬㄰ⰲㄴ㔱⤹_x0018_＀＀_x0018_＀＀_x0008_＀＀_x0001_＀＀_x0001_＀＀茓쫀䖡㿼噟偊_x001B_䅃奔偞䵟呋噟䱁㐨ㄱ㤵Ⱜ唬䑓착_x0018_＀＀_x0018_＀＀_x0008_＀＀_x0001_＀＀_x0001_＀＀鶲꟯烆䂕嘉偉_x0013_䉈䍈偞偟䥒䕃㐨ㄱ㠵착_x0018_＀＀_x0018_＀＀_x0008_＀＀_x0001_＀＀_x0001_＀＀Ẹ롑䀾䃤偉_x0013_䥚乏偞偟䥒䕃㐨㜰㌹착_x0018_＀＀_x0018_＀＀_x0008_＀＀_x0001_＀＀_x0001_＀＀쳍쳌䀰嘉偉(乓幖䍉䕟呓䵉呁⡅偅ⱓ䕍乁䄬乎㈬㄰ⰴㄴ㔱⤸_x0018_＀＀_x0018_＀＀_x0008_＀＀_x0001_＀＀_x0001_＀＀䆉⋐㿋噢偊)䵕児䥞彃卅䥔䅍䕔䔨卐䴬䅅ⱎ乁ⱎ〲㈱㐬ㄱ㤵착_x0018_＀＀_x0018_＀＀_x0008_＀＀_x0001_＀＀_x0001_＀＀磕⛩࠱㿬䃢偉_x0014_䉐呃䙞彇剐䍉⡅ㄴ㔱⤸_x0018_＀＀_x0018_＀＀_x0008_＀＀_x0001_＀＀_x0001_＀＀롒蔞凫䀨噡偊_x0013_婏䭒偞偟䥒䕃㐨㤰㤰착_x0018_＀＀_x0018_＀＀_x0008_＀＀_x0001_＀＀_x0001_＀＀竡긔ꅇ䀽嘋偉)䵆䥂䥞彃卅䥔䅍䕔䔨卐䴬䅅ⱎ乁ⱎ〲㈱㐬ㄱ㠵착_x0018_＀＀_x0018_＀＀_x0008_＀＀_x0001_＀＀_x0001_＀＀쳍쳌쳌㿜嘋偉(䍆幆䍉䕟呓䵉呁⡅偅ⱓ䕍乁䄬乎㈬㄰ⰳㄴ㔱⤸_x0018_＀＀_x0018_＀＀_x0008_＀＀_x0001_＀＀_x0001_＀＀ㄦ갈㿠噡偊)啓兓䥞彃卅䥔䅍䕔䔨卐䴬䅅ⱎ乁ⱎ〲㈱㐬ㄱ㤵착_x0018_＀＀_x0018_＀＀_x0008_＀＀_x0001_＀＀_x0001_＀＀⛪࠱Წ㿪噡偊_x001B_呓䅂偞䵟呋噟䱁㐨ㄱ㤵Ⱜ唬䑓착_x0018_＀＀_x0018_＀＀_x0008_＀＀_x0001_＀＀_x0001_＀＀節浜ᣅ䂀噞偊(呓幉䍉䕟呓䵉呁⡅偅ⱓ䕍乁䄬乎㈬㄰ⰳㄴ㔱⤹_x0018_＀＀_x0018_＀＀_x0008_＀＀_x0001_＀＀_x0001_＀＀퓽䀄嘉偉_x0013_䅃奔偞偟䥒䕃㐨ㄱ㠵착_x0018_＀＀_x0018_＀＀_x0008_＀＀_x0001_＀＀_x0001_＀＀휊炣⨽䀱嘉偉_x0012_千幅彐剐䍉⡅ㄴ㔱⤸_x0018_＀＀_x0018_＀＀_x0008_＀＀_x0001_＀＀_x0001_＀＀晧晦晦䀜嘉偉_x0012_䭂幕彐剐䍉⡅ㄴ㔱⤸_x0018_＀＀_x0018_＀＀_x0008_＀＀_x0001_＀＀_x0001_＀＀⣶轜뗂䀸噢偊)乐偆䥞彃卅䥔䅍䕔䔨卐䴬䅅ⱎ乁ⱎ〲㈱㐬ㄱ㤵착_x0018_＀＀_x0018_＀＀_x0008_＀＀_x0001_＀＀_x0001_＀＀司ꗣ쒛㿰噢偊)䉕䥓䥞彃卅䥔䅍䕔䔨卐䴬䅅ⱎ乁ⱎ〲㌱㐬ㄱ㤵착_x0018_＀＀_x0018_＀＀_x0008_＀＀_x0001_＀＀_x0001_＀＀⋐率㿼嘊偉)䉃䡓䥞彃卅䥔䅍䕔䔨卐䴬䅅ⱎ乁ⱎ〲㈱㐬ㄱ㠵착_x0018_＀＀_x0018_＀＀_x0008_＀＀_x0001_＀＀_x0001_＀＀沋ﯧ䀈噢偊)䉐呃䥞彃卅䥔䅍䕔䔨卐䴬䅅ⱎ乁ⱎ〲㐱㐬ㄱ㤵착_x0018_＀＀_x0018_＀＀_x0008_＀＀_x0001_＀＀_x0001_＀＀ၢ㥘좴㿮噢偊)䍔䥂䥞彃卅䥔䅍䕔䔨卐䴬䅅ⱎ乁ⱎ〲㌱㐬ㄱ㤵착_x0018_＀＀_x0018_＀＀_x0008_＀＀_x0001_＀＀_x0001_＀＀뙆ﷳ磔䀉噟偊_x0011_䙁偞偟䥒䕃㐨㤰㤰착_x0018_＀＀_x0018_＀＀_x0008_＀＀_x0001_＀＀_x0001_＀＀ᑻ䞮﫡䀠嘋偉)䉇䥃䥞彃卅䥔䅍䕔䔨卐䴬䅅ⱎ乁ⱎ〲㐱㐬ㄱ㠵착_x0018_＀＀_x0018_＀＀_x0008_＀＀_x0001_＀＀_x0001_＀＀晧晦晦㿴噠偊_x0012_䉃幕彐剐䍉⡅ㄴ㔱⤹_x0018_＀＀_x0018_＀＀_x0008_＀＀_x0001_＀＀_x0001_＀＀ਾꏗﵰ䀼䃤偉_x0012_奎幂彐剐䍉⡅〴㤷⤳_x0018_＀＀_x0018_＀＀_x0008_＀＀_x0001_＀＀_x0001_＀＀긕鑺䀨噢偊(䅗幌䍉䕟呓䵉呁⡅偅ⱓ䕍乁䄬乎㈬㄰ⰲㄴ㔱⤹_x0018_＀＀_x0018_＀＀_x0008_＀＀_x0001_＀＀_x0001_＀＀Ȍ蜫_xD916_㿢嘉偉_x001B_䵆剅偞䵟呋噟䱁㐨ㄱ㠵Ⱜ唬䑓착_x0018_＀＀_x0018_＀＀_x0008_＀＀_x0001_＀＀_x0001_＀＀눭蘧䂜噝偊_x0012_䉂幔彐剐䍉⡅〴〹⤹_x0018_＀＀_x0018_＀＀_x0008_＀＀_x0001_＀＀_x0001_＀＀凬Ẹ⮅䀹嘋偉)䉎䉔䥞彃卅䥔䅍䕔䔨卐䴬䅅ⱎ乁ⱎ〲㌱㐬ㄱ㠵착_x0018_＀＀_x0018_＀＀_x0008_＀＀_x0001_＀＀_x0001_＀＀ਾꏗ㵰㿺噠偊_x0013_䙆䍂偞偟䥒䕃㐨㤰㤰착_x0018_＀＀_x0018_＀＀_x0008_＀＀_x0001_＀＀_x0001_＀＀炤਽ꏗ䀰噛偊_x0012_䙃幒彐剐䍉⡅ㄴ㔱⤹_x0018_＀＀_x0018_＀＀_x0008_＀＀_x0001_＀＀_x0001_＀＀晧晦䁌䃤偉_x0013_啓兓偞偟䥒䕃㐨㜰㌹착_x0018_＀＀_x0018_＀＀_x0008_＀＀_x0001_＀＀_x0001_＀＀긕ᑺ䀚嘊偉_x0012_剄幌彐剐䍉⡅〴〹⤹_x0018_＀＀_x0018_＀＀_x0008_＀＀_x0001_＀＀_x0001_＀＀㭥俟鞍㿮嘊偉_x0012_䙏幇彐剐䍉⡅ㄴ㔱⤸_x0018_＀＀_x0018_＀＀_x0008_＀＀_x0001_＀＀_x0001_＀＀馚香香䀥嘉偉_x0013_偎䍂偞偟䥒䕃㐨ㄱ㠵착_x0018_＀＀_x0018_＀＀_x0008_＀＀_x0001_＀＀_x0001_＀＀䞮竡긔䀢嘉偉_x0014_䍆䍎幁彐剐䍉⡅〴〹⤹_x0018_＀＀_x0018_＀＀_x0008_＀＀_x0001_＀＀_x0001_＀＀ᑺ_xDFAE_䁥嘉偉_x0013_噐䉔偞偟䥒䕃㐨ㄱ㠵착_x0018_＀＀_x0018_＀＀_x0008_＀＀_x0001_＀＀_x0001_＀＀㌳㌳댳䀰噢偊)呓䅂䥞彃卅䥔䅍䕔䔨卐䴬䅅ⱎ乁ⱎ〲㌱㐬ㄱ㤵착_x0018_＀＀_x0018_＀＀_x0008_＀＀_x0001_＀＀_x0001_＀＀쫁䖡㿷嘉偉)䵈呓䥞彃卅䥔䅍䕔䔨卐䴬䅅ⱎ乁ⱎ〲㈱㐬ㄱ㠵착_x0018_＀＀_x0018_＀＀_x0008_＀＀_x0001_＀＀_x0001_＀＀＀＀＀＀耀䀣嘉偉_x0013_䥆䉔偞偟䥒䕃㐨ㄱ㠵착_x0018_＀＀_x0018_＀＀_x0008_＀＀_x0001_＀＀_x0001_＀＀轜ᰨ䀮噠偊_x0013_䵆䥂偞偟䥒䕃㐨㤰㤰착_x0018_＀＀_x0018_＀＀_x0008_＀＀_x0001_＀＀_x0001_＀＀尨䊏䀤嘋偉)䙃乆䥞彃卅䥔䅍䕔䔨卐䴬䅅ⱎ乁ⱎ〲㌱㐬ㄱ㠵착_x0018_＀＀_x0018_＀＀_x0008_＀＀_x0001_＀＀_x0001_＀＀퓽㿞噟偊_x0013_䵕児偞偟䥒䕃㐨ㄱ㤵착_x0018_＀＀_x0018_＀＀_x0008_＀＀_x0001_＀＀_x0001_＀＀＀＀＀＀＀＀䀪嘊偉'䉐䥞彃卅䥔䅍䕔䔨卐䴬䅅ⱎ乁ⱎ〲㌱㐬ㄱ㠵착_x0018_＀＀_x0018_＀＀_x0008_＀＀_x0001_＀＀_x0001_＀＀눭욧䀊噡偊_x0013_乆䝆偞偟䥒䕃㐨ㄱ㤵착_x0018_＀＀_x0018_＀＀_x0008_＀＀_x0001_＀＀_x0001_＀＀ꏗ㵰圊䀠噠偊_x001A_剐幋彐䭍彔䅖⡌ㄴ㔱ⰹⰬ单⥄_x0018_＀＀_x0018_＀＀_x0008_＀＀_x0001_＀＀_x0001_＀＀閁譃졬䂐䃤偉_x0013_呓幉䝆偟䥒䕃㐨㤰㤰착_x0018_＀＀_x0018_＀＀_x0008_＀＀_x0001_＀＀_x0001_＀＀㌳㌳댳䀱噡偊)坅䍂䥞彃卅䥔䅍䕔䔨卐䴬䅅ⱎ乁ⱎ〲㐱㐬ㄱ㤵착_x0018_＀＀_x0018_＀＀_x0008_＀＀_x0001_＀＀_x0001_＀＀炤਽ꏗ䀀嘊偉_x0012_䱖幙彐剐䍉⡅ㄴ㔱⤸_x0018_＀＀_x0018_＀＀_x0008_＀＀_x0001_＀＀_x0001_＀＀ਾꏗ㵰䀤嘊偉)䉓奎䥞彃卅䥔䅍䕔䔨卐䴬䅅ⱎ乁ⱎ〲㈱㐬ㄱ㠵착_x0018_＀＀_x0018_＀＀_x0008_＀＀_x0001_＀＀_x0001_＀＀尩슏⣵䀎噞偊'䙒䥞彃卅䥔䅍䕔䔨卐䴬䅅ⱎ乁ⱎ〲㌱㐬ㄱ㤵착_x0018_＀＀_x0018_＀＀_x0008_＀＀_x0001_＀＀_x0001_＀＀꟰䯆褷㿩噢偊)坎䥂䥞彃卅䥔䅍䕔䔨卐䴬䅅ⱎ乁ⱎ〲㌱㐬ㄱ㤵착_x0018_＀＀_x0018_＀＀_x0008_＀＀_x0001_＀＀_x0001_＀＀ᚇ컙号㿧噢偊)剔䭍䥞彃卅䥔䅍䕔䔨卐䴬䅅ⱎ乁ⱎ〲㌱㐬ㄱ㤵착_x0018_＀＀_x0018_＀＀_x0008_＀＀_x0001_＀＀_x0001_＀＀ꧻ틱㿽䃤偉_x0012_乆幂彐剐䍉⡅〴㤷⤳_x0018_＀＀_x0018_＀＀_x0008_＀＀_x0001_＀＀_x0001_＀＀ᑺ잮䀡嘊偉_x0013_佈䉍偞偟䥒䕃㐨ㄱ㠵착_x0018_＀＀_x0018_＀＀_x0008_＀＀_x0001_＀＀_x0001_＀＀Ẹ顑䁀嘊偉)䥓䉖䥞彃卅䥔䅍䕔䔨卐䴬䅅ⱎ乁ⱎ〲㌱㐬ㄱ㠵착_x0018_＀＀_x0018_＀＀_x0008_＀＀_x0001_＀＀_x0001_＀＀됺盈龾䀍嘋偉(乏幂䍉䕟呓䵉呁⡅偅ⱓ䕍乁䄬乎㈬㄰ⰲㄴ㔱⤸_x0018_＀＀_x0018_＀＀_x0008_＀＀_x0001_＀＀_x0001_＀＀＀＀＀＀＀＀㿰噝偊_x0012_䵃幁彐剐䍉⡅ㄴ㔱⤹_x0018_＀＀_x0018_＀＀_x0008_＀＀_x0001_＀＀_x0001_＀＀ਾꏗᵰ䁀嘊偉_x0013_䍐䍂偞偟䥒䕃㐨ㄱ㠵착_x0018_＀＀_x0018_＀＀_x0008_＀＀_x0001_＀＀_x0001_＀＀Ẹ䁆噡偊)十䍂䥞彃卅䥔䅍䕔䔨卐䴬䅅ⱎ乁ⱎ〲㐱㐬ㄱ㤵착_x0018_＀＀_x0018_＀＀_x0008_＀＀_x0001_＀＀_x0001_＀＀脆䎕沋㿱嘉偉_x0013_䵕䙂偞偟䥒䕃㐨ㄱ㠵착_x0018_＀＀_x0018_＀＀_x0008_＀＀_x0001_＀＀_x0001_＀＀炤਽䁈嘉偉_x0013_坅䍂偞偟䥒䕃㐨ㄱ㠵착_x0018_＀＀_x0018_＀＀_x0008_＀＀_x0001_＀＀_x0001_＀＀晧晦♦䀶嘋偉)䅐坃䥞彃卅䥔䅍䕔䔨卐䴬䅅ⱎ乁ⱎ〲㐱㐬ㄱ㠵착_x0018_＀＀_x0018_＀＀_x0008_＀＀_x0001_＀＀_x0001_＀＀俟鞍ቮ䀀嘋偉)䅗䍂䥞彃卅䥔䅍䕔䔨卐䴬䅅ⱎ乁ⱎ〲㈱㐬ㄱ㠵착_x0018_＀＀_x0018_＀＀_x0008_＀＀_x0001_＀＀_x0001_＀＀犰酨糭䀈噢偊)䉍䥆䥞彃卅䥔䅍䕔䔨卐䴬䅅ⱎ乁ⱎ〲㌱㐬ㄱ㤵착_x0018_＀＀_x0018_＀＀_x0008_＀＀_x0001_＀＀_x0001_＀＀褷恁탥㿺嘋偉)偎䍂䥞彃卅䥔䅍䕔䔨卐䴬䅅ⱎ乁ⱎ〲㐱㐬ㄱ㠵착_x0018_＀＀_x0018_＀＀_x0008_＀＀_x0001_＀＀_x0001_＀＀蔟凫Ẹ㿥嘉偉_x0013_䉍䥆偞偟䥒䕃㐨ㄱ㠵착_x0018_＀＀_x0018_＀＀_x0008_＀＀_x0001_＀＀_x0001_＀＀晧晦晦䀴噢偊)佈䉍䥞彃卅䥔䅍䕔䔨卐䴬䅅ⱎ乁ⱎ〲㈱㐬ㄱ㤵착_x0018_＀＀_x0018_＀＀_x0008_＀＀_x0001_＀＀_x0001_＀＀⃅犰酨䀁噢偊(剐幋䍉䕟呓䵉呁⡅偅ⱓ䕍乁䄬乎㈬㄰ⰲㄴ㔱⤹_x0018_＀＀_x0018_＀＀_x0008_＀＀_x0001_＀＀_x0001_＀＀ᑺ䞮䀖噟偊_x0013_䉈䍈偞偟䥒䕃㐨ㄱ㤵착_x0018_＀＀_x0018_＀＀_x0008_＀＀_x0001_＀＀_x0001_＀＀ᑻ䞮﫡䀾嘉偉_x001B_商呌偞䵟呋噟䱁㐨ㄱ㠵Ⱜ唬䑓착_x0018_＀＀_x0018_＀＀_x0008_＀＀_x0001_＀＀_x0001_＀＀脆䎕䞋䂟嘊偉)䅃奔䥞彃卅䥔䅍䕔䔨卐䴬䅅ⱎ乁ⱎ〲㐱㐬ㄱ㠵착_x0018_＀＀_x0018_＀＀_x0008_＀＀_x0001_＀＀_x0001_＀＀컙号ꗣ㿹噞偊(乓幖䍉䕟呓䵉呁⡅偅ⱓ䕍乁䄬乎㈬㄰ⰴㄴ㔱⤹_x0018_＀＀_x0018_＀＀_x0008_＀＀_x0001_＀＀_x0001_＀＀䆉⋐㿋嘊偉_x001B_䉐呃偞䵟呋噟䱁㐨ㄱ㠵Ⱜ唬䑓착_x0018_＀＀_x0018_＀＀_x0008_＀＀_x0001_＀＀_x0001_＀＀赐溗꽒䂰嘉偉_x0013_䵆剅偞偟䥒䕃㐨ㄱ㠵착_x0018_＀＀_x0018_＀＀_x0008_＀＀_x0001_＀＀_x0001_＀＀晦晦Ꙧ䀰嘋偉)南䍂䥞彃卅䥔䅍䕔䔨卐䴬䅅ⱎ乁ⱎ〲㐱㐬ㄱ㠵착_x0018_＀＀_x0018_＀＀_x0008_＀＀_x0001_＀＀_x0001_＀＀뀡桲㿾嘊偉_x001B_䍔䥂偞䵟呋噟䱁㐨ㄱ㠵Ⱜ唬䑓착_x0018_＀＀_x0018_＀＀_x0008_＀＀_x0001_＀＀_x0001_＀＀褷恁该䂝嘋偉)䍆乂䥞彃卅䥔䅍䕔䔨卐䴬䅅ⱎ乁ⱎ〲㌱㐬ㄱ㠵착_x0014_＀＀_x0018_＀＀_x0004_＀＀_x0001_＀＀_x0003_＀＀＀＀耀噢偊)䵆䥂䥞彃卅䥔䅍䕔䔨卐䴬䅅ⱎ乁ⱎ〲㈱㐬ㄱ㤵착_x0018_＀＀_x0018_＀＀_x0008_＀＀_x0001_＀＀_x0001_＀＀쳍쳌쳌㿜嘉偉_x001A_乏幂彐䭍彔䅖⡌ㄴ㔱ⰸⰬ单⥄_x0018_＀＀_x0018_＀＀_x0008_＀＀_x0001_＀＀_x0001_＀＀褷恁ᝥ䂔嘊偉(塂幓䍉䕟呓䵉呁⡅偅ⱓ䕍乁䄬乎㈬㄰ⰳㄴ㔱⤸_x0018_＀＀_x0018_＀＀_x0008_＀＀_x0001_＀＀_x0001_＀＀ⴏ鶲꟯㿮噟偊_x0013_䅃奔偞偟䥒䕃㐨ㄱ㤵착_x0018_＀＀_x0018_＀＀_x0008_＀＀_x0001_＀＀_x0001_＀＀䞮竡渔䀱噠偊_x0012_千幅彐剐䍉⡅ㄴ㔱⤹_x0018_＀＀_x0018_＀＀_x0008_＀＀_x0001_＀＀_x0001_＀＀䞮竡긔䀜噞偊_x001B_坅䍂偞䵟呋噟䱁㐨ㄱ㤵Ⱜ唬䑓착_x0018_＀＀_x0018_＀＀_x0008_＀＀_x0001_＀＀_x0001_＀＀鮦⃄터䂨噝偊_x0012_䭂幕彐剐䍉⡅ㄴ㔱⤹_x0018_＀＀_x0018_＀＀_x0008_＀＀_x0001_＀＀_x0001_＀＀㌳㌳猳䀸嘉偉_x001B_啓兓偞䵟呋噟䱁㐨ㄱ㠵Ⱜ唬䑓착_x0018_＀＀_x0018_＀＀_x0008_＀＀_x0001_＀＀_x0001_＀＀㕀멞燉䂟䃤偉_x0012_剆幃彐剐䍉⡅〴㤷⤳_x0018_＀＀_x0018_＀＀_x0008_＀＀_x0001_＀＀_x0001_＀＀휊炣਽䀹䃤偉_x0013_䉓奎偞偟䥒䕃㐨㜰㌹착_x0018_＀＀_x0018_＀＀_x0008_＀＀_x0001_＀＀_x0001_＀＀尩슏ࣵ䁌噟偊_x001A_䍔幂彐䭍彔䅖⡌ㄴ㔱ⰹⰬ单⥄_x0018_＀＀_x0018_＀＀_x0008_＀＀_x0001_＀＀_x0001_＀＀尩슏ድ䂝噝偊)䉃䡓䥞彃卅䥔䅍䕔䔨卐䴬䅅ⱎ乁ⱎ〲㈱㐬ㄱ㤵착_x0018_＀＀_x0018_＀＀_x0008_＀＀_x0001_＀＀_x0001_＀＀沋ﯧ䀈嘉偉_x001A_䕋幙彐䭍彔䅖⡌ㄴ㔱ⰸⰬ单⥄_x0018_＀＀_x0018_＀＀_x0008_＀＀_x0001_＀＀_x0001_＀＀⋑率峞䂿噢偊)䉇䥃䥞彃卅䥔䅍䕔䔨卐䴬䅅ⱎ乁ⱎ〲㐱㐬ㄱ㤵착_x0018_＀＀_x0018_＀＀_x0008_＀＀_x0001_＀＀_x0001_＀＀晧晦晦㿴嘊偉_x001A_䉃幕彐䭍彔䅖⡌ㄴ㔱ⰸⰬ单⥄_x0018_＀＀_x0018_＀＀_x0008_＀＀_x0001_＀＀_x0001_＀＀凬Ẹ쎅䂑噠偊_x001B_䉇䥃偞䵟呋噟䱁㐨ㄱ㤵Ⱜ唬䑓착_x0018_＀＀_x0018_＀＀_x0008_＀＀_x0001_＀＀_x0001_＀＀긕쓺䂑嘊偉_x001B_䍓呂偞䵟呋噟䱁㐨ㄱ㠵Ⱜ唬䑓착_x0018_＀＀_x0018_＀＀_x0008_＀＀_x0001_＀＀_x0001_＀＀䔹片㵹䂃噟偊_x0013_偎䍂偞偟䥒䕃㐨ㄱ㤵착_x0018_＀＀_x0018_＀＀_x0008_＀＀_x0001_＀＀_x0001_＀＀尩슏ꣵ䀢嘋偉)乆䝆䥞彃卅䥔䅍䕔䔨卐䴬䅅ⱎ乁ⱎ〲㌱㐬ㄱ㠵착_x0018_＀＀_x0018_＀＀_x0008_＀＀_x0001_＀＀_x0001_＀＀ᑺ䞮㿩䃤偉_x0013_䍕䥂偞偟䥒䕃㐨㜰㌹착_x0018_＀＀_x0018_＀＀_x0008_＀＀_x0001_＀＀_x0001_＀＀슏⣵轜䀤䃤偉_x0013_䡆幎䝆偟䥒䕃㐨㤰㤰착_x0018_＀＀_x0018_＀＀_x0008_＀＀_x0001_＀＀_x0001_＀＀＀＀＀＀＀＀䀠噝偊_x0011_䙒偞偟䥒䕃㐨㤰㤰착_x0018_＀＀_x0018_＀＀_x0008_＀＀_x0001_＀＀_x0001_＀＀㌳㌳㌳䀑嘊偉(䉆幐䍉䕟呓䵉呁⡅偅ⱓ䕍乁䄬乎㈬㄰ⰳㄴ㔱⤸_x0018_＀＀_x0018_＀＀_x0008_＀＀_x0001_＀＀_x0001_＀＀馚香香㿑噟偊_x0013_噐䉔偞偟䥒䕃㐨ㄱ㤵착_x0018_＀＀_x0018_＀＀_x0008_＀＀_x0001_＀＀_x0001_＀＀롑Ԟ䀱䃤偉_x0013_䉃䡓偞偟䥒䕃㐨㜰㌹착_x0018_＀＀_x0018_＀＀_x0008_＀＀_x0001_＀＀_x0001_＀＀䕣꘍ᡡ䁂噟偊_x0012_乏幂彐剐䍉⡅〴〹⤹_x0018_＀＀_x0018_＀＀_x0008_＀＀_x0001_＀＀_x0001_＀＀쳍쳌䳌䀧噟偊_x001B_䵕䙂偞䵟呋噟䱁㐨ㄱ㤵Ⱜ唬䑓착_x0018_＀＀_x0018_＀＀_x0008_＀＀_x0001_＀＀_x0001_＀＀ొ⬂蒇䂟噝偊)䵈呓䥞彃卅䥔䅍䕔䔨卐䴬䅅ⱎ乁ⱎ〲㈱㐬ㄱ㤵착_x0018_＀＀_x0018_＀＀_x0008_＀＀_x0001_＀＀_x0001_＀＀＀＀＀＀耀䀣嘉偉_x001A_䉆幐彐䭍彔䅖⡌ㄴ㔱ⰸⰬ单⥄_x0018_＀＀_x0018_＀＀_x0008_＀＀_x0001_＀＀_x0001_＀＀뢻ڍ異䂋嘉偉_x0013_䥆乎偞偟䥒䕃㐨ㄱ㠵착_x0018_＀＀_x0018_＀＀_x0008_＀＀_x0001_＀＀_x0001_＀＀＀＀＀＀門䂰噟偊_x001B_呗䍆偞䵟呋噟䱁㐨ㄱ㤵Ⱜ唬䑓착_x0018_＀＀_x0018_＀＀_x0008_＀＀_x0001_＀＀_x0001_＀＀ᢔ嘄瀎䂕噝偊_x0013_䥆䉔偞偟䥒䕃㐨ㄱ㤵착_x0018_＀＀_x0018_＀＀_x0008_＀＀_x0001_＀＀_x0001_＀＀蔟凫麸䀮嘉偉_x0013_䙃乆偞偟䥒䕃㐨㤰㤰착_x0018_＀＀_x0018_＀＀_x0008_＀＀_x0001_＀＀_x0001_＀＀긕ᑺ䀧噢偊'䉐䥞彃卅䥔䅍䕔䔨卐䴬䅅ⱎ乁ⱎ〲㌱㐬ㄱ㤵착_x0018_＀＀_x0018_＀＀_x0008_＀＀_x0001_＀＀_x0001_＀＀눭욧䀊嘊偉_x0013_坎䥂偞偟䥒䕃㐨ㄱ㠵착_x0018_＀＀_x0018_＀＀_x0008_＀＀_x0001_＀＀_x0001_＀＀ᑺ잮䀨嘊偉_x0013_乐偆偞偟䥒䕃㐨ㄱ㠵착_x0018_＀＀_x0018_＀＀_x0008_＀＀_x0001_＀＀_x0001_＀＀尨슏䀳嘊偉)噐䉔䥞彃卅䥔䅍䕔䔨卐䴬䅅ⱎ乁ⱎ〲㐱㐬ㄱ㠵착_x0018_＀＀_x0018_＀＀_x0008_＀＀_x0001_＀＀_x0001_＀＀ꇋ뙅ﷳ㿴嘋偉)䉐呃䥞彃卅䥔䅍䕔䔨卐䴬䅅ⱎ乁ⱎ〲㈱㐬ㄱ㠵착_x0018_＀＀_x0018_＀＀_x0008_＀＀_x0001_＀＀_x0001_＀＀컙号ꗣ㿧嘉偉(呍幂䍉䕟呓䵉呁⡅偅ⱓ䕍乁䄬乎㈬㄰ⰳㄴ㔱⤸_x0018_＀＀_x0018_＀＀_x0008_＀＀_x0001_＀＀_x0001_＀＀ꏗ㵰휊䀞噡偊)䉓奎䥞彃卅䥔䅍䕔䔨卐䴬䅅ⱎ乁ⱎ〲㈱㐬ㄱ㤵착_x0018_＀＀_x0018_＀＀_x0008_＀＀_x0001_＀＀_x0001_＀＀尩슏⣵䀎噛偊_x0012_䱖幙彐剐䍉⡅ㄴ㔱⤹_x0018_＀＀_x0018_＀＀_x0008_＀＀_x0001_＀＀_x0001_＀＀ᑻ䞮竡䀤嘋偉)䙂䙃䥞彃卅䥔䅍䕔䔨卐䴬䅅ⱎ乁ⱎ〲㌱㐬ㄱ㠵착_x0018_＀＀_x0018_＀＀_x0008_＀＀_x0001_＀＀_x0001_＀＀豀碵꼝쐕䃤偉_x0012_䡆幎彐剐䍉⡅〴㤷⤳_x0018_＀＀_x0018_＀＀_x0008_＀＀_x0001_＀＀_x0001_＀＀凬Ẹ䀚噢偊(乏幂䍉䕟呓䵉呁⡅偅ⱓ䕍乁䄬乎㈬㄰ⰲㄴ㔱⤹_x0018_＀＀_x0018_＀＀_x0008_＀＀_x0001_＀＀_x0001_＀＀＀＀＀＀＀＀㿰噡偊)䥓䉖䥞彃卅䥔䅍䕔䔨卐䴬䅅ⱎ乁ⱎ〲㌱㐬ㄱ㤵착_x0018_＀＀_x0018_＀＀_x0008_＀＀_x0001_＀＀_x0001_＀＀됺盈龾䀍噡偊_x0013_佈䉍偞偟䥒䕃㐨ㄱ㤵착_x0018_＀＀_x0018_＀＀_x0008_＀＀_x0001_＀＀_x0001_＀＀⣶轜뗂䁀噝偊_x001A_䵃幁彐䭍彔䅖⡌ㄴ㔱ⰹⰬ单⥄_x0018_＀＀_x0018_＀＀_x0008_＀＀_x0001_＀＀_x0001_＀＀㝌䆉屠䂸嘉偉_x001B_䉉䍋偞䵟呋噟䱁㐨ㄱ㠵Ⱜ唬䑓착_x0018_＀＀_x0018_＀＀_x0008_＀＀_x0001_＀＀_x0001_＀＀䷒⁢䂖嘊偉(䱖幙䍉䕟呓䵉呁⡅偅ⱓ䕍乁䄬乎㈬㄰ⰳㄴ㔱⤸_x0018_＀＀_x0018_＀＀_x0008_＀＀_x0001_＀＀_x0001_＀＀鞍ቮ삃㿦噠偊_x001B_䵆䥂偞䵟呋噟䱁㐨ㄱ㤵Ⱜ唬䑓착_x0018_＀＀_x0018_＀＀_x0008_＀＀_x0001_＀＀_x0001_＀＀橿璼꼓䂍噟偊_x0013_䵕䙂偞偟䥒䕃㐨ㄱ㤵착_x0018_＀＀_x0018_＀＀_x0008_＀＀_x0001_＀＀_x0001_＀＀ᑻ䞮_xDAE1_䁈噞偊_x0013_坅䍂偞偟䥒䕃㐨ㄱ㤵착_x0018_＀＀_x0018_＀＀_x0008_＀＀_x0001_＀＀_x0001_＀＀竡긔慇䀶嘊偉_x0013_偂䡆偞偟䥒䕃㐨ㄱ㠵착_x0018_＀＀_x0018_＀＀_x0008_＀＀_x0001_＀＀_x0001_＀＀馚香香䀣噢偊)偎䍂䥞彃卅䥔䅍䕔䔨卐䴬䅅ⱎ乁ⱎ〲㐱㐬ㄱ㤵착_x0018_＀＀_x0018_＀＀_x0008_＀＀_x0001_＀＀_x0001_＀＀蔟凫Ẹ㿥嘊偉)䉈䍈䥞彃卅䥔䅍䕔䔨卐䴬䅅ⱎ乁ⱎ〲㌱㐬ㄱ㠵착_x0018_＀＀_x0018_＀＀_x0008_＀＀_x0001_＀＀_x0001_＀＀鍵И๖䀅噟偊_x0013_䉍䥆偞偟䥒䕃㐨ㄱ㤵착_x0018_＀＀_x0018_＀＀_x0008_＀＀_x0001_＀＀_x0001_＀＀晧晦Ꙧ䀴噟偊_x001A_塂幓彐䭍彔䅖⡌ㄴ㔱ⰹⰬ单⥄_x0018_＀＀_x0018_＀＀_x0008_＀＀_x0001_＀＀_x0001_＀＀뱫鍴肘䂖嘋偉)剃䍂䥞彃卅䥔䅍䕔䔨卐䴬䅅ⱎ乁ⱎ〲㐱㐬ㄱ㠵착_x0018_＀＀_x0018_＀＀_x0008_＀＀_x0001_＀＀_x0001_＀＀＀＀＀＀＀＀㿼䃤偉_x0012_奃幎彐剐䍉⡅〴㤷⤳_x0018_＀＀_x0018_＀＀_x0008_＀＀_x0001_＀＀_x0001_＀＀휊炣䁅嘊偉*䍆䍎幁䍉䕟呓䵉呁⡅偅ⱓ䕍乁䄬乎㈬㄰ⰲㄴ㔱⤸_x0018_＀＀_x0018_＀＀_x0008_＀＀_x0001_＀＀_x0001_＀＀豀碵꼝쐕噢偊)䅃奔䥞彃卅䥔䅍䕔䔨卐䴬䅅ⱎ乁ⱎ〲㐱㐬ㄱ㤵착_x0018_＀＀_x0018_＀＀_x0008_＀＀_x0001_＀＀_x0001_＀＀컙号ꗣ㿹噠偊_x001B_坎䥂偞䵟呋噟䱁㐨ㄱ㤵Ⱜ唬䑓착_x0018_＀＀_x0018_＀＀_x0008_＀＀_x0001_＀＀_x0001_＀＀䖢ꅽ䂒噟偊_x0013_䵆剅偞偟䥒䕃㐨ㄱ㤵착_x0018_＀＀_x0018_＀＀_x0008_＀＀_x0001_＀＀_x0001_＀＀롑Ԟ䀱噠偊_x0013_䥆䭂偞偟䥒䕃㐨㤰㤰착_x0018_＀＀_x0018_＀＀_x0008_＀＀_x0001_＀＀_x0001_＀＀슐⣵ཛྷ䀪嘊偉_x0013_呓䅂偞偟䥒䕃㐨ㄱ㠵착_x0018_＀＀_x0018_＀＀_x0008_＀＀_x0001_＀＀_x0001_＀＀轜鰨䀱嘊偉)坅䍂䥞彃卅䥔䅍䕔䔨卐䴬䅅ⱎ乁ⱎ〲㈱㐬ㄱ㠵착_x0018_＀＀_x0018_＀＀_x0008_＀＀_x0001_＀＀_x0001_＀＀Წ摚_xDF3B_㿽噡偊(塂幓䍉䕟呓䵉呁⡅偅ⱓ䕍乁䄬乎㈬㄰ⰳㄴ㔱⤹_x0018_＀＀_x0018_＀＀_x0008_＀＀_x0001_＀＀_x0001_＀＀ⴏ鶲꟯㿮嘉偉_x0019_䙁偞䵟呋噟䱁㐨ㄱ㠵Ⱜ唬䑓착_x0018_＀＀_x0018_＀＀_x0008_＀＀_x0001_＀＀_x0001_＀＀좴빶ȟ䂐噝偊_x0019_䙒偞䵟呋噟䱁㐨ㄱ㤵Ⱜ唬䑓착_x0018_＀＀_x0018_＀＀_x0008_＀＀_x0001_＀＀_x0001_＀＀脆䎕堫䃄嘊偉)十䍂䥞彃卅䥔䅍䕔䔨卐䴬䅅ⱎ乁ⱎ〲㈱㐬ㄱ㠵착_x0018_＀＀_x0018_＀＀_x0008_＀＀_x0001_＀＀_x0001_＀＀좴빶᪟㿯噠偊_x0013_䍔䥂偞偟䥒䕃㐨㤰㤰착_x0018_＀＀_x0018_＀＀_x0008_＀＀_x0001_＀＀_x0001_＀＀轜鰨䀾嘊偉_x0013_䅂䙎偞偟䥒䕃㐨㤰㤰착_x0018_＀＀_x0018_＀＀_x0008_＀＀_x0001_＀＀_x0001_＀＀롑씞䁂嘊偉)䉉䍋䥞彃卅䥔䅍䕔䔨卐䴬䅅ⱎ乁ⱎ〲㐱㐬ㄱ㠵착_x0018_＀＀_x0018_＀＀_x0008_＀＀_x0001_＀＀_x0001_＀＀쳍쳌쳌䀊嘋偉)䙆䍂䥞彃卅䥔䅍䕔䔨卐䴬䅅ⱎ乁ⱎ〲㌱㐬ㄱ㠵착_x0018_＀＀_x0018_＀＀_x0008_＀＀_x0001_＀＀_x0001_＀＀嘄ⴎ鶲㿳噟偊_x001B_䥓䉖偞䵟呋噟䱁㐨ㄱ㤵Ⱜ唬䑓착_x0018_＀＀_x0018_＀＀_x0008_＀＀_x0001_＀＀_x0001_＀＀쳍쳌⏌䂥嘉偉_x0012_呍幂彐剐䍉⡅ㄴ㔱⤸_x0018_＀＀_x0018_＀＀_x0008_＀＀_x0001_＀＀_x0001_＀＀晧晦癦䁖嘉偉(乓幖䍉䕟呓䵉呁⡅偅ⱓ䕍乁䄬乎㈬㄰ⰲㄴ㔱⤸_x0018_＀＀_x0018_＀＀_x0008_＀＀_x0001_＀＀_x0001_＀＀恂탥_xDB22_㾹䃡偉_x0013_䙃幒䝆偟䥒䕃㐨㤰㤰착_x0018_＀＀_x0018_＀＀_x0008_＀＀_x0001_＀＀_x0001_＀＀긔瑺䁊嘋偉)䅂䙎䥞彃卅䥔䅍䕔䔨卐䴬䅅ⱎ乁ⱎ〲㐱㐬ㄱ㠵착_x0018_＀＀_x0018_＀＀_x0008_＀＀_x0001_＀＀_x0001_＀＀晧晦晦䀊䃤偉_x0011_䙁偞偟䥒䕃㐨㜰㌹착_x0018_＀＀_x0018_＀＀_x0008_＀＀_x0001_＀＀_x0001_＀＀ꏗ㵰圊䀣噢偊)乆䝆䥞彃卅䥔䅍䕔䔨卐䴬䅅ⱎ乁ⱎ〲㌱㐬ㄱ㤵착_x0018_＀＀_x0018_＀＀_x0008_＀＀_x0001_＀＀_x0001_＀＀ᑺ䞮㿩嘉偉(剆幃䍉䕟呓䵉呁⡅偅ⱓ䕍乁䄬乎㈬㄰ⰳㄴ㔱⤸_x0018_＀＀_x0018_＀＀_x0008_＀＀_x0001_＀＀_x0001_＀＀휊炣਽䀇嘊偉'䙁䥞彃卅䥔䅍䕔䔨卐䴬䅅ⱎ乁ⱎ〲㌱㐬ㄱ㠵착_x0018_＀＀_x0018_＀＀_x0008_＀＀_x0001_＀＀_x0001_＀＀_xDB23_绹뱪㿤嘊偉)䵆剅䥞彃卅䥔䅍䕔䔨卐䴬䅅ⱎ乁ⱎ〲㐱㐬ㄱ㠵착_x0018_＀＀_x0018_＀＀_x0008_＀＀_x0001_＀＀_x0001_＀＀뙆ﷳ磔㿷嘊偉_x0013_䉂乃偞偟䥒䕃㐨ㄱ㠵착_x0018_＀＀_x0018_＀＀_x0008_＀＀_x0001_＀＀_x0001_＀＀晧晦晦䀩䃤偉_x0012_䉂幔彐剐䍉⡅〴㤷⤳_x0018_＀＀_x0018_＀＀_x0008_＀＀_x0001_＀＀_x0001_＀＀ਾꏗ㵰䀶嘋偉)噃䙂䥞彃卅䥔䅍䕔䔨卐䴬䅅ⱎ乁ⱎ〲㐱㐬ㄱ㠵착_x0018_＀＀_x0018_＀＀_x0008_＀＀_x0001_＀＀_x0001_＀＀뱫鍴И㿰嘋偉)偂䡆䥞彃卅䥔䅍䕔䔨卐䴬䅅ⱎ乁ⱎ〲㌱㐬ㄱ㠵착_x0018_＀＀_x0018_＀＀_x0008_＀＀_x0001_＀＀_x0001_＀＀멞౉⬂㿧䃤偉_x0013_䙆䍂偞偟䥒䕃㐨㜰㌹착_x0018_＀＀_x0018_＀＀_x0008_＀＀_x0001_＀＀_x0001_＀＀晧晦䀮䃤偉_x0012_剄幌彐剐䍉⡅〴㤷⤳_x0018_＀＀_x0018_＀＀_x0008_＀＀_x0001_＀＀_x0001_＀＀롑蔞㿷噢偊)䉐呃䥞彃卅䥔䅍䕔䔨卐䴬䅅ⱎ乁ⱎ〲㈱㐬ㄱ㤵착_x0018_＀＀_x0018_＀＀_x0008_＀＀_x0001_＀＀_x0001_＀＀컙号ꗣ㿧噢偊)噐䉔䥞彃卅䥔䅍䕔䔨卐䴬䅅ⱎ乁ⱎ〲㐱㐬ㄱ㤵착_x0018_＀＀_x0018_＀＀_x0008_＀＀_x0001_＀＀_x0001_＀＀ꇋ뙅ﷳ㿴噡偊_x0013_乐偆偞偟䥒䕃㐨ㄱ㤵착_x0018_＀＀_x0018_＀＀_x0008_＀＀_x0001_＀＀_x0001_＀＀轜ᰨ䀴噠偊_x0013_坎䥂偞偟䥒䕃㐨ㄱ㤵착_x0018_＀＀_x0018_＀＀_x0008_＀＀_x0001_＀＀_x0001_＀＀轜尨䀨嘊偉_x0013_䅗䍂偞偟䥒䕃㐨ㄱ㠵착_x0018_＀＀_x0018_＀＀_x0008_＀＀_x0001_＀＀_x0001_＀＀Ẹ䁇噜偊_x0013_剔䭍偞偟䥒䕃㐨㤰㤰착_x0018_＀＀_x0018_＀＀_x0008_＀＀_x0001_＀＀_x0001_＀＀휊炣䨽䀸噞偊(呍幂䍉䕟呓䵉呁⡅偅ⱓ䕍乁䄬乎㈬㄰ⰳㄴ㔱⤹_x0018_＀＀_x0018_＀＀_x0008_＀＀_x0001_＀＀_x0001_＀＀ꏗ㵰휊䀞䃤偉_x0014_䍆䍎幁彐剐䍉⡅〴㤷⤳_x0018_＀＀_x0018_＀＀_x0008_＀＀_x0001_＀＀_x0001_＀＀긕䁣䃤偉_x0014_䥆䉔䙞彇剐䍉⡅〴〹⤹_x0018_＀＀_x0018_＀＀_x0008_＀＀_x0001_＀＀_x0001_＀＀㵱휊炣䀩嘋偉)䉇䥃䥞彃卅䥔䅍䕔䔨卐䴬䅅ⱎ乁ⱎ〲㈱㐬ㄱ㠵착_x0018_＀＀_x0018_＀＀_x0008_＀＀_x0001_＀＀_x0001_＀＀ᢔ嘄ⴎ㿰嘉偉_x001B_䥆䉔偞䵟呋噟䱁㐨ㄱ㠵Ⱜ唬䑓착_x0018_＀＀_x0018_＀＀_x0008_＀＀_x0001_＀＀_x0001_＀＀糮㔿Ԟ䃋嘊偉_x001A_䱖幙彐䭍彔䅖⡌ㄴ㔱ⰸⰬ单⥄_x0018_＀＀_x0018_＀＀_x0008_＀＀_x0001_＀＀_x0001_＀＀ⓝ脆ㄕ䂟噠偊_x001B_䙆䍂偞䵟呋噟䱁㐨ㄱ㤵Ⱜ唬䑓착_x0018_＀＀_x0018_＀＀_x0008_＀＀_x0001_＀＀_x0001_＀＀퓽揸䂏嘊偉_x001B_南䍂偞䵟呋噟䱁㐨ㄱ㠵Ⱜ唬䑓착_x0018_＀＀_x0018_＀＀_x0008_＀＀_x0001_＀＀_x0001_＀＀瀻裎奒䂁嘊偉(䡆幎䍉䕟呓䵉呁⡅偅ⱓ䕍乁䄬乎㈬㄰ⰴㄴ㔱⤸_x0018_＀＀_x0018_＀＀_x0008_＀＀_x0001_＀＀_x0001_＀＀䞮竡긔㿯䃤偉_x0013_䵆䥂偞偟䥒䕃㐨㜰㌹착_x0018_＀＀_x0018_＀＀_x0008_＀＀_x0001_＀＀_x0001_＀＀馚香香䀠噡偊(䱖幙䍉䕟呓䵉呁⡅偅ⱓ䕍乁䄬乎㈬㄰ⰳㄴ㔱⤹_x0018_＀＀_x0018_＀＀_x0008_＀＀_x0001_＀＀_x0001_＀＀鞍ቮ삃㿦嘉偉(䉂幔䍉䕟呓䵉呁⡅偅ⱓ䕍乁䄬乎㈬㄰ⰳㄴ㔱⤸_x0018_＀＀_x0018_＀＀_x0008_＀＀_x0001_＀＀_x0001_＀＀㽽帵䦺䀈噟偊_x001B_偎䍂偞䵟呋噟䱁㐨ㄱ㤵Ⱜ唬䑓착_x0018_＀＀_x0018_＀＀_x0008_＀＀_x0001_＀＀_x0001_＀＀鍵И䂕噡偊)䉈䍈䥞彃卅䥔䅍䕔䔨卐䴬䅅ⱎ乁ⱎ〲㌱㐬ㄱ㤵착_x0018_＀＀_x0018_＀＀_x0008_＀＀_x0001_＀＀_x0001_＀＀鍵И๖䀅噢偊)剃䍂䥞彃卅䥔䅍䕔䔨卐䴬䅅ⱎ乁ⱎ〲㐱㐬ㄱ㤵착_x0018_＀＀_x0018_＀＀_x0008_＀＀_x0001_＀＀_x0001_＀＀＀＀＀＀＀＀㿼嘊偉_x0013_䅐坃偞偟䥒䕃㐨ㄱ㠵착_x0018_＀＀_x0018_＀＀_x0008_＀＀_x0001_＀＀_x0001_＀＀蔟凫_xDEB8_䀷嘊偉)商呌䥞彃卅䥔䅍䕔䔨卐䴬䅅ⱎ乁ⱎ〲㐱㐬ㄱ㠵착_x0018_＀＀_x0018_＀＀_x0008_＀＀_x0001_＀＀_x0001_＀＀틲才堐㿭噡偊)坅䍂䥞彃卅䥔䅍䕔䔨卐䴬䅅ⱎ乁ⱎ〲㈱㐬ㄱ㤵착_x0018_＀＀_x0018_＀＀_x0008_＀＀_x0001_＀＀_x0001_＀＀Წ摚_xDF3B_㿽噡偊_x0013_呓䅂偞偟䥒䕃㐨ㄱ㤵착_x0018_＀＀_x0018_＀＀_x0008_＀＀_x0001_＀＀_x0001_＀＀쳍쳌쳌䀱嘊偉_x0013_䉎䉔偞偟䥒䕃㐨ㄱ㠵착_x0018_＀＀_x0018_＀＀_x0008_＀＀_x0001_＀＀_x0001_＀＀艁쟢ꮘ䀵噠偊_x0012_䉃幕彐剐䍉⡅〴〹⤹_x0018_＀＀_x0018_＀＀_x0008_＀＀_x0001_＀＀_x0001_＀＀쳍쳌쳌䀻嘊偉(䉆幃䍉䕟呓䵉呁⡅偅ⱓ䕍乁䄬乎㈬㄰ⰳㄴ㔱⤸_x0018_＀＀_x0018_＀＀_x0008_＀＀_x0001_＀＀_x0001_＀＀馚香香㾹嘉偉_x001B_䉈乁偞䵟呋噟䱁㐨ㄱ㠵Ⱜ唬䑓착_x0018_＀＀_x0018_＀＀_x0008_＀＀_x0001_＀＀_x0001_＀＀龿⼚▽䂶噛偊_x0012_䙃幒彐剐䍉⡅〴〹⤹_x0018_＀＀_x0018_＀＀_x0008_＀＀_x0001_＀＀_x0001_＀＀긕瑺䁊噡偊)十䍂䥞彃卅䥔䅍䕔䔨卐䴬䅅ⱎ乁ⱎ〲㈱㐬ㄱ㤵착_x0018_＀＀_x0018_＀＀_x0008_＀＀_x0001_＀＀_x0001_＀＀좴빶᪟㿯噢偊)䙆䍂䥞彃卅䥔䅍䕔䔨卐䴬䅅ⱎ乁ⱎ〲㌱㐬ㄱ㤵착_x0018_＀＀_x0018_＀＀_x0008_＀＀_x0001_＀＀_x0001_＀＀嘄ⴎ鶲㿳噢偊)䉉䍋䥞彃卅䥔䅍䕔䔨卐䴬䅅ⱎ乁ⱎ〲㐱㐬ㄱ㤵착_x0018_＀＀_x0018_＀＀_x0008_＀＀_x0001_＀＀_x0001_＀＀쳍쳌쳌䀊嘋偉)䅐坃䥞彃卅䥔䅍䕔䔨卐䴬䅅ⱎ乁ⱎ〲㈱㐬ㄱ㠵착_x0018_＀＀_x0018_＀＀_x0008_＀＀_x0001_＀＀_x0001_＀＀뙆ﷳ磔㿷嘊偉_x0013_䍆乂偞偟䥒䕃㐨㤰㤰착_x0018_＀＀_x0018_＀＀_x0008_＀＀_x0001_＀＀_x0001_＀＀＀＀＀＀ꀀ䁹嘊偉)䉉䍏䥞彃卅䥔䅍䕔䔨卐䴬䅅ⱎ乁ⱎ〲㌱㐬ㄱ㠵착_x0018_＀＀_x0018_＀＀_x0008_＀＀_x0001_＀＀_x0001_＀＀轜尨㿷嘋偉)偎䍂䥞彃卅䥔䅍䕔䔨卐䴬䅅ⱎ乁ⱎ〲㈱㐬ㄱ㠵착_x0018_＀＀_x0018_＀＀_x0008_＀＀_x0001_＀＀_x0001_＀＀鮥⃄㿤嘊偉(奃幎䍉䕟呓䵉呁⡅偅ⱓ䕍乁䄬乎㈬㄰ⰳㄴ㔱⤸_x0018_＀＀_x0018_＀＀_x0008_＀＀_x0001_＀＀_x0001_＀＀ᑺ䞮䀏噞偊_x001B_十䍂偞䵟呋噟䱁㐨ㄱ㤵Ⱜ唬䑓착_x0018_＀＀_x0018_＀＀_x0008_＀＀_x0001_＀＀_x0001_＀＀⃅犰ꈨ䂡噟偊_x0013_䵕児偞偟䥒䕃㐨㤰㤰착_x0018_＀＀_x0018_＀＀_x0008_＀＀_x0001_＀＀_x0001_＀＀ᑺ잮䀨嘉偉_x001B_䉃䡓偞䵟呋噟䱁㐨ㄱ㠵Ⱜ唬䑓착_x0018_＀＀_x0018_＀＀_x0008_＀＀_x0001_＀＀_x0001_＀＀司ꗣ䂫噡偊_x0013_乆䝆偞偟䥒䕃㐨㤰㤰착_x0018_＀＀_x0018_＀＀_x0008_＀＀_x0001_＀＀_x0001_＀＀尨䊏䀡嘊偉(䍔幂䍉䕟呓䵉呁⡅偅ⱓ䕍乁䄬乎㈬㄰ⰴㄴ㔱⤸_x0018_＀＀_x0018_＀＀_x0008_＀＀_x0001_＀＀_x0001_＀＀ꧻ틱㿳嘊偉)䅃奔䥞彃卅䥔䅍䕔䔨卐䴬䅅ⱎ乁ⱎ〲㈱㐬ㄱ㠵착_x0018_＀＀_x0018_＀＀_x0008_＀＀_x0001_＀＀_x0001_＀＀_xDB23_绹뱪㿴噞偊(乓幖䍉䕟呓䵉呁⡅偅ⱓ䕍乁䄬乎㈬㄰ⰲㄴ㔱⤹_x0018_＀＀_x0018_＀＀_x0008_＀＀_x0001_＀＀_x0001_＀＀恂탥_xDB22_㾹噝偊_x0012_呍幂彐剐䍉⡅ㄴ㔱⤹_x0018_＀＀_x0018_＀＀_x0008_＀＀_x0001_＀＀_x0001_＀＀＀＀＀＀뀀䁖嘋偉)呓䅓䥞彃卅䥔䅍䕔䔨卐䴬䅅ⱎ乁ⱎ〲㐱㐬ㄱ㠵착_x0018_＀＀_x0018_＀＀_x0008_＀＀_x0001_＀＀_x0001_＀＀豀碵꼝쐕嘋偉)南䍂䥞彃卅䥔䅍䕔䔨卐䴬䅅ⱎ乁ⱎ〲㈱㐬ㄱ㠵착_x0018_＀＀_x0018_＀＀_x0008_＀＀_x0001_＀＀_x0001_＀＀鮦⃄犰㿼噝偊_x001A_䭂幕彐䭍彔䅖⡌ㄴ㔱ⰹⰬ单⥄_x0018_＀＀_x0018_＀＀_x0008_＀＀_x0001_＀＀_x0001_＀＀슏⣵䂡噡偊)䵆剅䥞彃卅䥔䅍䕔䔨卐䴬䅅ⱎ乁ⱎ〲㐱㐬ㄱ㤵착_x0018_＀＀_x0018_＀＀_x0008_＀＀_x0001_＀＀_x0001_＀＀뙆ﷳ磔㿷噡偊'䙁䥞彃卅䥔䅍䕔䔨卐䴬䅅ⱎ乁ⱎ〲㌱㐬ㄱ㤵착_x0018_＀＀_x0018_＀＀_x0008_＀＀_x0001_＀＀_x0001_＀＀_xDB23_绹뱪㿤噝偊(剆幃䍉䕟呓䵉呁⡅偅ⱓ䕍乁䄬乎㈬㄰ⰳㄴ㔱⤹_x0018_＀＀_x0018_＀＀_x0008_＀＀_x0001_＀＀_x0001_＀＀휊炣਽䀇嘉偉_x001B_呓䅓偞䵟呋噟䱁㐨ㄱ㠵Ⱜ唬䑓착_x0018_＀＀_x0018_＀＀_x0008_＀＀_x0001_＀＀_x0001_＀＀᪠_xDD2F_릤䂔噢偊)噃䙂䥞彃卅䥔䅍䕔䔨卐䴬䅅ⱎ乁ⱎ〲㐱㐬ㄱ㤵착_x0018_＀＀_x0018_＀＀_x0008_＀＀_x0001_＀＀_x0001_＀＀뱫鍴И㿰嘉偉_x001B_噐䉔偞䵟呋噟䱁㐨ㄱ㠵Ⱜ唬䑓착_x0018_＀＀_x0018_＀＀_x0008_＀＀_x0001_＀＀_x0001_＀＀晧晦䂒噝偊_x0012_䵃幁彐剐䍉⡅〴〹⤹_x0018_＀＀_x0018_＀＀_x0008_＀＀_x0001_＀＀_x0001_＀＀쳍쳌쳌䀹䃤偉_x0013_呍幂䝆偟䥒䕃㐨㤰㤰착_x0018_＀＀_x0018_＀＀_x0008_＀＀_x0001_＀＀_x0001_＀＀⣶轜ᗂ䁓䃣偉)䉐呃䥞彄卅䥔䅍䕔䔨卐䴬䅅ⱎ乁ⱎ〲㐱〬Ⱜ〬착_x0018_＀＀_x0018_＀＀_x0008_＀＀_x0001_＀＀_x0001_＀＀珫ᖵ쯻㿮嘉偉_x0011_䉐偞偟䥒䕃㐨ㄱ㠵착_x0018_＀＀_x0018_＀＀_x0008_＀＀_x0001_＀＀_x0001_＀＀凬Ẹ⮅䁆噢偊)䉇䥃䥞彃卅䥔䅍䕔䔨卐䴬䅅ⱎ乁ⱎ〲㈱㐬ㄱ㤵착_x0018_＀＀_x0018_＀＀_x0008_＀＀_x0001_＀＀_x0001_＀＀ᢔ嘄ⴎ㿰䃤偉_x0011_䙒偞偟䥒䕃㐨㜰㌹착_x0018_＀＀_x0018_＀＀_x0008_＀＀_x0001_＀＀_x0001_＀＀ᑻ䞮竡䀑䃤偉_x0012_乏幂彐剐䍉⡅〴㤷⤳_x0018_＀＀_x0018_＀＀_x0008_＀＀_x0001_＀＀_x0001_＀＀Ẹ㡑䀣䃤偉_x0014_商呌䙞彇剐䍉⡅〴〹⤹_x0018_＀＀_x0018_＀＀_x0008_＀＀_x0001_＀＀_x0001_＀＀蔟凫麸䀣噡偊(䡆幎䍉䕟呓䵉呁⡅偅ⱓ䕍乁䄬乎㈬㄰ⰴㄴ㔱⤹_x0018_＀＀_x0018_＀＀_x0008_＀＀_x0001_＀＀_x0001_＀＀䞮竡긔㿯噟偊_x0013_䉈䍈偞偟䥒䕃㐨㤰㤰착_x0018_＀＀_x0018_＀＀_x0008_＀＀_x0001_＀＀_x0001_＀＀ẹ䀿䃤偉_x0013_䙃乆偞偟䥒䕃㐨㜰㌹착_x0018_＀＀_x0018_＀＀_x0008_＀＀_x0001_＀＀_x0001_＀＀竡긔慇䀥嘋偉(䉃幕䍉䕟呓䵉呁⡅偅ⱓ䕍乁䄬乎㈬㄰ⰳㄴ㔱⤸_x0018_＀＀_x0018_＀＀_x0008_＀＀_x0001_＀＀_x0001_＀＀盉龾⼚䀁嘋偉(奎幂䍉䕟呓䵉呁⡅偅ⱓ䕍乁䄬乎㈬㄰ⰳㄴ㔱⤸_x0018_＀＀_x0018_＀＀_x0008_＀＀_x0001_＀＀_x0001_＀＀ⴎ鶲꟯㿰噞偊(䉂幔䍉䕟呓䵉呁⡅偅ⱓ䕍乁䄬乎㈬㄰ⰳㄴ㔱⤹_x0018_＀＀_x0018_＀＀_x0008_＀＀_x0001_＀＀_x0001_＀＀㽽帵䦺䀈噞偊_x001A_呓幉彐䭍彔䅖⡌ㄴ㔱ⰹⰬ单⥄_x0018_＀＀_x0018_＀＀_x0008_＀＀_x0001_＀＀_x0001_＀＀ᚇ컙䃌嘉偉_x0012_䉆幐彐剐䍉⡅ㄴ㔱⤸_x0018_＀＀_x0018_＀＀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36952</t>
        </r>
      </text>
    </comment>
    <comment ref="A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_x0008_＀＀_x0001_＀＀_x0001_＀＀蔟凫Ẹ䀑䃢偉_x0014_乆䝆䙞彇剐䍉⡅ㄴ㔱⤸_x0018_＀＀_x0018_＀＀_x0008_＀＀_x0001_＀＀_x0001_＀＀尩슏棵䀠䃢偉_x0014_䉐呃䙞彇剐䍉⡅〴〹⤹_x0018_＀＀_x0018_＀＀_x0008_＀＀_x0001_＀＀_x0001_＀＀㌳㌳댳䀩嘋偉*䉃奃幂䍉䕟呓䵉呁⡅偅ⱓ䕍乁䄬乎㈬㄰ⰴㄴ㔱⤸_x0014_＀＀_x0018_＀＀_x0004_＀＀_x0001_＀＀_x0003_＀＀＀＀耀嘋偉)婏䭒䥞彃卅䥔䅍䕔䔨卐䴬䅅ⱎ乁ⱎ〲㐱㐬ㄱ㠵착_x0018_＀＀_x0018_＀＀_x0008_＀＀_x0001_＀＀_x0001_＀＀馚香香䀃噟偊_x0013_䅃奔偞偟䥒䕃㐨㤰㤰착_x0018_＀＀_x0018_＀＀_x0008_＀＀_x0001_＀＀_x0001_＀＀轜_xDC28_䀭嘊偉_x001B_乐偆偞䵟呋噟䱁㐨ㄱ㠵Ⱜ唬䑓착_x0018_＀＀_x0018_＀＀_x0008_＀＀_x0001_＀＀_x0001_＀＀閁譃楬䂅嘊偉)䅗䑆䥞彃卅䥔䅍䕔䔨卐䴬䅅ⱎ乁ⱎ〲㌱㐬ㄱ㠵착_x0018_＀＀_x0018_＀＀_x0008_＀＀_x0001_＀＀_x0001_＀＀휊炣਽㿵噝偊_x0012_䭂幕彐剐䍉⡅〴〹⤹_x0018_＀＀_x0018_＀＀_x0008_＀＀_x0001_＀＀_x0001_＀＀ਾꏗﵰ䀵噠偊_x0012_千幅彐剐䍉⡅〴〹⤹_x0018_＀＀_x0018_＀＀_x0008_＀＀_x0001_＀＀_x0001_＀＀쳍쳌쳌䀚䃤偉_x0013_佂幈䝆偟䥒䕃㐨㤰㤰착_x0018_＀＀_x0018_＀＀_x0008_＀＀_x0001_＀＀_x0001_＀＀蔟凫㺸䁆嘊偉)噐䉔䥞彃卅䥔䅍䕔䔨卐䴬䅅ⱎ乁ⱎ〲㈱㐬ㄱ㠵착_x0018_＀＀_x0018_＀＀_x0008_＀＀_x0001_＀＀_x0001_＀＀⼛ⓝ脆㿩噡偊)商呌䥞彃卅䥔䅍䕔䔨卐䴬䅅ⱎ乁ⱎ〲㐱㐬ㄱ㤵착_x0018_＀＀_x0018_＀＀_x0008_＀＀_x0001_＀＀_x0001_＀＀틲才堐㿭嘉偉_x0013_䅗䑆偞偟䥒䕃㐨ㄱ㠵착_x0018_＀＀_x0018_＀＀_x0008_＀＀_x0001_＀＀_x0001_＀＀尩슏棵䀰嘋偉(剄幌䍉䕟呓䵉呁⡅偅ⱓ䕍乁䄬乎㈬㄰ⰳㄴ㔱⤸_x0018_＀＀_x0018_＀＀_x0008_＀＀_x0001_＀＀_x0001_＀＀＀＀＀＀＀＀㿐嘉偉(䵃幁䍉䕟呓䵉呁⡅偅ⱓ䕍乁䄬乎㈬㄰ⰴㄴ㔱⤸_x0018_＀＀_x0018_＀＀_x0008_＀＀_x0001_＀＀_x0001_＀＀ꧻ틱䀇嘊偉)䥆乎䥞彃卅䥔䅍䕔䔨卐䴬䅅ⱎ乁ⱎ〲㌱㐬ㄱ㠵착_x0014_＀＀_x0018_＀＀_x0004_＀＀_x0001_＀＀_x0003_＀＀＀＀耀嘊偉(䙃幒䍉䕟呓䵉呁⡅偅ⱓ䕍乁䄬乎㈬㄰ⰴㄴ㔱⤸_x0018_＀＀_x0018_＀＀_x0008_＀＀_x0001_＀＀_x0001_＀＀㌳㌳㌳䀐噟偊_x0013_偎䍂偞偟䥒䕃㐨㤰㤰착_x0018_＀＀_x0018_＀＀_x0008_＀＀_x0001_＀＀_x0001_＀＀竡긔䀠嘊偉_x0012_䙏幇彐剐䍉⡅〴〹⤹_x0018_＀＀_x0018_＀＀_x0008_＀＀_x0001_＀＀_x0001_＀＀Ẹ㡑䀨䃤偉_x0013_䥆䭂偞偟䥒䕃㐨㜰㌹착_x0018_＀＀_x0018_＀＀_x0008_＀＀_x0001_＀＀_x0001_＀＀㌴㌳㌳䀧嘉偉_x0013_呓䅓偞偟䥒䕃㐨ㄱ㠵착_x0018_＀＀_x0018_＀＀_x0008_＀＀_x0001_＀＀_x0001_＀＀馚香妙䀵噟偊_x0013_噐䉔偞偟䥒䕃㐨㤰㤰착_x0018_＀＀_x0018_＀＀_x0008_＀＀_x0001_＀＀_x0001_＀＀⣶轜䀥嘋偉(千幅䍉䕟呓䵉呁⡅偅ⱓ䕍乁䄬乎㈬㄰ⰳㄴ㔱⤸_x0018_＀＀_x0018_＀＀_x0008_＀＀_x0001_＀＀_x0001_＀＀Ȍ蜫_xD916_㿢噢偊)偎䍂䥞彃卅䥔䅍䕔䔨卐䴬䅅ⱎ乁ⱎ〲㈱㐬ㄱ㤵착_x0018_＀＀_x0018_＀＀_x0008_＀＀_x0001_＀＀_x0001_＀＀鮥⃄㿤噢偊)䉉䍏䥞彃卅䥔䅍䕔䔨卐䴬䅅ⱎ乁ⱎ〲㌱㐬ㄱ㤵착_x0018_＀＀_x0018_＀＀_x0008_＀＀_x0001_＀＀_x0001_＀＀轜尨㿷嘉偉)䥚乏䥞彃卅䥔䅍䕔䔨卐䴬䅅ⱎ乁ⱎ〲㌱㐬ㄱ㠵착_x0018_＀＀_x0018_＀＀_x0008_＀＀_x0001_＀＀_x0001_＀＀๖눭㿻噝偊(奃幎䍉䕟呓䵉呁⡅偅ⱓ䕍乁䄬乎㈬㄰ⰳㄴ㔱⤹_x0018_＀＀_x0018_＀＀_x0008_＀＀_x0001_＀＀_x0001_＀＀ᑺ䞮䀏噝偊_x0013_䥆䉔偞偟䥒䕃㐨㤰㤰착_x0018_＀＀_x0018_＀＀_x0008_＀＀_x0001_＀＀_x0001_＀＀㵱휊炣䀩嘋偉)剃䍂䥞彃卅䥔䅍䕔䔨卐䴬䅅ⱎ乁ⱎ〲㈱㐬ㄱ㠵착_x0018_＀＀_x0018_＀＀_x0008_＀＀_x0001_＀＀_x0001_＀＀슏⣵轜䀀嘊偉_x0013_噃䙂偞偟䥒䕃㐨ㄱ㠵착_x0018_＀＀_x0018_＀＀_x0008_＀＀_x0001_＀＀_x0001_＀＀凬Ẹ殅䀨嘉偉_x0013_商呌偞偟䥒䕃㐨ㄱ㠵착_x0018_＀＀_x0018_＀＀_x0008_＀＀_x0001_＀＀_x0001_＀＀ᑻ䞮﫡䀣嘋偉)䍓呂䥞彃卅䥔䅍䕔䔨卐䴬䅅ⱎ乁ⱎ〲㌱㐬ㄱ㠵착_x0018_＀＀_x0018_＀＀_x0008_＀＀_x0001_＀＀_x0001_＀＀إ閁譃䀉噢偊)䅃奔䥞彃卅䥔䅍䕔䔨卐䴬䅅ⱎ乁ⱎ〲㈱㐬ㄱ㤵착_x0018_＀＀_x0018_＀＀_x0008_＀＀_x0001_＀＀_x0001_＀＀_xDB23_绹뱪㿴噡偊(䍔幂䍉䕟呓䵉呁⡅偅ⱓ䕍乁䄬乎㈬㄰ⰴㄴ㔱⤹_x0018_＀＀_x0018_＀＀_x0008_＀＀_x0001_＀＀_x0001_＀＀ꧻ틱㿳䃤偉_x0013_䅂䙎偞偟䥒䕃㐨㜰㌹착_x0018_＀＀_x0018_＀＀_x0008_＀＀_x0001_＀＀_x0001_＀＀＀＀＀＀ꀀ䁁䃤偉_x0013_䍔䥂偞偟䥒䕃㐨㜰㌹착_x0018_＀＀_x0018_＀＀_x0008_＀＀_x0001_＀＀_x0001_＀＀⣶轜뗂䀸嘉偉_x0012_䕋幙彐剐䍉⡅ㄴ㔱⤸_x0018_＀＀_x0018_＀＀_x0008_＀＀_x0001_＀＀_x0001_＀＀롑Ԟ䀡嘉偉_x001A_䉂幔彐䭍彔䅖⡌ㄴ㔱ⰸⰬ单⥄_x0018_＀＀_x0018_＀＀_x0008_＀＀_x0001_＀＀_x0001_＀＀尩슏வ䃖噛偊_x0012_䱖幙彐剐䍉⡅〴〹⤹_x0018_＀＀_x0018_＀＀_x0008_＀＀_x0001_＀＀_x0001_＀＀緘还䀧噡偊_x0013_佈䉍偞偟䥒䕃㐨㤰㤰착_x0018_＀＀_x0018_＀＀_x0008_＀＀_x0001_＀＀_x0001_＀＀尩슏䀹噠偊_x001B_噃䙂偞䵟呋噟䱁㐨ㄱ㤵Ⱜ唬䑓착_x0018_＀＀_x0018_＀＀_x0008_＀＀_x0001_＀＀_x0001_＀＀㌴㌳䤳䂔嘊偉_x0013_䍐䍂偞偟䥒䕃㐨㤰㤰착_x0018_＀＀_x0018_＀＀_x0008_＀＀_x0001_＀＀_x0001_＀＀ਾꏗ㵰䀼嘊偉_x001B_婏䭒偞䵟呋噟䱁㐨ㄱ㠵Ⱜ唬䑓착_x0018_＀＀_x0018_＀＀_x0008_＀＀_x0001_＀＀_x0001_＀＀尩슏䃵䂒嘊偉)䉉䍋䥞彃卅䥔䅍䕔䔨卐䴬䅅ⱎ乁ⱎ〲㈱㐬ㄱ㠵착_x0018_＀＀_x0018_＀＀_x0008_＀＀_x0001_＀＀_x0001_＀＀_xDD2F_ؤ閁䀂嘊偉(䭂幕䍉䕟呓䵉呁⡅偅ⱓ䕍乁䄬乎㈬㄰ⰳㄴ㔱⤸_x0018_＀＀_x0018_＀＀_x0008_＀＀_x0001_＀＀_x0001_＀＀Й๖눭㿹噜偊_x0011_䉐偞偟䥒䕃㐨ㄱ㤵착_x0018_＀＀_x0018_＀＀_x0008_＀＀_x0001_＀＀_x0001_＀＀轜ᰨ䁆嘉偉_x0013_呗䍆偞偟䥒䕃㐨ㄱ㠵착_x0018_＀＀_x0018_＀＀_x0008_＀＀_x0001_＀＀_x0001_＀＀凬Ẹ쮅䁂噞偊_x0013_坅䍂偞偟䥒䕃㐨㤰㤰착_x0018_＀＀_x0018_＀＀_x0008_＀＀_x0001_＀＀_x0001_＀＀＀＀＀＀쀀䀳噟偊_x0013_䵕䙂偞偟䥒䕃㐨㤰㤰착_x0018_＀＀_x0018_＀＀_x0008_＀＀_x0001_＀＀_x0001_＀＀＀＀＀＀ꀀ䁂噜偊_x0019_䉐偞䵟呋噟䱁㐨ㄱ㤵Ⱜ唬䑓착_x0018_＀＀_x0018_＀＀_x0008_＀＀_x0001_＀＀_x0001_＀＀摚_xDF3B_崏䂣噟偊_x0013_䉍䥆偞偟䥒䕃㐨㤰㤰착_x0018_＀＀_x0018_＀＀_x0008_＀＀_x0001_＀＀_x0001_＀＀馚香ᦙ䀱噢偊(奎幂䍉䕟呓䵉呁⡅偅ⱓ䕍乁䄬乎㈬㄰ⰳㄴ㔱⤹_x0018_＀＀_x0018_＀＀_x0008_＀＀_x0001_＀＀_x0001_＀＀ⴎ鶲꟯㿰噢偊(䉃幕䍉䕟呓䵉呁⡅偅ⱓ䕍乁䄬乎㈬㄰ⰳㄴ㔱⤹_x0018_＀＀_x0018_＀＀_x0008_＀＀_x0001_＀＀_x0001_＀＀盉龾⼚䀁䃤偉_x0013_䕋幙䝆偟䥒䕃㐨㤰㤰착_x0018_＀＀_x0018_＀＀_x0008_＀＀_x0001_＀＀_x0001_＀＀尨슏䀞噟偊_x0013_䵆剅偞偟䥒䕃㐨㤰㤰착_x0018_＀＀_x0018_＀＀_x0008_＀＀_x0001_＀＀_x0001_＀＀尨䊏䀮嘋偉)䅂䙎䥞彃卅䥔䅍䕔䔨卐䴬䅅ⱎ乁ⱎ〲㈱㐬ㄱ㠵착_x0018_＀＀_x0018_＀＀_x0008_＀＀_x0001_＀＀_x0001_＀＀㌳㌳㌳䀉噡偊_x001B_乆䝆偞䵟呋噟䱁㐨ㄱ㤵Ⱜ唬䑓착_x0018_＀＀_x0018_＀＀_x0008_＀＀_x0001_＀＀_x0001_＀＀컙号舣䂦嘉偉_x0012_塂幓彐剐䍉⡅ㄴ㔱⤸_x0018_＀＀_x0018_＀＀_x0008_＀＀_x0001_＀＀_x0001_＀＀＀＀＀＀耀䀮䃤偉_x0013_剔䭍偞偟䥒䕃㐨㜰㌹착_x0018_＀＀_x0018_＀＀_x0008_＀＀_x0001_＀＀_x0001_＀＀㌴㌳㌳䀴嘊偉(佂幈䍉䕟呓䵉呁⡅偅ⱓ䕍乁䄬乎㈬㄰ⰴㄴ㔱⤸_x0018_＀＀_x0018_＀＀_x0008_＀＀_x0001_＀＀_x0001_＀＀晧晦晦䀌噢偊)婏䭒䥞彃卅䥔䅍䕔䔨卐䴬䅅ⱎ乁ⱎ〲㐱㐬ㄱ㤵착_x0018_＀＀_x0018_＀＀_x0008_＀＀_x0001_＀＀_x0001_＀＀馚香香䀃嘊偉)䵆剅䥞彃卅䥔䅍䕔䔨卐䴬䅅ⱎ乁ⱎ〲㈱㐬ㄱ㠵착_x0018_＀＀_x0018_＀＀_x0008_＀＀_x0001_＀＀_x0001_＀＀롑蔞㿳嘋偉)噃䙂䥞彃卅䥔䅍䕔䔨卐䴬䅅ⱎ乁ⱎ〲㈱㐬ㄱ㠵착_x0018_＀＀_x0018_＀＀_x0008_＀＀_x0001_＀＀_x0001_＀＀嘄ⴎ鶲㿫嘊偉)䵕䙂䥞彃卅䥔䅍䕔䔨卐䴬䅅ⱎ乁ⱎ〲㐱㐬ㄱ㠵착_x0018_＀＀_x0018_＀＀_x0008_＀＀_x0001_＀＀_x0001_＀＀㌳㌳㌳䀍噢偊)噐䉔䥞彃卅䥔䅍䕔䔨卐䴬䅅ⱎ乁ⱎ〲㈱㐬ㄱ㤵착_x0018_＀＀_x0018_＀＀_x0008_＀＀_x0001_＀＀_x0001_＀＀⼛ⓝ脆㿩嘉偉_x0013_十䍂偞偟䥒䕃㐨ㄱ㠵착_x0018_＀＀_x0018_＀＀_x0008_＀＀_x0001_＀＀_x0001_＀＀尩슏⣵䀪嘉偉_x001B_剃䍂偞䵟呋噟䱁㐨ㄱ㠵Ⱜ唬䑓착_x0018_＀＀_x0018_＀＀_x0008_＀＀_x0001_＀＀_x0001_＀＀ڎᛰ䂉嘋偉)䥆䭂䥞彃卅䥔䅍䕔䔨卐䴬䅅ⱎ乁ⱎ〲㐱㐬ㄱ㠵착_x0018_＀＀_x0018_＀＀_x0008_＀＀_x0001_＀＀_x0001_＀＀＀＀＀＀＀＀㿶嘊偉_x0013_䡃䍆偞偟䥒䕃㐨ㄱ㠵착_x0018_＀＀_x0018_＀＀_x0008_＀＀_x0001_＀＀_x0001_＀＀슏⣵콜䀷嘊偉(䡆幎䍉䕟呓䵉呁⡅偅ⱓ䕍乁䄬乎㈬㄰ⰲㄴ㔱⤸_x0018_＀＀_x0018_＀＀_x0008_＀＀_x0001_＀＀_x0001_＀＀ꧼ틱才㽐嘋偉)䡃䍆䥞彃卅䥔䅍䕔䔨卐䴬䅅ⱎ乁ⱎ〲㌱㐬ㄱ㠵착_x0018_＀＀_x0018_＀＀_x0008_＀＀_x0001_＀＀_x0001_＀＀ొ⬂ᚇ㿿噞偊(䵃幁䍉䕟呓䵉呁⡅偅ⱓ䕍乁䄬乎㈬㄰ⰴㄴ㔱⤹_x0018_＀＀_x0018_＀＀_x0008_＀＀_x0001_＀＀_x0001_＀＀ꧻ틱䀇噟偊_x001B_䉕䥓偞䵟呋噟䱁㐨ㄱ㤵Ⱜ唬䑓착_x0018_＀＀_x0018_＀＀_x0008_＀＀_x0001_＀＀_x0001_＀＀酩糭挿䂓嘋偉)䍐䍂䥞彃卅䥔䅍䕔䔨卐䴬䅅ⱎ乁ⱎ〲㌱㐬ㄱ㠵착_x0018_＀＀_x0018_＀＀_x0008_＀＀_x0001_＀＀_x0001_＀＀豀碵꼝쐕噝偊(䙃幒䍉䕟呓䵉呁⡅偅ⱓ䕍乁䄬乎㈬㄰ⰴㄴ㔱⤹_x0018_＀＀_x0018_＀＀_x0008_＀＀_x0001_＀＀_x0001_＀＀㌳㌳㌳䀐嘉偉)䥆䉔䥞彃卅䥔䅍䕔䔨卐䴬䅅ⱎ乁ⱎ〲㐱㐬ㄱ㠵착_x0018_＀＀_x0018_＀＀_x0008_＀＀_x0001_＀＀_x0001_＀＀竡긔㿺䃤偉_x0012_䉃幕彐剐䍉⡅〴㤷⤳_x0018_＀＀_x0018_＀＀_x0008_＀＀_x0001_＀＀_x0001_＀＀슐⣵轜䀸嘉偉(䕋幙䍉䕟呓䵉呁⡅偅ⱓ䕍乁䄬乎㈬㄰ⰳㄴ㔱⤸_x0018_＀＀_x0018_＀＀_x0008_＀＀_x0001_＀＀_x0001_＀＀犰酨糭㿫嘋偉*䉃奃幂䍉䕟呓䵉呁⡅偅ⱓ䕍乁䄬乎㈬㄰ⰲㄴ㔱⤸_x0014_＀＀_x0018_＀＀_x0004_＀＀_x0001_＀＀_x0003_＀＀＀＀耀噢偊(千幅䍉䕟呓䵉呁⡅偅ⱓ䕍乁䄬乎㈬㄰ⰳㄴ㔱⤹_x0018_＀＀_x0018_＀＀_x0008_＀＀_x0001_＀＀_x0001_＀＀Ȍ蜫_xD916_㿢嘊偉_x0013_䍓呂偞偟䥒䕃㐨ㄱ㠵착_x0018_＀＀_x0018_＀＀_x0008_＀＀_x0001_＀＀_x0001_＀＀롑攞䁄噞偊)䥚乏䥞彃卅䥔䅍䕔䔨卐䴬䅅ⱎ乁ⱎ〲㌱㐬ㄱ㤵착_x0018_＀＀_x0018_＀＀_x0008_＀＀_x0001_＀＀_x0001_＀＀๖눭㿻嘉偉_x0013_䥆乎偞偟䥒䕃㐨㤰㤰착_x0018_＀＀_x0018_＀＀_x0008_＀＀_x0001_＀＀_x0001_＀＀＀＀＀＀谀䂧嘋偉)䍕䥂䥞彃卅䥔䅍䕔䔨卐䴬䅅ⱎ乁ⱎ〲㐱㐬ㄱ㠵착_x0018_＀＀_x0018_＀＀_x0008_＀＀_x0001_＀＀_x0001_＀＀凬Ẹ㿱噢偊)剃䍂䥞彃卅䥔䅍䕔䔨卐䴬䅅ⱎ乁ⱎ〲㈱㐬ㄱ㤵착_x0018_＀＀_x0018_＀＀_x0008_＀＀_x0001_＀＀_x0001_＀＀슏⣵轜䀀䃤偉_x0012_䙃幒彐剐䍉⡅〴㤷⤳_x0018_＀＀_x0018_＀＀_x0008_＀＀_x0001_＀＀_x0001_＀＀尨芏䁈噢偊)䍓呂䥞彃卅䥔䅍䕔䔨卐䴬䅅ⱎ乁ⱎ〲㌱㐬ㄱ㤵착_x0018_＀＀_x0018_＀＀_x0008_＀＀_x0001_＀＀_x0001_＀＀إ閁譃䀉噠偊_x0013_噃䙂偞偟䥒䕃㐨ㄱ㤵착_x0018_＀＀_x0018_＀＀_x0008_＀＀_x0001_＀＀_x0001_＀＀ᑺ잮䀨噟偊_x0013_商呌偞偟䥒䕃㐨ㄱ㤵착_x0018_＀＀_x0018_＀＀_x0008_＀＀_x0001_＀＀_x0001_＀＀蔟凫Ẹ䀤嘊偉_x0013_䉐呃偞偟䥒䕃㐨ㄱ㠵착_x0018_＀＀_x0018_＀＀_x0008_＀＀_x0001_＀＀_x0001_＀＀롒蔞凫䀨噠偊_x0013_坎䥂偞偟䥒䕃㐨㤰㤰착_x0018_＀＀_x0018_＀＀_x0008_＀＀_x0001_＀＀_x0001_＀＀竡긔䀨噡偊_x0013_乐偆偞偟䥒䕃㐨㤰㤰착_x0018_＀＀_x0018_＀＀_x0008_＀＀_x0001_＀＀_x0001_＀＀晦晦♦䀰嘊偉)商呌䥞彃卅䥔䅍䕔䔨卐䴬䅅ⱎ乁ⱎ〲㈱㐬ㄱ㠵착_x0018_＀＀_x0018_＀＀_x0008_＀＀_x0001_＀＀_x0001_＀＀桳㽼㿩嘊偉)呗䍆䥞彃卅䥔䅍䕔䔨卐䴬䅅ⱎ乁ⱎ〲㐱㐬ㄱ㠵착_x0018_＀＀_x0018_＀＀_x0008_＀＀_x0001_＀＀_x0001_＀＀㝌䆉䀇嘋偉(䙐幓䍉䕟呓䵉呁⡅偅ⱓ䕍乁䄬乎㈬㄰ⰳㄴ㔱⤸_x0018_＀＀_x0018_＀＀_x0008_＀＀_x0001_＀＀_x0001_＀＀䆉⋐㿳噝偊_x0012_䕋幙彐剐䍉⡅ㄴ㔱⤹_x0018_＀＀_x0018_＀＀_x0008_＀＀_x0001_＀＀_x0001_＀＀Ẹ㡑䀡嘊偉_x0012_剐幋彐剐䍉⡅ㄴ㔱⤸_x0018_＀＀_x0018_＀＀_x0008_＀＀_x0001_＀＀_x0001_＀＀䞮竡縔䁑嘉偉_x0013_䉉䍋偞偟䥒䕃㐨ㄱ㠵착_x0018_＀＀_x0018_＀＀_x0008_＀＀_x0001_＀＀_x0001_＀＀＀＀＀＀＀＀䁈嘉偉)䉈乁䥞彃卅䥔䅍䕔䔨卐䴬䅅ⱎ乁ⱎ〲㌱㐬ㄱ㠵착_x0018_＀＀_x0018_＀＀_x0008_＀＀_x0001_＀＀_x0001_＀＀ﷴ磔⛩㿥䃤偉_x0013_䍆乂偞偟䥒䕃㐨㜰㌹착_x0018_＀＀_x0018_＀＀_x0008_＀＀_x0001_＀＀_x0001_＀＀＀＀＀＀퀀䁻䃤偉_x0013_䵕児偞偟䥒䕃㐨㜰㌹착_x0018_＀＀_x0018_＀＀_x0008_＀＀_x0001_＀＀_x0001_＀＀쳍쳌䳌䀣䃤偉_x0014_䉕䥓䙞彇剐䍉⡅〴〹⤹_x0018_＀＀_x0018_＀＀_x0008_＀＀_x0001_＀＀_x0001_＀＀롑䔞䀼噝偊_x001A_剆幃彐䭍彔䅖⡌ㄴ㔱ⰹⰬ单⥄_x0018_＀＀_x0018_＀＀_x0008_＀＀_x0001_＀＀_x0001_＀＀鮦⃄䂰䃤偉_x0013_乆䝆偞偟䥒䕃㐨㜰㌹착_x0018_＀＀_x0018_＀＀_x0008_＀＀_x0001_＀＀_x0001_＀＀䞮竡⸔䀥嘉偉_x001A_䡆幎彐䭍彔䅖⡌ㄴ㔱ⰸⰬ单⥄_x0018_＀＀_x0018_＀＀_x0008_＀＀_x0001_＀＀_x0001_＀＀뀡桲᷑䂢噢偊(䭂幕䍉䕟呓䵉呁⡅偅ⱓ䕍乁䄬乎㈬㄰ⰳㄴ㔱⤹_x0018_＀＀_x0018_＀＀_x0008_＀＀_x0001_＀＀_x0001_＀＀Й๖눭㿹噢偊)䉉䍋䥞彃卅䥔䅍䕔䔨卐䴬䅅ⱎ乁ⱎ〲㈱㐬ㄱ㤵착_x0018_＀＀_x0018_＀＀_x0008_＀＀_x0001_＀＀_x0001_＀＀_xDD2F_ؤ閁䀂嘉偉_x001A_呍幂彐䭍彔䅖⡌ㄴ㔱ⰸⰬ单⥄_x0018_＀＀_x0018_＀＀_x0008_＀＀_x0001_＀＀_x0001_＀＀閁譃㿜䃆嘋偉)䉂乃䥞彃卅䥔䅍䕔䔨卐䴬䅅ⱎ乁ⱎ〲㌱㐬ㄱ㠵착_x0018_＀＀_x0018_＀＀_x0008_＀＀_x0001_＀＀_x0001_＀＀탥_xDB22_绹㿰噟偊_x0013_呗䍆偞偟䥒䕃㐨ㄱ㤵착_x0018_＀＀_x0018_＀＀_x0008_＀＀_x0001_＀＀_x0001_＀＀ਾꏗ_xDD70_䁂嘊偉_x0013_偂䡆偞偟䥒䕃㐨㤰㤰착_x0018_＀＀_x0018_＀＀_x0008_＀＀_x0001_＀＀_x0001_＀＀尨슏䀟嘊偉(䉗幓䍉䕟呓䵉呁⡅偅ⱓ䕍乁䄬乎㈬㄰ⰳㄴ㔱⤸_x0018_＀＀_x0018_＀＀_x0008_＀＀_x0001_＀＀_x0001_＀＀⋐率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MacGregor</author>
  </authors>
  <commentList>
    <comment ref="F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Typical values range from 5% to 7%, depending on the size of the IPO.  Smaller IPOs generally have larger underwriting discounts.</t>
        </r>
      </text>
    </comment>
    <comment ref="F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Typical value is 15%, but may range from 10% to 20% depending on the strength of the Issuer and market conditions.</t>
        </r>
      </text>
    </comment>
    <comment ref="F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Typical value is 15%.</t>
        </r>
      </text>
    </comment>
    <comment ref="F1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Ranges from 0% to 100%.</t>
        </r>
      </text>
    </comment>
    <comment ref="F1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Macacbacus:</t>
        </r>
        <r>
          <rPr>
            <sz val="9"/>
            <color indexed="81"/>
            <rFont val="Tahoma"/>
            <family val="2"/>
          </rPr>
          <t xml:space="preserve">
The greenshoe, or simply "shoe", is exercised at the option of the underwriter(s).</t>
        </r>
      </text>
    </comment>
    <comment ref="F4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Projected earnings sourced from either the Issuer or a bookrunner's research analyst.</t>
        </r>
      </text>
    </comment>
    <comment ref="F4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Projected earnings sourced from either the Issuer or a bookrunner's research analyst.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MacGregor</author>
  </authors>
  <commentList>
    <comment ref="B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Treasury stock method.</t>
        </r>
      </text>
    </comment>
  </commentList>
</comments>
</file>

<file path=xl/sharedStrings.xml><?xml version="1.0" encoding="utf-8"?>
<sst xmlns="http://schemas.openxmlformats.org/spreadsheetml/2006/main" count="120" uniqueCount="111">
  <si>
    <t>This sheet contains Factset binary data for use with this workbook's =FDS codes.  Modifying the worksheet's contents may damage the workbook's =FDS functionality.</t>
  </si>
  <si>
    <t>IPO valuation</t>
  </si>
  <si>
    <t>IPO discount (%)</t>
  </si>
  <si>
    <t>( + ) Primary shares issued</t>
  </si>
  <si>
    <t>( + ) IPO discount</t>
  </si>
  <si>
    <t>Primary shares issued</t>
  </si>
  <si>
    <t>Secondary shares sold</t>
  </si>
  <si>
    <t>Total shares issued/sold</t>
  </si>
  <si>
    <t>Gross primary proceeds</t>
  </si>
  <si>
    <t>Net primary proceeds</t>
  </si>
  <si>
    <t>Options strike price</t>
  </si>
  <si>
    <t>Options outstanding</t>
  </si>
  <si>
    <t>(shares in millions)</t>
  </si>
  <si>
    <t>Class A common stock</t>
  </si>
  <si>
    <t>Class B common stock</t>
  </si>
  <si>
    <t>Total basic shares outstanding</t>
  </si>
  <si>
    <t>( + ) Stock options</t>
  </si>
  <si>
    <t>Shares</t>
  </si>
  <si>
    <t>High</t>
  </si>
  <si>
    <t>Low</t>
  </si>
  <si>
    <t>Midpoint</t>
  </si>
  <si>
    <t>FINRA Filing fee</t>
  </si>
  <si>
    <t>Nasdaq listing fees and expenses</t>
  </si>
  <si>
    <t>Transfer agent and registrar fees and expenses</t>
  </si>
  <si>
    <t>Printing fees and expenses</t>
  </si>
  <si>
    <t>Legal fees and expenses</t>
  </si>
  <si>
    <t>Accounting fees and expenses</t>
  </si>
  <si>
    <t>Miscellaneous</t>
  </si>
  <si>
    <t>Total expenses</t>
  </si>
  <si>
    <t>Fully diluted shares outstanding</t>
  </si>
  <si>
    <t>Fully distributed ("FD") valuation</t>
  </si>
  <si>
    <t>Filing Range</t>
  </si>
  <si>
    <t>Offering price per share</t>
  </si>
  <si>
    <t>Total offering size</t>
  </si>
  <si>
    <t>( – ) Expenses</t>
  </si>
  <si>
    <t>IPO price per share</t>
  </si>
  <si>
    <t>( – ) Underwriting discount</t>
  </si>
  <si>
    <t>Net IPO price per share</t>
  </si>
  <si>
    <t>Offering expenses</t>
  </si>
  <si>
    <t>Underwriting discount</t>
  </si>
  <si>
    <t>Shares offered</t>
  </si>
  <si>
    <t>Underwriting discount (%)</t>
  </si>
  <si>
    <t>IPO Discount &amp; Fees</t>
  </si>
  <si>
    <t>Valuation</t>
  </si>
  <si>
    <t>IPO Proceeds</t>
  </si>
  <si>
    <t>Market capitalization</t>
  </si>
  <si>
    <t>Pro forma shares</t>
  </si>
  <si>
    <t>($ and shares in millions, except per share amounts)</t>
  </si>
  <si>
    <t>Overallotment</t>
  </si>
  <si>
    <t>Base deal shares issued/sold</t>
  </si>
  <si>
    <t>Overallotment – primary shares</t>
  </si>
  <si>
    <t>Overallotment – secondary shares</t>
  </si>
  <si>
    <t>Overallotment ("Greenshoe") (%)</t>
  </si>
  <si>
    <t>Existing Issuer FDSO</t>
  </si>
  <si>
    <t>Pro forma Issuer FDSO</t>
  </si>
  <si>
    <t>Exercise shoe?</t>
  </si>
  <si>
    <t>Offering Size</t>
  </si>
  <si>
    <t>Base deal</t>
  </si>
  <si>
    <t>( + ) Overallotment</t>
  </si>
  <si>
    <t>Total overallotment</t>
  </si>
  <si>
    <t>Filing range – low</t>
  </si>
  <si>
    <t>Filing range – high</t>
  </si>
  <si>
    <t>IPO Calculations</t>
  </si>
  <si>
    <t>IPO Assumptions</t>
  </si>
  <si>
    <t>Value</t>
  </si>
  <si>
    <t>Potential Range of IPO Prices</t>
  </si>
  <si>
    <t>Issuer Assumptions</t>
  </si>
  <si>
    <t>SEC registration fee</t>
  </si>
  <si>
    <t>Primary allocation (%)</t>
  </si>
  <si>
    <t>Fully Diluted Share Count ("FDSO") Matrix</t>
  </si>
  <si>
    <t>IPO fees &amp; expenses</t>
  </si>
  <si>
    <t>Strictly Confidential</t>
  </si>
  <si>
    <t>Table of Contents</t>
  </si>
  <si>
    <t>© 2023 Macabacus, LLC</t>
  </si>
  <si>
    <t>DISCLAIMER</t>
  </si>
  <si>
    <t>This model represents a hypothetical DCF of a hypothetical company. Any similarity between the financial metrics of this company and actual companies</t>
  </si>
  <si>
    <t>is purely coincidental. Macabacus does not provide investment, accounting or tax advice. Additionally, tax and accounting rules used in the model are</t>
  </si>
  <si>
    <t>illustrative and may not reflect current tax or accounting rules and standards.</t>
  </si>
  <si>
    <t>Except as otherwise expressly stated, including but not limited to in a license or other agreement governing the use of specific content, all content in this</t>
  </si>
  <si>
    <t>model is provided "as is," and Macabacus makes no representations or warranties, express or implied, including but not limited to warranties</t>
  </si>
  <si>
    <t xml:space="preserve">of merchantability, fitness for a particular purpose, title or non-infringement of proprietary rights. Without limiting the foregoing, Macabacus </t>
  </si>
  <si>
    <t>makes no representation or warranty that content in this model is free from error or suitable for any purpose; nor that the use of such</t>
  </si>
  <si>
    <t xml:space="preserve">content will not infringe any third-party copyrights, trademarks or other intellectual property rights. You understand and agree that you </t>
  </si>
  <si>
    <t xml:space="preserve">download or otherwise obtain content through Macabacus' websites at your own discretion and risk, and that Macabacus will have no </t>
  </si>
  <si>
    <t>liability or responsibility for any damage to your computer system or data that results from the download or use of such content. Some</t>
  </si>
  <si>
    <t>jurisdictions may not allow the exclusion of implied warranties, so some of the above limitations may not apply to you.</t>
  </si>
  <si>
    <t>LIMITATION OF LIABILITY OF MACABACUS</t>
  </si>
  <si>
    <t>Except as otherwise expressly stated, including but not limited to in a license or other agreement governing the use of specific content, in no event will Macabacus</t>
  </si>
  <si>
    <t>be liabile to you or any other party for any direct, indirect, special, consequential or exemplary damages, regardless of the basis or nature of the claim, resulting</t>
  </si>
  <si>
    <t>from any use of this model, or the contents thereof, including without limitation any lost profits, business interruption, loss of data or otherwise, even if Macabacus</t>
  </si>
  <si>
    <t>was expressly advised of the possibility of such damages. Some jurisdictions may not allow the exclcusion or limitation of liability for certain incidental or</t>
  </si>
  <si>
    <t>consequential damages, so some of the above limitations may not apply to you.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</si>
  <si>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</si>
  <si>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</si>
  <si>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</si>
  <si>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</si>
  <si>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</si>
  <si>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>https://www.macabacus.com/</t>
  </si>
  <si>
    <t>feedback@macabacus.com</t>
  </si>
  <si>
    <t xml:space="preserve"> </t>
  </si>
  <si>
    <t>Assumptions</t>
  </si>
  <si>
    <t>Fully Diluted Shares Outstanding</t>
  </si>
  <si>
    <t>Macabacus Initial Public Offering Model</t>
  </si>
  <si>
    <t>Issuer 2023E earnings</t>
  </si>
  <si>
    <t>Issuer 2024E earnings</t>
  </si>
  <si>
    <t>2023E earnings</t>
  </si>
  <si>
    <t>Implied 2023 IPO P/E multiple</t>
  </si>
  <si>
    <t>Implied 2023 FD P/E multiple</t>
  </si>
  <si>
    <t>2024E earnings</t>
  </si>
  <si>
    <t>Implied 2024 IPO P/E multiple</t>
  </si>
  <si>
    <t>Implied 2024 FD P/E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</si>
</sst>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.0_)_%;_(\(#,##0.0\)_%;_(&quot;–&quot;_)_%;@_(_%"/>
    <numFmt numFmtId="165" formatCode="_(#,##0.00_)_%;_(\(#,##0.00\)_%;_(&quot;–&quot;_)_%;@_(_%"/>
    <numFmt numFmtId="166" formatCode="_(&quot;$&quot;#,##0.00_)_%;_(\(&quot;$&quot;#,##0.00\)_%;_(&quot;–&quot;_)_%;@_(_%"/>
    <numFmt numFmtId="167" formatCode="_(0.0%_);\(0.0%\);_(&quot;–&quot;_)_%;@_(_%"/>
    <numFmt numFmtId="168" formatCode="_(#,##0.000_)_%;_(\(#,##0.000\)_%;_(&quot;–&quot;_)_%;@_(_%"/>
    <numFmt numFmtId="169" formatCode="_(&quot;$&quot;#,##0.0_)_%;_(\(&quot;$&quot;#,##0.0\)_%;_(&quot;–&quot;_)_%;@_(_%"/>
    <numFmt numFmtId="170" formatCode="_(0.0\x_)_);_(\(0.0\x\)_';_(&quot;–&quot;_)_%;@_(_%"/>
    <numFmt numFmtId="171" formatCode="&quot;Yes&quot;_)_%;;&quot;No&quot;_)_%"/>
    <numFmt numFmtId="172" formatCode="_(#,##0_)_%;\(#,##0\)_%;_(&quot;–&quot;_)_%;_(@_)_%"/>
  </numFmts>
  <fonts count="53">
    <font>
      <sz val="10"/>
      <color indexed="16"/>
      <name val="Credit Suisse Type Roman"/>
      <family val="2"/>
    </font>
    <font>
      <sz val="10"/>
      <color theme="1"/>
      <name val="Open Sans"/>
      <family val="2"/>
    </font>
    <font>
      <sz val="8"/>
      <name val="Credit Suisse Type Roman"/>
      <family val="2"/>
    </font>
    <font>
      <sz val="10"/>
      <color indexed="16"/>
      <name val="Credit Suisse Type Roman"/>
      <family val="2"/>
    </font>
    <font>
      <sz val="10"/>
      <name val="Times New Roman"/>
      <family val="1"/>
    </font>
    <font>
      <sz val="18"/>
      <name val="Helvetica-Black"/>
      <family val="2"/>
    </font>
    <font>
      <i/>
      <sz val="14"/>
      <name val="Palatino"/>
      <family val="1"/>
    </font>
    <font>
      <sz val="10"/>
      <color indexed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1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11"/>
      <color rgb="FFC32838"/>
      <name val="Calibri"/>
      <family val="2"/>
      <scheme val="minor"/>
    </font>
    <font>
      <b/>
      <sz val="20"/>
      <color rgb="FF264E58"/>
      <name val="Open Sans"/>
      <family val="2"/>
    </font>
    <font>
      <b/>
      <sz val="14"/>
      <color rgb="FF264E58"/>
      <name val="Open Sans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2"/>
      <color rgb="FF3271D2"/>
      <name val="Open Sans"/>
      <family val="2"/>
    </font>
    <font>
      <b/>
      <sz val="12"/>
      <color theme="0"/>
      <name val="Open Sans"/>
      <family val="2"/>
    </font>
    <font>
      <sz val="12"/>
      <color rgb="FFC32838"/>
      <name val="Calibri"/>
      <family val="2"/>
      <scheme val="minor"/>
    </font>
    <font>
      <sz val="12"/>
      <color rgb="FFFA621C"/>
      <name val="Calibri"/>
      <family val="2"/>
      <scheme val="minor"/>
    </font>
    <font>
      <sz val="12"/>
      <color theme="0"/>
      <name val="Open Sans"/>
      <family val="2"/>
    </font>
    <font>
      <sz val="11"/>
      <color theme="0"/>
      <name val="Open Sans"/>
      <family val="2"/>
    </font>
    <font>
      <sz val="10"/>
      <color theme="0"/>
      <name val="Open Sans"/>
      <family val="2"/>
    </font>
    <font>
      <u/>
      <sz val="11"/>
      <color theme="0"/>
      <name val="Open Sans"/>
      <family val="2"/>
    </font>
    <font>
      <b/>
      <sz val="12"/>
      <color indexed="16"/>
      <name val="Open Sans"/>
      <family val="2"/>
    </font>
    <font>
      <sz val="10"/>
      <color indexed="16"/>
      <name val="Open Sans"/>
      <family val="2"/>
    </font>
    <font>
      <sz val="8"/>
      <color indexed="16"/>
      <name val="Open Sans"/>
      <family val="2"/>
    </font>
    <font>
      <b/>
      <sz val="10"/>
      <color indexed="8"/>
      <name val="Open Sans"/>
      <family val="2"/>
    </font>
    <font>
      <sz val="10"/>
      <color rgb="FF3271D2"/>
      <name val="Open Sans"/>
      <family val="2"/>
    </font>
    <font>
      <b/>
      <u/>
      <sz val="10"/>
      <color indexed="16"/>
      <name val="Open Sans"/>
      <family val="2"/>
    </font>
    <font>
      <sz val="10"/>
      <color indexed="9"/>
      <name val="Open Sans"/>
      <family val="2"/>
    </font>
    <font>
      <sz val="10"/>
      <color rgb="FF008000"/>
      <name val="Open Sans"/>
      <family val="2"/>
    </font>
    <font>
      <b/>
      <i/>
      <sz val="8"/>
      <color rgb="FF0000FF"/>
      <name val="Open Sans"/>
      <family val="2"/>
    </font>
    <font>
      <b/>
      <sz val="10"/>
      <color indexed="16"/>
      <name val="Open Sans"/>
      <family val="2"/>
    </font>
    <font>
      <b/>
      <sz val="10"/>
      <color rgb="FF003868"/>
      <name val="Open Sans"/>
      <family val="2"/>
    </font>
    <font>
      <i/>
      <sz val="8"/>
      <color indexed="16"/>
      <name val="Open Sans"/>
      <family val="2"/>
    </font>
    <font>
      <sz val="10"/>
      <color rgb="FF000000"/>
      <name val="Open Sans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rgb="FFF5F1EF"/>
        <bgColor indexed="64"/>
      </patternFill>
    </fill>
    <fill>
      <patternFill patternType="solid">
        <fgColor rgb="FFDDE4E9"/>
        <bgColor indexed="64"/>
      </patternFill>
    </fill>
    <fill>
      <patternFill patternType="solid">
        <fgColor rgb="FF264E58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10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B2C2D1"/>
      </left>
      <right/>
      <top style="thin">
        <color rgb="FFB2C2D1"/>
      </top>
      <bottom style="thin">
        <color rgb="FFB2C2D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rgb="FFB2C2D1"/>
      </top>
      <bottom style="thin">
        <color rgb="FFB2C2D1"/>
      </bottom>
      <diagonal/>
    </border>
    <border>
      <left/>
      <right/>
      <top/>
      <bottom style="medium">
        <color rgb="FF255B89"/>
      </bottom>
      <diagonal/>
    </border>
    <border>
      <left/>
      <right/>
      <top/>
      <bottom style="thin">
        <color rgb="FF255B89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B2C2D1"/>
      </right>
      <top style="thin">
        <color rgb="FFB2C2D1"/>
      </top>
      <bottom style="thin">
        <color rgb="FFB2C2D1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51">
    <xf numFmtId="0" fontId="0" fillId="0" borderId="0"/>
    <xf numFmtId="0" fontId="8" fillId="2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4" borderId="0" applyNumberFormat="0" applyBorder="0" applyAlignment="0" applyProtection="0"/>
    <xf numFmtId="0" fontId="11" fillId="22" borderId="2" applyNumberFormat="0" applyAlignment="0" applyProtection="0"/>
    <xf numFmtId="0" fontId="12" fillId="23" borderId="3" applyNumberFormat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4" applyNumberFormat="0" applyFill="0" applyAlignment="0" applyProtection="0"/>
    <xf numFmtId="0" fontId="5" fillId="0" borderId="0" applyProtection="0">
      <alignment horizontal="left"/>
    </xf>
    <xf numFmtId="0" fontId="6" fillId="0" borderId="0" applyProtection="0">
      <alignment horizontal="left"/>
    </xf>
    <xf numFmtId="0" fontId="16" fillId="0" borderId="0" applyNumberFormat="0" applyFill="0" applyBorder="0" applyAlignment="0" applyProtection="0"/>
    <xf numFmtId="1" fontId="7" fillId="0" borderId="0" applyNumberFormat="0">
      <alignment horizontal="right"/>
    </xf>
    <xf numFmtId="0" fontId="17" fillId="0" borderId="5" applyNumberFormat="0" applyFill="0" applyAlignment="0" applyProtection="0"/>
    <xf numFmtId="0" fontId="18" fillId="12" borderId="0" applyNumberFormat="0" applyBorder="0" applyAlignment="0" applyProtection="0"/>
    <xf numFmtId="0" fontId="8" fillId="7" borderId="6" applyNumberFormat="0" applyFont="0" applyAlignment="0" applyProtection="0"/>
    <xf numFmtId="0" fontId="19" fillId="22" borderId="7" applyNumberFormat="0" applyAlignment="0" applyProtection="0"/>
    <xf numFmtId="0" fontId="20" fillId="0" borderId="0" applyNumberFormat="0" applyFill="0" applyBorder="0" applyAlignment="0" applyProtection="0"/>
    <xf numFmtId="37" fontId="4" fillId="0" borderId="8"/>
    <xf numFmtId="0" fontId="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5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93">
    <xf numFmtId="0" fontId="0" fillId="0" borderId="0" xfId="0"/>
    <xf numFmtId="0" fontId="24" fillId="0" borderId="0" xfId="0" applyFont="1" applyAlignment="1">
      <alignment vertical="center"/>
    </xf>
    <xf numFmtId="0" fontId="26" fillId="0" borderId="0" xfId="47" applyFont="1"/>
    <xf numFmtId="0" fontId="25" fillId="0" borderId="0" xfId="47"/>
    <xf numFmtId="0" fontId="26" fillId="26" borderId="20" xfId="47" applyFont="1" applyFill="1" applyBorder="1"/>
    <xf numFmtId="0" fontId="26" fillId="26" borderId="21" xfId="47" applyFont="1" applyFill="1" applyBorder="1"/>
    <xf numFmtId="0" fontId="26" fillId="26" borderId="22" xfId="47" applyFont="1" applyFill="1" applyBorder="1"/>
    <xf numFmtId="0" fontId="26" fillId="26" borderId="23" xfId="47" applyFont="1" applyFill="1" applyBorder="1"/>
    <xf numFmtId="0" fontId="26" fillId="26" borderId="0" xfId="47" applyFont="1" applyFill="1"/>
    <xf numFmtId="0" fontId="26" fillId="26" borderId="24" xfId="47" applyFont="1" applyFill="1" applyBorder="1"/>
    <xf numFmtId="0" fontId="27" fillId="0" borderId="0" xfId="47" applyFont="1"/>
    <xf numFmtId="0" fontId="26" fillId="0" borderId="23" xfId="47" applyFont="1" applyBorder="1"/>
    <xf numFmtId="0" fontId="26" fillId="0" borderId="24" xfId="47" applyFont="1" applyBorder="1"/>
    <xf numFmtId="0" fontId="28" fillId="0" borderId="0" xfId="47" applyFont="1" applyProtection="1">
      <protection locked="0"/>
    </xf>
    <xf numFmtId="0" fontId="29" fillId="0" borderId="0" xfId="47" applyFont="1" applyAlignment="1">
      <alignment horizontal="right"/>
    </xf>
    <xf numFmtId="0" fontId="26" fillId="0" borderId="0" xfId="47" applyFont="1" applyProtection="1">
      <protection locked="0"/>
    </xf>
    <xf numFmtId="0" fontId="30" fillId="0" borderId="0" xfId="48"/>
    <xf numFmtId="0" fontId="29" fillId="0" borderId="25" xfId="47" applyFont="1" applyBorder="1" applyProtection="1">
      <protection locked="0"/>
    </xf>
    <xf numFmtId="0" fontId="1" fillId="0" borderId="0" xfId="47" applyFont="1"/>
    <xf numFmtId="172" fontId="32" fillId="0" borderId="0" xfId="49" applyNumberFormat="1" applyFont="1" applyFill="1" applyBorder="1" applyProtection="1">
      <protection locked="0"/>
    </xf>
    <xf numFmtId="0" fontId="1" fillId="0" borderId="0" xfId="50" applyFont="1" applyFill="1" applyBorder="1"/>
    <xf numFmtId="0" fontId="33" fillId="26" borderId="0" xfId="47" applyFont="1" applyFill="1"/>
    <xf numFmtId="0" fontId="1" fillId="26" borderId="0" xfId="47" applyFont="1" applyFill="1"/>
    <xf numFmtId="0" fontId="34" fillId="0" borderId="0" xfId="47" applyFont="1"/>
    <xf numFmtId="0" fontId="35" fillId="0" borderId="0" xfId="47" applyFont="1"/>
    <xf numFmtId="0" fontId="36" fillId="26" borderId="0" xfId="47" applyFont="1" applyFill="1"/>
    <xf numFmtId="0" fontId="37" fillId="26" borderId="0" xfId="47" applyFont="1" applyFill="1"/>
    <xf numFmtId="172" fontId="37" fillId="26" borderId="0" xfId="47" applyNumberFormat="1" applyFont="1" applyFill="1"/>
    <xf numFmtId="0" fontId="38" fillId="26" borderId="0" xfId="47" applyFont="1" applyFill="1"/>
    <xf numFmtId="172" fontId="39" fillId="26" borderId="0" xfId="49" applyNumberFormat="1" applyFont="1" applyFill="1"/>
    <xf numFmtId="0" fontId="26" fillId="0" borderId="26" xfId="47" applyFont="1" applyBorder="1"/>
    <xf numFmtId="0" fontId="26" fillId="0" borderId="27" xfId="47" applyFont="1" applyBorder="1"/>
    <xf numFmtId="0" fontId="26" fillId="0" borderId="28" xfId="47" applyFont="1" applyBorder="1"/>
    <xf numFmtId="0" fontId="26" fillId="0" borderId="0" xfId="47" applyFont="1" applyFill="1"/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15" xfId="0" applyFont="1" applyBorder="1" applyAlignment="1">
      <alignment vertical="center"/>
    </xf>
    <xf numFmtId="0" fontId="43" fillId="0" borderId="9" xfId="0" applyFont="1" applyBorder="1" applyAlignment="1">
      <alignment horizontal="justify" vertical="center"/>
    </xf>
    <xf numFmtId="0" fontId="43" fillId="0" borderId="9" xfId="0" applyFont="1" applyBorder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8" fontId="44" fillId="0" borderId="0" xfId="0" applyNumberFormat="1" applyFont="1" applyAlignment="1">
      <alignment vertical="center"/>
    </xf>
    <xf numFmtId="167" fontId="44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171" fontId="44" fillId="0" borderId="0" xfId="0" applyNumberFormat="1" applyFont="1" applyAlignment="1">
      <alignment horizontal="right" vertical="center"/>
    </xf>
    <xf numFmtId="171" fontId="46" fillId="0" borderId="0" xfId="0" applyNumberFormat="1" applyFont="1" applyAlignment="1">
      <alignment horizontal="right" vertical="center"/>
    </xf>
    <xf numFmtId="0" fontId="44" fillId="0" borderId="0" xfId="0" applyFont="1" applyAlignment="1">
      <alignment vertical="center"/>
    </xf>
    <xf numFmtId="169" fontId="44" fillId="0" borderId="0" xfId="0" applyNumberFormat="1" applyFont="1" applyAlignment="1">
      <alignment vertical="center"/>
    </xf>
    <xf numFmtId="164" fontId="44" fillId="0" borderId="0" xfId="0" applyNumberFormat="1" applyFont="1" applyAlignment="1">
      <alignment vertical="center"/>
    </xf>
    <xf numFmtId="0" fontId="41" fillId="0" borderId="11" xfId="0" applyFont="1" applyBorder="1" applyAlignment="1">
      <alignment vertical="center"/>
    </xf>
    <xf numFmtId="168" fontId="44" fillId="0" borderId="0" xfId="0" applyNumberFormat="1" applyFont="1" applyAlignment="1">
      <alignment horizontal="right" vertical="center"/>
    </xf>
    <xf numFmtId="166" fontId="44" fillId="0" borderId="0" xfId="0" applyNumberFormat="1" applyFont="1" applyAlignment="1">
      <alignment horizontal="right" vertical="center"/>
    </xf>
    <xf numFmtId="166" fontId="47" fillId="0" borderId="0" xfId="0" applyNumberFormat="1" applyFont="1" applyAlignment="1">
      <alignment horizontal="right" vertical="center"/>
    </xf>
    <xf numFmtId="168" fontId="47" fillId="0" borderId="0" xfId="0" applyNumberFormat="1" applyFont="1" applyAlignment="1">
      <alignment horizontal="right" vertical="center"/>
    </xf>
    <xf numFmtId="0" fontId="43" fillId="0" borderId="16" xfId="0" applyFont="1" applyBorder="1" applyAlignment="1">
      <alignment horizontal="centerContinuous" vertical="center"/>
    </xf>
    <xf numFmtId="0" fontId="41" fillId="0" borderId="16" xfId="0" applyFont="1" applyBorder="1" applyAlignment="1">
      <alignment horizontal="centerContinuous" vertical="center"/>
    </xf>
    <xf numFmtId="0" fontId="48" fillId="0" borderId="0" xfId="0" applyFont="1" applyAlignment="1">
      <alignment horizontal="center" vertical="center"/>
    </xf>
    <xf numFmtId="0" fontId="49" fillId="0" borderId="15" xfId="0" applyFont="1" applyBorder="1" applyAlignment="1">
      <alignment vertical="center"/>
    </xf>
    <xf numFmtId="166" fontId="50" fillId="0" borderId="15" xfId="0" applyNumberFormat="1" applyFont="1" applyBorder="1" applyAlignment="1">
      <alignment horizontal="right" vertical="center"/>
    </xf>
    <xf numFmtId="0" fontId="49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47" fillId="0" borderId="0" xfId="0" applyFont="1" applyAlignment="1">
      <alignment vertical="center"/>
    </xf>
    <xf numFmtId="168" fontId="52" fillId="0" borderId="0" xfId="0" applyNumberFormat="1" applyFont="1" applyAlignment="1">
      <alignment horizontal="right" vertical="center"/>
    </xf>
    <xf numFmtId="0" fontId="41" fillId="0" borderId="10" xfId="0" applyFont="1" applyBorder="1" applyAlignment="1">
      <alignment vertical="center"/>
    </xf>
    <xf numFmtId="168" fontId="41" fillId="0" borderId="10" xfId="0" applyNumberFormat="1" applyFont="1" applyBorder="1" applyAlignment="1">
      <alignment horizontal="right" vertical="center"/>
    </xf>
    <xf numFmtId="0" fontId="49" fillId="24" borderId="1" xfId="0" applyFont="1" applyFill="1" applyBorder="1" applyAlignment="1">
      <alignment vertical="center"/>
    </xf>
    <xf numFmtId="168" fontId="49" fillId="24" borderId="1" xfId="0" applyNumberFormat="1" applyFont="1" applyFill="1" applyBorder="1" applyAlignment="1">
      <alignment horizontal="right" vertical="center"/>
    </xf>
    <xf numFmtId="0" fontId="43" fillId="0" borderId="9" xfId="0" applyFont="1" applyBorder="1" applyAlignment="1">
      <alignment vertical="center"/>
    </xf>
    <xf numFmtId="166" fontId="47" fillId="0" borderId="0" xfId="0" applyNumberFormat="1" applyFont="1" applyAlignment="1">
      <alignment vertical="center"/>
    </xf>
    <xf numFmtId="166" fontId="52" fillId="0" borderId="0" xfId="0" applyNumberFormat="1" applyFont="1" applyAlignment="1">
      <alignment vertical="center"/>
    </xf>
    <xf numFmtId="0" fontId="49" fillId="25" borderId="12" xfId="0" applyFont="1" applyFill="1" applyBorder="1" applyAlignment="1">
      <alignment vertical="center"/>
    </xf>
    <xf numFmtId="0" fontId="41" fillId="25" borderId="14" xfId="0" applyFont="1" applyFill="1" applyBorder="1" applyAlignment="1">
      <alignment vertical="center"/>
    </xf>
    <xf numFmtId="0" fontId="41" fillId="25" borderId="18" xfId="0" applyFont="1" applyFill="1" applyBorder="1" applyAlignment="1">
      <alignment vertical="center"/>
    </xf>
    <xf numFmtId="168" fontId="47" fillId="0" borderId="0" xfId="0" applyNumberFormat="1" applyFont="1" applyAlignment="1">
      <alignment vertical="center"/>
    </xf>
    <xf numFmtId="0" fontId="41" fillId="0" borderId="13" xfId="0" applyFont="1" applyBorder="1" applyAlignment="1">
      <alignment vertical="center"/>
    </xf>
    <xf numFmtId="168" fontId="41" fillId="0" borderId="17" xfId="0" applyNumberFormat="1" applyFont="1" applyBorder="1" applyAlignment="1">
      <alignment vertical="center"/>
    </xf>
    <xf numFmtId="0" fontId="41" fillId="0" borderId="19" xfId="0" applyFont="1" applyBorder="1" applyAlignment="1">
      <alignment vertical="center"/>
    </xf>
    <xf numFmtId="168" fontId="41" fillId="0" borderId="19" xfId="0" applyNumberFormat="1" applyFont="1" applyBorder="1" applyAlignment="1">
      <alignment vertical="center"/>
    </xf>
    <xf numFmtId="0" fontId="41" fillId="0" borderId="17" xfId="0" applyFont="1" applyBorder="1" applyAlignment="1">
      <alignment vertical="center"/>
    </xf>
    <xf numFmtId="168" fontId="41" fillId="0" borderId="0" xfId="0" applyNumberFormat="1" applyFont="1" applyAlignment="1">
      <alignment vertical="center"/>
    </xf>
    <xf numFmtId="168" fontId="41" fillId="0" borderId="13" xfId="0" applyNumberFormat="1" applyFont="1" applyBorder="1" applyAlignment="1">
      <alignment vertical="center"/>
    </xf>
    <xf numFmtId="169" fontId="52" fillId="0" borderId="0" xfId="0" applyNumberFormat="1" applyFont="1" applyAlignment="1">
      <alignment vertical="center"/>
    </xf>
    <xf numFmtId="164" fontId="41" fillId="0" borderId="0" xfId="0" applyNumberFormat="1" applyFont="1" applyAlignment="1">
      <alignment vertical="center"/>
    </xf>
    <xf numFmtId="169" fontId="41" fillId="0" borderId="13" xfId="0" applyNumberFormat="1" applyFont="1" applyBorder="1" applyAlignment="1">
      <alignment vertical="center"/>
    </xf>
    <xf numFmtId="165" fontId="47" fillId="0" borderId="0" xfId="0" applyNumberFormat="1" applyFont="1" applyAlignment="1">
      <alignment vertical="center"/>
    </xf>
    <xf numFmtId="166" fontId="41" fillId="0" borderId="13" xfId="0" applyNumberFormat="1" applyFont="1" applyBorder="1" applyAlignment="1">
      <alignment vertical="center"/>
    </xf>
    <xf numFmtId="169" fontId="47" fillId="0" borderId="0" xfId="0" applyNumberFormat="1" applyFont="1" applyAlignment="1">
      <alignment vertical="center"/>
    </xf>
    <xf numFmtId="164" fontId="47" fillId="0" borderId="0" xfId="0" applyNumberFormat="1" applyFont="1" applyAlignment="1">
      <alignment vertical="center"/>
    </xf>
    <xf numFmtId="164" fontId="52" fillId="0" borderId="0" xfId="0" applyNumberFormat="1" applyFont="1" applyAlignment="1">
      <alignment vertical="center"/>
    </xf>
    <xf numFmtId="169" fontId="52" fillId="0" borderId="13" xfId="0" applyNumberFormat="1" applyFont="1" applyBorder="1" applyAlignment="1">
      <alignment vertical="center"/>
    </xf>
    <xf numFmtId="169" fontId="41" fillId="0" borderId="0" xfId="0" applyNumberFormat="1" applyFont="1" applyAlignment="1">
      <alignment vertical="center"/>
    </xf>
    <xf numFmtId="169" fontId="47" fillId="0" borderId="13" xfId="0" applyNumberFormat="1" applyFont="1" applyBorder="1" applyAlignment="1">
      <alignment vertical="center"/>
    </xf>
    <xf numFmtId="170" fontId="41" fillId="0" borderId="0" xfId="0" applyNumberFormat="1" applyFont="1" applyAlignment="1">
      <alignment vertical="center"/>
    </xf>
  </cellXfs>
  <cellStyles count="51">
    <cellStyle name="20% - Accent1" xfId="1" builtinId="30" hidden="1" customBuiltin="1"/>
    <cellStyle name="20% - Accent2" xfId="2" builtinId="34" hidden="1" customBuiltin="1"/>
    <cellStyle name="20% - Accent3" xfId="3" builtinId="38" hidden="1" customBuiltin="1"/>
    <cellStyle name="20% - Accent4" xfId="4" builtinId="42" hidden="1" customBuiltin="1"/>
    <cellStyle name="20% - Accent5" xfId="5" builtinId="46" hidden="1" customBuiltin="1"/>
    <cellStyle name="20% - Accent6" xfId="6" builtinId="50" hidden="1" customBuiltin="1"/>
    <cellStyle name="40% - Accent1" xfId="7" builtinId="31" hidden="1" customBuiltin="1"/>
    <cellStyle name="40% - Accent2" xfId="8" builtinId="35" hidden="1" customBuiltin="1"/>
    <cellStyle name="40% - Accent3" xfId="9" builtinId="39" hidden="1" customBuiltin="1"/>
    <cellStyle name="40% - Accent4" xfId="10" builtinId="43" hidden="1" customBuiltin="1"/>
    <cellStyle name="40% - Accent5" xfId="11" builtinId="47" hidden="1" customBuiltin="1"/>
    <cellStyle name="40% - Accent6" xfId="12" builtinId="51" hidden="1" customBuiltin="1"/>
    <cellStyle name="60% - Accent1" xfId="13" builtinId="32" hidden="1" customBuiltin="1"/>
    <cellStyle name="60% - Accent2" xfId="14" builtinId="36" hidden="1" customBuiltin="1"/>
    <cellStyle name="60% - Accent3" xfId="15" builtinId="40" hidden="1" customBuiltin="1"/>
    <cellStyle name="60% - Accent4" xfId="16" builtinId="44" hidden="1" customBuiltin="1"/>
    <cellStyle name="60% - Accent5" xfId="17" builtinId="48" hidden="1" customBuiltin="1"/>
    <cellStyle name="60% - Accent6" xfId="18" builtinId="52" hidden="1" customBuiltin="1"/>
    <cellStyle name="Accent1" xfId="19" builtinId="29" hidden="1" customBuiltin="1"/>
    <cellStyle name="Accent2" xfId="20" builtinId="33" hidden="1" customBuiltin="1"/>
    <cellStyle name="Accent3" xfId="21" builtinId="37" hidden="1" customBuiltin="1"/>
    <cellStyle name="Accent4" xfId="22" builtinId="41" hidden="1" customBuiltin="1"/>
    <cellStyle name="Accent5" xfId="23" builtinId="45" hidden="1" customBuiltin="1"/>
    <cellStyle name="Accent6" xfId="24" builtinId="49" hidden="1" customBuiltin="1"/>
    <cellStyle name="Bad" xfId="25" builtinId="27" hidden="1" customBuiltin="1"/>
    <cellStyle name="Calculation" xfId="26" builtinId="22" hidden="1" customBuiltin="1"/>
    <cellStyle name="Check Cell" xfId="27" builtinId="23" hidden="1" customBuiltin="1"/>
    <cellStyle name="Comma" xfId="42" builtinId="3" hidden="1"/>
    <cellStyle name="Comma [0]" xfId="43" builtinId="6" hidden="1"/>
    <cellStyle name="Currency" xfId="44" builtinId="4" hidden="1"/>
    <cellStyle name="Currency [0]" xfId="45" builtinId="7" hidden="1"/>
    <cellStyle name="Explanatory Text" xfId="28" builtinId="53" hidden="1" customBuiltin="1"/>
    <cellStyle name="Good" xfId="29" builtinId="26" hidden="1" customBuiltin="1"/>
    <cellStyle name="Heading 1" xfId="30" builtinId="16" hidden="1" customBuiltin="1"/>
    <cellStyle name="Heading 2" xfId="31" builtinId="17" hidden="1" customBuiltin="1"/>
    <cellStyle name="Heading 3" xfId="32" builtinId="18" hidden="1" customBuiltin="1"/>
    <cellStyle name="Heading 4" xfId="33" builtinId="19" hidden="1" customBuiltin="1"/>
    <cellStyle name="Hyperlink 2" xfId="49" xr:uid="{BD474A45-8DFC-4AC3-84D2-BEDA29B6A483}"/>
    <cellStyle name="Hyperlink 2 2" xfId="50" xr:uid="{36637B1A-C6A7-4556-8880-FCEF908EF632}"/>
    <cellStyle name="Input" xfId="34" builtinId="20" hidden="1" customBuiltin="1"/>
    <cellStyle name="Linked Cell" xfId="35" builtinId="24" hidden="1" customBuiltin="1"/>
    <cellStyle name="Neutral" xfId="36" builtinId="28" hidden="1" customBuiltin="1"/>
    <cellStyle name="Normal" xfId="0" builtinId="0"/>
    <cellStyle name="Normal 2" xfId="48" xr:uid="{32E177E6-64C5-4259-B2B7-050F4E95F575}"/>
    <cellStyle name="Normal 2 2 2" xfId="47" xr:uid="{0DAB659A-EFB1-45B7-B646-C095670EB9FC}"/>
    <cellStyle name="Note" xfId="37" builtinId="10" hidden="1" customBuiltin="1"/>
    <cellStyle name="Output" xfId="38" builtinId="21" hidden="1" customBuiltin="1"/>
    <cellStyle name="Percent" xfId="46" builtinId="5" hidden="1"/>
    <cellStyle name="Title" xfId="39" builtinId="15" hidden="1" customBuiltin="1"/>
    <cellStyle name="Total" xfId="40" builtinId="25" hidden="1" customBuiltin="1"/>
    <cellStyle name="Warning Text" xfId="41" builtinId="11" hidden="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3868"/>
      <rgbColor rgb="000000FF"/>
      <rgbColor rgb="00255B89"/>
      <rgbColor rgb="00BE92C5"/>
      <rgbColor rgb="00F49C3E"/>
      <rgbColor rgb="00A7E0F4"/>
      <rgbColor rgb="007898B3"/>
      <rgbColor rgb="00A6CB95"/>
      <rgbColor rgb="00000000"/>
      <rgbColor rgb="0092499E"/>
      <rgbColor rgb="00C8C1BC"/>
      <rgbColor rgb="006CCBED"/>
      <rgbColor rgb="00FFD251"/>
      <rgbColor rgb="006AA94E"/>
      <rgbColor rgb="00DDE4E9"/>
      <rgbColor rgb="00C8C1BC"/>
      <rgbColor rgb="00255B89"/>
      <rgbColor rgb="0091867E"/>
      <rgbColor rgb="009D0E2D"/>
      <rgbColor rgb="006CCBED"/>
      <rgbColor rgb="0092499E"/>
      <rgbColor rgb="00C8C1BC"/>
      <rgbColor rgb="006AA94E"/>
      <rgbColor rgb="00F49C3E"/>
      <rgbColor rgb="007898B3"/>
      <rgbColor rgb="00DE7572"/>
      <rgbColor rgb="00A7E0F4"/>
      <rgbColor rgb="00BE92C5"/>
      <rgbColor rgb="00F8C48B"/>
      <rgbColor rgb="00A6CB95"/>
      <rgbColor rgb="00FFDD7D"/>
      <rgbColor rgb="00FFC726"/>
      <rgbColor rgb="00F8C48B"/>
      <rgbColor rgb="00C3DDB8"/>
      <rgbColor rgb="00D3B6D8"/>
      <rgbColor rgb="00C4EAF8"/>
      <rgbColor rgb="00FBD7B2"/>
      <rgbColor rgb="00B2C2D1"/>
      <rgbColor rgb="00FFE9A8"/>
      <rgbColor rgb="00EBB7B6"/>
      <rgbColor rgb="00F6B065"/>
      <rgbColor rgb="0088BA71"/>
      <rgbColor rgb="0089D5F1"/>
      <rgbColor rgb="00DE7572"/>
      <rgbColor rgb="00C23841"/>
      <rgbColor rgb="00FFFFFF"/>
      <rgbColor rgb="00FFC726"/>
      <rgbColor rgb="00E2F5FB"/>
      <rgbColor rgb="00E3DFDB"/>
      <rgbColor rgb="00A86DB1"/>
      <rgbColor rgb="00F5F1EF"/>
      <rgbColor rgb="00FFFFFF"/>
      <rgbColor rgb="009D0E2D"/>
      <rgbColor rgb="00FFDD7D"/>
      <rgbColor rgb="00AAA19A"/>
      <rgbColor rgb="0091867E"/>
    </indexedColors>
    <mruColors>
      <color rgb="FF008000"/>
      <color rgb="FF9D0E2D"/>
      <color rgb="FFF5F1EF"/>
      <color rgb="FFE3DFDB"/>
      <color rgb="FFB2C2D1"/>
      <color rgb="FF6AA94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acabacus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acabacus.com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acabacus.com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acabacu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14288</xdr:colOff>
      <xdr:row>2</xdr:row>
      <xdr:rowOff>200026</xdr:rowOff>
    </xdr:from>
    <xdr:to>
      <xdr:col>3</xdr:col>
      <xdr:colOff>471093</xdr:colOff>
      <xdr:row>6</xdr:row>
      <xdr:rowOff>52388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CFCF7-6916-4873-98E9-C0B36FF3F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8" y="695326"/>
          <a:ext cx="3112375" cy="8429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</xdr:colOff>
      <xdr:row>0</xdr:row>
      <xdr:rowOff>26893</xdr:rowOff>
    </xdr:from>
    <xdr:to>
      <xdr:col>4</xdr:col>
      <xdr:colOff>205440</xdr:colOff>
      <xdr:row>0</xdr:row>
      <xdr:rowOff>572864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A5B24-7FFC-4317-9993-1014B8975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66" y="26893"/>
          <a:ext cx="2021914" cy="5459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</xdr:colOff>
      <xdr:row>0</xdr:row>
      <xdr:rowOff>26893</xdr:rowOff>
    </xdr:from>
    <xdr:to>
      <xdr:col>4</xdr:col>
      <xdr:colOff>49727</xdr:colOff>
      <xdr:row>0</xdr:row>
      <xdr:rowOff>572864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65920-9A37-44C0-B234-6774C37DC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66" y="26893"/>
          <a:ext cx="2021914" cy="5459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</xdr:colOff>
      <xdr:row>0</xdr:row>
      <xdr:rowOff>26893</xdr:rowOff>
    </xdr:from>
    <xdr:to>
      <xdr:col>3</xdr:col>
      <xdr:colOff>735030</xdr:colOff>
      <xdr:row>0</xdr:row>
      <xdr:rowOff>572864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C4801-8801-4572-BEFE-80FAD7780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66" y="26893"/>
          <a:ext cx="2021914" cy="545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eedback@macabacus.com" TargetMode="External"/><Relationship Id="rId1" Type="http://schemas.openxmlformats.org/officeDocument/2006/relationships/hyperlink" Target="https://www.macabacus.com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8"/>
  </sheetPr>
  <dimension ref="A1:B2"/>
  <sheetViews>
    <sheetView workbookViewId="0">
      <selection activeCell="B1" sqref="B1"/>
    </sheetView>
  </sheetViews>
  <sheetFormatPr defaultRowHeight="12.3"/>
  <sheetData>
    <row r="1" spans="1:2">
      <c r="B1" t="s">
        <v>0</v>
      </c>
    </row>
    <row r="2" spans="1:2"/>
  </sheetData>
  <phoneticPr fontId="2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AFFC-4C92-4C91-81B2-9DC588658BF2}">
  <sheetPr>
    <pageSetUpPr fitToPage="1"/>
  </sheetPr>
  <dimension ref="A1:O53"/>
  <sheetViews>
    <sheetView showGridLines="0" tabSelected="1" zoomScale="75" zoomScaleNormal="75" zoomScaleSheetLayoutView="70" workbookViewId="0"/>
  </sheetViews>
  <sheetFormatPr defaultRowHeight="14.4"/>
  <cols>
    <col min="1" max="1" width="4.94140625" style="3" customWidth="1"/>
    <col min="2" max="2" width="5.109375" style="3" customWidth="1"/>
    <col min="3" max="3" width="38.71875" style="3" customWidth="1"/>
    <col min="4" max="11" width="11.27734375" style="3" customWidth="1"/>
    <col min="12" max="12" width="38.71875" style="3" customWidth="1"/>
    <col min="13" max="13" width="5.109375" style="3" customWidth="1"/>
    <col min="14" max="16384" width="8.88671875" style="3"/>
  </cols>
  <sheetData>
    <row r="1" spans="1:15" ht="19.5" customHeight="1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ht="19.5" customHeight="1" thickTop="1">
      <c r="A2" s="2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5" ht="19.5" customHeight="1">
      <c r="A3" s="2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O3" s="10"/>
    </row>
    <row r="4" spans="1:15" ht="19.5" customHeight="1">
      <c r="A4" s="2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O4" s="10"/>
    </row>
    <row r="5" spans="1:15" ht="19.5" customHeight="1">
      <c r="A5" s="2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5" ht="19.5" customHeight="1">
      <c r="A6" s="2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5" ht="19.5" customHeight="1">
      <c r="A7" s="2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spans="1:15" ht="19.5" customHeight="1">
      <c r="A8" s="2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5" ht="19.5" customHeight="1">
      <c r="A9" s="2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1:15" ht="19.5" customHeight="1">
      <c r="A10" s="2"/>
      <c r="B10" s="11"/>
      <c r="C10" s="2"/>
      <c r="D10" s="2"/>
      <c r="E10" s="2"/>
      <c r="F10" s="2"/>
      <c r="G10" s="2"/>
      <c r="H10" s="2"/>
      <c r="I10" s="2"/>
      <c r="J10" s="2"/>
      <c r="K10" s="2"/>
      <c r="L10" s="2"/>
      <c r="M10" s="12"/>
    </row>
    <row r="11" spans="1:15" ht="28.5" customHeight="1">
      <c r="A11" s="2"/>
      <c r="B11" s="11"/>
      <c r="C11" s="13" t="s">
        <v>102</v>
      </c>
      <c r="D11" s="2"/>
      <c r="E11" s="2"/>
      <c r="F11" s="2"/>
      <c r="G11" s="2"/>
      <c r="H11" s="2"/>
      <c r="I11" s="2"/>
      <c r="J11" s="2"/>
      <c r="K11" s="2"/>
      <c r="L11" s="14" t="s">
        <v>71</v>
      </c>
      <c r="M11" s="12"/>
    </row>
    <row r="12" spans="1:15" ht="19.5" customHeight="1">
      <c r="A12" s="2"/>
      <c r="B12" s="11"/>
      <c r="C12" s="15"/>
      <c r="D12" s="2"/>
      <c r="E12" s="2"/>
      <c r="F12" s="2"/>
      <c r="G12" s="2"/>
      <c r="H12" s="2"/>
      <c r="I12" s="2"/>
      <c r="J12" s="2"/>
      <c r="K12" s="16"/>
      <c r="L12" s="16"/>
      <c r="M12" s="12"/>
    </row>
    <row r="13" spans="1:15" ht="19.5" customHeight="1">
      <c r="A13" s="2"/>
      <c r="B13" s="11"/>
      <c r="C13" s="17" t="s">
        <v>72</v>
      </c>
      <c r="D13" s="18"/>
      <c r="E13" s="18"/>
      <c r="F13" s="18"/>
      <c r="G13" s="18"/>
      <c r="H13" s="18"/>
      <c r="I13" s="18"/>
      <c r="J13" s="18"/>
      <c r="K13" s="16"/>
      <c r="L13" s="16"/>
      <c r="M13" s="12"/>
    </row>
    <row r="14" spans="1:15" ht="19.5" customHeight="1">
      <c r="A14" s="2"/>
      <c r="B14" s="11"/>
      <c r="C14" s="2"/>
      <c r="D14" s="18"/>
      <c r="E14" s="18"/>
      <c r="F14" s="18"/>
      <c r="G14" s="18"/>
      <c r="H14" s="18"/>
      <c r="I14" s="18"/>
      <c r="J14" s="18"/>
      <c r="K14" s="18"/>
      <c r="L14" s="18"/>
      <c r="M14" s="12"/>
    </row>
    <row r="15" spans="1:15" ht="19.5" customHeight="1">
      <c r="A15" s="2"/>
      <c r="B15" s="11"/>
      <c r="C15" s="19" t="s">
        <v>100</v>
      </c>
      <c r="D15" s="18"/>
      <c r="E15" s="18"/>
      <c r="F15" s="18"/>
      <c r="G15" s="18"/>
      <c r="H15" s="18"/>
      <c r="I15" s="18"/>
      <c r="J15" s="18"/>
      <c r="K15" s="18"/>
      <c r="L15" s="18"/>
      <c r="M15" s="12"/>
    </row>
    <row r="16" spans="1:15" ht="19.5" customHeight="1">
      <c r="A16" s="2"/>
      <c r="B16" s="11"/>
      <c r="C16" s="19" t="s">
        <v>101</v>
      </c>
      <c r="D16" s="18"/>
      <c r="E16" s="18"/>
      <c r="F16" s="18"/>
      <c r="G16" s="18"/>
      <c r="H16" s="18"/>
      <c r="I16" s="18"/>
      <c r="J16" s="18"/>
      <c r="K16" s="18"/>
      <c r="L16" s="18"/>
      <c r="M16" s="12"/>
    </row>
    <row r="17" spans="1:15" ht="19.5" customHeight="1">
      <c r="A17" s="2"/>
      <c r="B17" s="11"/>
      <c r="C17" s="19" t="s">
        <v>62</v>
      </c>
      <c r="D17" s="18"/>
      <c r="E17" s="18"/>
      <c r="F17" s="18"/>
      <c r="G17" s="18"/>
      <c r="H17" s="18"/>
      <c r="I17" s="18"/>
      <c r="J17" s="18"/>
      <c r="K17" s="18"/>
      <c r="L17" s="18"/>
      <c r="M17" s="12"/>
    </row>
    <row r="18" spans="1:15" ht="19.5" customHeight="1">
      <c r="A18" s="2"/>
      <c r="B18" s="11"/>
      <c r="C18"/>
      <c r="D18" s="18"/>
      <c r="E18" s="18"/>
      <c r="F18" s="18"/>
      <c r="G18" s="18"/>
      <c r="H18" s="18"/>
      <c r="I18" s="18"/>
      <c r="J18" s="18"/>
      <c r="K18" s="18"/>
      <c r="L18" s="18"/>
      <c r="M18" s="12"/>
    </row>
    <row r="19" spans="1:15" ht="19.5" customHeight="1">
      <c r="A19" s="2"/>
      <c r="B19" s="11"/>
      <c r="C19" s="20"/>
      <c r="D19" s="18"/>
      <c r="E19" s="18"/>
      <c r="F19" s="18"/>
      <c r="G19" s="18"/>
      <c r="H19" s="18"/>
      <c r="I19" s="18"/>
      <c r="J19" s="18"/>
      <c r="K19" s="18"/>
      <c r="L19" s="18"/>
      <c r="M19" s="12"/>
    </row>
    <row r="20" spans="1:15" ht="19.5" customHeight="1">
      <c r="A20" s="2"/>
      <c r="B20" s="11"/>
      <c r="C20" s="21" t="s">
        <v>73</v>
      </c>
      <c r="D20" s="22"/>
      <c r="E20" s="22"/>
      <c r="F20" s="22"/>
      <c r="G20" s="22"/>
      <c r="H20" s="22"/>
      <c r="I20" s="22"/>
      <c r="J20" s="22"/>
      <c r="K20" s="22"/>
      <c r="L20" s="22"/>
      <c r="M20" s="12"/>
      <c r="O20" s="23"/>
    </row>
    <row r="21" spans="1:15" ht="19.5" customHeight="1">
      <c r="A21" s="2"/>
      <c r="B21" s="11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12"/>
      <c r="O21" s="24"/>
    </row>
    <row r="22" spans="1:15" ht="19.5" customHeight="1">
      <c r="A22" s="2"/>
      <c r="B22" s="11"/>
      <c r="C22" s="21" t="s">
        <v>74</v>
      </c>
      <c r="D22" s="22"/>
      <c r="E22" s="22"/>
      <c r="F22" s="22"/>
      <c r="G22" s="22"/>
      <c r="H22" s="22"/>
      <c r="I22" s="22"/>
      <c r="J22" s="22"/>
      <c r="K22" s="22"/>
      <c r="L22" s="22"/>
      <c r="M22" s="12"/>
      <c r="O22" s="23"/>
    </row>
    <row r="23" spans="1:15" ht="19.5" customHeight="1">
      <c r="A23" s="2"/>
      <c r="B23" s="11"/>
      <c r="C23" s="25" t="s">
        <v>75</v>
      </c>
      <c r="D23" s="22"/>
      <c r="E23" s="22"/>
      <c r="F23" s="22"/>
      <c r="G23" s="22"/>
      <c r="H23" s="22"/>
      <c r="I23" s="22"/>
      <c r="J23" s="22"/>
      <c r="K23" s="22"/>
      <c r="L23" s="22"/>
      <c r="M23" s="12"/>
    </row>
    <row r="24" spans="1:15" ht="19.5" customHeight="1">
      <c r="A24" s="2"/>
      <c r="B24" s="11"/>
      <c r="C24" s="25" t="s">
        <v>76</v>
      </c>
      <c r="D24" s="22"/>
      <c r="E24" s="22"/>
      <c r="F24" s="22"/>
      <c r="G24" s="22"/>
      <c r="H24" s="22"/>
      <c r="I24" s="22"/>
      <c r="J24" s="22"/>
      <c r="K24" s="22"/>
      <c r="L24" s="22"/>
      <c r="M24" s="12"/>
    </row>
    <row r="25" spans="1:15" ht="19.5" customHeight="1">
      <c r="A25" s="2"/>
      <c r="B25" s="11"/>
      <c r="C25" s="25" t="s">
        <v>77</v>
      </c>
      <c r="D25" s="22"/>
      <c r="E25" s="22"/>
      <c r="F25" s="22"/>
      <c r="G25" s="22"/>
      <c r="H25" s="22"/>
      <c r="I25" s="22"/>
      <c r="J25" s="22"/>
      <c r="K25" s="22"/>
      <c r="L25" s="22"/>
      <c r="M25" s="12"/>
    </row>
    <row r="26" spans="1:15" ht="19.5" customHeight="1">
      <c r="A26" s="2"/>
      <c r="B26" s="11"/>
      <c r="C26" s="25"/>
      <c r="D26" s="22"/>
      <c r="E26" s="22"/>
      <c r="F26" s="22"/>
      <c r="G26" s="22"/>
      <c r="H26" s="22"/>
      <c r="I26" s="22"/>
      <c r="J26" s="22"/>
      <c r="K26" s="22"/>
      <c r="L26" s="22"/>
      <c r="M26" s="12"/>
    </row>
    <row r="27" spans="1:15" ht="19.5" customHeight="1">
      <c r="A27" s="2"/>
      <c r="B27" s="11"/>
      <c r="C27" s="21" t="s">
        <v>74</v>
      </c>
      <c r="D27" s="22"/>
      <c r="E27" s="22"/>
      <c r="F27" s="22"/>
      <c r="G27" s="22"/>
      <c r="H27" s="22"/>
      <c r="I27" s="22"/>
      <c r="J27" s="22"/>
      <c r="K27" s="22"/>
      <c r="L27" s="22"/>
      <c r="M27" s="12"/>
    </row>
    <row r="28" spans="1:15" ht="19.5" customHeight="1">
      <c r="A28" s="2"/>
      <c r="B28" s="11"/>
      <c r="C28" s="26" t="s">
        <v>78</v>
      </c>
      <c r="D28" s="22"/>
      <c r="E28" s="22"/>
      <c r="F28" s="22"/>
      <c r="G28" s="22"/>
      <c r="H28" s="22"/>
      <c r="I28" s="22"/>
      <c r="J28" s="22"/>
      <c r="K28" s="22"/>
      <c r="L28" s="22"/>
      <c r="M28" s="12"/>
    </row>
    <row r="29" spans="1:15" ht="19.5" customHeight="1">
      <c r="A29" s="2"/>
      <c r="B29" s="11"/>
      <c r="C29" s="26" t="s">
        <v>79</v>
      </c>
      <c r="D29" s="22"/>
      <c r="E29" s="22"/>
      <c r="F29" s="22"/>
      <c r="G29" s="22"/>
      <c r="H29" s="22"/>
      <c r="I29" s="22"/>
      <c r="J29" s="22"/>
      <c r="K29" s="22"/>
      <c r="L29" s="22"/>
      <c r="M29" s="12"/>
    </row>
    <row r="30" spans="1:15" ht="19.5" customHeight="1">
      <c r="A30" s="2"/>
      <c r="B30" s="11"/>
      <c r="C30" s="26" t="s">
        <v>80</v>
      </c>
      <c r="D30" s="22"/>
      <c r="E30" s="22"/>
      <c r="F30" s="22"/>
      <c r="G30" s="22"/>
      <c r="H30" s="22"/>
      <c r="I30" s="22"/>
      <c r="J30" s="22"/>
      <c r="K30" s="22"/>
      <c r="L30" s="22"/>
      <c r="M30" s="12"/>
    </row>
    <row r="31" spans="1:15" ht="19.5" customHeight="1">
      <c r="A31" s="2"/>
      <c r="B31" s="11"/>
      <c r="C31" s="26" t="s">
        <v>81</v>
      </c>
      <c r="D31" s="22"/>
      <c r="E31" s="22"/>
      <c r="F31" s="22"/>
      <c r="G31" s="22"/>
      <c r="H31" s="22"/>
      <c r="I31" s="22"/>
      <c r="J31" s="22"/>
      <c r="K31" s="22"/>
      <c r="L31" s="22"/>
      <c r="M31" s="12"/>
    </row>
    <row r="32" spans="1:15" ht="19.5" customHeight="1">
      <c r="A32" s="2"/>
      <c r="B32" s="11"/>
      <c r="C32" s="26" t="s">
        <v>82</v>
      </c>
      <c r="D32" s="22"/>
      <c r="E32" s="22"/>
      <c r="F32" s="22"/>
      <c r="G32" s="22"/>
      <c r="H32" s="22"/>
      <c r="I32" s="22"/>
      <c r="J32" s="22"/>
      <c r="K32" s="22"/>
      <c r="L32" s="22"/>
      <c r="M32" s="12"/>
    </row>
    <row r="33" spans="1:15" ht="19.5" customHeight="1">
      <c r="A33" s="2"/>
      <c r="B33" s="11"/>
      <c r="C33" s="26" t="s">
        <v>83</v>
      </c>
      <c r="D33" s="22"/>
      <c r="E33" s="22"/>
      <c r="F33" s="22"/>
      <c r="G33" s="22"/>
      <c r="H33" s="22"/>
      <c r="I33" s="22"/>
      <c r="J33" s="22"/>
      <c r="K33" s="22"/>
      <c r="L33" s="22"/>
      <c r="M33" s="12"/>
    </row>
    <row r="34" spans="1:15" ht="19.5" customHeight="1">
      <c r="A34" s="2"/>
      <c r="B34" s="11"/>
      <c r="C34" s="26" t="s">
        <v>84</v>
      </c>
      <c r="D34" s="22"/>
      <c r="E34" s="22"/>
      <c r="F34" s="22"/>
      <c r="G34" s="22"/>
      <c r="H34" s="22"/>
      <c r="I34" s="22"/>
      <c r="J34" s="22"/>
      <c r="K34" s="22"/>
      <c r="L34" s="22"/>
      <c r="M34" s="12"/>
    </row>
    <row r="35" spans="1:15" ht="19.5" customHeight="1">
      <c r="A35" s="2"/>
      <c r="B35" s="11"/>
      <c r="C35" s="26" t="s">
        <v>85</v>
      </c>
      <c r="D35" s="22"/>
      <c r="E35" s="22"/>
      <c r="F35" s="22"/>
      <c r="G35" s="22"/>
      <c r="H35" s="22"/>
      <c r="I35" s="22"/>
      <c r="J35" s="22"/>
      <c r="K35" s="22"/>
      <c r="L35" s="22"/>
      <c r="M35" s="12"/>
    </row>
    <row r="36" spans="1:15" ht="19.5" customHeight="1">
      <c r="A36" s="2"/>
      <c r="B36" s="11"/>
      <c r="C36" s="26"/>
      <c r="D36" s="22"/>
      <c r="E36" s="22"/>
      <c r="F36" s="22"/>
      <c r="G36" s="22"/>
      <c r="H36" s="22"/>
      <c r="I36" s="22"/>
      <c r="J36" s="22"/>
      <c r="K36" s="22"/>
      <c r="L36" s="22"/>
      <c r="M36" s="12"/>
    </row>
    <row r="37" spans="1:15" ht="19.5" customHeight="1">
      <c r="A37" s="2"/>
      <c r="B37" s="11"/>
      <c r="C37" s="21" t="s">
        <v>86</v>
      </c>
      <c r="D37" s="22"/>
      <c r="E37" s="22"/>
      <c r="F37" s="22"/>
      <c r="G37" s="22"/>
      <c r="H37" s="22"/>
      <c r="I37" s="22"/>
      <c r="J37" s="22"/>
      <c r="K37" s="22"/>
      <c r="L37" s="22"/>
      <c r="M37" s="12"/>
    </row>
    <row r="38" spans="1:15" ht="19.5" customHeight="1">
      <c r="A38" s="2"/>
      <c r="B38" s="11"/>
      <c r="C38" s="26" t="s">
        <v>87</v>
      </c>
      <c r="D38" s="22"/>
      <c r="E38" s="22"/>
      <c r="F38" s="22"/>
      <c r="G38" s="22"/>
      <c r="H38" s="22"/>
      <c r="I38" s="22"/>
      <c r="J38" s="22"/>
      <c r="K38" s="22"/>
      <c r="L38" s="22"/>
      <c r="M38" s="12"/>
    </row>
    <row r="39" spans="1:15" ht="19.5" customHeight="1">
      <c r="A39" s="2"/>
      <c r="B39" s="11"/>
      <c r="C39" s="26" t="s">
        <v>88</v>
      </c>
      <c r="D39" s="22"/>
      <c r="E39" s="22"/>
      <c r="F39" s="22"/>
      <c r="G39" s="22"/>
      <c r="H39" s="22"/>
      <c r="I39" s="22"/>
      <c r="J39" s="22"/>
      <c r="K39" s="22"/>
      <c r="L39" s="22"/>
      <c r="M39" s="12"/>
    </row>
    <row r="40" spans="1:15" ht="19.5" customHeight="1">
      <c r="A40" s="2"/>
      <c r="B40" s="11"/>
      <c r="C40" s="26" t="s">
        <v>89</v>
      </c>
      <c r="D40" s="22"/>
      <c r="E40" s="22"/>
      <c r="F40" s="22"/>
      <c r="G40" s="22"/>
      <c r="H40" s="22"/>
      <c r="I40" s="22"/>
      <c r="J40" s="22"/>
      <c r="K40" s="22"/>
      <c r="L40" s="22"/>
      <c r="M40" s="12"/>
    </row>
    <row r="41" spans="1:15" ht="19.5" customHeight="1">
      <c r="A41" s="2"/>
      <c r="B41" s="11"/>
      <c r="C41" s="26" t="s">
        <v>90</v>
      </c>
      <c r="D41" s="22"/>
      <c r="E41" s="22"/>
      <c r="F41" s="22"/>
      <c r="G41" s="22"/>
      <c r="H41" s="22"/>
      <c r="I41" s="22"/>
      <c r="J41" s="22"/>
      <c r="K41" s="22"/>
      <c r="L41" s="22"/>
      <c r="M41" s="12"/>
    </row>
    <row r="42" spans="1:15" ht="19.5" customHeight="1">
      <c r="A42" s="2"/>
      <c r="B42" s="11"/>
      <c r="C42" s="26" t="s">
        <v>91</v>
      </c>
      <c r="D42" s="22"/>
      <c r="E42" s="22"/>
      <c r="F42" s="22"/>
      <c r="G42" s="22"/>
      <c r="H42" s="22"/>
      <c r="I42" s="22"/>
      <c r="J42" s="22"/>
      <c r="K42" s="22"/>
      <c r="L42" s="22"/>
      <c r="M42" s="12"/>
    </row>
    <row r="43" spans="1:15" ht="19.5" customHeight="1">
      <c r="A43" s="2"/>
      <c r="B43" s="11"/>
      <c r="C43" s="26"/>
      <c r="D43" s="22"/>
      <c r="E43" s="22"/>
      <c r="F43" s="22"/>
      <c r="G43" s="22"/>
      <c r="H43" s="22"/>
      <c r="I43" s="22"/>
      <c r="J43" s="22"/>
      <c r="K43" s="22"/>
      <c r="L43" s="22"/>
      <c r="M43" s="12"/>
    </row>
    <row r="44" spans="1:15" ht="19.5" customHeight="1">
      <c r="A44" s="2"/>
      <c r="B44" s="11"/>
      <c r="C44" s="27" t="s">
        <v>92</v>
      </c>
      <c r="D44" s="28"/>
      <c r="E44" s="28"/>
      <c r="F44" s="28"/>
      <c r="G44" s="28"/>
      <c r="H44" s="28"/>
      <c r="I44" s="28"/>
      <c r="J44" s="28"/>
      <c r="K44" s="28"/>
      <c r="L44" s="28"/>
      <c r="M44" s="12"/>
      <c r="O44" s="23"/>
    </row>
    <row r="45" spans="1:15" ht="19.5" customHeight="1">
      <c r="A45" s="2"/>
      <c r="B45" s="11"/>
      <c r="C45" s="27" t="s">
        <v>93</v>
      </c>
      <c r="D45" s="28"/>
      <c r="E45" s="28"/>
      <c r="F45" s="28"/>
      <c r="G45" s="28"/>
      <c r="H45" s="28"/>
      <c r="I45" s="28"/>
      <c r="J45" s="28"/>
      <c r="K45" s="28"/>
      <c r="L45" s="28"/>
      <c r="M45" s="12"/>
      <c r="O45" s="23"/>
    </row>
    <row r="46" spans="1:15" ht="19.5" customHeight="1">
      <c r="A46" s="2"/>
      <c r="B46" s="11"/>
      <c r="C46" s="27" t="s">
        <v>94</v>
      </c>
      <c r="D46" s="28"/>
      <c r="E46" s="28"/>
      <c r="F46" s="28"/>
      <c r="G46" s="28"/>
      <c r="H46" s="28"/>
      <c r="I46" s="28"/>
      <c r="J46" s="28"/>
      <c r="K46" s="28"/>
      <c r="L46" s="28"/>
      <c r="M46" s="12"/>
      <c r="O46" s="23"/>
    </row>
    <row r="47" spans="1:15" ht="19.5" customHeight="1">
      <c r="A47" s="2"/>
      <c r="B47" s="11"/>
      <c r="C47" s="27" t="s">
        <v>95</v>
      </c>
      <c r="D47" s="28"/>
      <c r="E47" s="28"/>
      <c r="F47" s="28"/>
      <c r="G47" s="28"/>
      <c r="H47" s="28"/>
      <c r="I47" s="28"/>
      <c r="J47" s="28"/>
      <c r="K47" s="28"/>
      <c r="L47" s="28"/>
      <c r="M47" s="12"/>
      <c r="O47" s="23"/>
    </row>
    <row r="48" spans="1:15" ht="19.5" customHeight="1">
      <c r="A48" s="2"/>
      <c r="B48" s="11"/>
      <c r="C48" s="27" t="s">
        <v>96</v>
      </c>
      <c r="D48" s="28"/>
      <c r="E48" s="28"/>
      <c r="F48" s="28"/>
      <c r="G48" s="28"/>
      <c r="H48" s="28"/>
      <c r="I48" s="28"/>
      <c r="J48" s="28"/>
      <c r="K48" s="28"/>
      <c r="L48" s="28"/>
      <c r="M48" s="12"/>
      <c r="O48" s="23"/>
    </row>
    <row r="49" spans="1:13" ht="19.5" customHeight="1">
      <c r="A49" s="2"/>
      <c r="B49" s="11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12"/>
    </row>
    <row r="50" spans="1:13" ht="19.5" customHeight="1">
      <c r="A50" s="2"/>
      <c r="B50" s="11"/>
      <c r="C50" s="29" t="s">
        <v>97</v>
      </c>
      <c r="D50" s="28"/>
      <c r="E50" s="28"/>
      <c r="F50" s="28"/>
      <c r="G50" s="28"/>
      <c r="H50" s="28"/>
      <c r="I50" s="28"/>
      <c r="J50" s="28"/>
      <c r="K50" s="28"/>
      <c r="L50" s="28"/>
      <c r="M50" s="12"/>
    </row>
    <row r="51" spans="1:13" ht="19.5" customHeight="1">
      <c r="A51" s="2"/>
      <c r="B51" s="11"/>
      <c r="C51" s="29" t="s">
        <v>98</v>
      </c>
      <c r="D51" s="28"/>
      <c r="E51" s="28"/>
      <c r="F51" s="28"/>
      <c r="G51" s="28"/>
      <c r="H51" s="28"/>
      <c r="I51" s="28"/>
      <c r="J51" s="28"/>
      <c r="K51" s="28"/>
      <c r="L51" s="28"/>
      <c r="M51" s="12"/>
    </row>
    <row r="52" spans="1:13" ht="19.5" customHeight="1" thickBot="1">
      <c r="A52" s="2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2" t="s">
        <v>99</v>
      </c>
    </row>
    <row r="53" spans="1:13" ht="19.5" customHeight="1" thickTop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hyperlinks>
    <hyperlink ref="C15" location="Assumptions!A1" tooltip="Assumptions" display="Assumptions" xr:uid="{13DED781-3E6F-4F00-BDAD-CB24CFB88A2C}"/>
    <hyperlink ref="C50" r:id="rId1" xr:uid="{8C52541F-2C04-47FA-A526-8BAAB7A1EB7E}"/>
    <hyperlink ref="C51" r:id="rId2" xr:uid="{6B9B8672-A2BD-4049-92C4-A5B5441B594E}"/>
    <hyperlink ref="C16" location="FDSO!A1" tooltip="Fully Diluted Shares Outstanding" display="Fully Diluted Shares Outstanding" xr:uid="{FD5AAC28-1116-468A-AB24-763F7D463E4B}"/>
    <hyperlink ref="C17" location="IPO!A1" tooltip="IPO Calculations" display="IPO Calculations" xr:uid="{2335412A-59E6-4015-94F7-1E1EF9EEC81C}"/>
  </hyperlinks>
  <printOptions horizontalCentered="1"/>
  <pageMargins left="0.7" right="0.7" top="0.75" bottom="0.75" header="0.3" footer="0.3"/>
  <pageSetup scale="48" orientation="landscape" horizontalDpi="300" verticalDpi="3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3"/>
  <sheetViews>
    <sheetView showGridLines="0" zoomScale="115" zoomScaleNormal="115" workbookViewId="0"/>
  </sheetViews>
  <sheetFormatPr defaultColWidth="9.1640625" defaultRowHeight="14.4"/>
  <cols>
    <col min="1" max="1" width="2.71875" style="35" customWidth="1"/>
    <col min="2" max="6" width="9.71875" style="35" customWidth="1"/>
    <col min="7" max="16384" width="9.1640625" style="35"/>
  </cols>
  <sheetData>
    <row r="1" spans="2:16" s="1" customFormat="1" ht="50.1" customHeight="1">
      <c r="B1" s="8"/>
      <c r="C1" s="8"/>
      <c r="D1" s="8"/>
      <c r="E1" s="8"/>
      <c r="F1" s="8"/>
      <c r="G1" s="33"/>
      <c r="H1" s="33"/>
      <c r="I1" s="33"/>
      <c r="J1" s="33"/>
      <c r="K1" s="33"/>
      <c r="L1" s="33"/>
      <c r="M1" s="33"/>
      <c r="N1" s="33"/>
      <c r="O1" s="33"/>
      <c r="P1" s="33"/>
    </row>
    <row r="3" spans="2:16" s="35" customFormat="1" ht="17.7">
      <c r="B3" s="34" t="s">
        <v>63</v>
      </c>
    </row>
    <row r="4" spans="2:16" s="35" customFormat="1" ht="14.7" thickBot="1">
      <c r="B4" s="36" t="s">
        <v>47</v>
      </c>
      <c r="C4" s="37"/>
      <c r="D4" s="38"/>
      <c r="E4" s="38"/>
      <c r="F4" s="38" t="s">
        <v>64</v>
      </c>
    </row>
    <row r="6" spans="2:16" s="35" customFormat="1">
      <c r="B6" s="35" t="s">
        <v>60</v>
      </c>
      <c r="F6" s="39">
        <v>20</v>
      </c>
    </row>
    <row r="7" spans="2:16" s="35" customFormat="1">
      <c r="B7" s="35" t="s">
        <v>61</v>
      </c>
      <c r="F7" s="39">
        <v>22</v>
      </c>
    </row>
    <row r="9" spans="2:16" s="35" customFormat="1">
      <c r="B9" s="35" t="s">
        <v>5</v>
      </c>
      <c r="F9" s="40">
        <v>5.5</v>
      </c>
    </row>
    <row r="10" spans="2:16" s="35" customFormat="1">
      <c r="B10" s="35" t="s">
        <v>6</v>
      </c>
      <c r="F10" s="40">
        <v>4.5</v>
      </c>
    </row>
    <row r="12" spans="2:16" s="35" customFormat="1">
      <c r="B12" s="35" t="s">
        <v>41</v>
      </c>
      <c r="F12" s="41">
        <v>0.06</v>
      </c>
    </row>
    <row r="13" spans="2:16" s="35" customFormat="1">
      <c r="B13" s="35" t="s">
        <v>2</v>
      </c>
      <c r="F13" s="41">
        <v>0.15</v>
      </c>
    </row>
    <row r="15" spans="2:16" s="35" customFormat="1">
      <c r="B15" s="42" t="s">
        <v>48</v>
      </c>
    </row>
    <row r="16" spans="2:16" s="35" customFormat="1">
      <c r="B16" s="35" t="s">
        <v>52</v>
      </c>
      <c r="F16" s="41">
        <v>0.15</v>
      </c>
    </row>
    <row r="17" spans="2:6" s="35" customFormat="1">
      <c r="B17" s="35" t="s">
        <v>68</v>
      </c>
      <c r="F17" s="41">
        <v>1</v>
      </c>
    </row>
    <row r="18" spans="2:6" s="35" customFormat="1">
      <c r="B18" s="35" t="s">
        <v>55</v>
      </c>
      <c r="F18" s="43">
        <v>1</v>
      </c>
    </row>
    <row r="19" spans="2:6" s="35" customFormat="1">
      <c r="F19" s="44"/>
    </row>
    <row r="20" spans="2:6" s="35" customFormat="1">
      <c r="B20" s="42" t="s">
        <v>70</v>
      </c>
      <c r="F20" s="44"/>
    </row>
    <row r="21" spans="2:6" s="35" customFormat="1">
      <c r="B21" s="45" t="s">
        <v>67</v>
      </c>
      <c r="F21" s="46">
        <v>3.483E-2</v>
      </c>
    </row>
    <row r="22" spans="2:6" s="35" customFormat="1">
      <c r="B22" s="45" t="s">
        <v>21</v>
      </c>
      <c r="F22" s="47">
        <v>3.0499999999999999E-2</v>
      </c>
    </row>
    <row r="23" spans="2:6" s="35" customFormat="1">
      <c r="B23" s="45" t="s">
        <v>22</v>
      </c>
      <c r="F23" s="47">
        <v>2.5000000000000001E-2</v>
      </c>
    </row>
    <row r="24" spans="2:6" s="35" customFormat="1">
      <c r="B24" s="45" t="s">
        <v>23</v>
      </c>
      <c r="F24" s="47">
        <v>0.1</v>
      </c>
    </row>
    <row r="25" spans="2:6" s="35" customFormat="1">
      <c r="B25" s="45" t="s">
        <v>24</v>
      </c>
      <c r="F25" s="47">
        <v>0.7</v>
      </c>
    </row>
    <row r="26" spans="2:6" s="35" customFormat="1">
      <c r="B26" s="45" t="s">
        <v>25</v>
      </c>
      <c r="F26" s="47">
        <v>3</v>
      </c>
    </row>
    <row r="27" spans="2:6" s="35" customFormat="1">
      <c r="B27" s="45" t="s">
        <v>26</v>
      </c>
      <c r="F27" s="47">
        <v>1.5</v>
      </c>
    </row>
    <row r="28" spans="2:6" s="35" customFormat="1">
      <c r="B28" s="45" t="s">
        <v>27</v>
      </c>
      <c r="F28" s="47">
        <v>0.11</v>
      </c>
    </row>
    <row r="29" spans="2:6" s="35" customFormat="1" ht="5.0999999999999996" customHeight="1" thickBot="1">
      <c r="B29" s="48"/>
      <c r="C29" s="48"/>
      <c r="D29" s="48"/>
      <c r="E29" s="48"/>
      <c r="F29" s="48"/>
    </row>
    <row r="32" spans="2:6" s="35" customFormat="1" ht="17.7">
      <c r="B32" s="34" t="s">
        <v>66</v>
      </c>
    </row>
    <row r="33" spans="2:6" s="35" customFormat="1" ht="14.7" thickBot="1">
      <c r="B33" s="36" t="s">
        <v>47</v>
      </c>
      <c r="C33" s="37"/>
      <c r="D33" s="38"/>
      <c r="E33" s="38"/>
      <c r="F33" s="38" t="s">
        <v>64</v>
      </c>
    </row>
    <row r="35" spans="2:6" s="35" customFormat="1">
      <c r="B35" s="45" t="s">
        <v>13</v>
      </c>
      <c r="F35" s="49">
        <v>20.3</v>
      </c>
    </row>
    <row r="36" spans="2:6" s="35" customFormat="1">
      <c r="B36" s="45" t="s">
        <v>14</v>
      </c>
      <c r="F36" s="49">
        <v>26.1</v>
      </c>
    </row>
    <row r="38" spans="2:6" s="35" customFormat="1">
      <c r="B38" s="35" t="s">
        <v>10</v>
      </c>
      <c r="F38" s="50">
        <v>20</v>
      </c>
    </row>
    <row r="39" spans="2:6" s="35" customFormat="1">
      <c r="B39" s="35" t="s">
        <v>11</v>
      </c>
      <c r="F39" s="49">
        <v>2.9</v>
      </c>
    </row>
    <row r="41" spans="2:6" s="35" customFormat="1">
      <c r="B41" s="45" t="s">
        <v>103</v>
      </c>
      <c r="F41" s="46">
        <v>70</v>
      </c>
    </row>
    <row r="42" spans="2:6" s="35" customFormat="1">
      <c r="B42" s="45" t="s">
        <v>104</v>
      </c>
      <c r="F42" s="46">
        <v>95</v>
      </c>
    </row>
    <row r="43" spans="2:6" s="35" customFormat="1" ht="5.0999999999999996" customHeight="1" thickBot="1">
      <c r="B43" s="48"/>
      <c r="C43" s="48"/>
      <c r="D43" s="48"/>
      <c r="E43" s="48"/>
      <c r="F43" s="48"/>
    </row>
  </sheetData>
  <dataValidations disablePrompts="1" count="1">
    <dataValidation type="whole" allowBlank="1" showErrorMessage="1" sqref="F18:F20" xr:uid="{00000000-0002-0000-0100-000000000000}">
      <formula1>0</formula1>
      <formula2>1</formula2>
    </dataValidation>
  </dataValidations>
  <printOptions horizontalCentered="1"/>
  <pageMargins left="0.75" right="0.75" top="0.7" bottom="0.7" header="0.3" footer="0.3"/>
  <pageSetup scale="115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showGridLines="0" zoomScale="115" zoomScaleNormal="115" workbookViewId="0"/>
  </sheetViews>
  <sheetFormatPr defaultColWidth="9.1640625" defaultRowHeight="14.4"/>
  <cols>
    <col min="1" max="1" width="2.71875" style="35" customWidth="1"/>
    <col min="2" max="2" width="12" style="35" customWidth="1"/>
    <col min="3" max="11" width="9.71875" style="35" customWidth="1"/>
    <col min="12" max="16384" width="9.1640625" style="35"/>
  </cols>
  <sheetData>
    <row r="1" spans="1:16" s="1" customFormat="1" ht="50.1" customHeight="1">
      <c r="B1" s="8"/>
      <c r="C1" s="8"/>
      <c r="D1" s="8"/>
      <c r="E1" s="8"/>
      <c r="F1" s="8"/>
      <c r="G1" s="8"/>
      <c r="H1" s="8"/>
      <c r="I1" s="8"/>
      <c r="J1" s="8"/>
      <c r="K1" s="8"/>
      <c r="L1" s="33"/>
      <c r="M1" s="33"/>
      <c r="N1" s="33"/>
      <c r="O1" s="33"/>
      <c r="P1" s="33"/>
    </row>
    <row r="2" spans="1:16" ht="12.75" customHeight="1"/>
    <row r="3" spans="1:16" ht="17.7">
      <c r="B3" s="34" t="s">
        <v>69</v>
      </c>
    </row>
    <row r="4" spans="1:16" ht="12.75" customHeight="1"/>
    <row r="5" spans="1:16" ht="12.75" customHeight="1">
      <c r="B5" s="35" t="s">
        <v>10</v>
      </c>
      <c r="D5" s="51">
        <f>Assumptions!F38</f>
        <v>20</v>
      </c>
    </row>
    <row r="6" spans="1:16" ht="12.75" customHeight="1">
      <c r="B6" s="35" t="s">
        <v>11</v>
      </c>
      <c r="D6" s="52">
        <f>Assumptions!F39</f>
        <v>2.9</v>
      </c>
    </row>
    <row r="7" spans="1:16" ht="12.75" customHeight="1"/>
    <row r="8" spans="1:16" ht="12.75" customHeight="1">
      <c r="E8" s="53" t="s">
        <v>65</v>
      </c>
      <c r="F8" s="54"/>
      <c r="G8" s="54"/>
      <c r="H8" s="54"/>
      <c r="I8" s="54"/>
      <c r="J8" s="54"/>
      <c r="K8" s="54"/>
    </row>
    <row r="9" spans="1:16" s="58" customFormat="1" ht="13.5" customHeight="1" thickBot="1">
      <c r="A9" s="55">
        <v>1</v>
      </c>
      <c r="B9" s="36" t="s">
        <v>12</v>
      </c>
      <c r="C9" s="56"/>
      <c r="D9" s="56"/>
      <c r="E9" s="57">
        <v>18</v>
      </c>
      <c r="F9" s="57">
        <f>E9+1</f>
        <v>19</v>
      </c>
      <c r="G9" s="57">
        <f t="shared" ref="G9:K9" si="0">F9+1</f>
        <v>20</v>
      </c>
      <c r="H9" s="57">
        <f t="shared" si="0"/>
        <v>21</v>
      </c>
      <c r="I9" s="57">
        <f t="shared" si="0"/>
        <v>22</v>
      </c>
      <c r="J9" s="57">
        <f t="shared" si="0"/>
        <v>23</v>
      </c>
      <c r="K9" s="57">
        <f t="shared" si="0"/>
        <v>24</v>
      </c>
    </row>
    <row r="10" spans="1:16" ht="12.75" customHeight="1">
      <c r="A10" s="59">
        <f>A9+1</f>
        <v>2</v>
      </c>
      <c r="E10" s="60"/>
      <c r="F10" s="60"/>
      <c r="G10" s="60"/>
      <c r="H10" s="60"/>
      <c r="I10" s="60"/>
      <c r="J10" s="60"/>
      <c r="K10" s="60"/>
    </row>
    <row r="11" spans="1:16" ht="12.75" customHeight="1">
      <c r="A11" s="59">
        <f t="shared" ref="A11:A15" si="1">A10+1</f>
        <v>3</v>
      </c>
      <c r="B11" s="61" t="str">
        <f>Assumptions!B35</f>
        <v>Class A common stock</v>
      </c>
      <c r="E11" s="52">
        <f>Assumptions!F35</f>
        <v>20.3</v>
      </c>
      <c r="F11" s="62">
        <f>E11</f>
        <v>20.3</v>
      </c>
      <c r="G11" s="62">
        <f t="shared" ref="G11:K12" si="2">F11</f>
        <v>20.3</v>
      </c>
      <c r="H11" s="62">
        <f t="shared" si="2"/>
        <v>20.3</v>
      </c>
      <c r="I11" s="62">
        <f t="shared" si="2"/>
        <v>20.3</v>
      </c>
      <c r="J11" s="62">
        <f t="shared" si="2"/>
        <v>20.3</v>
      </c>
      <c r="K11" s="62">
        <f t="shared" si="2"/>
        <v>20.3</v>
      </c>
    </row>
    <row r="12" spans="1:16" ht="12.75" customHeight="1">
      <c r="A12" s="59">
        <f t="shared" si="1"/>
        <v>4</v>
      </c>
      <c r="B12" s="61" t="str">
        <f>Assumptions!B36</f>
        <v>Class B common stock</v>
      </c>
      <c r="E12" s="52">
        <f>Assumptions!F36</f>
        <v>26.1</v>
      </c>
      <c r="F12" s="62">
        <f>E12</f>
        <v>26.1</v>
      </c>
      <c r="G12" s="62">
        <f t="shared" si="2"/>
        <v>26.1</v>
      </c>
      <c r="H12" s="62">
        <f t="shared" si="2"/>
        <v>26.1</v>
      </c>
      <c r="I12" s="62">
        <f t="shared" si="2"/>
        <v>26.1</v>
      </c>
      <c r="J12" s="62">
        <f t="shared" si="2"/>
        <v>26.1</v>
      </c>
      <c r="K12" s="62">
        <f t="shared" si="2"/>
        <v>26.1</v>
      </c>
    </row>
    <row r="13" spans="1:16" ht="12.75" customHeight="1">
      <c r="A13" s="59">
        <f t="shared" si="1"/>
        <v>5</v>
      </c>
      <c r="B13" s="63" t="s">
        <v>15</v>
      </c>
      <c r="C13" s="63"/>
      <c r="D13" s="63"/>
      <c r="E13" s="64">
        <f>SUM(E11:E12)</f>
        <v>46.400000000000006</v>
      </c>
      <c r="F13" s="64">
        <f t="shared" ref="F13:K13" si="3">SUM(F11:F12)</f>
        <v>46.400000000000006</v>
      </c>
      <c r="G13" s="64">
        <f t="shared" si="3"/>
        <v>46.400000000000006</v>
      </c>
      <c r="H13" s="64">
        <f t="shared" si="3"/>
        <v>46.400000000000006</v>
      </c>
      <c r="I13" s="64">
        <f t="shared" si="3"/>
        <v>46.400000000000006</v>
      </c>
      <c r="J13" s="64">
        <f t="shared" si="3"/>
        <v>46.400000000000006</v>
      </c>
      <c r="K13" s="64">
        <f t="shared" si="3"/>
        <v>46.400000000000006</v>
      </c>
    </row>
    <row r="14" spans="1:16" ht="12.75" customHeight="1">
      <c r="A14" s="59">
        <f t="shared" si="1"/>
        <v>6</v>
      </c>
      <c r="B14" s="35" t="s">
        <v>16</v>
      </c>
      <c r="E14" s="62">
        <f t="shared" ref="E14:K14" si="4">IF($D$5&lt;E9,$D$6-$D$6*$D$5/E9,0)</f>
        <v>0</v>
      </c>
      <c r="F14" s="62">
        <f t="shared" si="4"/>
        <v>0</v>
      </c>
      <c r="G14" s="62">
        <f t="shared" si="4"/>
        <v>0</v>
      </c>
      <c r="H14" s="62">
        <f t="shared" si="4"/>
        <v>0.13809523809523805</v>
      </c>
      <c r="I14" s="62">
        <f t="shared" si="4"/>
        <v>0.26363636363636367</v>
      </c>
      <c r="J14" s="62">
        <f t="shared" si="4"/>
        <v>0.37826086956521721</v>
      </c>
      <c r="K14" s="62">
        <f t="shared" si="4"/>
        <v>0.48333333333333339</v>
      </c>
    </row>
    <row r="15" spans="1:16" s="58" customFormat="1" ht="12.75" customHeight="1">
      <c r="A15" s="59">
        <f t="shared" si="1"/>
        <v>7</v>
      </c>
      <c r="B15" s="65" t="s">
        <v>29</v>
      </c>
      <c r="C15" s="65"/>
      <c r="D15" s="65"/>
      <c r="E15" s="66">
        <f t="shared" ref="E15:K15" si="5">SUM(E13:E14)</f>
        <v>46.400000000000006</v>
      </c>
      <c r="F15" s="66">
        <f t="shared" si="5"/>
        <v>46.400000000000006</v>
      </c>
      <c r="G15" s="66">
        <f t="shared" si="5"/>
        <v>46.400000000000006</v>
      </c>
      <c r="H15" s="66">
        <f t="shared" si="5"/>
        <v>46.538095238095245</v>
      </c>
      <c r="I15" s="66">
        <f t="shared" si="5"/>
        <v>46.663636363636371</v>
      </c>
      <c r="J15" s="66">
        <f t="shared" si="5"/>
        <v>46.778260869565223</v>
      </c>
      <c r="K15" s="66">
        <f t="shared" si="5"/>
        <v>46.88333333333334</v>
      </c>
    </row>
    <row r="16" spans="1:16" ht="5.0999999999999996" customHeight="1" thickBot="1">
      <c r="B16" s="48"/>
      <c r="C16" s="48"/>
      <c r="D16" s="48"/>
      <c r="E16" s="48"/>
      <c r="F16" s="48"/>
      <c r="G16" s="48"/>
      <c r="H16" s="48"/>
      <c r="I16" s="48"/>
      <c r="J16" s="48"/>
      <c r="K16" s="48"/>
    </row>
  </sheetData>
  <printOptions horizontalCentered="1"/>
  <pageMargins left="0.75" right="0.75" top="0.7" bottom="0.7" header="0.3" footer="0.3"/>
  <pageSetup scale="115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70"/>
  <sheetViews>
    <sheetView showGridLines="0" zoomScale="115" zoomScaleNormal="115" workbookViewId="0"/>
  </sheetViews>
  <sheetFormatPr defaultColWidth="9.1640625" defaultRowHeight="14.4"/>
  <cols>
    <col min="1" max="1" width="2.71875" style="35" customWidth="1"/>
    <col min="2" max="8" width="10.71875" style="35" customWidth="1"/>
    <col min="9" max="16384" width="9.1640625" style="35"/>
  </cols>
  <sheetData>
    <row r="1" spans="2:16" s="1" customFormat="1" ht="50.1" customHeight="1">
      <c r="B1" s="8"/>
      <c r="C1" s="8"/>
      <c r="D1" s="8"/>
      <c r="E1" s="8"/>
      <c r="F1" s="8"/>
      <c r="G1" s="8"/>
      <c r="H1" s="8"/>
      <c r="I1" s="33"/>
      <c r="J1" s="33"/>
      <c r="K1" s="33"/>
      <c r="L1" s="33"/>
      <c r="M1" s="33"/>
      <c r="N1" s="33"/>
      <c r="O1" s="33"/>
      <c r="P1" s="33"/>
    </row>
    <row r="3" spans="2:16" s="35" customFormat="1" ht="17.7">
      <c r="B3" s="34" t="s">
        <v>62</v>
      </c>
    </row>
    <row r="4" spans="2:16" s="35" customFormat="1" ht="12.75" customHeight="1">
      <c r="F4" s="53" t="s">
        <v>31</v>
      </c>
      <c r="G4" s="54"/>
      <c r="H4" s="54"/>
    </row>
    <row r="5" spans="2:16" s="35" customFormat="1" ht="13.5" customHeight="1" thickBot="1">
      <c r="B5" s="36" t="s">
        <v>47</v>
      </c>
      <c r="C5" s="67"/>
      <c r="D5" s="67"/>
      <c r="E5" s="67"/>
      <c r="F5" s="38" t="s">
        <v>19</v>
      </c>
      <c r="G5" s="38" t="s">
        <v>20</v>
      </c>
      <c r="H5" s="38" t="s">
        <v>18</v>
      </c>
    </row>
    <row r="7" spans="2:16" s="35" customFormat="1">
      <c r="B7" s="35" t="s">
        <v>32</v>
      </c>
      <c r="F7" s="68">
        <f>Assumptions!F6</f>
        <v>20</v>
      </c>
      <c r="G7" s="69">
        <f>AVERAGE(F7,H7)</f>
        <v>21</v>
      </c>
      <c r="H7" s="68">
        <f>Assumptions!F7</f>
        <v>22</v>
      </c>
    </row>
    <row r="9" spans="2:16" s="35" customFormat="1">
      <c r="B9" s="70" t="s">
        <v>17</v>
      </c>
      <c r="C9" s="71"/>
      <c r="D9" s="71"/>
      <c r="E9" s="71"/>
      <c r="F9" s="71"/>
      <c r="G9" s="71"/>
      <c r="H9" s="72"/>
    </row>
    <row r="10" spans="2:16" s="35" customFormat="1" ht="5.0999999999999996" customHeight="1"/>
    <row r="11" spans="2:16" s="35" customFormat="1">
      <c r="B11" s="42" t="s">
        <v>40</v>
      </c>
    </row>
    <row r="12" spans="2:16" s="35" customFormat="1">
      <c r="B12" s="35" t="s">
        <v>5</v>
      </c>
      <c r="F12" s="73">
        <f>Assumptions!$F9</f>
        <v>5.5</v>
      </c>
      <c r="G12" s="73">
        <f>Assumptions!$F9</f>
        <v>5.5</v>
      </c>
      <c r="H12" s="73">
        <f>Assumptions!$F9</f>
        <v>5.5</v>
      </c>
    </row>
    <row r="13" spans="2:16" s="35" customFormat="1">
      <c r="B13" s="35" t="s">
        <v>6</v>
      </c>
      <c r="F13" s="73">
        <f>Assumptions!$F10</f>
        <v>4.5</v>
      </c>
      <c r="G13" s="73">
        <f>Assumptions!$F10</f>
        <v>4.5</v>
      </c>
      <c r="H13" s="73">
        <f>Assumptions!$F10</f>
        <v>4.5</v>
      </c>
    </row>
    <row r="14" spans="2:16" s="35" customFormat="1">
      <c r="B14" s="74" t="s">
        <v>49</v>
      </c>
      <c r="C14" s="74"/>
      <c r="D14" s="74"/>
      <c r="E14" s="74"/>
      <c r="F14" s="75">
        <f>SUM(F12:F13)</f>
        <v>10</v>
      </c>
      <c r="G14" s="75">
        <f t="shared" ref="G14:H14" si="0">SUM(G12:G13)</f>
        <v>10</v>
      </c>
      <c r="H14" s="75">
        <f t="shared" si="0"/>
        <v>10</v>
      </c>
    </row>
    <row r="15" spans="2:16" s="35" customFormat="1">
      <c r="B15" s="35" t="s">
        <v>50</v>
      </c>
      <c r="F15" s="73">
        <f>F14*Assumptions!$F$16*Assumptions!$F$17*Assumptions!$F$18</f>
        <v>1.5</v>
      </c>
      <c r="G15" s="73">
        <f>G14*Assumptions!$F$16*Assumptions!$F$17*Assumptions!$F$18</f>
        <v>1.5</v>
      </c>
      <c r="H15" s="73">
        <f>H14*Assumptions!$F$16*Assumptions!$F$17*Assumptions!$F$18</f>
        <v>1.5</v>
      </c>
    </row>
    <row r="16" spans="2:16" s="35" customFormat="1">
      <c r="B16" s="35" t="s">
        <v>51</v>
      </c>
      <c r="F16" s="73">
        <f>F14*Assumptions!$F$16*(1-Assumptions!$F$17)*Assumptions!$F$18</f>
        <v>0</v>
      </c>
      <c r="G16" s="73">
        <f>G14*Assumptions!$F$16*(1-Assumptions!$F$17)*Assumptions!$F$18</f>
        <v>0</v>
      </c>
      <c r="H16" s="73">
        <f>H14*Assumptions!$F$16*(1-Assumptions!$F$17)*Assumptions!$F$18</f>
        <v>0</v>
      </c>
    </row>
    <row r="17" spans="2:8" s="35" customFormat="1">
      <c r="B17" s="76" t="s">
        <v>59</v>
      </c>
      <c r="C17" s="76"/>
      <c r="D17" s="76"/>
      <c r="E17" s="76"/>
      <c r="F17" s="77">
        <f>SUM(F15:F16)</f>
        <v>1.5</v>
      </c>
      <c r="G17" s="77">
        <f t="shared" ref="G17:H17" si="1">SUM(G15:G16)</f>
        <v>1.5</v>
      </c>
      <c r="H17" s="77">
        <f t="shared" si="1"/>
        <v>1.5</v>
      </c>
    </row>
    <row r="18" spans="2:8" s="35" customFormat="1">
      <c r="B18" s="78" t="s">
        <v>7</v>
      </c>
      <c r="C18" s="78"/>
      <c r="D18" s="78"/>
      <c r="E18" s="78"/>
      <c r="F18" s="75">
        <f>F17+F14</f>
        <v>11.5</v>
      </c>
      <c r="G18" s="75">
        <f t="shared" ref="G18:H18" si="2">G17+G14</f>
        <v>11.5</v>
      </c>
      <c r="H18" s="75">
        <f t="shared" si="2"/>
        <v>11.5</v>
      </c>
    </row>
    <row r="20" spans="2:8" s="35" customFormat="1" ht="12.75" customHeight="1">
      <c r="B20" s="42" t="s">
        <v>46</v>
      </c>
    </row>
    <row r="21" spans="2:8" s="35" customFormat="1" ht="12.75" customHeight="1">
      <c r="B21" s="35" t="s">
        <v>53</v>
      </c>
      <c r="F21" s="73">
        <f>HLOOKUP(F$7,FDSO!$E$9:$K$15,FDSO!$A$15,FALSE)</f>
        <v>46.400000000000006</v>
      </c>
      <c r="G21" s="73">
        <f>HLOOKUP(G$7,FDSO!$E$9:$K$15,FDSO!$A$15,FALSE)</f>
        <v>46.538095238095245</v>
      </c>
      <c r="H21" s="73">
        <f>HLOOKUP(H$7,FDSO!$E$9:$K$15,FDSO!$A$15,FALSE)</f>
        <v>46.663636363636371</v>
      </c>
    </row>
    <row r="22" spans="2:8" s="35" customFormat="1">
      <c r="B22" s="35" t="s">
        <v>3</v>
      </c>
      <c r="F22" s="79">
        <f>F12+F15</f>
        <v>7</v>
      </c>
      <c r="G22" s="79">
        <f>G12+G15</f>
        <v>7</v>
      </c>
      <c r="H22" s="79">
        <f>H12+H15</f>
        <v>7</v>
      </c>
    </row>
    <row r="23" spans="2:8" s="35" customFormat="1">
      <c r="B23" s="74" t="s">
        <v>54</v>
      </c>
      <c r="C23" s="74"/>
      <c r="D23" s="74"/>
      <c r="E23" s="74"/>
      <c r="F23" s="80">
        <f>SUM(F21:F22)</f>
        <v>53.400000000000006</v>
      </c>
      <c r="G23" s="80">
        <f t="shared" ref="G23:H23" si="3">SUM(G21:G22)</f>
        <v>53.538095238095245</v>
      </c>
      <c r="H23" s="80">
        <f t="shared" si="3"/>
        <v>53.663636363636371</v>
      </c>
    </row>
    <row r="25" spans="2:8" s="35" customFormat="1">
      <c r="B25" s="70" t="s">
        <v>56</v>
      </c>
      <c r="C25" s="71"/>
      <c r="D25" s="71"/>
      <c r="E25" s="71"/>
      <c r="F25" s="71"/>
      <c r="G25" s="71"/>
      <c r="H25" s="72"/>
    </row>
    <row r="26" spans="2:8" s="35" customFormat="1" ht="5.0999999999999996" customHeight="1"/>
    <row r="27" spans="2:8" s="35" customFormat="1">
      <c r="B27" s="35" t="s">
        <v>57</v>
      </c>
      <c r="F27" s="81">
        <f>F14*F7</f>
        <v>200</v>
      </c>
      <c r="G27" s="81">
        <f t="shared" ref="G27:H27" si="4">G14*G7</f>
        <v>210</v>
      </c>
      <c r="H27" s="81">
        <f t="shared" si="4"/>
        <v>220</v>
      </c>
    </row>
    <row r="28" spans="2:8" s="35" customFormat="1">
      <c r="B28" s="35" t="s">
        <v>58</v>
      </c>
      <c r="F28" s="82">
        <f>F17*F7</f>
        <v>30</v>
      </c>
      <c r="G28" s="82">
        <f t="shared" ref="G28:H28" si="5">G17*G7</f>
        <v>31.5</v>
      </c>
      <c r="H28" s="82">
        <f t="shared" si="5"/>
        <v>33</v>
      </c>
    </row>
    <row r="29" spans="2:8" s="35" customFormat="1">
      <c r="B29" s="74" t="s">
        <v>33</v>
      </c>
      <c r="C29" s="74"/>
      <c r="D29" s="74"/>
      <c r="E29" s="74"/>
      <c r="F29" s="83">
        <f>SUM(F27:F28)</f>
        <v>230</v>
      </c>
      <c r="G29" s="83">
        <f t="shared" ref="G29:H29" si="6">SUM(G27:G28)</f>
        <v>241.5</v>
      </c>
      <c r="H29" s="83">
        <f t="shared" si="6"/>
        <v>253</v>
      </c>
    </row>
    <row r="31" spans="2:8" s="35" customFormat="1">
      <c r="B31" s="70" t="s">
        <v>42</v>
      </c>
      <c r="C31" s="71"/>
      <c r="D31" s="71"/>
      <c r="E31" s="71"/>
      <c r="F31" s="71"/>
      <c r="G31" s="71"/>
      <c r="H31" s="72"/>
    </row>
    <row r="32" spans="2:8" s="35" customFormat="1" ht="5.0999999999999996" customHeight="1"/>
    <row r="33" spans="2:8" s="35" customFormat="1">
      <c r="B33" s="42" t="s">
        <v>39</v>
      </c>
    </row>
    <row r="34" spans="2:8" s="35" customFormat="1">
      <c r="B34" s="35" t="s">
        <v>35</v>
      </c>
      <c r="F34" s="69">
        <f>F7</f>
        <v>20</v>
      </c>
      <c r="G34" s="69">
        <f>G7</f>
        <v>21</v>
      </c>
      <c r="H34" s="69">
        <f>H7</f>
        <v>22</v>
      </c>
    </row>
    <row r="35" spans="2:8" s="35" customFormat="1">
      <c r="B35" s="35" t="str">
        <f>"( – ) Underwriting discount ("&amp;TEXT(Assumptions!F12,"0.0%")&amp;")"</f>
        <v>( – ) Underwriting discount (6.0%)</v>
      </c>
      <c r="F35" s="84">
        <f>-Assumptions!$F$12*F34</f>
        <v>-1.2</v>
      </c>
      <c r="G35" s="84">
        <f>-Assumptions!$F$12*G34</f>
        <v>-1.26</v>
      </c>
      <c r="H35" s="84">
        <f>-Assumptions!$F$12*H34</f>
        <v>-1.3199999999999998</v>
      </c>
    </row>
    <row r="36" spans="2:8" s="35" customFormat="1">
      <c r="B36" s="74" t="s">
        <v>37</v>
      </c>
      <c r="C36" s="74"/>
      <c r="D36" s="74"/>
      <c r="E36" s="74"/>
      <c r="F36" s="85">
        <f>SUM(F34:F35)</f>
        <v>18.8</v>
      </c>
      <c r="G36" s="85">
        <f t="shared" ref="G36:H36" si="7">SUM(G34:G35)</f>
        <v>19.739999999999998</v>
      </c>
      <c r="H36" s="85">
        <f t="shared" si="7"/>
        <v>20.68</v>
      </c>
    </row>
    <row r="38" spans="2:8" s="35" customFormat="1">
      <c r="B38" s="42" t="s">
        <v>38</v>
      </c>
    </row>
    <row r="39" spans="2:8" s="35" customFormat="1">
      <c r="B39" s="61" t="str">
        <f>Assumptions!B21</f>
        <v>SEC registration fee</v>
      </c>
      <c r="F39" s="86">
        <f>Assumptions!F21</f>
        <v>3.483E-2</v>
      </c>
      <c r="G39" s="81">
        <f>F39</f>
        <v>3.483E-2</v>
      </c>
      <c r="H39" s="81">
        <f>G39</f>
        <v>3.483E-2</v>
      </c>
    </row>
    <row r="40" spans="2:8" s="35" customFormat="1">
      <c r="B40" s="61" t="str">
        <f>Assumptions!B22</f>
        <v>FINRA Filing fee</v>
      </c>
      <c r="F40" s="87">
        <f>Assumptions!F22</f>
        <v>3.0499999999999999E-2</v>
      </c>
      <c r="G40" s="88">
        <f t="shared" ref="G40:H46" si="8">F40</f>
        <v>3.0499999999999999E-2</v>
      </c>
      <c r="H40" s="88">
        <f t="shared" si="8"/>
        <v>3.0499999999999999E-2</v>
      </c>
    </row>
    <row r="41" spans="2:8" s="35" customFormat="1">
      <c r="B41" s="61" t="str">
        <f>Assumptions!B23</f>
        <v>Nasdaq listing fees and expenses</v>
      </c>
      <c r="F41" s="87">
        <f>Assumptions!F23</f>
        <v>2.5000000000000001E-2</v>
      </c>
      <c r="G41" s="88">
        <f t="shared" si="8"/>
        <v>2.5000000000000001E-2</v>
      </c>
      <c r="H41" s="88">
        <f t="shared" si="8"/>
        <v>2.5000000000000001E-2</v>
      </c>
    </row>
    <row r="42" spans="2:8" s="35" customFormat="1" ht="12.9" customHeight="1">
      <c r="B42" s="61" t="str">
        <f>Assumptions!B24</f>
        <v>Transfer agent and registrar fees and expenses</v>
      </c>
      <c r="F42" s="87">
        <f>Assumptions!F24</f>
        <v>0.1</v>
      </c>
      <c r="G42" s="88">
        <f t="shared" si="8"/>
        <v>0.1</v>
      </c>
      <c r="H42" s="88">
        <f t="shared" si="8"/>
        <v>0.1</v>
      </c>
    </row>
    <row r="43" spans="2:8" s="35" customFormat="1" ht="12.9" customHeight="1">
      <c r="B43" s="61" t="str">
        <f>Assumptions!B25</f>
        <v>Printing fees and expenses</v>
      </c>
      <c r="F43" s="87">
        <f>Assumptions!F25</f>
        <v>0.7</v>
      </c>
      <c r="G43" s="88">
        <f t="shared" si="8"/>
        <v>0.7</v>
      </c>
      <c r="H43" s="88">
        <f t="shared" si="8"/>
        <v>0.7</v>
      </c>
    </row>
    <row r="44" spans="2:8" s="35" customFormat="1" ht="12.9" customHeight="1">
      <c r="B44" s="61" t="str">
        <f>Assumptions!B26</f>
        <v>Legal fees and expenses</v>
      </c>
      <c r="F44" s="87">
        <f>Assumptions!F26</f>
        <v>3</v>
      </c>
      <c r="G44" s="88">
        <f t="shared" si="8"/>
        <v>3</v>
      </c>
      <c r="H44" s="88">
        <f t="shared" si="8"/>
        <v>3</v>
      </c>
    </row>
    <row r="45" spans="2:8" s="35" customFormat="1" ht="12.9" customHeight="1">
      <c r="B45" s="61" t="str">
        <f>Assumptions!B27</f>
        <v>Accounting fees and expenses</v>
      </c>
      <c r="F45" s="87">
        <f>Assumptions!F27</f>
        <v>1.5</v>
      </c>
      <c r="G45" s="88">
        <f t="shared" si="8"/>
        <v>1.5</v>
      </c>
      <c r="H45" s="88">
        <f t="shared" si="8"/>
        <v>1.5</v>
      </c>
    </row>
    <row r="46" spans="2:8" s="35" customFormat="1" ht="12.9" customHeight="1">
      <c r="B46" s="61" t="str">
        <f>Assumptions!B28</f>
        <v>Miscellaneous</v>
      </c>
      <c r="F46" s="87">
        <f>Assumptions!F28</f>
        <v>0.11</v>
      </c>
      <c r="G46" s="88">
        <f t="shared" si="8"/>
        <v>0.11</v>
      </c>
      <c r="H46" s="88">
        <f t="shared" si="8"/>
        <v>0.11</v>
      </c>
    </row>
    <row r="47" spans="2:8" s="35" customFormat="1" ht="12.9" customHeight="1">
      <c r="B47" s="74" t="s">
        <v>28</v>
      </c>
      <c r="C47" s="74"/>
      <c r="D47" s="74"/>
      <c r="E47" s="74"/>
      <c r="F47" s="83">
        <f>SUM(F39:F46)</f>
        <v>5.5003300000000008</v>
      </c>
      <c r="G47" s="89">
        <f t="shared" ref="G47:H47" si="9">SUM(G39:G46)</f>
        <v>5.5003300000000008</v>
      </c>
      <c r="H47" s="89">
        <f t="shared" si="9"/>
        <v>5.5003300000000008</v>
      </c>
    </row>
    <row r="48" spans="2:8" s="35" customFormat="1" ht="12.9" customHeight="1"/>
    <row r="49" spans="2:8" s="35" customFormat="1" ht="12.9" customHeight="1">
      <c r="B49" s="70" t="s">
        <v>44</v>
      </c>
      <c r="C49" s="71"/>
      <c r="D49" s="71"/>
      <c r="E49" s="71"/>
      <c r="F49" s="71"/>
      <c r="G49" s="71"/>
      <c r="H49" s="72"/>
    </row>
    <row r="50" spans="2:8" s="35" customFormat="1" ht="12.9" customHeight="1"/>
    <row r="51" spans="2:8" s="35" customFormat="1" ht="12.9" customHeight="1">
      <c r="B51" s="35" t="s">
        <v>8</v>
      </c>
      <c r="F51" s="90">
        <f>F34*F22</f>
        <v>140</v>
      </c>
      <c r="G51" s="90">
        <f t="shared" ref="G51:H51" si="10">G34*G22</f>
        <v>147</v>
      </c>
      <c r="H51" s="90">
        <f t="shared" si="10"/>
        <v>154</v>
      </c>
    </row>
    <row r="52" spans="2:8" s="35" customFormat="1" ht="12.9" customHeight="1">
      <c r="B52" s="35" t="s">
        <v>36</v>
      </c>
      <c r="F52" s="82">
        <f>F35*F22</f>
        <v>-8.4</v>
      </c>
      <c r="G52" s="82">
        <f t="shared" ref="G52:H52" si="11">G35*G22</f>
        <v>-8.82</v>
      </c>
      <c r="H52" s="82">
        <f t="shared" si="11"/>
        <v>-9.2399999999999984</v>
      </c>
    </row>
    <row r="53" spans="2:8" s="35" customFormat="1" ht="12.9" customHeight="1">
      <c r="B53" s="35" t="s">
        <v>34</v>
      </c>
      <c r="F53" s="82">
        <f>-F47</f>
        <v>-5.5003300000000008</v>
      </c>
      <c r="G53" s="82">
        <f>-G47</f>
        <v>-5.5003300000000008</v>
      </c>
      <c r="H53" s="82">
        <f>-H47</f>
        <v>-5.5003300000000008</v>
      </c>
    </row>
    <row r="54" spans="2:8" s="35" customFormat="1" ht="12.9" customHeight="1">
      <c r="B54" s="74" t="s">
        <v>9</v>
      </c>
      <c r="C54" s="74"/>
      <c r="D54" s="74"/>
      <c r="E54" s="74"/>
      <c r="F54" s="83">
        <f>SUM(F51:F53)</f>
        <v>126.09966999999999</v>
      </c>
      <c r="G54" s="83">
        <f t="shared" ref="G54:H54" si="12">SUM(G51:G53)</f>
        <v>132.67967000000002</v>
      </c>
      <c r="H54" s="83">
        <f t="shared" si="12"/>
        <v>139.25967</v>
      </c>
    </row>
    <row r="55" spans="2:8" s="35" customFormat="1" ht="12.9" customHeight="1">
      <c r="B55" s="42"/>
    </row>
    <row r="56" spans="2:8" s="35" customFormat="1" ht="12.9" customHeight="1">
      <c r="B56" s="70" t="s">
        <v>43</v>
      </c>
      <c r="C56" s="71"/>
      <c r="D56" s="71"/>
      <c r="E56" s="71"/>
      <c r="F56" s="71"/>
      <c r="G56" s="71"/>
      <c r="H56" s="72"/>
    </row>
    <row r="57" spans="2:8" s="35" customFormat="1" ht="12.9" customHeight="1">
      <c r="B57" s="42"/>
    </row>
    <row r="58" spans="2:8" s="35" customFormat="1" ht="12.9" customHeight="1">
      <c r="B58" s="42" t="s">
        <v>45</v>
      </c>
    </row>
    <row r="59" spans="2:8" s="35" customFormat="1" ht="12.9" customHeight="1">
      <c r="B59" s="35" t="s">
        <v>1</v>
      </c>
      <c r="F59" s="81">
        <f>F23*F7</f>
        <v>1068</v>
      </c>
      <c r="G59" s="81">
        <f>G23*G7</f>
        <v>1124.3000000000002</v>
      </c>
      <c r="H59" s="81">
        <f>H23*H7</f>
        <v>1180.6000000000001</v>
      </c>
    </row>
    <row r="60" spans="2:8" s="35" customFormat="1" ht="12.9" customHeight="1">
      <c r="B60" s="35" t="s">
        <v>4</v>
      </c>
      <c r="F60" s="82">
        <f>F61-F59</f>
        <v>160.19999999999982</v>
      </c>
      <c r="G60" s="82">
        <f>G61-G59</f>
        <v>168.64499999999998</v>
      </c>
      <c r="H60" s="82">
        <f>H61-H59</f>
        <v>177.08999999999992</v>
      </c>
    </row>
    <row r="61" spans="2:8" s="35" customFormat="1" ht="12.9" customHeight="1">
      <c r="B61" s="74" t="s">
        <v>30</v>
      </c>
      <c r="C61" s="74"/>
      <c r="D61" s="74"/>
      <c r="E61" s="74"/>
      <c r="F61" s="91">
        <f>F59*(1+Assumptions!$F$13)</f>
        <v>1228.1999999999998</v>
      </c>
      <c r="G61" s="91">
        <f>G59*(1+Assumptions!$F$13)</f>
        <v>1292.9450000000002</v>
      </c>
      <c r="H61" s="91">
        <f>H59*(1+Assumptions!$F$13)</f>
        <v>1357.69</v>
      </c>
    </row>
    <row r="62" spans="2:8" s="35" customFormat="1" ht="12.9" customHeight="1"/>
    <row r="63" spans="2:8" s="35" customFormat="1" ht="12.9" customHeight="1">
      <c r="B63" s="42" t="s">
        <v>105</v>
      </c>
      <c r="C63" s="58"/>
      <c r="F63" s="86">
        <f>Assumptions!$F$41</f>
        <v>70</v>
      </c>
      <c r="G63" s="81">
        <f>F63</f>
        <v>70</v>
      </c>
      <c r="H63" s="81">
        <f>G63</f>
        <v>70</v>
      </c>
    </row>
    <row r="64" spans="2:8" s="35" customFormat="1" ht="12.9" customHeight="1">
      <c r="B64" s="35" t="s">
        <v>106</v>
      </c>
      <c r="F64" s="92">
        <f>F59/F$63</f>
        <v>15.257142857142858</v>
      </c>
      <c r="G64" s="92">
        <f t="shared" ref="G64:H64" si="13">G59/G$63</f>
        <v>16.061428571428575</v>
      </c>
      <c r="H64" s="92">
        <f t="shared" si="13"/>
        <v>16.865714285714287</v>
      </c>
    </row>
    <row r="65" spans="2:8" s="35" customFormat="1" ht="12.9" customHeight="1">
      <c r="B65" s="35" t="s">
        <v>107</v>
      </c>
      <c r="F65" s="92">
        <f>F61/F$63</f>
        <v>17.545714285714283</v>
      </c>
      <c r="G65" s="92">
        <f t="shared" ref="G65:H65" si="14">G61/G$63</f>
        <v>18.47064285714286</v>
      </c>
      <c r="H65" s="92">
        <f t="shared" si="14"/>
        <v>19.395571428571429</v>
      </c>
    </row>
    <row r="66" spans="2:8" s="35" customFormat="1" ht="12.9" customHeight="1"/>
    <row r="67" spans="2:8" s="35" customFormat="1" ht="12.9" customHeight="1">
      <c r="B67" s="42" t="s">
        <v>108</v>
      </c>
      <c r="C67" s="58"/>
      <c r="F67" s="86">
        <f>Assumptions!$F$42</f>
        <v>95</v>
      </c>
      <c r="G67" s="81">
        <f>F67</f>
        <v>95</v>
      </c>
      <c r="H67" s="81">
        <f>G67</f>
        <v>95</v>
      </c>
    </row>
    <row r="68" spans="2:8" s="35" customFormat="1" ht="12.9" customHeight="1">
      <c r="B68" s="35" t="s">
        <v>109</v>
      </c>
      <c r="F68" s="92">
        <f>F59/F$67</f>
        <v>11.242105263157894</v>
      </c>
      <c r="G68" s="92">
        <f t="shared" ref="G68:H68" si="15">G59/G$67</f>
        <v>11.834736842105265</v>
      </c>
      <c r="H68" s="92">
        <f t="shared" si="15"/>
        <v>12.427368421052632</v>
      </c>
    </row>
    <row r="69" spans="2:8" s="35" customFormat="1" ht="12.9" customHeight="1">
      <c r="B69" s="35" t="s">
        <v>110</v>
      </c>
      <c r="F69" s="92">
        <f>F61/F$67</f>
        <v>12.928421052631577</v>
      </c>
      <c r="G69" s="92">
        <f t="shared" ref="G69:H69" si="16">G61/G$67</f>
        <v>13.609947368421054</v>
      </c>
      <c r="H69" s="92">
        <f t="shared" si="16"/>
        <v>14.291473684210526</v>
      </c>
    </row>
    <row r="70" spans="2:8" s="35" customFormat="1" ht="5.0999999999999996" customHeight="1" thickBot="1">
      <c r="B70" s="48"/>
      <c r="C70" s="48"/>
      <c r="D70" s="48"/>
      <c r="E70" s="48"/>
      <c r="F70" s="48"/>
      <c r="G70" s="48"/>
      <c r="H70" s="48"/>
    </row>
  </sheetData>
  <printOptions horizontalCentered="1"/>
  <pageMargins left="0.75" right="0.75" top="0.7" bottom="0.7" header="0.3" footer="0.3"/>
  <pageSetup orientation="portrait" horizontalDpi="300" verticalDpi="300" r:id="rId1"/>
  <rowBreaks count="1" manualBreakCount="1">
    <brk id="48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 Page</vt:lpstr>
      <vt:lpstr>Assumptions</vt:lpstr>
      <vt:lpstr>FDSO</vt:lpstr>
      <vt:lpstr>IPO</vt:lpstr>
      <vt:lpstr>Assumptions!Print_Area</vt:lpstr>
      <vt:lpstr>'Cover Page'!Print_Area</vt:lpstr>
      <vt:lpstr>FDSO!Print_Area</vt:lpstr>
      <vt:lpstr>IPO!Print_Area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Macabacccus, LLC; Ryan MacGregor</dc:creator>
  <cp:lastModifiedBy>Corporate Finance Institute</cp:lastModifiedBy>
  <cp:lastPrinted>2023-01-31T15:33:19Z</cp:lastPrinted>
  <dcterms:created xsi:type="dcterms:W3CDTF">2006-07-31T19:33:36Z</dcterms:created>
  <dcterms:modified xsi:type="dcterms:W3CDTF">2023-01-31T15:33:35Z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zardMode">
    <vt:lpwstr>0</vt:lpwstr>
  </property>
  <property fmtid="{D5CDD505-2E9C-101B-9397-08002B2CF9AE}" pid="3" name="FDSMenuDocLevelBtnStates">
    <vt:lpwstr>&lt;btnStates&gt;&lt;btn tag="1001" state="UP"/&gt;&lt;/btnStates&gt;_x000d_
</vt:lpwstr>
  </property>
  <property fmtid="{D5CDD505-2E9C-101B-9397-08002B2CF9AE}" pid="4" name="&lt;tags1&gt;">
    <vt:lpwstr>&lt;tags&gt;&lt;tag n="AppId" v="1" /&gt;&lt;tag n="Type" v="0" /&gt;&lt;tag n="File" v="Worksheet in CBF Roadshow v132.pptx" /&gt;&lt;tag n="SourceSheet" v="Chart" /&gt;&lt;tag n="HostId" v="3" /&gt;&lt;tag n="HostDoc" v="CBF Sales Force Presentation v36.pptx" /&gt;&lt;tag n="HostDocFull" v="\\nmum</vt:lpwstr>
  </property>
  <property fmtid="{D5CDD505-2E9C-101B-9397-08002B2CF9AE}" pid="5" name="&lt;tags2&gt;">
    <vt:lpwstr>11p20110a\IBDKPOPtech$\Mumbai Pres Tech\Jobs\Client Code\NGJE\X66NR\Formatting - Thu Lai\CBF Sales Force Presentation v36.pptx" /&gt;&lt;tag n="Slide" v="8" /&gt;&lt;tag n="Shape" v="Object 3" /&gt;&lt;tag n="Top" v="113.7675" /&gt;&lt;tag n="Left" v="36" /&gt;&lt;tag n="Height" v="34</vt:lpwstr>
  </property>
  <property fmtid="{D5CDD505-2E9C-101B-9397-08002B2CF9AE}" pid="6" name="&lt;tags3&gt;">
    <vt:lpwstr>7.25" /&gt;&lt;tag n="Width" v="353.25" /&gt;&lt;tag n="TimeStamp" v="2012-09-05 09:45:02" /&gt;&lt;tag n="IsOpening" v="False" /&gt;&lt;/tags&gt;</vt:lpwstr>
  </property>
</Properties>
</file>