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490" windowHeight="7650"/>
  </bookViews>
  <sheets>
    <sheet name="Sales report" sheetId="1" r:id="rId1"/>
    <sheet name="Product Sheet" sheetId="4" r:id="rId2"/>
    <sheet name="Online Sales Tracker" sheetId="5" r:id="rId3"/>
  </sheets>
  <calcPr calcId="124519"/>
</workbook>
</file>

<file path=xl/calcChain.xml><?xml version="1.0" encoding="utf-8"?>
<calcChain xmlns="http://schemas.openxmlformats.org/spreadsheetml/2006/main">
  <c r="G19" i="5"/>
  <c r="E19"/>
  <c r="C19"/>
  <c r="E17"/>
  <c r="F15"/>
  <c r="H31" i="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H4"/>
  <c r="B8" i="5"/>
  <c r="G8" s="1"/>
  <c r="B9"/>
  <c r="G9" s="1"/>
  <c r="B10"/>
  <c r="F10" s="1"/>
  <c r="B11"/>
  <c r="G11" s="1"/>
  <c r="B7"/>
  <c r="G7" s="1"/>
  <c r="I5" i="1" l="1"/>
  <c r="I9"/>
  <c r="I13"/>
  <c r="I17"/>
  <c r="I25"/>
  <c r="I29"/>
  <c r="I21"/>
  <c r="I6"/>
  <c r="I10"/>
  <c r="I14"/>
  <c r="I18"/>
  <c r="I22"/>
  <c r="I26"/>
  <c r="I30"/>
  <c r="I11"/>
  <c r="I15"/>
  <c r="I19"/>
  <c r="I23"/>
  <c r="I27"/>
  <c r="I31"/>
  <c r="I8"/>
  <c r="I12"/>
  <c r="I16"/>
  <c r="I20"/>
  <c r="I24"/>
  <c r="I28"/>
  <c r="I7"/>
  <c r="F9" i="5"/>
  <c r="D9"/>
  <c r="D11"/>
  <c r="F11"/>
  <c r="C8"/>
  <c r="C10"/>
  <c r="D7"/>
  <c r="E8"/>
  <c r="F7"/>
  <c r="F8"/>
  <c r="E10"/>
  <c r="G10"/>
  <c r="C7"/>
  <c r="C9"/>
  <c r="C11"/>
  <c r="D8"/>
  <c r="D10"/>
  <c r="E7"/>
  <c r="E9"/>
  <c r="E11"/>
  <c r="I4" i="1"/>
  <c r="J4" s="1"/>
  <c r="C12" i="5" l="1"/>
  <c r="E12"/>
  <c r="G12"/>
  <c r="D12"/>
  <c r="F12"/>
  <c r="H9"/>
  <c r="H11"/>
  <c r="H8"/>
  <c r="H10"/>
  <c r="H7"/>
  <c r="H12" l="1"/>
  <c r="C31" i="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L31"/>
  <c r="K31"/>
  <c r="D18" i="5" s="1"/>
  <c r="J31" i="1"/>
  <c r="L30"/>
  <c r="K30"/>
  <c r="G15" i="5" s="1"/>
  <c r="J30" i="1"/>
  <c r="L28"/>
  <c r="K28"/>
  <c r="G16" i="5" s="1"/>
  <c r="J28" i="1"/>
  <c r="L24"/>
  <c r="K24"/>
  <c r="D16" i="5" s="1"/>
  <c r="J24" i="1"/>
  <c r="L27"/>
  <c r="K27"/>
  <c r="F17" i="5" s="1"/>
  <c r="J27" i="1"/>
  <c r="L25"/>
  <c r="K25"/>
  <c r="J25"/>
  <c r="L26"/>
  <c r="K26"/>
  <c r="J26"/>
  <c r="L29"/>
  <c r="K29"/>
  <c r="J29"/>
  <c r="L22"/>
  <c r="K22"/>
  <c r="J22"/>
  <c r="L21"/>
  <c r="K21"/>
  <c r="F16" i="5" s="1"/>
  <c r="J21" i="1"/>
  <c r="L23"/>
  <c r="K23"/>
  <c r="G18" i="5" s="1"/>
  <c r="J23" i="1"/>
  <c r="L19"/>
  <c r="K19"/>
  <c r="J19"/>
  <c r="L20"/>
  <c r="K20"/>
  <c r="J20"/>
  <c r="L18"/>
  <c r="K18"/>
  <c r="J18"/>
  <c r="L17"/>
  <c r="K17"/>
  <c r="G17" i="5" s="1"/>
  <c r="J17" i="1"/>
  <c r="K16"/>
  <c r="C16" i="5" s="1"/>
  <c r="L16" i="1"/>
  <c r="L15"/>
  <c r="L14"/>
  <c r="L13"/>
  <c r="L12"/>
  <c r="L11"/>
  <c r="L10"/>
  <c r="L9"/>
  <c r="L8"/>
  <c r="L7"/>
  <c r="L6"/>
  <c r="L5"/>
  <c r="L4"/>
  <c r="J16"/>
  <c r="K15"/>
  <c r="J15"/>
  <c r="K11"/>
  <c r="D17" i="5" s="1"/>
  <c r="J11" i="1"/>
  <c r="K5"/>
  <c r="C15" i="5" s="1"/>
  <c r="J5" i="1"/>
  <c r="K13"/>
  <c r="J13"/>
  <c r="K14"/>
  <c r="E18" i="5" s="1"/>
  <c r="J14" i="1"/>
  <c r="K12"/>
  <c r="J12"/>
  <c r="K10"/>
  <c r="J10"/>
  <c r="J6"/>
  <c r="K6"/>
  <c r="F19" i="5" l="1"/>
  <c r="C18"/>
  <c r="F18"/>
  <c r="K9" i="1"/>
  <c r="D19" i="5" s="1"/>
  <c r="K8" i="1"/>
  <c r="C17" i="5" s="1"/>
  <c r="H17" s="1"/>
  <c r="K7" i="1"/>
  <c r="E16" i="5" s="1"/>
  <c r="H16" s="1"/>
  <c r="K4" i="1"/>
  <c r="D15" i="5" s="1"/>
  <c r="J9" i="1"/>
  <c r="J8"/>
  <c r="J7"/>
  <c r="H19" i="5" l="1"/>
  <c r="H18"/>
  <c r="E15"/>
  <c r="H15" s="1"/>
</calcChain>
</file>

<file path=xl/sharedStrings.xml><?xml version="1.0" encoding="utf-8"?>
<sst xmlns="http://schemas.openxmlformats.org/spreadsheetml/2006/main" count="114" uniqueCount="33">
  <si>
    <t>Product</t>
  </si>
  <si>
    <t>A</t>
  </si>
  <si>
    <t>B</t>
  </si>
  <si>
    <t>C</t>
  </si>
  <si>
    <t>D</t>
  </si>
  <si>
    <t>E</t>
  </si>
  <si>
    <t>Profit</t>
  </si>
  <si>
    <t>Margin</t>
  </si>
  <si>
    <t>Net income</t>
  </si>
  <si>
    <t>Website</t>
  </si>
  <si>
    <t>Amazon</t>
  </si>
  <si>
    <t>Flipkart</t>
  </si>
  <si>
    <t>Shopclues</t>
  </si>
  <si>
    <t>Date</t>
  </si>
  <si>
    <t>Volume</t>
  </si>
  <si>
    <t>Revenue</t>
  </si>
  <si>
    <t>Big basket</t>
  </si>
  <si>
    <t>Day</t>
  </si>
  <si>
    <t>TOTAL</t>
  </si>
  <si>
    <t>Big Basket</t>
  </si>
  <si>
    <t>Product Name</t>
  </si>
  <si>
    <t>Cost Price</t>
  </si>
  <si>
    <t>Sales Price</t>
  </si>
  <si>
    <t xml:space="preserve">  </t>
  </si>
  <si>
    <t>Quantity</t>
  </si>
  <si>
    <t>Sales channel</t>
  </si>
  <si>
    <t>www.ExcelDataPro.com</t>
  </si>
  <si>
    <t>Sales Summary</t>
  </si>
  <si>
    <t>Online Sales Tracker</t>
  </si>
  <si>
    <t>Volume Breakup</t>
  </si>
  <si>
    <t>Product-wise Profit Breakup</t>
  </si>
  <si>
    <t>Monthly Sales Report</t>
  </si>
  <si>
    <t>Sell Price</t>
  </si>
</sst>
</file>

<file path=xl/styles.xml><?xml version="1.0" encoding="utf-8"?>
<styleSheet xmlns="http://schemas.openxmlformats.org/spreadsheetml/2006/main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&quot;₹&quot;\ #,##0.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Tahoma"/>
      <family val="2"/>
    </font>
    <font>
      <sz val="11"/>
      <name val="Tahoma"/>
      <family val="2"/>
    </font>
    <font>
      <u/>
      <sz val="11"/>
      <color theme="10"/>
      <name val="Calibri"/>
      <family val="2"/>
    </font>
    <font>
      <b/>
      <u/>
      <sz val="2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2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u/>
      <sz val="3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5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0" fillId="4" borderId="0" xfId="0" applyFill="1"/>
    <xf numFmtId="164" fontId="0" fillId="4" borderId="0" xfId="0" applyNumberFormat="1" applyFill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3" fillId="7" borderId="2" xfId="0" applyFont="1" applyFill="1" applyBorder="1"/>
    <xf numFmtId="165" fontId="3" fillId="7" borderId="2" xfId="0" applyNumberFormat="1" applyFont="1" applyFill="1" applyBorder="1"/>
    <xf numFmtId="0" fontId="0" fillId="8" borderId="0" xfId="0" applyFill="1"/>
    <xf numFmtId="0" fontId="5" fillId="3" borderId="1" xfId="3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4" fillId="3" borderId="1" xfId="3" applyFont="1" applyFill="1" applyBorder="1" applyAlignment="1" applyProtection="1">
      <alignment horizontal="center" vertical="center"/>
    </xf>
    <xf numFmtId="0" fontId="0" fillId="8" borderId="0" xfId="0" applyFill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14" fontId="13" fillId="3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4" fontId="13" fillId="3" borderId="1" xfId="2" applyNumberFormat="1" applyFont="1" applyFill="1" applyBorder="1" applyAlignment="1">
      <alignment horizontal="center" vertical="center"/>
    </xf>
    <xf numFmtId="9" fontId="13" fillId="3" borderId="1" xfId="1" applyFont="1" applyFill="1" applyBorder="1" applyAlignment="1">
      <alignment horizontal="center" vertic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00"/>
      <color rgb="FFDCEEF2"/>
      <color rgb="FFFFCC99"/>
      <color rgb="FFFF7C80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Sales</a:t>
            </a:r>
            <a:r>
              <a:rPr lang="en-US" baseline="0">
                <a:solidFill>
                  <a:schemeClr val="bg1"/>
                </a:solidFill>
              </a:rPr>
              <a:t> </a:t>
            </a:r>
            <a:r>
              <a:rPr lang="en-US">
                <a:solidFill>
                  <a:schemeClr val="bg1"/>
                </a:solidFill>
              </a:rPr>
              <a:t>Volume Against Each Sales</a:t>
            </a:r>
            <a:r>
              <a:rPr lang="en-US" baseline="0">
                <a:solidFill>
                  <a:schemeClr val="bg1"/>
                </a:solidFill>
              </a:rPr>
              <a:t> Channel</a:t>
            </a:r>
            <a:endParaRPr lang="en-US">
              <a:solidFill>
                <a:schemeClr val="bg1"/>
              </a:solidFill>
            </a:endParaRPr>
          </a:p>
        </c:rich>
      </c:tx>
      <c:layout/>
    </c:title>
    <c:plotArea>
      <c:layout>
        <c:manualLayout>
          <c:layoutTarget val="inner"/>
          <c:xMode val="edge"/>
          <c:yMode val="edge"/>
          <c:x val="6.7455866973192918E-2"/>
          <c:y val="0.16394836558733153"/>
          <c:w val="0.86019135763648913"/>
          <c:h val="0.73471398653807263"/>
        </c:manualLayout>
      </c:layout>
      <c:barChart>
        <c:barDir val="col"/>
        <c:grouping val="clustered"/>
        <c:ser>
          <c:idx val="0"/>
          <c:order val="0"/>
          <c:tx>
            <c:strRef>
              <c:f>'Online Sales Tracker'!$B$7</c:f>
              <c:strCache>
                <c:ptCount val="1"/>
                <c:pt idx="0">
                  <c:v>A</c:v>
                </c:pt>
              </c:strCache>
            </c:strRef>
          </c:tx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Tracker'!$C$7:$G$7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0</c:v>
                </c:pt>
                <c:pt idx="4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26-4F85-99B6-FE364D4A7747}"/>
            </c:ext>
          </c:extLst>
        </c:ser>
        <c:ser>
          <c:idx val="1"/>
          <c:order val="1"/>
          <c:tx>
            <c:strRef>
              <c:f>'Online Sales Tracker'!$B$8</c:f>
              <c:strCache>
                <c:ptCount val="1"/>
                <c:pt idx="0">
                  <c:v>B</c:v>
                </c:pt>
              </c:strCache>
            </c:strRef>
          </c:tx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Tracker'!$C$8:$G$8</c:f>
              <c:numCache>
                <c:formatCode>General</c:formatCode>
                <c:ptCount val="5"/>
                <c:pt idx="0">
                  <c:v>20</c:v>
                </c:pt>
                <c:pt idx="1">
                  <c:v>60</c:v>
                </c:pt>
                <c:pt idx="2">
                  <c:v>115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E26-4F85-99B6-FE364D4A7747}"/>
            </c:ext>
          </c:extLst>
        </c:ser>
        <c:ser>
          <c:idx val="2"/>
          <c:order val="2"/>
          <c:tx>
            <c:strRef>
              <c:f>'Online Sales Tracker'!$B$9</c:f>
              <c:strCache>
                <c:ptCount val="1"/>
                <c:pt idx="0">
                  <c:v>C</c:v>
                </c:pt>
              </c:strCache>
            </c:strRef>
          </c:tx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Tracker'!$C$9:$G$9</c:f>
              <c:numCache>
                <c:formatCode>General</c:formatCode>
                <c:ptCount val="5"/>
                <c:pt idx="0">
                  <c:v>80</c:v>
                </c:pt>
                <c:pt idx="1">
                  <c:v>40</c:v>
                </c:pt>
                <c:pt idx="2">
                  <c:v>0</c:v>
                </c:pt>
                <c:pt idx="3">
                  <c:v>40</c:v>
                </c:pt>
                <c:pt idx="4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E26-4F85-99B6-FE364D4A7747}"/>
            </c:ext>
          </c:extLst>
        </c:ser>
        <c:ser>
          <c:idx val="3"/>
          <c:order val="3"/>
          <c:tx>
            <c:strRef>
              <c:f>'Online Sales Tracker'!$B$10</c:f>
              <c:strCache>
                <c:ptCount val="1"/>
                <c:pt idx="0">
                  <c:v>D</c:v>
                </c:pt>
              </c:strCache>
            </c:strRef>
          </c:tx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Tracker'!$C$10:$G$10</c:f>
              <c:numCache>
                <c:formatCode>General</c:formatCode>
                <c:ptCount val="5"/>
                <c:pt idx="0">
                  <c:v>45</c:v>
                </c:pt>
                <c:pt idx="1">
                  <c:v>20</c:v>
                </c:pt>
                <c:pt idx="2">
                  <c:v>25</c:v>
                </c:pt>
                <c:pt idx="3">
                  <c:v>70</c:v>
                </c:pt>
                <c:pt idx="4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E26-4F85-99B6-FE364D4A7747}"/>
            </c:ext>
          </c:extLst>
        </c:ser>
        <c:ser>
          <c:idx val="4"/>
          <c:order val="4"/>
          <c:tx>
            <c:strRef>
              <c:f>'Online Sales Tracker'!$B$11</c:f>
              <c:strCache>
                <c:ptCount val="1"/>
                <c:pt idx="0">
                  <c:v>E</c:v>
                </c:pt>
              </c:strCache>
            </c:strRef>
          </c:tx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Tracker'!$C$11:$G$11</c:f>
              <c:numCache>
                <c:formatCode>General</c:formatCode>
                <c:ptCount val="5"/>
                <c:pt idx="0">
                  <c:v>0</c:v>
                </c:pt>
                <c:pt idx="1">
                  <c:v>60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E26-4F85-99B6-FE364D4A7747}"/>
            </c:ext>
          </c:extLst>
        </c:ser>
        <c:dLbls/>
        <c:axId val="141811072"/>
        <c:axId val="115094656"/>
      </c:barChart>
      <c:catAx>
        <c:axId val="141811072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15094656"/>
        <c:crosses val="autoZero"/>
        <c:auto val="1"/>
        <c:lblAlgn val="ctr"/>
        <c:lblOffset val="100"/>
      </c:catAx>
      <c:valAx>
        <c:axId val="11509465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41811072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r"/>
      <c:layout/>
      <c:txPr>
        <a:bodyPr/>
        <a:lstStyle/>
        <a:p>
          <a:pPr>
            <a:defRPr baseline="0"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50000"/>
      </a:schemeClr>
    </a:solidFill>
    <a:ln w="19050">
      <a:solidFill>
        <a:schemeClr val="bg1">
          <a:alpha val="99000"/>
        </a:schemeClr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</c:title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Tracker'!$C$6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Tracker'!$C$7:$C$11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20F-49BA-9E42-D8990A4F8C58}"/>
            </c:ext>
          </c:extLst>
        </c:ser>
        <c:dLbls/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</c:title>
    <c:plotArea>
      <c:layout>
        <c:manualLayout>
          <c:layoutTarget val="inner"/>
          <c:xMode val="edge"/>
          <c:yMode val="edge"/>
          <c:x val="2.9513361125501951E-2"/>
          <c:y val="2.6200911511358997E-2"/>
          <c:w val="0.62895789833736993"/>
          <c:h val="0.88845409985229185"/>
        </c:manualLayout>
      </c:layout>
      <c:pieChart>
        <c:varyColors val="1"/>
        <c:ser>
          <c:idx val="0"/>
          <c:order val="0"/>
          <c:tx>
            <c:strRef>
              <c:f>'Online Sales Tracker'!$D$6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Tracker'!$D$7:$D$11</c:f>
              <c:numCache>
                <c:formatCode>General</c:formatCode>
                <c:ptCount val="5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87A-49FD-AE91-C4BE79FBDE9D}"/>
            </c:ext>
          </c:extLst>
        </c:ser>
        <c:dLbls/>
        <c:firstSliceAng val="0"/>
      </c:pieChart>
    </c:plotArea>
    <c:legend>
      <c:legendPos val="r"/>
      <c:layout>
        <c:manualLayout>
          <c:xMode val="edge"/>
          <c:yMode val="edge"/>
          <c:x val="0.81486143639175734"/>
          <c:y val="0.27226731394456488"/>
          <c:w val="0.14284613309699096"/>
          <c:h val="0.64689350961441638"/>
        </c:manualLayout>
      </c:layout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</c:title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Tracker'!$E$6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Tracker'!$E$7:$E$11</c:f>
              <c:numCache>
                <c:formatCode>General</c:formatCode>
                <c:ptCount val="5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4BE-462C-9F71-67F55E5DA62D}"/>
            </c:ext>
          </c:extLst>
        </c:ser>
        <c:dLbls/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</c:title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Tracker'!$F$6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Tracker'!$F$7:$F$11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D90-4246-B365-C7A970E75C44}"/>
            </c:ext>
          </c:extLst>
        </c:ser>
        <c:dLbls/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Shopclues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</c:title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Tracker'!$G$6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Tracker'!$G$7:$G$11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E00-4567-87D4-3B4436D9DECE}"/>
            </c:ext>
          </c:extLst>
        </c:ser>
        <c:dLbls/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351044469962608E-2"/>
          <c:y val="0.1717101186095483"/>
          <c:w val="0.84258220951737239"/>
          <c:h val="0.68288838895138049"/>
        </c:manualLayout>
      </c:layout>
      <c:barChart>
        <c:barDir val="col"/>
        <c:grouping val="clustered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A56-4D38-A322-FB25026EF5E4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A56-4D38-A322-FB25026EF5E4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A56-4D38-A322-FB25026EF5E4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A56-4D38-A322-FB25026EF5E4}"/>
            </c:ext>
          </c:extLst>
        </c:ser>
        <c:dLbls/>
        <c:axId val="142308096"/>
        <c:axId val="142309632"/>
      </c:barChart>
      <c:catAx>
        <c:axId val="142308096"/>
        <c:scaling>
          <c:orientation val="minMax"/>
        </c:scaling>
        <c:axPos val="b"/>
        <c:numFmt formatCode="General" sourceLinked="0"/>
        <c:maj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42309632"/>
        <c:crosses val="autoZero"/>
        <c:auto val="1"/>
        <c:lblAlgn val="ctr"/>
        <c:lblOffset val="100"/>
      </c:catAx>
      <c:valAx>
        <c:axId val="14230963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42308096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layout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</c:title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F5E-4192-B896-6755B23FB1CC}"/>
            </c:ext>
          </c:extLst>
        </c:ser>
        <c:dLbls/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</c:title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2D-4458-BA3C-093E8B0EAC9E}"/>
            </c:ext>
          </c:extLst>
        </c:ser>
        <c:dLbls/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</c:title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9C6-4D57-AFF0-CE6995A6A752}"/>
            </c:ext>
          </c:extLst>
        </c:ser>
        <c:dLbls/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</c:title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AA0-45A9-9BFC-BFFE1BA76724}"/>
            </c:ext>
          </c:extLst>
        </c:ser>
        <c:dLbls/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</c:title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59-4EA3-BB6B-92FC40B22E1C}"/>
            </c:ext>
          </c:extLst>
        </c:ser>
        <c:dLbls/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1</xdr:rowOff>
    </xdr:from>
    <xdr:to>
      <xdr:col>8</xdr:col>
      <xdr:colOff>10886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35</xdr:row>
      <xdr:rowOff>7620</xdr:rowOff>
    </xdr:from>
    <xdr:to>
      <xdr:col>2</xdr:col>
      <xdr:colOff>1045020</xdr:colOff>
      <xdr:row>43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35</xdr:row>
      <xdr:rowOff>1</xdr:rowOff>
    </xdr:from>
    <xdr:to>
      <xdr:col>5</xdr:col>
      <xdr:colOff>510540</xdr:colOff>
      <xdr:row>43</xdr:row>
      <xdr:rowOff>22861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1059179</xdr:colOff>
      <xdr:row>35</xdr:row>
      <xdr:rowOff>1</xdr:rowOff>
    </xdr:from>
    <xdr:to>
      <xdr:col>8</xdr:col>
      <xdr:colOff>21772</xdr:colOff>
      <xdr:row>43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</xdr:colOff>
      <xdr:row>44</xdr:row>
      <xdr:rowOff>7620</xdr:rowOff>
    </xdr:from>
    <xdr:to>
      <xdr:col>4</xdr:col>
      <xdr:colOff>0</xdr:colOff>
      <xdr:row>51</xdr:row>
      <xdr:rowOff>175260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7</xdr:col>
      <xdr:colOff>9525</xdr:colOff>
      <xdr:row>1</xdr:row>
      <xdr:rowOff>9526</xdr:rowOff>
    </xdr:from>
    <xdr:to>
      <xdr:col>7</xdr:col>
      <xdr:colOff>1038224</xdr:colOff>
      <xdr:row>2</xdr:row>
      <xdr:rowOff>395951</xdr:rowOff>
    </xdr:to>
    <xdr:pic>
      <xdr:nvPicPr>
        <xdr:cNvPr id="14" name="Picture 13" descr="Logo International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505575" y="209551"/>
          <a:ext cx="1028699" cy="10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exceldatapr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showGridLines="0" tabSelected="1" workbookViewId="0">
      <selection activeCell="Q8" sqref="Q8"/>
    </sheetView>
  </sheetViews>
  <sheetFormatPr defaultRowHeight="15"/>
  <cols>
    <col min="1" max="1" width="3.140625" style="17" customWidth="1"/>
    <col min="2" max="3" width="11.28515625" style="17" bestFit="1" customWidth="1"/>
    <col min="4" max="4" width="10.5703125" style="17" bestFit="1" customWidth="1"/>
    <col min="5" max="5" width="11.42578125" style="17" bestFit="1" customWidth="1"/>
    <col min="6" max="6" width="17.42578125" style="17" customWidth="1"/>
    <col min="7" max="7" width="13.7109375" style="17" bestFit="1" customWidth="1"/>
    <col min="8" max="8" width="12.5703125" style="17" bestFit="1" customWidth="1"/>
    <col min="9" max="9" width="8.42578125" style="17" bestFit="1" customWidth="1"/>
    <col min="10" max="10" width="10" style="17" bestFit="1" customWidth="1"/>
    <col min="11" max="11" width="14.85546875" style="17" bestFit="1" customWidth="1"/>
    <col min="12" max="12" width="11.7109375" style="17" customWidth="1"/>
    <col min="13" max="13" width="3.140625" style="17" customWidth="1"/>
    <col min="14" max="16" width="10.28515625" style="17" customWidth="1"/>
    <col min="17" max="17" width="12.28515625" style="17" bestFit="1" customWidth="1"/>
    <col min="18" max="18" width="10.5703125" style="17" bestFit="1" customWidth="1"/>
    <col min="19" max="19" width="12.140625" style="17" bestFit="1" customWidth="1"/>
    <col min="20" max="16384" width="9.140625" style="17"/>
  </cols>
  <sheetData>
    <row r="1" spans="1:16" ht="15.75" thickBot="1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6" ht="31.5" thickBot="1">
      <c r="A2" s="19"/>
      <c r="B2" s="47" t="s">
        <v>31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20"/>
    </row>
    <row r="3" spans="1:16" ht="19.5" thickBot="1">
      <c r="A3" s="19"/>
      <c r="B3" s="39" t="s">
        <v>13</v>
      </c>
      <c r="C3" s="39" t="s">
        <v>17</v>
      </c>
      <c r="D3" s="39" t="s">
        <v>0</v>
      </c>
      <c r="E3" s="39" t="s">
        <v>24</v>
      </c>
      <c r="F3" s="39" t="s">
        <v>25</v>
      </c>
      <c r="G3" s="39" t="s">
        <v>21</v>
      </c>
      <c r="H3" s="39" t="s">
        <v>32</v>
      </c>
      <c r="I3" s="39" t="s">
        <v>6</v>
      </c>
      <c r="J3" s="39" t="s">
        <v>7</v>
      </c>
      <c r="K3" s="39" t="s">
        <v>8</v>
      </c>
      <c r="L3" s="39" t="s">
        <v>15</v>
      </c>
      <c r="M3" s="18"/>
    </row>
    <row r="4" spans="1:16" ht="15.75" thickBot="1">
      <c r="A4" s="19"/>
      <c r="B4" s="48">
        <v>43009</v>
      </c>
      <c r="C4" s="49" t="str">
        <f>TEXT(B4,"dddd")</f>
        <v>Sunday</v>
      </c>
      <c r="D4" s="50" t="s">
        <v>1</v>
      </c>
      <c r="E4" s="50">
        <v>25</v>
      </c>
      <c r="F4" s="51" t="s">
        <v>10</v>
      </c>
      <c r="G4" s="52">
        <f>IF(D4="","",VLOOKUP(D4,'Product Sheet'!$B$3:$D$7,2,FALSE))</f>
        <v>10</v>
      </c>
      <c r="H4" s="52">
        <f>IF(D4="","",VLOOKUP(D4,'Product Sheet'!$B$3:$D$7,3,FALSE))</f>
        <v>15</v>
      </c>
      <c r="I4" s="52">
        <f>H4-G4</f>
        <v>5</v>
      </c>
      <c r="J4" s="53">
        <f>I4/H4</f>
        <v>0.33333333333333331</v>
      </c>
      <c r="K4" s="52">
        <f t="shared" ref="K4:K31" si="0">I4*E4</f>
        <v>125</v>
      </c>
      <c r="L4" s="52">
        <f>H4*E4</f>
        <v>375</v>
      </c>
      <c r="M4" s="18"/>
    </row>
    <row r="5" spans="1:16" ht="15.75" thickBot="1">
      <c r="A5" s="19"/>
      <c r="B5" s="48">
        <v>43009</v>
      </c>
      <c r="C5" s="49" t="str">
        <f t="shared" ref="C5:C31" si="1">TEXT(B5,"dddd")</f>
        <v>Sunday</v>
      </c>
      <c r="D5" s="50" t="s">
        <v>1</v>
      </c>
      <c r="E5" s="50">
        <v>10</v>
      </c>
      <c r="F5" s="51" t="s">
        <v>9</v>
      </c>
      <c r="G5" s="52">
        <f>IF(D5="","",VLOOKUP(D5,'Product Sheet'!$B$3:$D$7,2,FALSE))</f>
        <v>10</v>
      </c>
      <c r="H5" s="52">
        <f>IF(D5="","",VLOOKUP(D5,'Product Sheet'!$B$3:$D$7,3,FALSE))</f>
        <v>15</v>
      </c>
      <c r="I5" s="52">
        <f t="shared" ref="I5:I31" si="2">H5-G5</f>
        <v>5</v>
      </c>
      <c r="J5" s="53">
        <f t="shared" ref="J5:J31" si="3">I5/H5</f>
        <v>0.33333333333333331</v>
      </c>
      <c r="K5" s="52">
        <f t="shared" si="0"/>
        <v>50</v>
      </c>
      <c r="L5" s="52">
        <f t="shared" ref="L5:L16" si="4">H5*E5</f>
        <v>150</v>
      </c>
      <c r="M5" s="18"/>
    </row>
    <row r="6" spans="1:16" ht="15.75" thickBot="1">
      <c r="A6" s="19"/>
      <c r="B6" s="48">
        <v>43009</v>
      </c>
      <c r="C6" s="49" t="str">
        <f t="shared" si="1"/>
        <v>Sunday</v>
      </c>
      <c r="D6" s="50" t="s">
        <v>5</v>
      </c>
      <c r="E6" s="50">
        <v>50</v>
      </c>
      <c r="F6" s="51" t="s">
        <v>10</v>
      </c>
      <c r="G6" s="52">
        <f>IF(D6="","",VLOOKUP(D6,'Product Sheet'!$B$3:$D$7,2,FALSE))</f>
        <v>8</v>
      </c>
      <c r="H6" s="52">
        <f>IF(D6="","",VLOOKUP(D6,'Product Sheet'!$B$3:$D$7,3,FALSE))</f>
        <v>10</v>
      </c>
      <c r="I6" s="52">
        <f t="shared" si="2"/>
        <v>2</v>
      </c>
      <c r="J6" s="53">
        <f t="shared" si="3"/>
        <v>0.2</v>
      </c>
      <c r="K6" s="52">
        <f t="shared" si="0"/>
        <v>100</v>
      </c>
      <c r="L6" s="52">
        <f t="shared" si="4"/>
        <v>500</v>
      </c>
      <c r="M6" s="18"/>
    </row>
    <row r="7" spans="1:16" ht="15.75" thickBot="1">
      <c r="A7" s="19"/>
      <c r="B7" s="48">
        <v>43010</v>
      </c>
      <c r="C7" s="49" t="str">
        <f t="shared" si="1"/>
        <v>Monday</v>
      </c>
      <c r="D7" s="50" t="s">
        <v>2</v>
      </c>
      <c r="E7" s="50">
        <v>25</v>
      </c>
      <c r="F7" s="51" t="s">
        <v>16</v>
      </c>
      <c r="G7" s="52">
        <f>IF(D7="","",VLOOKUP(D7,'Product Sheet'!$B$3:$D$7,2,FALSE))</f>
        <v>5</v>
      </c>
      <c r="H7" s="52">
        <f>IF(D7="","",VLOOKUP(D7,'Product Sheet'!$B$3:$D$7,3,FALSE))</f>
        <v>10</v>
      </c>
      <c r="I7" s="52">
        <f t="shared" si="2"/>
        <v>5</v>
      </c>
      <c r="J7" s="53">
        <f t="shared" si="3"/>
        <v>0.5</v>
      </c>
      <c r="K7" s="52">
        <f t="shared" si="0"/>
        <v>125</v>
      </c>
      <c r="L7" s="52">
        <f t="shared" si="4"/>
        <v>250</v>
      </c>
      <c r="M7" s="18"/>
    </row>
    <row r="8" spans="1:16" ht="15.75" thickBot="1">
      <c r="A8" s="19"/>
      <c r="B8" s="48">
        <v>43010</v>
      </c>
      <c r="C8" s="49" t="str">
        <f t="shared" si="1"/>
        <v>Monday</v>
      </c>
      <c r="D8" s="50" t="s">
        <v>3</v>
      </c>
      <c r="E8" s="50">
        <v>25</v>
      </c>
      <c r="F8" s="51" t="s">
        <v>9</v>
      </c>
      <c r="G8" s="52">
        <f>IF(D8="","",VLOOKUP(D8,'Product Sheet'!$B$3:$D$7,2,FALSE))</f>
        <v>12</v>
      </c>
      <c r="H8" s="52">
        <f>IF(D8="","",VLOOKUP(D8,'Product Sheet'!$B$3:$D$7,3,FALSE))</f>
        <v>20</v>
      </c>
      <c r="I8" s="52">
        <f t="shared" si="2"/>
        <v>8</v>
      </c>
      <c r="J8" s="53">
        <f t="shared" si="3"/>
        <v>0.4</v>
      </c>
      <c r="K8" s="52">
        <f t="shared" si="0"/>
        <v>200</v>
      </c>
      <c r="L8" s="52">
        <f t="shared" si="4"/>
        <v>500</v>
      </c>
      <c r="M8" s="18"/>
    </row>
    <row r="9" spans="1:16" ht="15.75" thickBot="1">
      <c r="A9" s="19"/>
      <c r="B9" s="48">
        <v>43012</v>
      </c>
      <c r="C9" s="49" t="str">
        <f t="shared" si="1"/>
        <v>Wednesday</v>
      </c>
      <c r="D9" s="50" t="s">
        <v>5</v>
      </c>
      <c r="E9" s="50">
        <v>10</v>
      </c>
      <c r="F9" s="51" t="s">
        <v>10</v>
      </c>
      <c r="G9" s="52">
        <f>IF(D9="","",VLOOKUP(D9,'Product Sheet'!$B$3:$D$7,2,FALSE))</f>
        <v>8</v>
      </c>
      <c r="H9" s="52">
        <f>IF(D9="","",VLOOKUP(D9,'Product Sheet'!$B$3:$D$7,3,FALSE))</f>
        <v>10</v>
      </c>
      <c r="I9" s="52">
        <f t="shared" si="2"/>
        <v>2</v>
      </c>
      <c r="J9" s="53">
        <f t="shared" si="3"/>
        <v>0.2</v>
      </c>
      <c r="K9" s="52">
        <f t="shared" si="0"/>
        <v>20</v>
      </c>
      <c r="L9" s="52">
        <f t="shared" si="4"/>
        <v>100</v>
      </c>
      <c r="M9" s="18"/>
    </row>
    <row r="10" spans="1:16" ht="15.75" thickBot="1">
      <c r="A10" s="19"/>
      <c r="B10" s="48">
        <v>43012</v>
      </c>
      <c r="C10" s="49" t="str">
        <f t="shared" si="1"/>
        <v>Wednesday</v>
      </c>
      <c r="D10" s="50" t="s">
        <v>4</v>
      </c>
      <c r="E10" s="50">
        <v>20</v>
      </c>
      <c r="F10" s="51" t="s">
        <v>11</v>
      </c>
      <c r="G10" s="52">
        <f>IF(D10="","",VLOOKUP(D10,'Product Sheet'!$B$3:$D$7,2,FALSE))</f>
        <v>20</v>
      </c>
      <c r="H10" s="52">
        <f>IF(D10="","",VLOOKUP(D10,'Product Sheet'!$B$3:$D$7,3,FALSE))</f>
        <v>30</v>
      </c>
      <c r="I10" s="52">
        <f t="shared" si="2"/>
        <v>10</v>
      </c>
      <c r="J10" s="53">
        <f t="shared" si="3"/>
        <v>0.33333333333333331</v>
      </c>
      <c r="K10" s="52">
        <f t="shared" si="0"/>
        <v>200</v>
      </c>
      <c r="L10" s="52">
        <f t="shared" si="4"/>
        <v>600</v>
      </c>
      <c r="M10" s="18"/>
    </row>
    <row r="11" spans="1:16" ht="15.75" thickBot="1">
      <c r="A11" s="19"/>
      <c r="B11" s="48">
        <v>43013</v>
      </c>
      <c r="C11" s="49" t="str">
        <f t="shared" si="1"/>
        <v>Thursday</v>
      </c>
      <c r="D11" s="50" t="s">
        <v>3</v>
      </c>
      <c r="E11" s="50">
        <v>40</v>
      </c>
      <c r="F11" s="51" t="s">
        <v>10</v>
      </c>
      <c r="G11" s="52">
        <f>IF(D11="","",VLOOKUP(D11,'Product Sheet'!$B$3:$D$7,2,FALSE))</f>
        <v>12</v>
      </c>
      <c r="H11" s="52">
        <f>IF(D11="","",VLOOKUP(D11,'Product Sheet'!$B$3:$D$7,3,FALSE))</f>
        <v>20</v>
      </c>
      <c r="I11" s="52">
        <f t="shared" si="2"/>
        <v>8</v>
      </c>
      <c r="J11" s="53">
        <f t="shared" si="3"/>
        <v>0.4</v>
      </c>
      <c r="K11" s="52">
        <f t="shared" si="0"/>
        <v>320</v>
      </c>
      <c r="L11" s="52">
        <f t="shared" si="4"/>
        <v>800</v>
      </c>
      <c r="M11" s="18"/>
      <c r="N11" s="21"/>
      <c r="O11" s="22"/>
      <c r="P11" s="22"/>
    </row>
    <row r="12" spans="1:16" ht="15.75" thickBot="1">
      <c r="A12" s="19"/>
      <c r="B12" s="48">
        <v>43013</v>
      </c>
      <c r="C12" s="49" t="str">
        <f t="shared" si="1"/>
        <v>Thursday</v>
      </c>
      <c r="D12" s="50" t="s">
        <v>4</v>
      </c>
      <c r="E12" s="50">
        <v>50</v>
      </c>
      <c r="F12" s="51" t="s">
        <v>11</v>
      </c>
      <c r="G12" s="52">
        <f>IF(D12="","",VLOOKUP(D12,'Product Sheet'!$B$3:$D$7,2,FALSE))</f>
        <v>20</v>
      </c>
      <c r="H12" s="52">
        <f>IF(D12="","",VLOOKUP(D12,'Product Sheet'!$B$3:$D$7,3,FALSE))</f>
        <v>30</v>
      </c>
      <c r="I12" s="52">
        <f t="shared" si="2"/>
        <v>10</v>
      </c>
      <c r="J12" s="53">
        <f t="shared" si="3"/>
        <v>0.33333333333333331</v>
      </c>
      <c r="K12" s="52">
        <f t="shared" si="0"/>
        <v>500</v>
      </c>
      <c r="L12" s="52">
        <f t="shared" si="4"/>
        <v>1500</v>
      </c>
      <c r="M12" s="18"/>
    </row>
    <row r="13" spans="1:16" ht="15.75" thickBot="1">
      <c r="A13" s="19"/>
      <c r="B13" s="48">
        <v>43014</v>
      </c>
      <c r="C13" s="49" t="str">
        <f t="shared" si="1"/>
        <v>Friday</v>
      </c>
      <c r="D13" s="50" t="s">
        <v>5</v>
      </c>
      <c r="E13" s="50">
        <v>100</v>
      </c>
      <c r="F13" s="51" t="s">
        <v>11</v>
      </c>
      <c r="G13" s="52">
        <f>IF(D13="","",VLOOKUP(D13,'Product Sheet'!$B$3:$D$7,2,FALSE))</f>
        <v>8</v>
      </c>
      <c r="H13" s="52">
        <f>IF(D13="","",VLOOKUP(D13,'Product Sheet'!$B$3:$D$7,3,FALSE))</f>
        <v>10</v>
      </c>
      <c r="I13" s="52">
        <f t="shared" si="2"/>
        <v>2</v>
      </c>
      <c r="J13" s="53">
        <f t="shared" si="3"/>
        <v>0.2</v>
      </c>
      <c r="K13" s="52">
        <f t="shared" si="0"/>
        <v>200</v>
      </c>
      <c r="L13" s="52">
        <f t="shared" si="4"/>
        <v>1000</v>
      </c>
      <c r="M13" s="18"/>
    </row>
    <row r="14" spans="1:16" ht="15.75" thickBot="1">
      <c r="A14" s="19"/>
      <c r="B14" s="48">
        <v>43015</v>
      </c>
      <c r="C14" s="49" t="str">
        <f t="shared" si="1"/>
        <v>Saturday</v>
      </c>
      <c r="D14" s="50" t="s">
        <v>4</v>
      </c>
      <c r="E14" s="50">
        <v>25</v>
      </c>
      <c r="F14" s="51" t="s">
        <v>16</v>
      </c>
      <c r="G14" s="52">
        <f>IF(D14="","",VLOOKUP(D14,'Product Sheet'!$B$3:$D$7,2,FALSE))</f>
        <v>20</v>
      </c>
      <c r="H14" s="52">
        <f>IF(D14="","",VLOOKUP(D14,'Product Sheet'!$B$3:$D$7,3,FALSE))</f>
        <v>30</v>
      </c>
      <c r="I14" s="52">
        <f t="shared" si="2"/>
        <v>10</v>
      </c>
      <c r="J14" s="53">
        <f t="shared" si="3"/>
        <v>0.33333333333333331</v>
      </c>
      <c r="K14" s="52">
        <f t="shared" si="0"/>
        <v>250</v>
      </c>
      <c r="L14" s="52">
        <f t="shared" si="4"/>
        <v>750</v>
      </c>
      <c r="M14" s="18"/>
    </row>
    <row r="15" spans="1:16" ht="15.75" thickBot="1">
      <c r="A15" s="19"/>
      <c r="B15" s="48">
        <v>43016</v>
      </c>
      <c r="C15" s="49" t="str">
        <f t="shared" si="1"/>
        <v>Sunday</v>
      </c>
      <c r="D15" s="50" t="s">
        <v>1</v>
      </c>
      <c r="E15" s="50">
        <v>40</v>
      </c>
      <c r="F15" s="51" t="s">
        <v>16</v>
      </c>
      <c r="G15" s="52">
        <f>IF(D15="","",VLOOKUP(D15,'Product Sheet'!$B$3:$D$7,2,FALSE))</f>
        <v>10</v>
      </c>
      <c r="H15" s="52">
        <f>IF(D15="","",VLOOKUP(D15,'Product Sheet'!$B$3:$D$7,3,FALSE))</f>
        <v>15</v>
      </c>
      <c r="I15" s="52">
        <f t="shared" si="2"/>
        <v>5</v>
      </c>
      <c r="J15" s="53">
        <f t="shared" si="3"/>
        <v>0.33333333333333331</v>
      </c>
      <c r="K15" s="52">
        <f t="shared" si="0"/>
        <v>200</v>
      </c>
      <c r="L15" s="52">
        <f t="shared" si="4"/>
        <v>600</v>
      </c>
      <c r="M15" s="18"/>
    </row>
    <row r="16" spans="1:16" ht="15.75" thickBot="1">
      <c r="A16" s="19"/>
      <c r="B16" s="48">
        <v>43018</v>
      </c>
      <c r="C16" s="49" t="str">
        <f t="shared" si="1"/>
        <v>Tuesday</v>
      </c>
      <c r="D16" s="50" t="s">
        <v>2</v>
      </c>
      <c r="E16" s="50">
        <v>20</v>
      </c>
      <c r="F16" s="51" t="s">
        <v>9</v>
      </c>
      <c r="G16" s="52">
        <f>IF(D16="","",VLOOKUP(D16,'Product Sheet'!$B$3:$D$7,2,FALSE))</f>
        <v>5</v>
      </c>
      <c r="H16" s="52">
        <f>IF(D16="","",VLOOKUP(D16,'Product Sheet'!$B$3:$D$7,3,FALSE))</f>
        <v>10</v>
      </c>
      <c r="I16" s="52">
        <f t="shared" si="2"/>
        <v>5</v>
      </c>
      <c r="J16" s="53">
        <f t="shared" si="3"/>
        <v>0.5</v>
      </c>
      <c r="K16" s="52">
        <f t="shared" si="0"/>
        <v>100</v>
      </c>
      <c r="L16" s="52">
        <f t="shared" si="4"/>
        <v>200</v>
      </c>
      <c r="M16" s="18"/>
    </row>
    <row r="17" spans="1:13" ht="15.75" thickBot="1">
      <c r="A17" s="19"/>
      <c r="B17" s="48">
        <v>43018</v>
      </c>
      <c r="C17" s="49" t="str">
        <f t="shared" si="1"/>
        <v>Tuesday</v>
      </c>
      <c r="D17" s="50" t="s">
        <v>3</v>
      </c>
      <c r="E17" s="50">
        <v>100</v>
      </c>
      <c r="F17" s="51" t="s">
        <v>12</v>
      </c>
      <c r="G17" s="52">
        <f>IF(D17="","",VLOOKUP(D17,'Product Sheet'!$B$3:$D$7,2,FALSE))</f>
        <v>12</v>
      </c>
      <c r="H17" s="52">
        <f>IF(D17="","",VLOOKUP(D17,'Product Sheet'!$B$3:$D$7,3,FALSE))</f>
        <v>20</v>
      </c>
      <c r="I17" s="52">
        <f t="shared" si="2"/>
        <v>8</v>
      </c>
      <c r="J17" s="53">
        <f t="shared" si="3"/>
        <v>0.4</v>
      </c>
      <c r="K17" s="52">
        <f t="shared" si="0"/>
        <v>800</v>
      </c>
      <c r="L17" s="52">
        <f t="shared" ref="L17:L31" si="5">H17*E17</f>
        <v>2000</v>
      </c>
      <c r="M17" s="18"/>
    </row>
    <row r="18" spans="1:13" ht="15.75" thickBot="1">
      <c r="A18" s="19"/>
      <c r="B18" s="48">
        <v>43019</v>
      </c>
      <c r="C18" s="49" t="str">
        <f t="shared" si="1"/>
        <v>Wednesday</v>
      </c>
      <c r="D18" s="50" t="s">
        <v>3</v>
      </c>
      <c r="E18" s="50">
        <v>25</v>
      </c>
      <c r="F18" s="51" t="s">
        <v>9</v>
      </c>
      <c r="G18" s="52">
        <f>IF(D18="","",VLOOKUP(D18,'Product Sheet'!$B$3:$D$7,2,FALSE))</f>
        <v>12</v>
      </c>
      <c r="H18" s="52">
        <f>IF(D18="","",VLOOKUP(D18,'Product Sheet'!$B$3:$D$7,3,FALSE))</f>
        <v>20</v>
      </c>
      <c r="I18" s="52">
        <f t="shared" si="2"/>
        <v>8</v>
      </c>
      <c r="J18" s="53">
        <f t="shared" si="3"/>
        <v>0.4</v>
      </c>
      <c r="K18" s="52">
        <f t="shared" si="0"/>
        <v>200</v>
      </c>
      <c r="L18" s="52">
        <f t="shared" si="5"/>
        <v>500</v>
      </c>
      <c r="M18" s="18"/>
    </row>
    <row r="19" spans="1:13" ht="15.75" thickBot="1">
      <c r="A19" s="19"/>
      <c r="B19" s="48">
        <v>43021</v>
      </c>
      <c r="C19" s="49" t="str">
        <f t="shared" si="1"/>
        <v>Friday</v>
      </c>
      <c r="D19" s="50" t="s">
        <v>2</v>
      </c>
      <c r="E19" s="50">
        <v>40</v>
      </c>
      <c r="F19" s="51" t="s">
        <v>16</v>
      </c>
      <c r="G19" s="52">
        <f>IF(D19="","",VLOOKUP(D19,'Product Sheet'!$B$3:$D$7,2,FALSE))</f>
        <v>5</v>
      </c>
      <c r="H19" s="52">
        <f>IF(D19="","",VLOOKUP(D19,'Product Sheet'!$B$3:$D$7,3,FALSE))</f>
        <v>10</v>
      </c>
      <c r="I19" s="52">
        <f t="shared" si="2"/>
        <v>5</v>
      </c>
      <c r="J19" s="53">
        <f t="shared" si="3"/>
        <v>0.5</v>
      </c>
      <c r="K19" s="52">
        <f t="shared" si="0"/>
        <v>200</v>
      </c>
      <c r="L19" s="52">
        <f t="shared" si="5"/>
        <v>400</v>
      </c>
      <c r="M19" s="18"/>
    </row>
    <row r="20" spans="1:13" ht="15.75" thickBot="1">
      <c r="A20" s="19"/>
      <c r="B20" s="48">
        <v>43022</v>
      </c>
      <c r="C20" s="49" t="str">
        <f t="shared" si="1"/>
        <v>Saturday</v>
      </c>
      <c r="D20" s="50" t="s">
        <v>4</v>
      </c>
      <c r="E20" s="50">
        <v>25</v>
      </c>
      <c r="F20" s="51" t="s">
        <v>9</v>
      </c>
      <c r="G20" s="52">
        <f>IF(D20="","",VLOOKUP(D20,'Product Sheet'!$B$3:$D$7,2,FALSE))</f>
        <v>20</v>
      </c>
      <c r="H20" s="52">
        <f>IF(D20="","",VLOOKUP(D20,'Product Sheet'!$B$3:$D$7,3,FALSE))</f>
        <v>30</v>
      </c>
      <c r="I20" s="52">
        <f t="shared" si="2"/>
        <v>10</v>
      </c>
      <c r="J20" s="53">
        <f t="shared" si="3"/>
        <v>0.33333333333333331</v>
      </c>
      <c r="K20" s="52">
        <f t="shared" si="0"/>
        <v>250</v>
      </c>
      <c r="L20" s="52">
        <f t="shared" si="5"/>
        <v>750</v>
      </c>
      <c r="M20" s="18"/>
    </row>
    <row r="21" spans="1:13" ht="15.75" thickBot="1">
      <c r="A21" s="19"/>
      <c r="B21" s="48">
        <v>43024</v>
      </c>
      <c r="C21" s="49" t="str">
        <f t="shared" si="1"/>
        <v>Monday</v>
      </c>
      <c r="D21" s="50" t="s">
        <v>2</v>
      </c>
      <c r="E21" s="50">
        <v>50</v>
      </c>
      <c r="F21" s="51" t="s">
        <v>11</v>
      </c>
      <c r="G21" s="52">
        <f>IF(D21="","",VLOOKUP(D21,'Product Sheet'!$B$3:$D$7,2,FALSE))</f>
        <v>5</v>
      </c>
      <c r="H21" s="52">
        <f>IF(D21="","",VLOOKUP(D21,'Product Sheet'!$B$3:$D$7,3,FALSE))</f>
        <v>10</v>
      </c>
      <c r="I21" s="52">
        <f t="shared" si="2"/>
        <v>5</v>
      </c>
      <c r="J21" s="53">
        <f t="shared" si="3"/>
        <v>0.5</v>
      </c>
      <c r="K21" s="52">
        <f t="shared" si="0"/>
        <v>250</v>
      </c>
      <c r="L21" s="52">
        <f t="shared" si="5"/>
        <v>500</v>
      </c>
      <c r="M21" s="18"/>
    </row>
    <row r="22" spans="1:13" ht="15.75" thickBot="1">
      <c r="A22" s="19"/>
      <c r="B22" s="48">
        <v>43024</v>
      </c>
      <c r="C22" s="49" t="str">
        <f t="shared" si="1"/>
        <v>Monday</v>
      </c>
      <c r="D22" s="50" t="s">
        <v>3</v>
      </c>
      <c r="E22" s="50">
        <v>30</v>
      </c>
      <c r="F22" s="51" t="s">
        <v>9</v>
      </c>
      <c r="G22" s="52">
        <f>IF(D22="","",VLOOKUP(D22,'Product Sheet'!$B$3:$D$7,2,FALSE))</f>
        <v>12</v>
      </c>
      <c r="H22" s="52">
        <f>IF(D22="","",VLOOKUP(D22,'Product Sheet'!$B$3:$D$7,3,FALSE))</f>
        <v>20</v>
      </c>
      <c r="I22" s="52">
        <f t="shared" si="2"/>
        <v>8</v>
      </c>
      <c r="J22" s="53">
        <f t="shared" si="3"/>
        <v>0.4</v>
      </c>
      <c r="K22" s="52">
        <f t="shared" si="0"/>
        <v>240</v>
      </c>
      <c r="L22" s="52">
        <f t="shared" si="5"/>
        <v>600</v>
      </c>
      <c r="M22" s="18"/>
    </row>
    <row r="23" spans="1:13" ht="15.75" thickBot="1">
      <c r="A23" s="19"/>
      <c r="B23" s="48">
        <v>43025</v>
      </c>
      <c r="C23" s="49" t="str">
        <f t="shared" si="1"/>
        <v>Tuesday</v>
      </c>
      <c r="D23" s="50" t="s">
        <v>4</v>
      </c>
      <c r="E23" s="50">
        <v>25</v>
      </c>
      <c r="F23" s="51" t="s">
        <v>12</v>
      </c>
      <c r="G23" s="52">
        <f>IF(D23="","",VLOOKUP(D23,'Product Sheet'!$B$3:$D$7,2,FALSE))</f>
        <v>20</v>
      </c>
      <c r="H23" s="52">
        <f>IF(D23="","",VLOOKUP(D23,'Product Sheet'!$B$3:$D$7,3,FALSE))</f>
        <v>30</v>
      </c>
      <c r="I23" s="52">
        <f t="shared" si="2"/>
        <v>10</v>
      </c>
      <c r="J23" s="53">
        <f t="shared" si="3"/>
        <v>0.33333333333333331</v>
      </c>
      <c r="K23" s="52">
        <f t="shared" si="0"/>
        <v>250</v>
      </c>
      <c r="L23" s="52">
        <f t="shared" si="5"/>
        <v>750</v>
      </c>
      <c r="M23" s="18"/>
    </row>
    <row r="24" spans="1:13" ht="15.75" thickBot="1">
      <c r="A24" s="19"/>
      <c r="B24" s="48">
        <v>43029</v>
      </c>
      <c r="C24" s="49" t="str">
        <f t="shared" si="1"/>
        <v>Saturday</v>
      </c>
      <c r="D24" s="50" t="s">
        <v>2</v>
      </c>
      <c r="E24" s="50">
        <v>60</v>
      </c>
      <c r="F24" s="51" t="s">
        <v>10</v>
      </c>
      <c r="G24" s="52">
        <f>IF(D24="","",VLOOKUP(D24,'Product Sheet'!$B$3:$D$7,2,FALSE))</f>
        <v>5</v>
      </c>
      <c r="H24" s="52">
        <f>IF(D24="","",VLOOKUP(D24,'Product Sheet'!$B$3:$D$7,3,FALSE))</f>
        <v>10</v>
      </c>
      <c r="I24" s="52">
        <f t="shared" si="2"/>
        <v>5</v>
      </c>
      <c r="J24" s="53">
        <f t="shared" si="3"/>
        <v>0.5</v>
      </c>
      <c r="K24" s="52">
        <f t="shared" si="0"/>
        <v>300</v>
      </c>
      <c r="L24" s="52">
        <f t="shared" si="5"/>
        <v>600</v>
      </c>
      <c r="M24" s="18"/>
    </row>
    <row r="25" spans="1:13" ht="15.75" thickBot="1">
      <c r="A25" s="19"/>
      <c r="B25" s="48">
        <v>43030</v>
      </c>
      <c r="C25" s="49" t="str">
        <f t="shared" si="1"/>
        <v>Sunday</v>
      </c>
      <c r="D25" s="50" t="s">
        <v>5</v>
      </c>
      <c r="E25" s="50">
        <v>100</v>
      </c>
      <c r="F25" s="51" t="s">
        <v>11</v>
      </c>
      <c r="G25" s="52">
        <f>IF(D25="","",VLOOKUP(D25,'Product Sheet'!$B$3:$D$7,2,FALSE))</f>
        <v>8</v>
      </c>
      <c r="H25" s="52">
        <f>IF(D25="","",VLOOKUP(D25,'Product Sheet'!$B$3:$D$7,3,FALSE))</f>
        <v>10</v>
      </c>
      <c r="I25" s="52">
        <f t="shared" si="2"/>
        <v>2</v>
      </c>
      <c r="J25" s="53">
        <f t="shared" si="3"/>
        <v>0.2</v>
      </c>
      <c r="K25" s="52">
        <f t="shared" si="0"/>
        <v>200</v>
      </c>
      <c r="L25" s="52">
        <f t="shared" si="5"/>
        <v>1000</v>
      </c>
      <c r="M25" s="18"/>
    </row>
    <row r="26" spans="1:13" ht="15.75" thickBot="1">
      <c r="A26" s="19"/>
      <c r="B26" s="48">
        <v>43032</v>
      </c>
      <c r="C26" s="49" t="str">
        <f t="shared" si="1"/>
        <v>Tuesday</v>
      </c>
      <c r="D26" s="50" t="s">
        <v>4</v>
      </c>
      <c r="E26" s="50">
        <v>20</v>
      </c>
      <c r="F26" s="51" t="s">
        <v>9</v>
      </c>
      <c r="G26" s="52">
        <f>IF(D26="","",VLOOKUP(D26,'Product Sheet'!$B$3:$D$7,2,FALSE))</f>
        <v>20</v>
      </c>
      <c r="H26" s="52">
        <f>IF(D26="","",VLOOKUP(D26,'Product Sheet'!$B$3:$D$7,3,FALSE))</f>
        <v>30</v>
      </c>
      <c r="I26" s="52">
        <f t="shared" si="2"/>
        <v>10</v>
      </c>
      <c r="J26" s="53">
        <f t="shared" si="3"/>
        <v>0.33333333333333331</v>
      </c>
      <c r="K26" s="52">
        <f t="shared" si="0"/>
        <v>200</v>
      </c>
      <c r="L26" s="52">
        <f t="shared" si="5"/>
        <v>600</v>
      </c>
      <c r="M26" s="18"/>
    </row>
    <row r="27" spans="1:13" ht="15.75" thickBot="1">
      <c r="A27" s="19"/>
      <c r="B27" s="48">
        <v>43032</v>
      </c>
      <c r="C27" s="49" t="str">
        <f t="shared" si="1"/>
        <v>Tuesday</v>
      </c>
      <c r="D27" s="50" t="s">
        <v>3</v>
      </c>
      <c r="E27" s="50">
        <v>40</v>
      </c>
      <c r="F27" s="51" t="s">
        <v>11</v>
      </c>
      <c r="G27" s="52">
        <f>IF(D27="","",VLOOKUP(D27,'Product Sheet'!$B$3:$D$7,2,FALSE))</f>
        <v>12</v>
      </c>
      <c r="H27" s="52">
        <f>IF(D27="","",VLOOKUP(D27,'Product Sheet'!$B$3:$D$7,3,FALSE))</f>
        <v>20</v>
      </c>
      <c r="I27" s="52">
        <f t="shared" si="2"/>
        <v>8</v>
      </c>
      <c r="J27" s="53">
        <f t="shared" si="3"/>
        <v>0.4</v>
      </c>
      <c r="K27" s="52">
        <f t="shared" si="0"/>
        <v>320</v>
      </c>
      <c r="L27" s="52">
        <f t="shared" si="5"/>
        <v>800</v>
      </c>
      <c r="M27" s="18"/>
    </row>
    <row r="28" spans="1:13" ht="15.75" thickBot="1">
      <c r="A28" s="19"/>
      <c r="B28" s="48">
        <v>43035</v>
      </c>
      <c r="C28" s="49" t="str">
        <f t="shared" si="1"/>
        <v>Friday</v>
      </c>
      <c r="D28" s="50" t="s">
        <v>2</v>
      </c>
      <c r="E28" s="50">
        <v>50</v>
      </c>
      <c r="F28" s="51" t="s">
        <v>12</v>
      </c>
      <c r="G28" s="52">
        <f>IF(D28="","",VLOOKUP(D28,'Product Sheet'!$B$3:$D$7,2,FALSE))</f>
        <v>5</v>
      </c>
      <c r="H28" s="52">
        <f>IF(D28="","",VLOOKUP(D28,'Product Sheet'!$B$3:$D$7,3,FALSE))</f>
        <v>10</v>
      </c>
      <c r="I28" s="52">
        <f t="shared" si="2"/>
        <v>5</v>
      </c>
      <c r="J28" s="53">
        <f t="shared" si="3"/>
        <v>0.5</v>
      </c>
      <c r="K28" s="52">
        <f t="shared" si="0"/>
        <v>250</v>
      </c>
      <c r="L28" s="52">
        <f t="shared" si="5"/>
        <v>500</v>
      </c>
      <c r="M28" s="18"/>
    </row>
    <row r="29" spans="1:13" ht="15.75" thickBot="1">
      <c r="A29" s="19"/>
      <c r="B29" s="48">
        <v>43036</v>
      </c>
      <c r="C29" s="49" t="str">
        <f t="shared" si="1"/>
        <v>Saturday</v>
      </c>
      <c r="D29" s="50" t="s">
        <v>2</v>
      </c>
      <c r="E29" s="50">
        <v>50</v>
      </c>
      <c r="F29" s="51" t="s">
        <v>16</v>
      </c>
      <c r="G29" s="52">
        <f>IF(D29="","",VLOOKUP(D29,'Product Sheet'!$B$3:$D$7,2,FALSE))</f>
        <v>5</v>
      </c>
      <c r="H29" s="52">
        <f>IF(D29="","",VLOOKUP(D29,'Product Sheet'!$B$3:$D$7,3,FALSE))</f>
        <v>10</v>
      </c>
      <c r="I29" s="52">
        <f t="shared" si="2"/>
        <v>5</v>
      </c>
      <c r="J29" s="53">
        <f t="shared" si="3"/>
        <v>0.5</v>
      </c>
      <c r="K29" s="52">
        <f t="shared" si="0"/>
        <v>250</v>
      </c>
      <c r="L29" s="52">
        <f t="shared" si="5"/>
        <v>500</v>
      </c>
      <c r="M29" s="18"/>
    </row>
    <row r="30" spans="1:13" ht="15.75" thickBot="1">
      <c r="A30" s="19"/>
      <c r="B30" s="48">
        <v>43038</v>
      </c>
      <c r="C30" s="49" t="str">
        <f t="shared" si="1"/>
        <v>Monday</v>
      </c>
      <c r="D30" s="50" t="s">
        <v>1</v>
      </c>
      <c r="E30" s="50">
        <v>50</v>
      </c>
      <c r="F30" s="51" t="s">
        <v>12</v>
      </c>
      <c r="G30" s="52">
        <f>IF(D30="","",VLOOKUP(D30,'Product Sheet'!$B$3:$D$7,2,FALSE))</f>
        <v>10</v>
      </c>
      <c r="H30" s="52">
        <f>IF(D30="","",VLOOKUP(D30,'Product Sheet'!$B$3:$D$7,3,FALSE))</f>
        <v>15</v>
      </c>
      <c r="I30" s="52">
        <f t="shared" si="2"/>
        <v>5</v>
      </c>
      <c r="J30" s="53">
        <f t="shared" si="3"/>
        <v>0.33333333333333331</v>
      </c>
      <c r="K30" s="52">
        <f t="shared" si="0"/>
        <v>250</v>
      </c>
      <c r="L30" s="52">
        <f t="shared" si="5"/>
        <v>750</v>
      </c>
      <c r="M30" s="18"/>
    </row>
    <row r="31" spans="1:13" ht="15.75" thickBot="1">
      <c r="A31" s="19"/>
      <c r="B31" s="48">
        <v>43038</v>
      </c>
      <c r="C31" s="49" t="str">
        <f t="shared" si="1"/>
        <v>Monday</v>
      </c>
      <c r="D31" s="50" t="s">
        <v>4</v>
      </c>
      <c r="E31" s="50">
        <v>20</v>
      </c>
      <c r="F31" s="51" t="s">
        <v>10</v>
      </c>
      <c r="G31" s="52">
        <f>IF(D31="","",VLOOKUP(D31,'Product Sheet'!$B$3:$D$7,2,FALSE))</f>
        <v>20</v>
      </c>
      <c r="H31" s="52">
        <f>IF(D31="","",VLOOKUP(D31,'Product Sheet'!$B$3:$D$7,3,FALSE))</f>
        <v>30</v>
      </c>
      <c r="I31" s="52">
        <f t="shared" si="2"/>
        <v>10</v>
      </c>
      <c r="J31" s="53">
        <f t="shared" si="3"/>
        <v>0.33333333333333331</v>
      </c>
      <c r="K31" s="52">
        <f t="shared" si="0"/>
        <v>200</v>
      </c>
      <c r="L31" s="52">
        <f t="shared" si="5"/>
        <v>600</v>
      </c>
      <c r="M31" s="18"/>
    </row>
    <row r="32" spans="1:13">
      <c r="A32" s="19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</sheetData>
  <mergeCells count="1">
    <mergeCell ref="B2:L2"/>
  </mergeCell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Database!A4:A8</xm:f>
          </x14:formula1>
          <xm:sqref>C3:C30</xm:sqref>
        </x14:dataValidation>
        <x14:dataValidation type="list" allowBlank="1" showInputMessage="1" showErrorMessage="1">
          <x14:formula1>
            <xm:f>Database!D4:D8</xm:f>
          </x14:formula1>
          <xm:sqref>E3:E30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showFormulas="1" showGridLines="0" workbookViewId="0">
      <selection activeCell="D25" sqref="D25"/>
    </sheetView>
  </sheetViews>
  <sheetFormatPr defaultColWidth="8.7109375" defaultRowHeight="15"/>
  <cols>
    <col min="1" max="1" width="1.5703125" customWidth="1"/>
    <col min="6" max="6" width="1.5703125" customWidth="1"/>
    <col min="7" max="7" width="10.85546875" customWidth="1"/>
  </cols>
  <sheetData>
    <row r="1" spans="1:6" ht="17.25" customHeight="1">
      <c r="A1" s="8"/>
      <c r="B1" s="1"/>
      <c r="C1" s="1"/>
      <c r="D1" s="1"/>
      <c r="E1" s="1"/>
      <c r="F1" s="1"/>
    </row>
    <row r="2" spans="1:6">
      <c r="A2" s="8"/>
      <c r="B2" s="3" t="s">
        <v>20</v>
      </c>
      <c r="C2" s="4" t="s">
        <v>21</v>
      </c>
      <c r="D2" s="4" t="s">
        <v>22</v>
      </c>
      <c r="E2" s="5" t="s">
        <v>25</v>
      </c>
      <c r="F2" s="1"/>
    </row>
    <row r="3" spans="1:6">
      <c r="A3" s="8"/>
      <c r="B3" s="6" t="s">
        <v>1</v>
      </c>
      <c r="C3" s="7">
        <v>10</v>
      </c>
      <c r="D3" s="7">
        <v>15</v>
      </c>
      <c r="E3" s="6" t="s">
        <v>10</v>
      </c>
      <c r="F3" s="1"/>
    </row>
    <row r="4" spans="1:6">
      <c r="A4" s="8"/>
      <c r="B4" s="6" t="s">
        <v>2</v>
      </c>
      <c r="C4" s="7">
        <v>5</v>
      </c>
      <c r="D4" s="7">
        <v>10</v>
      </c>
      <c r="E4" s="6" t="s">
        <v>9</v>
      </c>
      <c r="F4" s="1"/>
    </row>
    <row r="5" spans="1:6">
      <c r="A5" s="8"/>
      <c r="B5" s="6" t="s">
        <v>3</v>
      </c>
      <c r="C5" s="7">
        <v>12</v>
      </c>
      <c r="D5" s="7">
        <v>20</v>
      </c>
      <c r="E5" s="6" t="s">
        <v>16</v>
      </c>
      <c r="F5" s="1"/>
    </row>
    <row r="6" spans="1:6">
      <c r="A6" s="8"/>
      <c r="B6" s="6" t="s">
        <v>4</v>
      </c>
      <c r="C6" s="7">
        <v>20</v>
      </c>
      <c r="D6" s="7">
        <v>30</v>
      </c>
      <c r="E6" s="6" t="s">
        <v>11</v>
      </c>
      <c r="F6" s="1"/>
    </row>
    <row r="7" spans="1:6">
      <c r="A7" s="8"/>
      <c r="B7" s="6" t="s">
        <v>5</v>
      </c>
      <c r="C7" s="7">
        <v>8</v>
      </c>
      <c r="D7" s="7">
        <v>10</v>
      </c>
      <c r="E7" s="6" t="s">
        <v>12</v>
      </c>
      <c r="F7" s="1"/>
    </row>
    <row r="8" spans="1:6" ht="17.25" customHeight="1">
      <c r="A8" s="8"/>
      <c r="B8" s="1"/>
      <c r="C8" s="2"/>
      <c r="D8" s="2"/>
      <c r="E8" s="1"/>
      <c r="F8" s="1"/>
    </row>
    <row r="10" spans="1:6">
      <c r="B10" t="s">
        <v>23</v>
      </c>
    </row>
    <row r="49" spans="3:3">
      <c r="C49" t="s">
        <v>0</v>
      </c>
    </row>
    <row r="50" spans="3:3">
      <c r="C50" t="s">
        <v>1</v>
      </c>
    </row>
    <row r="51" spans="3:3">
      <c r="C51" t="s">
        <v>2</v>
      </c>
    </row>
    <row r="52" spans="3:3">
      <c r="C52" t="s">
        <v>3</v>
      </c>
    </row>
    <row r="53" spans="3:3">
      <c r="C53" t="s">
        <v>4</v>
      </c>
    </row>
    <row r="54" spans="3:3">
      <c r="C54" t="s">
        <v>5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247"/>
  <sheetViews>
    <sheetView topLeftCell="A67" workbookViewId="0">
      <selection activeCell="L57" sqref="L57"/>
    </sheetView>
  </sheetViews>
  <sheetFormatPr defaultRowHeight="15"/>
  <cols>
    <col min="1" max="1" width="3.140625" style="12" customWidth="1"/>
    <col min="2" max="8" width="15.7109375" style="12" customWidth="1"/>
    <col min="9" max="9" width="3.140625" style="12" customWidth="1"/>
    <col min="10" max="13" width="15.7109375" style="12" customWidth="1"/>
    <col min="14" max="16384" width="9.140625" style="12"/>
  </cols>
  <sheetData>
    <row r="1" spans="1:9" ht="15.75" thickBot="1">
      <c r="A1" s="11"/>
      <c r="B1" s="11"/>
      <c r="C1" s="11"/>
      <c r="D1" s="11"/>
      <c r="E1" s="11"/>
      <c r="F1" s="11"/>
      <c r="G1" s="11"/>
      <c r="H1" s="11"/>
      <c r="I1" s="11"/>
    </row>
    <row r="2" spans="1:9" ht="50.25" customHeight="1" thickBot="1">
      <c r="A2" s="11"/>
      <c r="B2" s="25" t="s">
        <v>26</v>
      </c>
      <c r="C2" s="25"/>
      <c r="D2" s="25"/>
      <c r="E2" s="25"/>
      <c r="F2" s="25"/>
      <c r="G2" s="25"/>
      <c r="H2" s="9"/>
      <c r="I2" s="11"/>
    </row>
    <row r="3" spans="1:9" ht="32.25" customHeight="1" thickBot="1">
      <c r="A3" s="11"/>
      <c r="B3" s="10" t="s">
        <v>28</v>
      </c>
      <c r="C3" s="10"/>
      <c r="D3" s="10"/>
      <c r="E3" s="10"/>
      <c r="F3" s="10"/>
      <c r="G3" s="10"/>
      <c r="H3" s="9"/>
      <c r="I3" s="11"/>
    </row>
    <row r="4" spans="1:9" ht="32.25" customHeight="1" thickBot="1">
      <c r="A4" s="11"/>
      <c r="B4" s="14" t="s">
        <v>27</v>
      </c>
      <c r="C4" s="15"/>
      <c r="D4" s="15"/>
      <c r="E4" s="15"/>
      <c r="F4" s="15"/>
      <c r="G4" s="15"/>
      <c r="H4" s="16"/>
      <c r="I4" s="11"/>
    </row>
    <row r="5" spans="1:9" ht="26.25" thickBot="1">
      <c r="A5" s="11"/>
      <c r="B5" s="41" t="s">
        <v>29</v>
      </c>
      <c r="C5" s="42"/>
      <c r="D5" s="42"/>
      <c r="E5" s="42"/>
      <c r="F5" s="42"/>
      <c r="G5" s="42"/>
      <c r="H5" s="43"/>
      <c r="I5" s="11"/>
    </row>
    <row r="6" spans="1:9" ht="20.25" thickBot="1">
      <c r="A6" s="11"/>
      <c r="B6" s="45" t="s">
        <v>0</v>
      </c>
      <c r="C6" s="45" t="s">
        <v>9</v>
      </c>
      <c r="D6" s="45" t="s">
        <v>10</v>
      </c>
      <c r="E6" s="45" t="s">
        <v>16</v>
      </c>
      <c r="F6" s="45" t="s">
        <v>11</v>
      </c>
      <c r="G6" s="45" t="s">
        <v>12</v>
      </c>
      <c r="H6" s="46" t="s">
        <v>14</v>
      </c>
      <c r="I6" s="11"/>
    </row>
    <row r="7" spans="1:9" ht="15.75" thickBot="1">
      <c r="A7" s="11"/>
      <c r="B7" s="23" t="str">
        <f>'Product Sheet'!B3</f>
        <v>A</v>
      </c>
      <c r="C7" s="23">
        <f>SUMIFS('Sales report'!$E$4:E$31,'Sales report'!$D$4:$D$31,B7,'Sales report'!$F$4:$F$31,C6)</f>
        <v>10</v>
      </c>
      <c r="D7" s="23">
        <f>SUMIFS('Sales report'!$E$4:$E$31,'Sales report'!$D$4:$D$31,B7,'Sales report'!$F$4:$F$31,D6)</f>
        <v>25</v>
      </c>
      <c r="E7" s="23">
        <f>SUMIFS('Sales report'!$E$4:$E$31,'Sales report'!$D$4:$D$31,B7,'Sales report'!$F$4:$F$31,E6)</f>
        <v>40</v>
      </c>
      <c r="F7" s="23">
        <f>SUMIFS('Sales report'!$E$4:$E$31,'Sales report'!$D$4:$D$31,B7,'Sales report'!$F$4:$F$31,F6)</f>
        <v>0</v>
      </c>
      <c r="G7" s="23">
        <f>SUMIFS('Sales report'!$E$4:$E$31,'Sales report'!$D$4:$D$31,B7,'Sales report'!$F$4:$F$31,G6)</f>
        <v>50</v>
      </c>
      <c r="H7" s="24">
        <f>C7+D7+E7+F7+G7</f>
        <v>125</v>
      </c>
      <c r="I7" s="11"/>
    </row>
    <row r="8" spans="1:9" ht="15.75" thickBot="1">
      <c r="A8" s="11"/>
      <c r="B8" s="23" t="str">
        <f>'Product Sheet'!B4</f>
        <v>B</v>
      </c>
      <c r="C8" s="23">
        <f>SUMIFS('Sales report'!$E$4:$E$31,'Sales report'!$D$4:$D$31,B8,'Sales report'!$F$4:$F$31,C6)</f>
        <v>20</v>
      </c>
      <c r="D8" s="23">
        <f>SUMIFS('Sales report'!$E$4:$E$31,'Sales report'!$D$4:$D$31,B8,'Sales report'!$F$4:$F$31,D6)</f>
        <v>60</v>
      </c>
      <c r="E8" s="23">
        <f>SUMIFS('Sales report'!$E$4:$E$31,'Sales report'!$D$4:$D$31,B8,'Sales report'!$F$4:$F$31,E6)</f>
        <v>115</v>
      </c>
      <c r="F8" s="23">
        <f>SUMIFS('Sales report'!$E$4:$E$31,'Sales report'!$D$4:$D$31,B8,'Sales report'!$F$4:$F$31,F6)</f>
        <v>50</v>
      </c>
      <c r="G8" s="23">
        <f>SUMIFS('Sales report'!$E$4:$E$31,'Sales report'!$D$4:$D$31,B8,'Sales report'!$F$4:$F$31,G6)</f>
        <v>50</v>
      </c>
      <c r="H8" s="24">
        <f>C8+D8+E8+F8+G8</f>
        <v>295</v>
      </c>
      <c r="I8" s="11"/>
    </row>
    <row r="9" spans="1:9" ht="15.75" thickBot="1">
      <c r="A9" s="11"/>
      <c r="B9" s="23" t="str">
        <f>'Product Sheet'!B5</f>
        <v>C</v>
      </c>
      <c r="C9" s="23">
        <f>SUMIFS('Sales report'!$E$4:$E$31,'Sales report'!$D$4:$D$31,B9,'Sales report'!$F$4:$F$31,C6)</f>
        <v>80</v>
      </c>
      <c r="D9" s="23">
        <f>SUMIFS('Sales report'!$E$4:$E$31,'Sales report'!$D$4:$D$31,B9,'Sales report'!$F$4:$F$31,D6)</f>
        <v>40</v>
      </c>
      <c r="E9" s="23">
        <f>SUMIFS('Sales report'!$E$4:$E$31,'Sales report'!$D$4:$D$31,B9,'Sales report'!$F$4:$F$31,E6)</f>
        <v>0</v>
      </c>
      <c r="F9" s="23">
        <f>SUMIFS('Sales report'!$E$4:$E$31,'Sales report'!$D$4:$D$31,B9,'Sales report'!$F$4:$F$31,F6)</f>
        <v>40</v>
      </c>
      <c r="G9" s="23">
        <f>SUMIFS('Sales report'!$E$4:$E$31,'Sales report'!$D$4:$D$31,B9,'Sales report'!$F$4:$F$31,G6)</f>
        <v>100</v>
      </c>
      <c r="H9" s="24">
        <f>C9+D9+E9+F9+G9</f>
        <v>260</v>
      </c>
      <c r="I9" s="11"/>
    </row>
    <row r="10" spans="1:9" ht="15.75" thickBot="1">
      <c r="A10" s="11"/>
      <c r="B10" s="23" t="str">
        <f>'Product Sheet'!B6</f>
        <v>D</v>
      </c>
      <c r="C10" s="23">
        <f>SUMIFS('Sales report'!$E$4:$E$31,'Sales report'!$D$4:$D$31,B10,'Sales report'!$F$4:$F$31,C6)</f>
        <v>45</v>
      </c>
      <c r="D10" s="23">
        <f>SUMIFS('Sales report'!$E$4:$E$31,'Sales report'!$D$4:$D$31,B10,'Sales report'!$F$4:$F$31,D6)</f>
        <v>20</v>
      </c>
      <c r="E10" s="23">
        <f>SUMIFS('Sales report'!$E$4:$E$31,'Sales report'!$D$4:$D$31,B10,'Sales report'!$F$4:$F$31,E6)</f>
        <v>25</v>
      </c>
      <c r="F10" s="23">
        <f>SUMIFS('Sales report'!$E$4:$E$31,'Sales report'!$D$4:$D$31,B10,'Sales report'!$F$4:$F$31,F6)</f>
        <v>70</v>
      </c>
      <c r="G10" s="23">
        <f>SUMIFS('Sales report'!$E$4:$E$31,'Sales report'!$D$4:$D$31,B10,'Sales report'!$F$4:$F$31,G6)</f>
        <v>25</v>
      </c>
      <c r="H10" s="24">
        <f>C10+D10+E10+F10+G10</f>
        <v>185</v>
      </c>
      <c r="I10" s="11"/>
    </row>
    <row r="11" spans="1:9" ht="15.75" thickBot="1">
      <c r="A11" s="11"/>
      <c r="B11" s="23" t="str">
        <f>'Product Sheet'!B7</f>
        <v>E</v>
      </c>
      <c r="C11" s="23">
        <f>SUMIFS('Sales report'!$E$4:$E$31,'Sales report'!$D$4:$D$31,B11,'Sales report'!$F$4:$F$31,C6)</f>
        <v>0</v>
      </c>
      <c r="D11" s="23">
        <f>SUMIFS('Sales report'!$E$4:$E$31,'Sales report'!$D$4:$D$31,B11,'Sales report'!$F$4:$F$31,D6)</f>
        <v>60</v>
      </c>
      <c r="E11" s="23">
        <f>SUMIFS('Sales report'!$E$4:$E$31,'Sales report'!$D$4:$D$31,B11,'Sales report'!$F$4:$F$31,E6)</f>
        <v>0</v>
      </c>
      <c r="F11" s="23">
        <f>SUMIFS('Sales report'!$E$4:$E$31,'Sales report'!$D$4:$D$31,B11,'Sales report'!$F$4:$F$31,F6)</f>
        <v>200</v>
      </c>
      <c r="G11" s="23">
        <f>SUMIFS('Sales report'!$E$4:$E$31,'Sales report'!$D$4:$D$31,B11,'Sales report'!$F$4:$F$31,G6)</f>
        <v>0</v>
      </c>
      <c r="H11" s="24">
        <f>C11+D11+E11+F11+G11</f>
        <v>260</v>
      </c>
      <c r="I11" s="11"/>
    </row>
    <row r="12" spans="1:9" ht="19.5" thickBot="1">
      <c r="A12" s="11"/>
      <c r="B12" s="39" t="s">
        <v>18</v>
      </c>
      <c r="C12" s="39">
        <f>SUM(C7:C11)</f>
        <v>155</v>
      </c>
      <c r="D12" s="39">
        <f>SUM(D7:D11)</f>
        <v>205</v>
      </c>
      <c r="E12" s="39">
        <f>SUM(E7:E11)</f>
        <v>180</v>
      </c>
      <c r="F12" s="39">
        <f>SUM(F7:F11)</f>
        <v>360</v>
      </c>
      <c r="G12" s="39">
        <f>SUM(G7:G11)</f>
        <v>225</v>
      </c>
      <c r="H12" s="40">
        <f>SUM(H7:H11)</f>
        <v>1125</v>
      </c>
      <c r="I12" s="11"/>
    </row>
    <row r="13" spans="1:9" ht="26.25" thickBot="1">
      <c r="A13" s="11"/>
      <c r="B13" s="44" t="s">
        <v>30</v>
      </c>
      <c r="C13" s="44"/>
      <c r="D13" s="44"/>
      <c r="E13" s="44"/>
      <c r="F13" s="44"/>
      <c r="G13" s="44"/>
      <c r="H13" s="44"/>
      <c r="I13" s="11"/>
    </row>
    <row r="14" spans="1:9" ht="20.25" thickBot="1">
      <c r="A14" s="11"/>
      <c r="B14" s="45" t="s">
        <v>0</v>
      </c>
      <c r="C14" s="45" t="s">
        <v>9</v>
      </c>
      <c r="D14" s="45" t="s">
        <v>10</v>
      </c>
      <c r="E14" s="45" t="s">
        <v>19</v>
      </c>
      <c r="F14" s="45" t="s">
        <v>11</v>
      </c>
      <c r="G14" s="45" t="s">
        <v>12</v>
      </c>
      <c r="H14" s="46" t="s">
        <v>6</v>
      </c>
      <c r="I14" s="11"/>
    </row>
    <row r="15" spans="1:9" ht="15.75" thickBot="1">
      <c r="A15" s="11"/>
      <c r="B15" s="23" t="s">
        <v>1</v>
      </c>
      <c r="C15" s="23">
        <f>SUMIFS('Sales report'!$K$4:$K$31,'Sales report'!$D$4:$D$31,B15,'Sales report'!$F$4:$F$31,C14)</f>
        <v>50</v>
      </c>
      <c r="D15" s="23">
        <f>SUMIFS('Sales report'!$K$4:$K$31,'Sales report'!$D$4:$D$31,B15,'Sales report'!$F$4:$F$31,D6)</f>
        <v>125</v>
      </c>
      <c r="E15" s="23">
        <f>SUMIFS('Sales report'!$K$4:$K$31,'Sales report'!$D$4:$D$31,B15,'Sales report'!$F$4:$F$31,E6)</f>
        <v>200</v>
      </c>
      <c r="F15" s="23">
        <f>SUMIFS('Sales report'!$K$4:$K$31,'Sales report'!$D$4:$D$31,B15,'Sales report'!$F$4:$F$31,F6)</f>
        <v>0</v>
      </c>
      <c r="G15" s="23">
        <f>SUMIFS('Sales report'!$K$4:$K$31,'Sales report'!$D$4:$D$31,B15,'Sales report'!$F$4:$F$31,G6)</f>
        <v>250</v>
      </c>
      <c r="H15" s="24">
        <f>C15+D15+ E15+F15+G15</f>
        <v>625</v>
      </c>
      <c r="I15" s="11"/>
    </row>
    <row r="16" spans="1:9" ht="15.75" thickBot="1">
      <c r="A16" s="11"/>
      <c r="B16" s="23" t="s">
        <v>2</v>
      </c>
      <c r="C16" s="23">
        <f>SUMIFS('Sales report'!$K$4:$K$31,'Sales report'!$D$4:$D$31,B16,'Sales report'!$F$4:$F$31,C14)</f>
        <v>100</v>
      </c>
      <c r="D16" s="23">
        <f>SUMIFS('Sales report'!$K$4:$K$31,'Sales report'!$D$4:$D$31,B16,'Sales report'!$F$4:$F$31,D6)</f>
        <v>300</v>
      </c>
      <c r="E16" s="23">
        <f>SUMIFS('Sales report'!$K$4:$K$31,'Sales report'!$D$4:$D$31,B16,'Sales report'!$F$4:$F$31,E6)</f>
        <v>575</v>
      </c>
      <c r="F16" s="23">
        <f>SUMIFS('Sales report'!$K$4:$K$31,'Sales report'!$D$4:$D$31,B16,'Sales report'!$F$4:$F$31,F6)</f>
        <v>250</v>
      </c>
      <c r="G16" s="23">
        <f>SUMIFS('Sales report'!$K$4:$K$31,'Sales report'!$D$4:$D$31,B16,'Sales report'!$F$4:$F$31,G6)</f>
        <v>250</v>
      </c>
      <c r="H16" s="24">
        <f>C16+D16+ E16+F16+G16</f>
        <v>1475</v>
      </c>
      <c r="I16" s="11"/>
    </row>
    <row r="17" spans="1:9" ht="15.75" thickBot="1">
      <c r="A17" s="11"/>
      <c r="B17" s="23" t="s">
        <v>3</v>
      </c>
      <c r="C17" s="23">
        <f>SUMIFS('Sales report'!$K$4:$K$31,'Sales report'!$D$4:$D$31,B17,'Sales report'!$F$4:$F$31,C14)</f>
        <v>640</v>
      </c>
      <c r="D17" s="23">
        <f>SUMIFS('Sales report'!$K$4:$K$31,'Sales report'!$D$4:$D$31,B17,'Sales report'!$F$4:$F$31,D6)</f>
        <v>320</v>
      </c>
      <c r="E17" s="23">
        <f>SUMIFS('Sales report'!$K$4:$K$31,'Sales report'!$D$4:$D$31,B17,'Sales report'!$F$4:$F$31,E6)</f>
        <v>0</v>
      </c>
      <c r="F17" s="23">
        <f>SUMIFS('Sales report'!$K$4:$K$31,'Sales report'!$D$4:$D$31,B17,'Sales report'!$F$4:$F$31,F6)</f>
        <v>320</v>
      </c>
      <c r="G17" s="23">
        <f>SUMIFS('Sales report'!$K$4:$K$31,'Sales report'!$D$4:$D$31,B17,'Sales report'!$F$4:$F$31,G6)</f>
        <v>800</v>
      </c>
      <c r="H17" s="24">
        <f>C17+D17+ E17+F17+G17</f>
        <v>2080</v>
      </c>
      <c r="I17" s="11"/>
    </row>
    <row r="18" spans="1:9" ht="15.75" thickBot="1">
      <c r="A18" s="11"/>
      <c r="B18" s="23" t="s">
        <v>4</v>
      </c>
      <c r="C18" s="23">
        <f>SUMIFS('Sales report'!$K$4:$K$31,'Sales report'!$D$4:$D$31,B18,'Sales report'!$F$4:$F$31,C14)</f>
        <v>450</v>
      </c>
      <c r="D18" s="23">
        <f>SUMIFS('Sales report'!$K$4:$K$31,'Sales report'!$D$4:$D$31,B18,'Sales report'!$F$4:$F$31,D6)</f>
        <v>200</v>
      </c>
      <c r="E18" s="23">
        <f>SUMIFS('Sales report'!$K$4:$K$31,'Sales report'!$D$4:$D$31,B18,'Sales report'!$F$4:$F$31,E6)</f>
        <v>250</v>
      </c>
      <c r="F18" s="23">
        <f>SUMIFS('Sales report'!$K$4:$K$31,'Sales report'!$D$4:$D$31,B18,'Sales report'!$F$4:$F$31,F6)</f>
        <v>700</v>
      </c>
      <c r="G18" s="23">
        <f>SUMIFS('Sales report'!$K$4:$K$31,'Sales report'!$D$4:$D$31,B18,'Sales report'!$F$4:$F$31,G6)</f>
        <v>250</v>
      </c>
      <c r="H18" s="24">
        <f>C18+D18+ E18+F18+G18</f>
        <v>1850</v>
      </c>
      <c r="I18" s="11"/>
    </row>
    <row r="19" spans="1:9" ht="15.75" thickBot="1">
      <c r="A19" s="11"/>
      <c r="B19" s="23" t="s">
        <v>5</v>
      </c>
      <c r="C19" s="23">
        <f>SUMIFS('Sales report'!$K$4:$K$31,'Sales report'!$D$4:$D$31,B19,'Sales report'!$F$4:$F$31,C14)</f>
        <v>0</v>
      </c>
      <c r="D19" s="23">
        <f>SUMIFS('Sales report'!$K$4:$K$31,'Sales report'!$D$4:$D$31,B19,'Sales report'!$F$4:$F$31,D6)</f>
        <v>120</v>
      </c>
      <c r="E19" s="23">
        <f>SUMIFS('Sales report'!$K$4:$K$31,'Sales report'!$D$4:$D$31,B19,'Sales report'!$F$4:$F$31,E6)</f>
        <v>0</v>
      </c>
      <c r="F19" s="23">
        <f>SUMIFS('Sales report'!$K$4:$K$31,'Sales report'!$D$4:$D$31,B19,'Sales report'!$F$4:$F$31,F6)</f>
        <v>400</v>
      </c>
      <c r="G19" s="23">
        <f>SUMIFS('Sales report'!$K$4:$K$31,'Sales report'!$D$4:$D$31,B19,'Sales report'!$F$4:$F$31,G6)</f>
        <v>0</v>
      </c>
      <c r="H19" s="24">
        <f>C19+D19+ E19+F19+G19</f>
        <v>520</v>
      </c>
      <c r="I19" s="11"/>
    </row>
    <row r="20" spans="1:9" ht="15.75" thickBot="1">
      <c r="A20" s="26"/>
      <c r="B20" s="27"/>
      <c r="C20" s="28"/>
      <c r="D20" s="28"/>
      <c r="E20" s="28"/>
      <c r="F20" s="28"/>
      <c r="G20" s="28"/>
      <c r="H20" s="29"/>
      <c r="I20" s="11"/>
    </row>
    <row r="21" spans="1:9">
      <c r="A21" s="26"/>
      <c r="B21" s="30"/>
      <c r="C21" s="31"/>
      <c r="D21" s="31"/>
      <c r="E21" s="31"/>
      <c r="F21" s="31"/>
      <c r="G21" s="31"/>
      <c r="H21" s="32"/>
      <c r="I21" s="11"/>
    </row>
    <row r="22" spans="1:9">
      <c r="A22" s="26"/>
      <c r="B22" s="33"/>
      <c r="C22" s="34"/>
      <c r="D22" s="34"/>
      <c r="E22" s="34"/>
      <c r="F22" s="34"/>
      <c r="G22" s="34"/>
      <c r="H22" s="35"/>
      <c r="I22" s="11"/>
    </row>
    <row r="23" spans="1:9">
      <c r="A23" s="26"/>
      <c r="B23" s="33"/>
      <c r="C23" s="34"/>
      <c r="D23" s="34"/>
      <c r="E23" s="34"/>
      <c r="F23" s="34"/>
      <c r="G23" s="34"/>
      <c r="H23" s="35"/>
      <c r="I23" s="11"/>
    </row>
    <row r="24" spans="1:9">
      <c r="A24" s="26"/>
      <c r="B24" s="33"/>
      <c r="C24" s="34"/>
      <c r="D24" s="34"/>
      <c r="E24" s="34"/>
      <c r="F24" s="34"/>
      <c r="G24" s="34"/>
      <c r="H24" s="35"/>
      <c r="I24" s="11"/>
    </row>
    <row r="25" spans="1:9">
      <c r="A25" s="26"/>
      <c r="B25" s="33"/>
      <c r="C25" s="34"/>
      <c r="D25" s="34"/>
      <c r="E25" s="34"/>
      <c r="F25" s="34"/>
      <c r="G25" s="34"/>
      <c r="H25" s="35"/>
      <c r="I25" s="11"/>
    </row>
    <row r="26" spans="1:9">
      <c r="A26" s="26"/>
      <c r="B26" s="33"/>
      <c r="C26" s="34"/>
      <c r="D26" s="34"/>
      <c r="E26" s="34"/>
      <c r="F26" s="34"/>
      <c r="G26" s="34"/>
      <c r="H26" s="35"/>
      <c r="I26" s="11"/>
    </row>
    <row r="27" spans="1:9">
      <c r="A27" s="26"/>
      <c r="B27" s="33"/>
      <c r="C27" s="34"/>
      <c r="D27" s="34"/>
      <c r="E27" s="34"/>
      <c r="F27" s="34"/>
      <c r="G27" s="34"/>
      <c r="H27" s="35"/>
      <c r="I27" s="11"/>
    </row>
    <row r="28" spans="1:9">
      <c r="A28" s="26"/>
      <c r="B28" s="33"/>
      <c r="C28" s="34"/>
      <c r="D28" s="34"/>
      <c r="E28" s="34"/>
      <c r="F28" s="34"/>
      <c r="G28" s="34"/>
      <c r="H28" s="35"/>
      <c r="I28" s="11"/>
    </row>
    <row r="29" spans="1:9">
      <c r="A29" s="26"/>
      <c r="B29" s="33"/>
      <c r="C29" s="34"/>
      <c r="D29" s="34"/>
      <c r="E29" s="34"/>
      <c r="F29" s="34"/>
      <c r="G29" s="34"/>
      <c r="H29" s="35"/>
      <c r="I29" s="11"/>
    </row>
    <row r="30" spans="1:9">
      <c r="A30" s="26"/>
      <c r="B30" s="33"/>
      <c r="C30" s="34"/>
      <c r="D30" s="34"/>
      <c r="E30" s="34"/>
      <c r="F30" s="34"/>
      <c r="G30" s="34"/>
      <c r="H30" s="35"/>
      <c r="I30" s="11"/>
    </row>
    <row r="31" spans="1:9">
      <c r="A31" s="26"/>
      <c r="B31" s="33"/>
      <c r="C31" s="34"/>
      <c r="D31" s="34"/>
      <c r="E31" s="34"/>
      <c r="F31" s="34"/>
      <c r="G31" s="34"/>
      <c r="H31" s="35"/>
      <c r="I31" s="11"/>
    </row>
    <row r="32" spans="1:9">
      <c r="A32" s="26"/>
      <c r="B32" s="33"/>
      <c r="C32" s="34"/>
      <c r="D32" s="34"/>
      <c r="E32" s="34"/>
      <c r="F32" s="34"/>
      <c r="G32" s="34"/>
      <c r="H32" s="35"/>
      <c r="I32" s="11"/>
    </row>
    <row r="33" spans="1:30">
      <c r="A33" s="26"/>
      <c r="B33" s="33"/>
      <c r="C33" s="34"/>
      <c r="D33" s="34"/>
      <c r="E33" s="34"/>
      <c r="F33" s="34"/>
      <c r="G33" s="34"/>
      <c r="H33" s="35"/>
      <c r="I33" s="11"/>
    </row>
    <row r="34" spans="1:30" ht="15.75" thickBot="1">
      <c r="A34" s="26"/>
      <c r="B34" s="36"/>
      <c r="C34" s="37"/>
      <c r="D34" s="37"/>
      <c r="E34" s="37"/>
      <c r="F34" s="37"/>
      <c r="G34" s="37"/>
      <c r="H34" s="38"/>
      <c r="I34" s="11"/>
    </row>
    <row r="35" spans="1:30">
      <c r="A35" s="26"/>
      <c r="B35" s="34"/>
      <c r="C35" s="34"/>
      <c r="D35" s="34"/>
      <c r="E35" s="34"/>
      <c r="F35" s="34"/>
      <c r="G35" s="34"/>
      <c r="H35" s="34"/>
      <c r="I35" s="11"/>
    </row>
    <row r="36" spans="1:30">
      <c r="A36" s="26"/>
      <c r="B36" s="19"/>
      <c r="C36" s="19"/>
      <c r="D36" s="19"/>
      <c r="E36" s="19"/>
      <c r="F36" s="19"/>
      <c r="G36" s="19"/>
      <c r="H36" s="19"/>
      <c r="I36" s="11"/>
    </row>
    <row r="37" spans="1:30">
      <c r="A37" s="26"/>
      <c r="B37" s="19"/>
      <c r="C37" s="19"/>
      <c r="D37" s="19"/>
      <c r="E37" s="19"/>
      <c r="F37" s="19"/>
      <c r="G37" s="19"/>
      <c r="H37" s="19"/>
      <c r="I37" s="11"/>
    </row>
    <row r="38" spans="1:30">
      <c r="A38" s="26"/>
      <c r="B38" s="19"/>
      <c r="C38" s="19"/>
      <c r="D38" s="19"/>
      <c r="E38" s="19"/>
      <c r="F38" s="19"/>
      <c r="G38" s="19"/>
      <c r="H38" s="19"/>
      <c r="I38" s="11"/>
    </row>
    <row r="39" spans="1:30">
      <c r="A39" s="26"/>
      <c r="B39" s="19"/>
      <c r="C39" s="19"/>
      <c r="D39" s="19"/>
      <c r="E39" s="19"/>
      <c r="F39" s="19"/>
      <c r="G39" s="19"/>
      <c r="H39" s="19"/>
      <c r="I39" s="11"/>
    </row>
    <row r="40" spans="1:30">
      <c r="A40" s="26"/>
      <c r="B40" s="19"/>
      <c r="C40" s="19"/>
      <c r="D40" s="19"/>
      <c r="E40" s="19"/>
      <c r="F40" s="19"/>
      <c r="G40" s="19"/>
      <c r="H40" s="19"/>
      <c r="I40" s="11"/>
    </row>
    <row r="41" spans="1:30">
      <c r="A41" s="26"/>
      <c r="B41" s="19"/>
      <c r="C41" s="19"/>
      <c r="D41" s="19"/>
      <c r="E41" s="19"/>
      <c r="F41" s="19"/>
      <c r="G41" s="19"/>
      <c r="H41" s="19"/>
      <c r="I41" s="11"/>
    </row>
    <row r="42" spans="1:30">
      <c r="A42" s="26"/>
      <c r="B42" s="19"/>
      <c r="C42" s="19"/>
      <c r="D42" s="19"/>
      <c r="E42" s="19"/>
      <c r="F42" s="19"/>
      <c r="G42" s="19"/>
      <c r="H42" s="19"/>
      <c r="I42" s="11"/>
    </row>
    <row r="43" spans="1:30">
      <c r="A43" s="26"/>
      <c r="B43" s="19"/>
      <c r="C43" s="19"/>
      <c r="D43" s="19"/>
      <c r="E43" s="19"/>
      <c r="F43" s="19"/>
      <c r="G43" s="19"/>
      <c r="H43" s="19"/>
      <c r="I43" s="11"/>
    </row>
    <row r="44" spans="1:30" s="11" customFormat="1">
      <c r="A44" s="26"/>
      <c r="B44" s="19"/>
      <c r="C44" s="19"/>
      <c r="D44" s="19"/>
      <c r="E44" s="19"/>
      <c r="F44" s="19"/>
      <c r="G44" s="19"/>
      <c r="H44" s="19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>
      <c r="A45" s="26"/>
      <c r="B45" s="19"/>
      <c r="C45" s="19"/>
      <c r="D45" s="19"/>
      <c r="E45" s="19"/>
      <c r="F45" s="19"/>
      <c r="G45" s="19"/>
      <c r="H45" s="19"/>
      <c r="I45" s="11"/>
    </row>
    <row r="46" spans="1:30">
      <c r="A46" s="26"/>
      <c r="B46" s="19"/>
      <c r="C46" s="19"/>
      <c r="D46" s="19"/>
      <c r="E46" s="19"/>
      <c r="F46" s="19"/>
      <c r="G46" s="19"/>
      <c r="H46" s="19"/>
      <c r="I46" s="11"/>
    </row>
    <row r="47" spans="1:30">
      <c r="A47" s="26"/>
      <c r="B47" s="19"/>
      <c r="C47" s="19"/>
      <c r="D47" s="19"/>
      <c r="E47" s="19"/>
      <c r="F47" s="19"/>
      <c r="G47" s="19"/>
      <c r="H47" s="19"/>
      <c r="I47" s="11"/>
    </row>
    <row r="48" spans="1:30">
      <c r="A48" s="26"/>
      <c r="B48" s="19"/>
      <c r="C48" s="19"/>
      <c r="D48" s="19"/>
      <c r="E48" s="19"/>
      <c r="F48" s="19"/>
      <c r="G48" s="19"/>
      <c r="H48" s="19"/>
      <c r="I48" s="11"/>
    </row>
    <row r="49" spans="1:9">
      <c r="A49" s="26"/>
      <c r="B49" s="19"/>
      <c r="C49" s="19"/>
      <c r="D49" s="19"/>
      <c r="E49" s="19"/>
      <c r="F49" s="19"/>
      <c r="G49" s="19"/>
      <c r="H49" s="19"/>
      <c r="I49" s="11"/>
    </row>
    <row r="50" spans="1:9">
      <c r="A50" s="26"/>
      <c r="B50" s="19"/>
      <c r="C50" s="19"/>
      <c r="D50" s="19"/>
      <c r="E50" s="19"/>
      <c r="F50" s="19"/>
      <c r="G50" s="19"/>
      <c r="H50" s="19"/>
      <c r="I50" s="11"/>
    </row>
    <row r="51" spans="1:9">
      <c r="A51" s="26"/>
      <c r="B51" s="19"/>
      <c r="C51" s="19"/>
      <c r="D51" s="19"/>
      <c r="E51" s="19"/>
      <c r="F51" s="19"/>
      <c r="G51" s="19"/>
      <c r="H51" s="19"/>
      <c r="I51" s="11"/>
    </row>
    <row r="52" spans="1:9">
      <c r="A52" s="26"/>
      <c r="B52" s="19"/>
      <c r="C52" s="19"/>
      <c r="D52" s="19"/>
      <c r="E52" s="19"/>
      <c r="F52" s="19"/>
      <c r="G52" s="19"/>
      <c r="H52" s="19"/>
      <c r="I52" s="11"/>
    </row>
    <row r="53" spans="1:9" ht="9.75" customHeight="1">
      <c r="A53" s="26"/>
      <c r="B53" s="19"/>
      <c r="C53" s="19"/>
      <c r="D53" s="19"/>
      <c r="E53" s="19"/>
      <c r="F53" s="19"/>
      <c r="G53" s="19"/>
      <c r="H53" s="19"/>
      <c r="I53" s="11"/>
    </row>
    <row r="54" spans="1:9">
      <c r="A54" s="26"/>
      <c r="B54" s="19"/>
      <c r="C54" s="19"/>
      <c r="D54" s="19"/>
      <c r="E54" s="19"/>
      <c r="F54" s="19"/>
      <c r="G54" s="19"/>
      <c r="H54" s="19"/>
      <c r="I54" s="11"/>
    </row>
    <row r="55" spans="1:9">
      <c r="A55" s="26"/>
      <c r="B55" s="19"/>
      <c r="C55" s="19"/>
      <c r="D55" s="19"/>
      <c r="E55" s="19"/>
      <c r="F55" s="19"/>
      <c r="G55" s="19"/>
      <c r="H55" s="19"/>
      <c r="I55" s="11"/>
    </row>
    <row r="56" spans="1:9">
      <c r="A56" s="26"/>
      <c r="B56" s="19"/>
      <c r="C56" s="19"/>
      <c r="D56" s="19"/>
      <c r="E56" s="19"/>
      <c r="F56" s="19"/>
      <c r="G56" s="19"/>
      <c r="H56" s="19"/>
      <c r="I56" s="11"/>
    </row>
    <row r="57" spans="1:9">
      <c r="A57" s="26"/>
      <c r="B57" s="19"/>
      <c r="C57" s="19"/>
      <c r="D57" s="19"/>
      <c r="E57" s="19"/>
      <c r="F57" s="19"/>
      <c r="G57" s="19"/>
      <c r="H57" s="19"/>
      <c r="I57" s="11"/>
    </row>
    <row r="58" spans="1:9">
      <c r="A58" s="26"/>
      <c r="B58" s="19"/>
      <c r="C58" s="19"/>
      <c r="D58" s="19"/>
      <c r="E58" s="19"/>
      <c r="F58" s="19"/>
      <c r="G58" s="19"/>
      <c r="H58" s="19"/>
      <c r="I58" s="11"/>
    </row>
    <row r="59" spans="1:9">
      <c r="A59" s="26"/>
      <c r="B59" s="19"/>
      <c r="C59" s="19"/>
      <c r="D59" s="19"/>
      <c r="E59" s="19"/>
      <c r="F59" s="19"/>
      <c r="G59" s="19"/>
      <c r="H59" s="19"/>
      <c r="I59" s="11"/>
    </row>
    <row r="60" spans="1:9">
      <c r="A60" s="26"/>
      <c r="B60" s="19"/>
      <c r="C60" s="19"/>
      <c r="D60" s="19"/>
      <c r="E60" s="19"/>
      <c r="F60" s="19"/>
      <c r="G60" s="19"/>
      <c r="H60" s="19"/>
      <c r="I60" s="11"/>
    </row>
    <row r="61" spans="1:9">
      <c r="A61" s="26"/>
      <c r="B61" s="19"/>
      <c r="C61" s="19"/>
      <c r="D61" s="19"/>
      <c r="E61" s="19"/>
      <c r="F61" s="19"/>
      <c r="G61" s="19"/>
      <c r="H61" s="19"/>
      <c r="I61" s="11"/>
    </row>
    <row r="62" spans="1:9">
      <c r="A62" s="26"/>
      <c r="B62" s="19"/>
      <c r="C62" s="19"/>
      <c r="D62" s="19"/>
      <c r="E62" s="19"/>
      <c r="F62" s="19"/>
      <c r="G62" s="19"/>
      <c r="H62" s="19"/>
      <c r="I62" s="11"/>
    </row>
    <row r="63" spans="1:9">
      <c r="A63" s="26"/>
      <c r="B63" s="19"/>
      <c r="C63" s="19"/>
      <c r="D63" s="19"/>
      <c r="E63" s="19"/>
      <c r="F63" s="19"/>
      <c r="G63" s="19"/>
      <c r="H63" s="19"/>
      <c r="I63" s="11"/>
    </row>
    <row r="64" spans="1:9">
      <c r="A64" s="26"/>
      <c r="B64" s="19"/>
      <c r="C64" s="19"/>
      <c r="D64" s="19"/>
      <c r="E64" s="19"/>
      <c r="F64" s="19"/>
      <c r="G64" s="19"/>
      <c r="H64" s="19"/>
      <c r="I64" s="11"/>
    </row>
    <row r="65" spans="1:45">
      <c r="A65" s="26"/>
      <c r="B65" s="19"/>
      <c r="C65" s="19"/>
      <c r="D65" s="19"/>
      <c r="E65" s="19"/>
      <c r="F65" s="19"/>
      <c r="G65" s="19"/>
      <c r="H65" s="19"/>
      <c r="I65" s="11"/>
    </row>
    <row r="66" spans="1:45" ht="15.75" customHeight="1">
      <c r="A66" s="26"/>
      <c r="B66" s="19"/>
      <c r="C66" s="19"/>
      <c r="D66" s="19"/>
      <c r="E66" s="19"/>
      <c r="F66" s="19"/>
      <c r="G66" s="19"/>
      <c r="H66" s="19"/>
      <c r="I66" s="11"/>
    </row>
    <row r="67" spans="1:45" ht="5.25" customHeight="1">
      <c r="A67" s="26"/>
      <c r="B67" s="19"/>
      <c r="C67" s="19"/>
      <c r="D67" s="19"/>
      <c r="E67" s="19"/>
      <c r="F67" s="19"/>
      <c r="G67" s="19"/>
      <c r="H67" s="19"/>
      <c r="I67" s="11"/>
    </row>
    <row r="68" spans="1:45" s="11" customFormat="1">
      <c r="A68" s="26"/>
      <c r="B68" s="19"/>
      <c r="C68" s="19"/>
      <c r="D68" s="19"/>
      <c r="E68" s="19"/>
      <c r="F68" s="19"/>
      <c r="G68" s="19"/>
      <c r="H68" s="19"/>
      <c r="I68" s="26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</row>
    <row r="69" spans="1:45">
      <c r="A69" s="26"/>
      <c r="B69" s="19"/>
      <c r="C69" s="19"/>
      <c r="D69" s="19"/>
      <c r="E69" s="19"/>
      <c r="F69" s="19"/>
      <c r="G69" s="19"/>
      <c r="H69" s="19"/>
      <c r="I69" s="26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</row>
    <row r="70" spans="1:45">
      <c r="A70" s="26"/>
      <c r="B70" s="19"/>
      <c r="C70" s="19"/>
      <c r="D70" s="19"/>
      <c r="E70" s="19"/>
      <c r="F70" s="19"/>
      <c r="G70" s="19"/>
      <c r="H70" s="19"/>
      <c r="I70" s="26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</row>
    <row r="71" spans="1:45">
      <c r="A71" s="26"/>
      <c r="B71" s="19"/>
      <c r="C71" s="19"/>
      <c r="D71" s="19"/>
      <c r="E71" s="19"/>
      <c r="F71" s="19"/>
      <c r="G71" s="19"/>
      <c r="H71" s="19"/>
      <c r="I71" s="26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</row>
    <row r="72" spans="1:45">
      <c r="A72" s="26"/>
      <c r="B72" s="19"/>
      <c r="C72" s="19"/>
      <c r="D72" s="19"/>
      <c r="E72" s="19"/>
      <c r="F72" s="19"/>
      <c r="G72" s="19"/>
      <c r="H72" s="19"/>
      <c r="I72" s="26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</row>
    <row r="73" spans="1:45">
      <c r="A73" s="26"/>
      <c r="B73" s="19"/>
      <c r="C73" s="19"/>
      <c r="D73" s="19"/>
      <c r="E73" s="19"/>
      <c r="F73" s="19"/>
      <c r="G73" s="19"/>
      <c r="H73" s="19"/>
      <c r="I73" s="26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</row>
    <row r="74" spans="1:45">
      <c r="A74" s="26"/>
      <c r="B74" s="19"/>
      <c r="C74" s="19"/>
      <c r="D74" s="19"/>
      <c r="E74" s="19"/>
      <c r="F74" s="19"/>
      <c r="G74" s="19"/>
      <c r="H74" s="19"/>
      <c r="I74" s="26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</row>
    <row r="75" spans="1:45">
      <c r="A75" s="26"/>
      <c r="B75" s="19"/>
      <c r="C75" s="19"/>
      <c r="D75" s="19"/>
      <c r="E75" s="19"/>
      <c r="F75" s="19"/>
      <c r="G75" s="19"/>
      <c r="H75" s="19"/>
      <c r="I75" s="26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</row>
    <row r="76" spans="1:45">
      <c r="A76" s="26"/>
      <c r="B76" s="19"/>
      <c r="C76" s="19"/>
      <c r="D76" s="19"/>
      <c r="E76" s="19"/>
      <c r="F76" s="19"/>
      <c r="G76" s="19"/>
      <c r="H76" s="19"/>
      <c r="I76" s="26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</row>
    <row r="77" spans="1:45" ht="6" customHeight="1">
      <c r="A77" s="26"/>
      <c r="B77" s="19"/>
      <c r="C77" s="19"/>
      <c r="D77" s="19"/>
      <c r="E77" s="19"/>
      <c r="F77" s="19"/>
      <c r="G77" s="19"/>
      <c r="H77" s="19"/>
      <c r="I77" s="26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</row>
    <row r="78" spans="1:45" s="11" customFormat="1">
      <c r="A78" s="26"/>
      <c r="B78" s="19"/>
      <c r="C78" s="19"/>
      <c r="D78" s="19"/>
      <c r="E78" s="19"/>
      <c r="F78" s="19"/>
      <c r="G78" s="19"/>
      <c r="H78" s="19"/>
      <c r="I78" s="26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</row>
    <row r="79" spans="1:45">
      <c r="A79" s="26"/>
      <c r="B79" s="19"/>
      <c r="C79" s="19"/>
      <c r="D79" s="19"/>
      <c r="E79" s="19"/>
      <c r="F79" s="19"/>
      <c r="G79" s="19"/>
      <c r="H79" s="19"/>
      <c r="I79" s="26"/>
    </row>
    <row r="80" spans="1:45">
      <c r="A80" s="26"/>
      <c r="B80" s="19"/>
      <c r="C80" s="19"/>
      <c r="D80" s="19"/>
      <c r="E80" s="19"/>
      <c r="F80" s="19"/>
      <c r="G80" s="19"/>
      <c r="H80" s="19"/>
      <c r="I80" s="11"/>
    </row>
    <row r="81" spans="1:9">
      <c r="A81" s="26"/>
      <c r="B81" s="19"/>
      <c r="C81" s="19"/>
      <c r="D81" s="19"/>
      <c r="E81" s="19"/>
      <c r="F81" s="19"/>
      <c r="G81" s="19"/>
      <c r="H81" s="19"/>
      <c r="I81" s="11"/>
    </row>
    <row r="82" spans="1:9">
      <c r="A82" s="26"/>
      <c r="B82" s="19"/>
      <c r="C82" s="19"/>
      <c r="D82" s="19"/>
      <c r="E82" s="19"/>
      <c r="F82" s="19"/>
      <c r="G82" s="19"/>
      <c r="H82" s="19"/>
      <c r="I82" s="11"/>
    </row>
    <row r="83" spans="1:9">
      <c r="A83" s="26"/>
      <c r="B83" s="19"/>
      <c r="C83" s="19"/>
      <c r="D83" s="19"/>
      <c r="E83" s="19"/>
      <c r="F83" s="19"/>
      <c r="G83" s="19"/>
      <c r="H83" s="19"/>
      <c r="I83" s="11"/>
    </row>
    <row r="84" spans="1:9">
      <c r="A84" s="26"/>
      <c r="B84" s="19"/>
      <c r="C84" s="19"/>
      <c r="D84" s="19"/>
      <c r="E84" s="19"/>
      <c r="F84" s="19"/>
      <c r="G84" s="19"/>
      <c r="H84" s="19"/>
      <c r="I84" s="11"/>
    </row>
    <row r="85" spans="1:9">
      <c r="A85" s="26"/>
      <c r="B85" s="19"/>
      <c r="C85" s="19"/>
      <c r="D85" s="19"/>
      <c r="E85" s="19"/>
      <c r="F85" s="19"/>
      <c r="G85" s="19"/>
      <c r="H85" s="19"/>
      <c r="I85" s="11"/>
    </row>
    <row r="86" spans="1:9">
      <c r="A86" s="26"/>
      <c r="B86" s="19"/>
      <c r="C86" s="19"/>
      <c r="D86" s="19"/>
      <c r="E86" s="19"/>
      <c r="F86" s="19"/>
      <c r="G86" s="19"/>
      <c r="H86" s="19"/>
      <c r="I86" s="11"/>
    </row>
    <row r="87" spans="1:9">
      <c r="A87" s="26"/>
      <c r="B87" s="19"/>
      <c r="C87" s="19"/>
      <c r="D87" s="19"/>
      <c r="E87" s="19"/>
      <c r="F87" s="19"/>
      <c r="G87" s="19"/>
      <c r="H87" s="19"/>
      <c r="I87" s="11"/>
    </row>
    <row r="88" spans="1:9" ht="10.5" customHeight="1">
      <c r="A88" s="26"/>
      <c r="B88" s="19"/>
      <c r="C88" s="19"/>
      <c r="D88" s="19"/>
      <c r="E88" s="19"/>
      <c r="F88" s="19"/>
      <c r="G88" s="19"/>
      <c r="H88" s="19"/>
      <c r="I88" s="11"/>
    </row>
    <row r="89" spans="1:9">
      <c r="A89" s="26"/>
      <c r="B89" s="26"/>
      <c r="C89" s="26"/>
      <c r="D89" s="26"/>
      <c r="E89" s="26"/>
      <c r="F89" s="26"/>
      <c r="G89" s="26"/>
      <c r="H89" s="26"/>
      <c r="I89" s="26"/>
    </row>
    <row r="90" spans="1:9">
      <c r="I90" s="13"/>
    </row>
    <row r="91" spans="1:9">
      <c r="I91" s="13"/>
    </row>
    <row r="92" spans="1:9">
      <c r="I92" s="13"/>
    </row>
    <row r="93" spans="1:9">
      <c r="I93" s="13"/>
    </row>
    <row r="94" spans="1:9">
      <c r="I94" s="13"/>
    </row>
    <row r="95" spans="1:9">
      <c r="I95" s="13"/>
    </row>
    <row r="96" spans="1:9">
      <c r="I96" s="13"/>
    </row>
    <row r="97" spans="9:9">
      <c r="I97" s="13"/>
    </row>
    <row r="98" spans="9:9">
      <c r="I98" s="13"/>
    </row>
    <row r="99" spans="9:9">
      <c r="I99" s="13"/>
    </row>
    <row r="100" spans="9:9">
      <c r="I100" s="13"/>
    </row>
    <row r="101" spans="9:9">
      <c r="I101" s="13"/>
    </row>
    <row r="102" spans="9:9">
      <c r="I102" s="13"/>
    </row>
    <row r="103" spans="9:9">
      <c r="I103" s="13"/>
    </row>
    <row r="104" spans="9:9">
      <c r="I104" s="13"/>
    </row>
    <row r="105" spans="9:9">
      <c r="I105" s="13"/>
    </row>
    <row r="106" spans="9:9">
      <c r="I106" s="13"/>
    </row>
    <row r="107" spans="9:9">
      <c r="I107" s="13"/>
    </row>
    <row r="108" spans="9:9">
      <c r="I108" s="13"/>
    </row>
    <row r="109" spans="9:9">
      <c r="I109" s="13"/>
    </row>
    <row r="110" spans="9:9">
      <c r="I110" s="13"/>
    </row>
    <row r="111" spans="9:9">
      <c r="I111" s="13"/>
    </row>
    <row r="112" spans="9:9">
      <c r="I112" s="13"/>
    </row>
    <row r="113" spans="9:9">
      <c r="I113" s="13"/>
    </row>
    <row r="114" spans="9:9">
      <c r="I114" s="13"/>
    </row>
    <row r="115" spans="9:9">
      <c r="I115" s="13"/>
    </row>
    <row r="116" spans="9:9">
      <c r="I116" s="13"/>
    </row>
    <row r="117" spans="9:9">
      <c r="I117" s="13"/>
    </row>
    <row r="118" spans="9:9">
      <c r="I118" s="13"/>
    </row>
    <row r="119" spans="9:9">
      <c r="I119" s="13"/>
    </row>
    <row r="120" spans="9:9">
      <c r="I120" s="13"/>
    </row>
    <row r="121" spans="9:9">
      <c r="I121" s="13"/>
    </row>
    <row r="122" spans="9:9">
      <c r="I122" s="13"/>
    </row>
    <row r="123" spans="9:9">
      <c r="I123" s="13"/>
    </row>
    <row r="124" spans="9:9">
      <c r="I124" s="13"/>
    </row>
    <row r="125" spans="9:9">
      <c r="I125" s="13"/>
    </row>
    <row r="126" spans="9:9">
      <c r="I126" s="13"/>
    </row>
    <row r="127" spans="9:9">
      <c r="I127" s="13"/>
    </row>
    <row r="128" spans="9:9">
      <c r="I128" s="13"/>
    </row>
    <row r="129" spans="9:9">
      <c r="I129" s="13"/>
    </row>
    <row r="130" spans="9:9">
      <c r="I130" s="13"/>
    </row>
    <row r="131" spans="9:9">
      <c r="I131" s="13"/>
    </row>
    <row r="132" spans="9:9">
      <c r="I132" s="13"/>
    </row>
    <row r="133" spans="9:9">
      <c r="I133" s="13"/>
    </row>
    <row r="134" spans="9:9">
      <c r="I134" s="13"/>
    </row>
    <row r="135" spans="9:9">
      <c r="I135" s="13"/>
    </row>
    <row r="136" spans="9:9">
      <c r="I136" s="13"/>
    </row>
    <row r="137" spans="9:9">
      <c r="I137" s="13"/>
    </row>
    <row r="138" spans="9:9">
      <c r="I138" s="13"/>
    </row>
    <row r="139" spans="9:9">
      <c r="I139" s="13"/>
    </row>
    <row r="140" spans="9:9">
      <c r="I140" s="13"/>
    </row>
    <row r="141" spans="9:9">
      <c r="I141" s="13"/>
    </row>
    <row r="142" spans="9:9">
      <c r="I142" s="13"/>
    </row>
    <row r="143" spans="9:9">
      <c r="I143" s="13"/>
    </row>
    <row r="144" spans="9:9">
      <c r="I144" s="13"/>
    </row>
    <row r="145" spans="9:9">
      <c r="I145" s="13"/>
    </row>
    <row r="146" spans="9:9">
      <c r="I146" s="13"/>
    </row>
    <row r="147" spans="9:9">
      <c r="I147" s="13"/>
    </row>
    <row r="148" spans="9:9">
      <c r="I148" s="13"/>
    </row>
    <row r="149" spans="9:9">
      <c r="I149" s="13"/>
    </row>
    <row r="150" spans="9:9">
      <c r="I150" s="13"/>
    </row>
    <row r="151" spans="9:9">
      <c r="I151" s="13"/>
    </row>
    <row r="152" spans="9:9">
      <c r="I152" s="13"/>
    </row>
    <row r="153" spans="9:9">
      <c r="I153" s="13"/>
    </row>
    <row r="154" spans="9:9">
      <c r="I154" s="13"/>
    </row>
    <row r="155" spans="9:9">
      <c r="I155" s="13"/>
    </row>
    <row r="156" spans="9:9">
      <c r="I156" s="13"/>
    </row>
    <row r="157" spans="9:9">
      <c r="I157" s="13"/>
    </row>
    <row r="158" spans="9:9">
      <c r="I158" s="13"/>
    </row>
    <row r="159" spans="9:9">
      <c r="I159" s="13"/>
    </row>
    <row r="160" spans="9:9">
      <c r="I160" s="13"/>
    </row>
    <row r="161" spans="9:9">
      <c r="I161" s="13"/>
    </row>
    <row r="162" spans="9:9">
      <c r="I162" s="13"/>
    </row>
    <row r="163" spans="9:9">
      <c r="I163" s="13"/>
    </row>
    <row r="164" spans="9:9">
      <c r="I164" s="13"/>
    </row>
    <row r="165" spans="9:9">
      <c r="I165" s="13"/>
    </row>
    <row r="166" spans="9:9">
      <c r="I166" s="13"/>
    </row>
    <row r="167" spans="9:9">
      <c r="I167" s="13"/>
    </row>
    <row r="168" spans="9:9">
      <c r="I168" s="13"/>
    </row>
    <row r="169" spans="9:9">
      <c r="I169" s="13"/>
    </row>
    <row r="170" spans="9:9">
      <c r="I170" s="13"/>
    </row>
    <row r="171" spans="9:9">
      <c r="I171" s="13"/>
    </row>
    <row r="172" spans="9:9">
      <c r="I172" s="13"/>
    </row>
    <row r="173" spans="9:9">
      <c r="I173" s="13"/>
    </row>
    <row r="174" spans="9:9">
      <c r="I174" s="13"/>
    </row>
    <row r="175" spans="9:9">
      <c r="I175" s="13"/>
    </row>
    <row r="176" spans="9:9">
      <c r="I176" s="13"/>
    </row>
    <row r="177" spans="9:9">
      <c r="I177" s="13"/>
    </row>
    <row r="178" spans="9:9">
      <c r="I178" s="13"/>
    </row>
    <row r="179" spans="9:9">
      <c r="I179" s="13"/>
    </row>
    <row r="180" spans="9:9">
      <c r="I180" s="13"/>
    </row>
    <row r="181" spans="9:9">
      <c r="I181" s="13"/>
    </row>
    <row r="182" spans="9:9">
      <c r="I182" s="13"/>
    </row>
    <row r="183" spans="9:9">
      <c r="I183" s="13"/>
    </row>
    <row r="184" spans="9:9">
      <c r="I184" s="13"/>
    </row>
    <row r="185" spans="9:9">
      <c r="I185" s="13"/>
    </row>
    <row r="186" spans="9:9">
      <c r="I186" s="13"/>
    </row>
    <row r="187" spans="9:9">
      <c r="I187" s="13"/>
    </row>
    <row r="188" spans="9:9">
      <c r="I188" s="13"/>
    </row>
    <row r="189" spans="9:9">
      <c r="I189" s="13"/>
    </row>
    <row r="190" spans="9:9">
      <c r="I190" s="13"/>
    </row>
    <row r="191" spans="9:9">
      <c r="I191" s="13"/>
    </row>
    <row r="192" spans="9:9">
      <c r="I192" s="13"/>
    </row>
    <row r="193" spans="9:9">
      <c r="I193" s="13"/>
    </row>
    <row r="194" spans="9:9">
      <c r="I194" s="13"/>
    </row>
    <row r="195" spans="9:9">
      <c r="I195" s="13"/>
    </row>
    <row r="196" spans="9:9">
      <c r="I196" s="13"/>
    </row>
    <row r="197" spans="9:9">
      <c r="I197" s="13"/>
    </row>
    <row r="198" spans="9:9">
      <c r="I198" s="13"/>
    </row>
    <row r="199" spans="9:9">
      <c r="I199" s="13"/>
    </row>
    <row r="200" spans="9:9">
      <c r="I200" s="13"/>
    </row>
    <row r="201" spans="9:9">
      <c r="I201" s="13"/>
    </row>
    <row r="202" spans="9:9">
      <c r="I202" s="13"/>
    </row>
    <row r="203" spans="9:9">
      <c r="I203" s="13"/>
    </row>
    <row r="204" spans="9:9">
      <c r="I204" s="13"/>
    </row>
    <row r="205" spans="9:9">
      <c r="I205" s="13"/>
    </row>
    <row r="206" spans="9:9">
      <c r="I206" s="13"/>
    </row>
    <row r="207" spans="9:9">
      <c r="I207" s="13"/>
    </row>
    <row r="208" spans="9:9">
      <c r="I208" s="13"/>
    </row>
    <row r="209" spans="9:9">
      <c r="I209" s="13"/>
    </row>
    <row r="210" spans="9:9">
      <c r="I210" s="13"/>
    </row>
    <row r="211" spans="9:9">
      <c r="I211" s="13"/>
    </row>
    <row r="212" spans="9:9">
      <c r="I212" s="13"/>
    </row>
    <row r="213" spans="9:9">
      <c r="I213" s="13"/>
    </row>
    <row r="214" spans="9:9">
      <c r="I214" s="13"/>
    </row>
    <row r="215" spans="9:9">
      <c r="I215" s="13"/>
    </row>
    <row r="216" spans="9:9">
      <c r="I216" s="13"/>
    </row>
    <row r="217" spans="9:9">
      <c r="I217" s="13"/>
    </row>
    <row r="218" spans="9:9">
      <c r="I218" s="13"/>
    </row>
    <row r="219" spans="9:9">
      <c r="I219" s="13"/>
    </row>
    <row r="220" spans="9:9">
      <c r="I220" s="13"/>
    </row>
    <row r="221" spans="9:9">
      <c r="I221" s="13"/>
    </row>
    <row r="222" spans="9:9">
      <c r="I222" s="13"/>
    </row>
    <row r="223" spans="9:9">
      <c r="I223" s="13"/>
    </row>
    <row r="224" spans="9:9">
      <c r="I224" s="13"/>
    </row>
    <row r="225" spans="9:9">
      <c r="I225" s="13"/>
    </row>
    <row r="226" spans="9:9">
      <c r="I226" s="13"/>
    </row>
    <row r="227" spans="9:9">
      <c r="I227" s="13"/>
    </row>
    <row r="228" spans="9:9">
      <c r="I228" s="13"/>
    </row>
    <row r="229" spans="9:9">
      <c r="I229" s="13"/>
    </row>
    <row r="230" spans="9:9">
      <c r="I230" s="13"/>
    </row>
    <row r="231" spans="9:9">
      <c r="I231" s="13"/>
    </row>
    <row r="232" spans="9:9">
      <c r="I232" s="13"/>
    </row>
    <row r="233" spans="9:9">
      <c r="I233" s="13"/>
    </row>
    <row r="234" spans="9:9">
      <c r="I234" s="13"/>
    </row>
    <row r="235" spans="9:9">
      <c r="I235" s="13"/>
    </row>
    <row r="236" spans="9:9">
      <c r="I236" s="13"/>
    </row>
    <row r="237" spans="9:9">
      <c r="I237" s="13"/>
    </row>
    <row r="238" spans="9:9">
      <c r="I238" s="13"/>
    </row>
    <row r="239" spans="9:9">
      <c r="I239" s="13"/>
    </row>
    <row r="240" spans="9:9">
      <c r="I240" s="13"/>
    </row>
    <row r="241" spans="9:9">
      <c r="I241" s="13"/>
    </row>
    <row r="242" spans="9:9">
      <c r="I242" s="13"/>
    </row>
    <row r="243" spans="9:9">
      <c r="I243" s="13"/>
    </row>
    <row r="244" spans="9:9">
      <c r="I244" s="13"/>
    </row>
    <row r="245" spans="9:9">
      <c r="I245" s="13"/>
    </row>
    <row r="246" spans="9:9">
      <c r="I246" s="13"/>
    </row>
    <row r="247" spans="9:9">
      <c r="I247" s="13"/>
    </row>
  </sheetData>
  <mergeCells count="6">
    <mergeCell ref="B5:H5"/>
    <mergeCell ref="B13:H13"/>
    <mergeCell ref="B2:G2"/>
    <mergeCell ref="B3:G3"/>
    <mergeCell ref="H2:H3"/>
    <mergeCell ref="B4:H4"/>
  </mergeCells>
  <hyperlinks>
    <hyperlink ref="B2" r:id="rId1"/>
  </hyperlinks>
  <pageMargins left="0.7" right="0.7" top="0.75" bottom="0.75" header="0.3" footer="0.3"/>
  <pageSetup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report</vt:lpstr>
      <vt:lpstr>Product Sheet</vt:lpstr>
      <vt:lpstr>Online Sales Tracker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Windows User</cp:lastModifiedBy>
  <dcterms:created xsi:type="dcterms:W3CDTF">2015-06-05T18:17:20Z</dcterms:created>
  <dcterms:modified xsi:type="dcterms:W3CDTF">2019-10-09T14:28:45Z</dcterms:modified>
</cp:coreProperties>
</file>