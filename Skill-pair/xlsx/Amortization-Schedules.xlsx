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shuaKahr\Desktop\Functions for Excel\"/>
    </mc:Choice>
  </mc:AlternateContent>
  <bookViews>
    <workbookView xWindow="0" yWindow="0" windowWidth="28800" windowHeight="12435"/>
  </bookViews>
  <sheets>
    <sheet name="Standard Amortization" sheetId="1" r:id="rId1"/>
    <sheet name="Interest Only" sheetId="2" r:id="rId2"/>
    <sheet name="Prepayment" sheetId="3" r:id="rId3"/>
    <sheet name="Valuation" sheetId="4" r:id="rId4"/>
    <sheet name="A360 vs 30360" sheetId="6"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8" i="1" l="1"/>
  <c r="F314" i="6"/>
  <c r="F306"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A29" i="6"/>
  <c r="A41" i="6" s="1"/>
  <c r="F28" i="6"/>
  <c r="F26" i="6"/>
  <c r="F24" i="6"/>
  <c r="F22" i="6"/>
  <c r="F20" i="6"/>
  <c r="F18" i="6"/>
  <c r="B18" i="6"/>
  <c r="E17" i="6"/>
  <c r="B17" i="6"/>
  <c r="L16" i="6"/>
  <c r="K16" i="6"/>
  <c r="B16" i="6"/>
  <c r="C6" i="6"/>
  <c r="D4" i="6"/>
  <c r="C4" i="6"/>
  <c r="A33" i="4"/>
  <c r="A45" i="4" s="1"/>
  <c r="B22" i="4"/>
  <c r="B23" i="4" s="1"/>
  <c r="J21" i="4"/>
  <c r="G21" i="4"/>
  <c r="E21" i="4"/>
  <c r="H20" i="4"/>
  <c r="F21" i="4" s="1"/>
  <c r="C14" i="4"/>
  <c r="D12" i="4"/>
  <c r="C12" i="4"/>
  <c r="M10" i="4"/>
  <c r="I10" i="4"/>
  <c r="A33" i="3"/>
  <c r="A45" i="3" s="1"/>
  <c r="B22" i="3"/>
  <c r="B23" i="3" s="1"/>
  <c r="G21" i="3"/>
  <c r="E21" i="3"/>
  <c r="C21" i="3"/>
  <c r="H21" i="3" s="1"/>
  <c r="H20" i="3"/>
  <c r="F21" i="3" s="1"/>
  <c r="C14" i="3"/>
  <c r="D12" i="3"/>
  <c r="C12" i="3"/>
  <c r="E20" i="1"/>
  <c r="A33" i="2"/>
  <c r="A34" i="2" s="1"/>
  <c r="A35" i="2" s="1"/>
  <c r="A36" i="2" s="1"/>
  <c r="A37" i="2" s="1"/>
  <c r="A38" i="2" s="1"/>
  <c r="A39" i="2" s="1"/>
  <c r="A40" i="2" s="1"/>
  <c r="A41" i="2" s="1"/>
  <c r="A42" i="2" s="1"/>
  <c r="A43" i="2" s="1"/>
  <c r="A44" i="2" s="1"/>
  <c r="B22" i="2"/>
  <c r="E22" i="2" s="1"/>
  <c r="E21" i="2"/>
  <c r="G20" i="2"/>
  <c r="C21" i="2" s="1"/>
  <c r="G21" i="2" s="1"/>
  <c r="C14" i="2"/>
  <c r="D12" i="2"/>
  <c r="C12" i="2"/>
  <c r="D312" i="1"/>
  <c r="D277" i="1"/>
  <c r="D261" i="1"/>
  <c r="D255" i="1"/>
  <c r="D247" i="1"/>
  <c r="D239" i="1"/>
  <c r="D231" i="1"/>
  <c r="D223" i="1"/>
  <c r="D215" i="1"/>
  <c r="D207" i="1"/>
  <c r="D199" i="1"/>
  <c r="D191" i="1"/>
  <c r="D183" i="1"/>
  <c r="D180" i="1"/>
  <c r="D176" i="1"/>
  <c r="D172" i="1"/>
  <c r="D168" i="1"/>
  <c r="D164" i="1"/>
  <c r="D160" i="1"/>
  <c r="D156" i="1"/>
  <c r="D152" i="1"/>
  <c r="D148" i="1"/>
  <c r="D144" i="1"/>
  <c r="D140" i="1"/>
  <c r="D136" i="1"/>
  <c r="D132" i="1"/>
  <c r="D128" i="1"/>
  <c r="D124" i="1"/>
  <c r="D120" i="1"/>
  <c r="D116" i="1"/>
  <c r="D112" i="1"/>
  <c r="D108" i="1"/>
  <c r="D104" i="1"/>
  <c r="D100" i="1"/>
  <c r="D96" i="1"/>
  <c r="D92" i="1"/>
  <c r="D88" i="1"/>
  <c r="D84" i="1"/>
  <c r="D80" i="1"/>
  <c r="D76" i="1"/>
  <c r="D72" i="1"/>
  <c r="D68" i="1"/>
  <c r="D64" i="1"/>
  <c r="D60" i="1"/>
  <c r="D56" i="1"/>
  <c r="D52" i="1"/>
  <c r="D48" i="1"/>
  <c r="D44" i="1"/>
  <c r="D40" i="1"/>
  <c r="D36" i="1"/>
  <c r="D34" i="1"/>
  <c r="D32" i="1"/>
  <c r="D30" i="1"/>
  <c r="A29" i="1"/>
  <c r="A30" i="1" s="1"/>
  <c r="A31" i="1" s="1"/>
  <c r="A32" i="1" s="1"/>
  <c r="A33" i="1" s="1"/>
  <c r="A34" i="1" s="1"/>
  <c r="A35" i="1" s="1"/>
  <c r="A36" i="1" s="1"/>
  <c r="A37" i="1" s="1"/>
  <c r="A38" i="1" s="1"/>
  <c r="A39" i="1" s="1"/>
  <c r="A40" i="1" s="1"/>
  <c r="D28" i="1"/>
  <c r="D27" i="1"/>
  <c r="D26" i="1"/>
  <c r="D25" i="1"/>
  <c r="D24" i="1"/>
  <c r="D23" i="1"/>
  <c r="D22" i="1"/>
  <c r="D21" i="1"/>
  <c r="D20" i="1"/>
  <c r="D19" i="1"/>
  <c r="D18" i="1"/>
  <c r="B18" i="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D17" i="1"/>
  <c r="G16" i="1"/>
  <c r="C17" i="1" s="1"/>
  <c r="C6" i="1"/>
  <c r="D4" i="1"/>
  <c r="C4" i="1"/>
  <c r="D17" i="6" l="1"/>
  <c r="C17" i="6"/>
  <c r="D18" i="6"/>
  <c r="A53" i="6"/>
  <c r="A42" i="6"/>
  <c r="A43" i="6" s="1"/>
  <c r="A44" i="6" s="1"/>
  <c r="A45" i="6" s="1"/>
  <c r="A46" i="6" s="1"/>
  <c r="A47" i="6" s="1"/>
  <c r="A48" i="6" s="1"/>
  <c r="A49" i="6" s="1"/>
  <c r="A50" i="6" s="1"/>
  <c r="A51" i="6" s="1"/>
  <c r="A52" i="6" s="1"/>
  <c r="J17" i="6"/>
  <c r="I17" i="6"/>
  <c r="B19" i="6"/>
  <c r="C18" i="6"/>
  <c r="F302" i="6"/>
  <c r="F301" i="6"/>
  <c r="F300" i="6"/>
  <c r="F299" i="6"/>
  <c r="F298" i="6"/>
  <c r="F297" i="6"/>
  <c r="F296" i="6"/>
  <c r="F295" i="6"/>
  <c r="F294" i="6"/>
  <c r="F293" i="6"/>
  <c r="F292" i="6"/>
  <c r="F291" i="6"/>
  <c r="F290" i="6"/>
  <c r="F289" i="6"/>
  <c r="F288" i="6"/>
  <c r="F287" i="6"/>
  <c r="F286" i="6"/>
  <c r="F285" i="6"/>
  <c r="F284" i="6"/>
  <c r="F283" i="6"/>
  <c r="F282" i="6"/>
  <c r="F315" i="6"/>
  <c r="F313" i="6"/>
  <c r="F311" i="6"/>
  <c r="F309" i="6"/>
  <c r="F307" i="6"/>
  <c r="F305" i="6"/>
  <c r="F303"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316" i="6"/>
  <c r="F312" i="6"/>
  <c r="F308" i="6"/>
  <c r="F304" i="6"/>
  <c r="F17" i="6"/>
  <c r="F19" i="6"/>
  <c r="F21" i="6"/>
  <c r="F23" i="6"/>
  <c r="F25" i="6"/>
  <c r="F27" i="6"/>
  <c r="A30" i="6"/>
  <c r="A31" i="6" s="1"/>
  <c r="A32" i="6" s="1"/>
  <c r="A33" i="6" s="1"/>
  <c r="A34" i="6" s="1"/>
  <c r="A35" i="6" s="1"/>
  <c r="A36" i="6" s="1"/>
  <c r="A37" i="6" s="1"/>
  <c r="A38" i="6" s="1"/>
  <c r="A39" i="6" s="1"/>
  <c r="A40" i="6" s="1"/>
  <c r="F310" i="6"/>
  <c r="B24" i="4"/>
  <c r="J23" i="4"/>
  <c r="G23" i="4"/>
  <c r="E23" i="4"/>
  <c r="A57" i="4"/>
  <c r="A46" i="4"/>
  <c r="A47" i="4" s="1"/>
  <c r="A48" i="4" s="1"/>
  <c r="A49" i="4" s="1"/>
  <c r="A50" i="4" s="1"/>
  <c r="A51" i="4" s="1"/>
  <c r="A52" i="4" s="1"/>
  <c r="A53" i="4" s="1"/>
  <c r="A54" i="4" s="1"/>
  <c r="A55" i="4" s="1"/>
  <c r="A56" i="4" s="1"/>
  <c r="J20" i="4"/>
  <c r="C21" i="4"/>
  <c r="E22" i="4"/>
  <c r="G22" i="4"/>
  <c r="A34" i="4"/>
  <c r="A35" i="4" s="1"/>
  <c r="A36" i="4" s="1"/>
  <c r="A37" i="4" s="1"/>
  <c r="A38" i="4" s="1"/>
  <c r="A39" i="4" s="1"/>
  <c r="A40" i="4" s="1"/>
  <c r="A41" i="4" s="1"/>
  <c r="A42" i="4" s="1"/>
  <c r="A43" i="4" s="1"/>
  <c r="A44" i="4" s="1"/>
  <c r="I20" i="4"/>
  <c r="J22" i="4"/>
  <c r="B24" i="3"/>
  <c r="G23" i="3"/>
  <c r="E23" i="3"/>
  <c r="F22" i="3"/>
  <c r="C22" i="3"/>
  <c r="A57" i="3"/>
  <c r="A46" i="3"/>
  <c r="A47" i="3" s="1"/>
  <c r="A48" i="3" s="1"/>
  <c r="A49" i="3" s="1"/>
  <c r="A50" i="3" s="1"/>
  <c r="A51" i="3" s="1"/>
  <c r="A52" i="3" s="1"/>
  <c r="A53" i="3" s="1"/>
  <c r="A54" i="3" s="1"/>
  <c r="A55" i="3" s="1"/>
  <c r="A56" i="3" s="1"/>
  <c r="D21" i="3"/>
  <c r="E22" i="3"/>
  <c r="G22" i="3"/>
  <c r="A34" i="3"/>
  <c r="A35" i="3" s="1"/>
  <c r="A36" i="3" s="1"/>
  <c r="A37" i="3" s="1"/>
  <c r="A38" i="3" s="1"/>
  <c r="A39" i="3" s="1"/>
  <c r="A40" i="3" s="1"/>
  <c r="A41" i="3" s="1"/>
  <c r="A42" i="3" s="1"/>
  <c r="A43" i="3" s="1"/>
  <c r="A44" i="3" s="1"/>
  <c r="C22" i="2"/>
  <c r="G22" i="2" s="1"/>
  <c r="F22" i="2"/>
  <c r="F21" i="2"/>
  <c r="D21" i="2" s="1"/>
  <c r="D22" i="2"/>
  <c r="B23" i="2"/>
  <c r="A45" i="2"/>
  <c r="F17" i="1"/>
  <c r="E17" i="1" s="1"/>
  <c r="G17" i="1" s="1"/>
  <c r="A41" i="1"/>
  <c r="D315" i="1"/>
  <c r="D313" i="1"/>
  <c r="D311" i="1"/>
  <c r="D309" i="1"/>
  <c r="D307" i="1"/>
  <c r="D305" i="1"/>
  <c r="D303" i="1"/>
  <c r="D301" i="1"/>
  <c r="D299" i="1"/>
  <c r="D297" i="1"/>
  <c r="D295" i="1"/>
  <c r="D293" i="1"/>
  <c r="D314" i="1"/>
  <c r="D310" i="1"/>
  <c r="D306" i="1"/>
  <c r="D302" i="1"/>
  <c r="D298" i="1"/>
  <c r="D294" i="1"/>
  <c r="D292" i="1"/>
  <c r="D290" i="1"/>
  <c r="D288" i="1"/>
  <c r="D286" i="1"/>
  <c r="D284" i="1"/>
  <c r="D282" i="1"/>
  <c r="D280" i="1"/>
  <c r="D278" i="1"/>
  <c r="D276" i="1"/>
  <c r="D274" i="1"/>
  <c r="D272" i="1"/>
  <c r="D270" i="1"/>
  <c r="D268" i="1"/>
  <c r="D266" i="1"/>
  <c r="D264" i="1"/>
  <c r="D262" i="1"/>
  <c r="D260" i="1"/>
  <c r="D258" i="1"/>
  <c r="D256" i="1"/>
  <c r="D316" i="1"/>
  <c r="D308" i="1"/>
  <c r="D300" i="1"/>
  <c r="D291" i="1"/>
  <c r="D287" i="1"/>
  <c r="D283" i="1"/>
  <c r="D279" i="1"/>
  <c r="D275" i="1"/>
  <c r="D271" i="1"/>
  <c r="D267" i="1"/>
  <c r="D263" i="1"/>
  <c r="D259" i="1"/>
  <c r="D254" i="1"/>
  <c r="D252" i="1"/>
  <c r="D250" i="1"/>
  <c r="D248" i="1"/>
  <c r="D246" i="1"/>
  <c r="D244" i="1"/>
  <c r="D242" i="1"/>
  <c r="D240" i="1"/>
  <c r="D238" i="1"/>
  <c r="D236" i="1"/>
  <c r="D234" i="1"/>
  <c r="D232" i="1"/>
  <c r="D230" i="1"/>
  <c r="D228" i="1"/>
  <c r="D226" i="1"/>
  <c r="D224" i="1"/>
  <c r="D222" i="1"/>
  <c r="D220" i="1"/>
  <c r="D218" i="1"/>
  <c r="D216" i="1"/>
  <c r="D214" i="1"/>
  <c r="D212" i="1"/>
  <c r="D210" i="1"/>
  <c r="D208" i="1"/>
  <c r="D206" i="1"/>
  <c r="D204" i="1"/>
  <c r="D202" i="1"/>
  <c r="D200" i="1"/>
  <c r="D198" i="1"/>
  <c r="D196" i="1"/>
  <c r="D194" i="1"/>
  <c r="D192" i="1"/>
  <c r="D190" i="1"/>
  <c r="D188" i="1"/>
  <c r="D186" i="1"/>
  <c r="D184" i="1"/>
  <c r="D304" i="1"/>
  <c r="D289" i="1"/>
  <c r="D281" i="1"/>
  <c r="D273" i="1"/>
  <c r="D265" i="1"/>
  <c r="D257" i="1"/>
  <c r="D253" i="1"/>
  <c r="D249" i="1"/>
  <c r="D245" i="1"/>
  <c r="D241" i="1"/>
  <c r="D237" i="1"/>
  <c r="D233" i="1"/>
  <c r="D229" i="1"/>
  <c r="D225" i="1"/>
  <c r="D221" i="1"/>
  <c r="D217" i="1"/>
  <c r="D213" i="1"/>
  <c r="D209" i="1"/>
  <c r="D205" i="1"/>
  <c r="D201" i="1"/>
  <c r="D197" i="1"/>
  <c r="D193" i="1"/>
  <c r="D189" i="1"/>
  <c r="D185" i="1"/>
  <c r="D181" i="1"/>
  <c r="D179" i="1"/>
  <c r="D177" i="1"/>
  <c r="D175" i="1"/>
  <c r="D173" i="1"/>
  <c r="D171" i="1"/>
  <c r="D169" i="1"/>
  <c r="D167" i="1"/>
  <c r="D165" i="1"/>
  <c r="D163" i="1"/>
  <c r="D161" i="1"/>
  <c r="D159" i="1"/>
  <c r="D157" i="1"/>
  <c r="D155" i="1"/>
  <c r="D153" i="1"/>
  <c r="D151" i="1"/>
  <c r="D149" i="1"/>
  <c r="D147" i="1"/>
  <c r="D145" i="1"/>
  <c r="D143" i="1"/>
  <c r="D141" i="1"/>
  <c r="D139" i="1"/>
  <c r="D137" i="1"/>
  <c r="D135" i="1"/>
  <c r="D133" i="1"/>
  <c r="D131" i="1"/>
  <c r="D129" i="1"/>
  <c r="D127" i="1"/>
  <c r="D125" i="1"/>
  <c r="D123" i="1"/>
  <c r="D121" i="1"/>
  <c r="D119" i="1"/>
  <c r="D117" i="1"/>
  <c r="D115" i="1"/>
  <c r="D113" i="1"/>
  <c r="D111" i="1"/>
  <c r="D109" i="1"/>
  <c r="D107" i="1"/>
  <c r="D105" i="1"/>
  <c r="D103" i="1"/>
  <c r="D101" i="1"/>
  <c r="D99" i="1"/>
  <c r="D97" i="1"/>
  <c r="D95" i="1"/>
  <c r="D93" i="1"/>
  <c r="D91" i="1"/>
  <c r="D89" i="1"/>
  <c r="D87" i="1"/>
  <c r="D85" i="1"/>
  <c r="D83" i="1"/>
  <c r="D81" i="1"/>
  <c r="D79" i="1"/>
  <c r="D77" i="1"/>
  <c r="D75" i="1"/>
  <c r="D73" i="1"/>
  <c r="D71" i="1"/>
  <c r="D69" i="1"/>
  <c r="D67" i="1"/>
  <c r="D65" i="1"/>
  <c r="D63" i="1"/>
  <c r="D61" i="1"/>
  <c r="D59" i="1"/>
  <c r="D57" i="1"/>
  <c r="D55" i="1"/>
  <c r="D53" i="1"/>
  <c r="D51" i="1"/>
  <c r="D49" i="1"/>
  <c r="D47" i="1"/>
  <c r="D45" i="1"/>
  <c r="D43" i="1"/>
  <c r="D41" i="1"/>
  <c r="D39" i="1"/>
  <c r="D37" i="1"/>
  <c r="D29" i="1"/>
  <c r="D31" i="1"/>
  <c r="D33" i="1"/>
  <c r="D35" i="1"/>
  <c r="D38" i="1"/>
  <c r="D42" i="1"/>
  <c r="D46" i="1"/>
  <c r="D50" i="1"/>
  <c r="D54" i="1"/>
  <c r="D58" i="1"/>
  <c r="D62" i="1"/>
  <c r="D66" i="1"/>
  <c r="D70" i="1"/>
  <c r="D74" i="1"/>
  <c r="D78" i="1"/>
  <c r="D82" i="1"/>
  <c r="D86" i="1"/>
  <c r="D90" i="1"/>
  <c r="D94" i="1"/>
  <c r="D98" i="1"/>
  <c r="D102" i="1"/>
  <c r="D106" i="1"/>
  <c r="D110" i="1"/>
  <c r="D114" i="1"/>
  <c r="D118" i="1"/>
  <c r="D122" i="1"/>
  <c r="D126" i="1"/>
  <c r="D130" i="1"/>
  <c r="D134" i="1"/>
  <c r="D138" i="1"/>
  <c r="D142" i="1"/>
  <c r="D146" i="1"/>
  <c r="D150" i="1"/>
  <c r="D154" i="1"/>
  <c r="D158" i="1"/>
  <c r="D162" i="1"/>
  <c r="D166" i="1"/>
  <c r="D170" i="1"/>
  <c r="D174" i="1"/>
  <c r="D178" i="1"/>
  <c r="D182" i="1"/>
  <c r="D187" i="1"/>
  <c r="D195" i="1"/>
  <c r="D203" i="1"/>
  <c r="D211" i="1"/>
  <c r="D219" i="1"/>
  <c r="D227" i="1"/>
  <c r="D235" i="1"/>
  <c r="D243" i="1"/>
  <c r="D251" i="1"/>
  <c r="D269" i="1"/>
  <c r="D285" i="1"/>
  <c r="D296" i="1"/>
  <c r="C19" i="6" l="1"/>
  <c r="B20" i="6"/>
  <c r="D19" i="6"/>
  <c r="A65" i="6"/>
  <c r="A54" i="6"/>
  <c r="A55" i="6" s="1"/>
  <c r="A56" i="6" s="1"/>
  <c r="A57" i="6" s="1"/>
  <c r="A58" i="6" s="1"/>
  <c r="A59" i="6" s="1"/>
  <c r="A60" i="6" s="1"/>
  <c r="A61" i="6" s="1"/>
  <c r="A62" i="6" s="1"/>
  <c r="A63" i="6" s="1"/>
  <c r="A64" i="6" s="1"/>
  <c r="H17" i="6"/>
  <c r="L17" i="6" s="1"/>
  <c r="G17" i="6"/>
  <c r="K17" i="6" s="1"/>
  <c r="E18" i="6" s="1"/>
  <c r="K20" i="4"/>
  <c r="H21" i="4"/>
  <c r="D21" i="4"/>
  <c r="B25" i="4"/>
  <c r="J24" i="4"/>
  <c r="G24" i="4"/>
  <c r="E24" i="4"/>
  <c r="A69" i="4"/>
  <c r="A58" i="4"/>
  <c r="A59" i="4" s="1"/>
  <c r="A60" i="4" s="1"/>
  <c r="A61" i="4" s="1"/>
  <c r="A62" i="4" s="1"/>
  <c r="A63" i="4" s="1"/>
  <c r="A64" i="4" s="1"/>
  <c r="A65" i="4" s="1"/>
  <c r="A66" i="4" s="1"/>
  <c r="A67" i="4" s="1"/>
  <c r="A68" i="4" s="1"/>
  <c r="A69" i="3"/>
  <c r="A58" i="3"/>
  <c r="A59" i="3" s="1"/>
  <c r="A60" i="3" s="1"/>
  <c r="A61" i="3" s="1"/>
  <c r="A62" i="3" s="1"/>
  <c r="A63" i="3" s="1"/>
  <c r="A64" i="3" s="1"/>
  <c r="A65" i="3" s="1"/>
  <c r="A66" i="3" s="1"/>
  <c r="A67" i="3" s="1"/>
  <c r="A68" i="3" s="1"/>
  <c r="H22" i="3"/>
  <c r="D22" i="3"/>
  <c r="B25" i="3"/>
  <c r="G24" i="3"/>
  <c r="E24" i="3"/>
  <c r="A46" i="2"/>
  <c r="A47" i="2" s="1"/>
  <c r="A48" i="2" s="1"/>
  <c r="A49" i="2" s="1"/>
  <c r="A50" i="2" s="1"/>
  <c r="A51" i="2" s="1"/>
  <c r="A52" i="2" s="1"/>
  <c r="A53" i="2" s="1"/>
  <c r="A54" i="2" s="1"/>
  <c r="A55" i="2" s="1"/>
  <c r="A56" i="2" s="1"/>
  <c r="A57" i="2"/>
  <c r="E23" i="2"/>
  <c r="B24" i="2"/>
  <c r="C23" i="2"/>
  <c r="G23" i="2" s="1"/>
  <c r="F23" i="2"/>
  <c r="D23" i="2" s="1"/>
  <c r="C18" i="1"/>
  <c r="F18" i="1"/>
  <c r="E18" i="1" s="1"/>
  <c r="A42" i="1"/>
  <c r="A43" i="1" s="1"/>
  <c r="A44" i="1" s="1"/>
  <c r="A45" i="1" s="1"/>
  <c r="A46" i="1" s="1"/>
  <c r="A47" i="1" s="1"/>
  <c r="A48" i="1" s="1"/>
  <c r="A49" i="1" s="1"/>
  <c r="A50" i="1" s="1"/>
  <c r="A51" i="1" s="1"/>
  <c r="A52" i="1" s="1"/>
  <c r="A53" i="1"/>
  <c r="I18" i="6" l="1"/>
  <c r="J18" i="6"/>
  <c r="B21" i="6"/>
  <c r="C20" i="6"/>
  <c r="D20" i="6"/>
  <c r="A77" i="6"/>
  <c r="A66" i="6"/>
  <c r="A67" i="6" s="1"/>
  <c r="A68" i="6" s="1"/>
  <c r="A69" i="6" s="1"/>
  <c r="A70" i="6" s="1"/>
  <c r="A71" i="6" s="1"/>
  <c r="A72" i="6" s="1"/>
  <c r="A73" i="6" s="1"/>
  <c r="A74" i="6" s="1"/>
  <c r="A75" i="6" s="1"/>
  <c r="A76" i="6" s="1"/>
  <c r="F22" i="4"/>
  <c r="C22" i="4"/>
  <c r="A81" i="4"/>
  <c r="A70" i="4"/>
  <c r="A71" i="4" s="1"/>
  <c r="A72" i="4" s="1"/>
  <c r="A73" i="4" s="1"/>
  <c r="A74" i="4" s="1"/>
  <c r="A75" i="4" s="1"/>
  <c r="A76" i="4" s="1"/>
  <c r="A77" i="4" s="1"/>
  <c r="A78" i="4" s="1"/>
  <c r="A79" i="4" s="1"/>
  <c r="A80" i="4" s="1"/>
  <c r="B26" i="4"/>
  <c r="J25" i="4"/>
  <c r="G25" i="4"/>
  <c r="E25" i="4"/>
  <c r="I21" i="4"/>
  <c r="B26" i="3"/>
  <c r="G25" i="3"/>
  <c r="E25" i="3"/>
  <c r="C23" i="3"/>
  <c r="F23" i="3"/>
  <c r="A81" i="3"/>
  <c r="A70" i="3"/>
  <c r="A71" i="3" s="1"/>
  <c r="A72" i="3" s="1"/>
  <c r="A73" i="3" s="1"/>
  <c r="A74" i="3" s="1"/>
  <c r="A75" i="3" s="1"/>
  <c r="A76" i="3" s="1"/>
  <c r="A77" i="3" s="1"/>
  <c r="A78" i="3" s="1"/>
  <c r="A79" i="3" s="1"/>
  <c r="A80" i="3" s="1"/>
  <c r="C24" i="2"/>
  <c r="F24" i="2"/>
  <c r="D24" i="2" s="1"/>
  <c r="E24" i="2"/>
  <c r="B25" i="2"/>
  <c r="A58" i="2"/>
  <c r="A59" i="2" s="1"/>
  <c r="A60" i="2" s="1"/>
  <c r="A61" i="2" s="1"/>
  <c r="A62" i="2" s="1"/>
  <c r="A63" i="2" s="1"/>
  <c r="A64" i="2" s="1"/>
  <c r="A65" i="2" s="1"/>
  <c r="A66" i="2" s="1"/>
  <c r="A67" i="2" s="1"/>
  <c r="A68" i="2" s="1"/>
  <c r="A69" i="2"/>
  <c r="A54" i="1"/>
  <c r="A55" i="1" s="1"/>
  <c r="A56" i="1" s="1"/>
  <c r="A57" i="1" s="1"/>
  <c r="A58" i="1" s="1"/>
  <c r="A59" i="1" s="1"/>
  <c r="A60" i="1" s="1"/>
  <c r="A61" i="1" s="1"/>
  <c r="A62" i="1" s="1"/>
  <c r="A63" i="1" s="1"/>
  <c r="A64" i="1" s="1"/>
  <c r="A65" i="1"/>
  <c r="G18" i="1"/>
  <c r="A89" i="6" l="1"/>
  <c r="A78" i="6"/>
  <c r="A79" i="6" s="1"/>
  <c r="A80" i="6" s="1"/>
  <c r="A81" i="6" s="1"/>
  <c r="A82" i="6" s="1"/>
  <c r="A83" i="6" s="1"/>
  <c r="A84" i="6" s="1"/>
  <c r="A85" i="6" s="1"/>
  <c r="A86" i="6" s="1"/>
  <c r="A87" i="6" s="1"/>
  <c r="A88" i="6" s="1"/>
  <c r="G18" i="6"/>
  <c r="K18" i="6" s="1"/>
  <c r="E19" i="6" s="1"/>
  <c r="B22" i="6"/>
  <c r="C21" i="6"/>
  <c r="D21" i="6"/>
  <c r="H18" i="6"/>
  <c r="L18" i="6" s="1"/>
  <c r="H22" i="4"/>
  <c r="D22" i="4"/>
  <c r="K21" i="4"/>
  <c r="B27" i="4"/>
  <c r="J26" i="4"/>
  <c r="G26" i="4"/>
  <c r="E26" i="4"/>
  <c r="A93" i="4"/>
  <c r="A82" i="4"/>
  <c r="A83" i="4" s="1"/>
  <c r="A84" i="4" s="1"/>
  <c r="A85" i="4" s="1"/>
  <c r="A86" i="4" s="1"/>
  <c r="A87" i="4" s="1"/>
  <c r="A88" i="4" s="1"/>
  <c r="A89" i="4" s="1"/>
  <c r="A90" i="4" s="1"/>
  <c r="A91" i="4" s="1"/>
  <c r="A92" i="4" s="1"/>
  <c r="B27" i="3"/>
  <c r="G26" i="3"/>
  <c r="E26" i="3"/>
  <c r="A93" i="3"/>
  <c r="A82" i="3"/>
  <c r="A83" i="3" s="1"/>
  <c r="A84" i="3" s="1"/>
  <c r="A85" i="3" s="1"/>
  <c r="A86" i="3" s="1"/>
  <c r="A87" i="3" s="1"/>
  <c r="A88" i="3" s="1"/>
  <c r="A89" i="3" s="1"/>
  <c r="A90" i="3" s="1"/>
  <c r="A91" i="3" s="1"/>
  <c r="A92" i="3" s="1"/>
  <c r="H23" i="3"/>
  <c r="D23" i="3"/>
  <c r="E25" i="2"/>
  <c r="B26" i="2"/>
  <c r="A70" i="2"/>
  <c r="A71" i="2" s="1"/>
  <c r="A72" i="2" s="1"/>
  <c r="A73" i="2" s="1"/>
  <c r="A74" i="2" s="1"/>
  <c r="A75" i="2" s="1"/>
  <c r="A76" i="2" s="1"/>
  <c r="A77" i="2" s="1"/>
  <c r="A78" i="2" s="1"/>
  <c r="A79" i="2" s="1"/>
  <c r="A80" i="2" s="1"/>
  <c r="A81" i="2"/>
  <c r="G24" i="2"/>
  <c r="A66" i="1"/>
  <c r="A67" i="1" s="1"/>
  <c r="A68" i="1" s="1"/>
  <c r="A69" i="1" s="1"/>
  <c r="A70" i="1" s="1"/>
  <c r="A71" i="1" s="1"/>
  <c r="A72" i="1" s="1"/>
  <c r="A73" i="1" s="1"/>
  <c r="A74" i="1" s="1"/>
  <c r="A75" i="1" s="1"/>
  <c r="A76" i="1" s="1"/>
  <c r="A77" i="1"/>
  <c r="C19" i="1"/>
  <c r="F19" i="1"/>
  <c r="E19" i="1" s="1"/>
  <c r="B23" i="6" l="1"/>
  <c r="C22" i="6"/>
  <c r="D22" i="6"/>
  <c r="J19" i="6"/>
  <c r="I19" i="6"/>
  <c r="A101" i="6"/>
  <c r="A90" i="6"/>
  <c r="A91" i="6" s="1"/>
  <c r="A92" i="6" s="1"/>
  <c r="A93" i="6" s="1"/>
  <c r="A94" i="6" s="1"/>
  <c r="A95" i="6" s="1"/>
  <c r="A96" i="6" s="1"/>
  <c r="A97" i="6" s="1"/>
  <c r="A98" i="6" s="1"/>
  <c r="A99" i="6" s="1"/>
  <c r="A100" i="6" s="1"/>
  <c r="I22" i="4"/>
  <c r="A105" i="4"/>
  <c r="A94" i="4"/>
  <c r="A95" i="4" s="1"/>
  <c r="A96" i="4" s="1"/>
  <c r="A97" i="4" s="1"/>
  <c r="A98" i="4" s="1"/>
  <c r="A99" i="4" s="1"/>
  <c r="A100" i="4" s="1"/>
  <c r="A101" i="4" s="1"/>
  <c r="A102" i="4" s="1"/>
  <c r="A103" i="4" s="1"/>
  <c r="A104" i="4" s="1"/>
  <c r="B28" i="4"/>
  <c r="J27" i="4"/>
  <c r="G27" i="4"/>
  <c r="E27" i="4"/>
  <c r="F23" i="4"/>
  <c r="C23" i="4"/>
  <c r="F24" i="3"/>
  <c r="C24" i="3"/>
  <c r="A105" i="3"/>
  <c r="A94" i="3"/>
  <c r="A95" i="3" s="1"/>
  <c r="A96" i="3" s="1"/>
  <c r="A97" i="3" s="1"/>
  <c r="A98" i="3" s="1"/>
  <c r="A99" i="3" s="1"/>
  <c r="A100" i="3" s="1"/>
  <c r="A101" i="3" s="1"/>
  <c r="A102" i="3" s="1"/>
  <c r="A103" i="3" s="1"/>
  <c r="A104" i="3" s="1"/>
  <c r="B28" i="3"/>
  <c r="G27" i="3"/>
  <c r="E27" i="3"/>
  <c r="C25" i="2"/>
  <c r="G25" i="2" s="1"/>
  <c r="F25" i="2"/>
  <c r="D25" i="2" s="1"/>
  <c r="E26" i="2"/>
  <c r="B27" i="2"/>
  <c r="A82" i="2"/>
  <c r="A83" i="2" s="1"/>
  <c r="A84" i="2" s="1"/>
  <c r="A85" i="2" s="1"/>
  <c r="A86" i="2" s="1"/>
  <c r="A87" i="2" s="1"/>
  <c r="A88" i="2" s="1"/>
  <c r="A89" i="2" s="1"/>
  <c r="A90" i="2" s="1"/>
  <c r="A91" i="2" s="1"/>
  <c r="A92" i="2" s="1"/>
  <c r="A93" i="2"/>
  <c r="A78" i="1"/>
  <c r="A79" i="1" s="1"/>
  <c r="A80" i="1" s="1"/>
  <c r="A81" i="1" s="1"/>
  <c r="A82" i="1" s="1"/>
  <c r="A83" i="1" s="1"/>
  <c r="A84" i="1" s="1"/>
  <c r="A85" i="1" s="1"/>
  <c r="A86" i="1" s="1"/>
  <c r="A87" i="1" s="1"/>
  <c r="A88" i="1" s="1"/>
  <c r="A89" i="1"/>
  <c r="G19" i="1"/>
  <c r="A113" i="6" l="1"/>
  <c r="A102" i="6"/>
  <c r="A103" i="6" s="1"/>
  <c r="A104" i="6" s="1"/>
  <c r="A105" i="6" s="1"/>
  <c r="A106" i="6" s="1"/>
  <c r="A107" i="6" s="1"/>
  <c r="A108" i="6" s="1"/>
  <c r="A109" i="6" s="1"/>
  <c r="A110" i="6" s="1"/>
  <c r="A111" i="6" s="1"/>
  <c r="A112" i="6" s="1"/>
  <c r="G19" i="6"/>
  <c r="K19" i="6" s="1"/>
  <c r="E20" i="6" s="1"/>
  <c r="H19" i="6"/>
  <c r="L19" i="6" s="1"/>
  <c r="C23" i="6"/>
  <c r="B24" i="6"/>
  <c r="D23" i="6"/>
  <c r="H23" i="4"/>
  <c r="D23" i="4"/>
  <c r="B29" i="4"/>
  <c r="J28" i="4"/>
  <c r="G28" i="4"/>
  <c r="E28" i="4"/>
  <c r="A117" i="4"/>
  <c r="A106" i="4"/>
  <c r="A107" i="4" s="1"/>
  <c r="A108" i="4" s="1"/>
  <c r="A109" i="4" s="1"/>
  <c r="A110" i="4" s="1"/>
  <c r="A111" i="4" s="1"/>
  <c r="A112" i="4" s="1"/>
  <c r="A113" i="4" s="1"/>
  <c r="A114" i="4" s="1"/>
  <c r="A115" i="4" s="1"/>
  <c r="A116" i="4" s="1"/>
  <c r="K22" i="4"/>
  <c r="A117" i="3"/>
  <c r="A106" i="3"/>
  <c r="A107" i="3" s="1"/>
  <c r="A108" i="3" s="1"/>
  <c r="A109" i="3" s="1"/>
  <c r="A110" i="3" s="1"/>
  <c r="A111" i="3" s="1"/>
  <c r="A112" i="3" s="1"/>
  <c r="A113" i="3" s="1"/>
  <c r="A114" i="3" s="1"/>
  <c r="A115" i="3" s="1"/>
  <c r="A116" i="3" s="1"/>
  <c r="B29" i="3"/>
  <c r="G28" i="3"/>
  <c r="E28" i="3"/>
  <c r="H24" i="3"/>
  <c r="D24" i="3"/>
  <c r="E27" i="2"/>
  <c r="B28" i="2"/>
  <c r="A94" i="2"/>
  <c r="A95" i="2" s="1"/>
  <c r="A96" i="2" s="1"/>
  <c r="A97" i="2" s="1"/>
  <c r="A98" i="2" s="1"/>
  <c r="A99" i="2" s="1"/>
  <c r="A100" i="2" s="1"/>
  <c r="A101" i="2" s="1"/>
  <c r="A102" i="2" s="1"/>
  <c r="A103" i="2" s="1"/>
  <c r="A104" i="2" s="1"/>
  <c r="A105" i="2"/>
  <c r="C26" i="2"/>
  <c r="G26" i="2" s="1"/>
  <c r="F26" i="2"/>
  <c r="D26" i="2" s="1"/>
  <c r="A90" i="1"/>
  <c r="A91" i="1" s="1"/>
  <c r="A92" i="1" s="1"/>
  <c r="A93" i="1" s="1"/>
  <c r="A94" i="1" s="1"/>
  <c r="A95" i="1" s="1"/>
  <c r="A96" i="1" s="1"/>
  <c r="A97" i="1" s="1"/>
  <c r="A98" i="1" s="1"/>
  <c r="A99" i="1" s="1"/>
  <c r="A100" i="1" s="1"/>
  <c r="A101" i="1"/>
  <c r="C20" i="1"/>
  <c r="F20" i="1"/>
  <c r="B25" i="6" l="1"/>
  <c r="C24" i="6"/>
  <c r="D24" i="6"/>
  <c r="I20" i="6"/>
  <c r="J20" i="6"/>
  <c r="A125" i="6"/>
  <c r="A114" i="6"/>
  <c r="A115" i="6" s="1"/>
  <c r="A116" i="6" s="1"/>
  <c r="A117" i="6" s="1"/>
  <c r="A118" i="6" s="1"/>
  <c r="A119" i="6" s="1"/>
  <c r="A120" i="6" s="1"/>
  <c r="A121" i="6" s="1"/>
  <c r="A122" i="6" s="1"/>
  <c r="A123" i="6" s="1"/>
  <c r="A124" i="6" s="1"/>
  <c r="I23" i="4"/>
  <c r="A129" i="4"/>
  <c r="A118" i="4"/>
  <c r="A119" i="4" s="1"/>
  <c r="A120" i="4" s="1"/>
  <c r="A121" i="4" s="1"/>
  <c r="A122" i="4" s="1"/>
  <c r="A123" i="4" s="1"/>
  <c r="A124" i="4" s="1"/>
  <c r="A125" i="4" s="1"/>
  <c r="A126" i="4" s="1"/>
  <c r="A127" i="4" s="1"/>
  <c r="A128" i="4" s="1"/>
  <c r="B30" i="4"/>
  <c r="J29" i="4"/>
  <c r="G29" i="4"/>
  <c r="E29" i="4"/>
  <c r="F24" i="4"/>
  <c r="C24" i="4"/>
  <c r="B30" i="3"/>
  <c r="G29" i="3"/>
  <c r="E29" i="3"/>
  <c r="A129" i="3"/>
  <c r="A118" i="3"/>
  <c r="A119" i="3" s="1"/>
  <c r="A120" i="3" s="1"/>
  <c r="A121" i="3" s="1"/>
  <c r="A122" i="3" s="1"/>
  <c r="A123" i="3" s="1"/>
  <c r="A124" i="3" s="1"/>
  <c r="A125" i="3" s="1"/>
  <c r="A126" i="3" s="1"/>
  <c r="A127" i="3" s="1"/>
  <c r="A128" i="3" s="1"/>
  <c r="C25" i="3"/>
  <c r="F25" i="3"/>
  <c r="C27" i="2"/>
  <c r="G27" i="2" s="1"/>
  <c r="F27" i="2"/>
  <c r="D27" i="2" s="1"/>
  <c r="E28" i="2"/>
  <c r="B29" i="2"/>
  <c r="A106" i="2"/>
  <c r="A107" i="2" s="1"/>
  <c r="A108" i="2" s="1"/>
  <c r="A109" i="2" s="1"/>
  <c r="A110" i="2" s="1"/>
  <c r="A111" i="2" s="1"/>
  <c r="A112" i="2" s="1"/>
  <c r="A113" i="2" s="1"/>
  <c r="A114" i="2" s="1"/>
  <c r="A115" i="2" s="1"/>
  <c r="A116" i="2" s="1"/>
  <c r="A117" i="2"/>
  <c r="A102" i="1"/>
  <c r="A103" i="1" s="1"/>
  <c r="A104" i="1" s="1"/>
  <c r="A105" i="1" s="1"/>
  <c r="A106" i="1" s="1"/>
  <c r="A107" i="1" s="1"/>
  <c r="A108" i="1" s="1"/>
  <c r="A109" i="1" s="1"/>
  <c r="A110" i="1" s="1"/>
  <c r="A111" i="1" s="1"/>
  <c r="A112" i="1" s="1"/>
  <c r="A113" i="1"/>
  <c r="G20" i="1"/>
  <c r="A137" i="6" l="1"/>
  <c r="A126" i="6"/>
  <c r="A127" i="6" s="1"/>
  <c r="A128" i="6" s="1"/>
  <c r="A129" i="6" s="1"/>
  <c r="A130" i="6" s="1"/>
  <c r="A131" i="6" s="1"/>
  <c r="A132" i="6" s="1"/>
  <c r="A133" i="6" s="1"/>
  <c r="A134" i="6" s="1"/>
  <c r="A135" i="6" s="1"/>
  <c r="A136" i="6" s="1"/>
  <c r="H20" i="6"/>
  <c r="L20" i="6" s="1"/>
  <c r="G20" i="6"/>
  <c r="K20" i="6" s="1"/>
  <c r="E21" i="6" s="1"/>
  <c r="B26" i="6"/>
  <c r="C25" i="6"/>
  <c r="D25" i="6"/>
  <c r="B31" i="4"/>
  <c r="J30" i="4"/>
  <c r="G30" i="4"/>
  <c r="E30" i="4"/>
  <c r="A141" i="4"/>
  <c r="A130" i="4"/>
  <c r="A131" i="4" s="1"/>
  <c r="A132" i="4" s="1"/>
  <c r="A133" i="4" s="1"/>
  <c r="A134" i="4" s="1"/>
  <c r="A135" i="4" s="1"/>
  <c r="A136" i="4" s="1"/>
  <c r="A137" i="4" s="1"/>
  <c r="A138" i="4" s="1"/>
  <c r="A139" i="4" s="1"/>
  <c r="A140" i="4" s="1"/>
  <c r="H24" i="4"/>
  <c r="D24" i="4"/>
  <c r="K23" i="4"/>
  <c r="H25" i="3"/>
  <c r="D25" i="3"/>
  <c r="A141" i="3"/>
  <c r="A130" i="3"/>
  <c r="A131" i="3" s="1"/>
  <c r="A132" i="3" s="1"/>
  <c r="A133" i="3" s="1"/>
  <c r="A134" i="3" s="1"/>
  <c r="A135" i="3" s="1"/>
  <c r="A136" i="3" s="1"/>
  <c r="A137" i="3" s="1"/>
  <c r="A138" i="3" s="1"/>
  <c r="A139" i="3" s="1"/>
  <c r="A140" i="3" s="1"/>
  <c r="B31" i="3"/>
  <c r="G30" i="3"/>
  <c r="E30" i="3"/>
  <c r="E29" i="2"/>
  <c r="B30" i="2"/>
  <c r="A118" i="2"/>
  <c r="A119" i="2" s="1"/>
  <c r="A120" i="2" s="1"/>
  <c r="A121" i="2" s="1"/>
  <c r="A122" i="2" s="1"/>
  <c r="A123" i="2" s="1"/>
  <c r="A124" i="2" s="1"/>
  <c r="A125" i="2" s="1"/>
  <c r="A126" i="2" s="1"/>
  <c r="A127" i="2" s="1"/>
  <c r="A128" i="2" s="1"/>
  <c r="A129" i="2"/>
  <c r="C28" i="2"/>
  <c r="G28" i="2" s="1"/>
  <c r="F28" i="2"/>
  <c r="D28" i="2" s="1"/>
  <c r="A114" i="1"/>
  <c r="A115" i="1" s="1"/>
  <c r="A116" i="1" s="1"/>
  <c r="A117" i="1" s="1"/>
  <c r="A118" i="1" s="1"/>
  <c r="A119" i="1" s="1"/>
  <c r="A120" i="1" s="1"/>
  <c r="A121" i="1" s="1"/>
  <c r="A122" i="1" s="1"/>
  <c r="A123" i="1" s="1"/>
  <c r="A124" i="1" s="1"/>
  <c r="A125" i="1"/>
  <c r="C21" i="1"/>
  <c r="F21" i="1"/>
  <c r="E21" i="1" s="1"/>
  <c r="B27" i="6" l="1"/>
  <c r="C26" i="6"/>
  <c r="D26" i="6"/>
  <c r="J21" i="6"/>
  <c r="H21" i="6" s="1"/>
  <c r="L21" i="6" s="1"/>
  <c r="I21" i="6"/>
  <c r="G21" i="6" s="1"/>
  <c r="K21" i="6"/>
  <c r="E22" i="6" s="1"/>
  <c r="A149" i="6"/>
  <c r="A138" i="6"/>
  <c r="A139" i="6" s="1"/>
  <c r="A140" i="6" s="1"/>
  <c r="A141" i="6" s="1"/>
  <c r="A142" i="6" s="1"/>
  <c r="A143" i="6" s="1"/>
  <c r="A144" i="6" s="1"/>
  <c r="A145" i="6" s="1"/>
  <c r="A146" i="6" s="1"/>
  <c r="A147" i="6" s="1"/>
  <c r="A148" i="6" s="1"/>
  <c r="I24" i="4"/>
  <c r="F25" i="4"/>
  <c r="C25" i="4"/>
  <c r="A153" i="4"/>
  <c r="A142" i="4"/>
  <c r="A143" i="4" s="1"/>
  <c r="A144" i="4" s="1"/>
  <c r="A145" i="4" s="1"/>
  <c r="A146" i="4" s="1"/>
  <c r="A147" i="4" s="1"/>
  <c r="A148" i="4" s="1"/>
  <c r="A149" i="4" s="1"/>
  <c r="A150" i="4" s="1"/>
  <c r="A151" i="4" s="1"/>
  <c r="A152" i="4" s="1"/>
  <c r="B32" i="4"/>
  <c r="J31" i="4"/>
  <c r="G31" i="4"/>
  <c r="E31" i="4"/>
  <c r="B32" i="3"/>
  <c r="G31" i="3"/>
  <c r="E31" i="3"/>
  <c r="A153" i="3"/>
  <c r="A142" i="3"/>
  <c r="A143" i="3" s="1"/>
  <c r="A144" i="3" s="1"/>
  <c r="A145" i="3" s="1"/>
  <c r="A146" i="3" s="1"/>
  <c r="A147" i="3" s="1"/>
  <c r="A148" i="3" s="1"/>
  <c r="A149" i="3" s="1"/>
  <c r="A150" i="3" s="1"/>
  <c r="A151" i="3" s="1"/>
  <c r="A152" i="3" s="1"/>
  <c r="F26" i="3"/>
  <c r="C26" i="3"/>
  <c r="C29" i="2"/>
  <c r="G29" i="2" s="1"/>
  <c r="F29" i="2"/>
  <c r="D29" i="2" s="1"/>
  <c r="E30" i="2"/>
  <c r="B31" i="2"/>
  <c r="A130" i="2"/>
  <c r="A131" i="2" s="1"/>
  <c r="A132" i="2" s="1"/>
  <c r="A133" i="2" s="1"/>
  <c r="A134" i="2" s="1"/>
  <c r="A135" i="2" s="1"/>
  <c r="A136" i="2" s="1"/>
  <c r="A137" i="2" s="1"/>
  <c r="A138" i="2" s="1"/>
  <c r="A139" i="2" s="1"/>
  <c r="A140" i="2" s="1"/>
  <c r="A141" i="2"/>
  <c r="A126" i="1"/>
  <c r="A127" i="1" s="1"/>
  <c r="A128" i="1" s="1"/>
  <c r="A129" i="1" s="1"/>
  <c r="A130" i="1" s="1"/>
  <c r="A131" i="1" s="1"/>
  <c r="A132" i="1" s="1"/>
  <c r="A133" i="1" s="1"/>
  <c r="A134" i="1" s="1"/>
  <c r="A135" i="1" s="1"/>
  <c r="A136" i="1" s="1"/>
  <c r="A137" i="1"/>
  <c r="G21" i="1"/>
  <c r="K22" i="6" l="1"/>
  <c r="E23" i="6" s="1"/>
  <c r="I22" i="6"/>
  <c r="G22" i="6" s="1"/>
  <c r="J22" i="6"/>
  <c r="H22" i="6" s="1"/>
  <c r="L22" i="6" s="1"/>
  <c r="C27" i="6"/>
  <c r="B28" i="6"/>
  <c r="D27" i="6"/>
  <c r="A161" i="6"/>
  <c r="A150" i="6"/>
  <c r="A151" i="6" s="1"/>
  <c r="A152" i="6" s="1"/>
  <c r="A153" i="6" s="1"/>
  <c r="A154" i="6" s="1"/>
  <c r="A155" i="6" s="1"/>
  <c r="A156" i="6" s="1"/>
  <c r="A157" i="6" s="1"/>
  <c r="A158" i="6" s="1"/>
  <c r="A159" i="6" s="1"/>
  <c r="A160" i="6" s="1"/>
  <c r="H25" i="4"/>
  <c r="D25" i="4"/>
  <c r="J32" i="4"/>
  <c r="B33" i="4"/>
  <c r="G32" i="4"/>
  <c r="E32" i="4"/>
  <c r="A165" i="4"/>
  <c r="A154" i="4"/>
  <c r="A155" i="4" s="1"/>
  <c r="A156" i="4" s="1"/>
  <c r="A157" i="4" s="1"/>
  <c r="A158" i="4" s="1"/>
  <c r="A159" i="4" s="1"/>
  <c r="A160" i="4" s="1"/>
  <c r="A161" i="4" s="1"/>
  <c r="A162" i="4" s="1"/>
  <c r="A163" i="4" s="1"/>
  <c r="A164" i="4" s="1"/>
  <c r="K24" i="4"/>
  <c r="A165" i="3"/>
  <c r="A154" i="3"/>
  <c r="A155" i="3" s="1"/>
  <c r="A156" i="3" s="1"/>
  <c r="A157" i="3" s="1"/>
  <c r="A158" i="3" s="1"/>
  <c r="A159" i="3" s="1"/>
  <c r="A160" i="3" s="1"/>
  <c r="A161" i="3" s="1"/>
  <c r="A162" i="3" s="1"/>
  <c r="A163" i="3" s="1"/>
  <c r="A164" i="3" s="1"/>
  <c r="H26" i="3"/>
  <c r="D26" i="3"/>
  <c r="B33" i="3"/>
  <c r="G32" i="3"/>
  <c r="E32" i="3"/>
  <c r="E31" i="2"/>
  <c r="B32" i="2"/>
  <c r="A142" i="2"/>
  <c r="A143" i="2" s="1"/>
  <c r="A144" i="2" s="1"/>
  <c r="A145" i="2" s="1"/>
  <c r="A146" i="2" s="1"/>
  <c r="A147" i="2" s="1"/>
  <c r="A148" i="2" s="1"/>
  <c r="A149" i="2" s="1"/>
  <c r="A150" i="2" s="1"/>
  <c r="A151" i="2" s="1"/>
  <c r="A152" i="2" s="1"/>
  <c r="A153" i="2"/>
  <c r="C30" i="2"/>
  <c r="G30" i="2" s="1"/>
  <c r="F30" i="2"/>
  <c r="D30" i="2" s="1"/>
  <c r="A138" i="1"/>
  <c r="A139" i="1" s="1"/>
  <c r="A140" i="1" s="1"/>
  <c r="A141" i="1" s="1"/>
  <c r="A142" i="1" s="1"/>
  <c r="A143" i="1" s="1"/>
  <c r="A144" i="1" s="1"/>
  <c r="A145" i="1" s="1"/>
  <c r="A146" i="1" s="1"/>
  <c r="A147" i="1" s="1"/>
  <c r="A148" i="1" s="1"/>
  <c r="A149" i="1"/>
  <c r="C22" i="1"/>
  <c r="F22" i="1"/>
  <c r="E22" i="1" s="1"/>
  <c r="L23" i="6" l="1"/>
  <c r="J23" i="6"/>
  <c r="H23" i="6" s="1"/>
  <c r="K23" i="6"/>
  <c r="E24" i="6" s="1"/>
  <c r="I23" i="6"/>
  <c r="G23" i="6" s="1"/>
  <c r="A173" i="6"/>
  <c r="A162" i="6"/>
  <c r="A163" i="6" s="1"/>
  <c r="A164" i="6" s="1"/>
  <c r="A165" i="6" s="1"/>
  <c r="A166" i="6" s="1"/>
  <c r="A167" i="6" s="1"/>
  <c r="A168" i="6" s="1"/>
  <c r="A169" i="6" s="1"/>
  <c r="A170" i="6" s="1"/>
  <c r="A171" i="6" s="1"/>
  <c r="A172" i="6" s="1"/>
  <c r="C28" i="6"/>
  <c r="B29" i="6"/>
  <c r="D28" i="6"/>
  <c r="B34" i="4"/>
  <c r="G33" i="4"/>
  <c r="J33" i="4"/>
  <c r="I25" i="4"/>
  <c r="K25" i="4" s="1"/>
  <c r="A177" i="4"/>
  <c r="A166" i="4"/>
  <c r="A167" i="4" s="1"/>
  <c r="A168" i="4" s="1"/>
  <c r="A169" i="4" s="1"/>
  <c r="A170" i="4" s="1"/>
  <c r="A171" i="4" s="1"/>
  <c r="A172" i="4" s="1"/>
  <c r="A173" i="4" s="1"/>
  <c r="A174" i="4" s="1"/>
  <c r="A175" i="4" s="1"/>
  <c r="A176" i="4" s="1"/>
  <c r="F26" i="4"/>
  <c r="C26" i="4"/>
  <c r="B34" i="3"/>
  <c r="G33" i="3"/>
  <c r="C27" i="3"/>
  <c r="F27" i="3"/>
  <c r="A177" i="3"/>
  <c r="A166" i="3"/>
  <c r="A167" i="3" s="1"/>
  <c r="A168" i="3" s="1"/>
  <c r="A169" i="3" s="1"/>
  <c r="A170" i="3" s="1"/>
  <c r="A171" i="3" s="1"/>
  <c r="A172" i="3" s="1"/>
  <c r="A173" i="3" s="1"/>
  <c r="A174" i="3" s="1"/>
  <c r="A175" i="3" s="1"/>
  <c r="A176" i="3" s="1"/>
  <c r="C31" i="2"/>
  <c r="G31" i="2" s="1"/>
  <c r="F31" i="2"/>
  <c r="D31" i="2" s="1"/>
  <c r="B33" i="2"/>
  <c r="E32" i="2"/>
  <c r="A154" i="2"/>
  <c r="A155" i="2" s="1"/>
  <c r="A156" i="2" s="1"/>
  <c r="A157" i="2" s="1"/>
  <c r="A158" i="2" s="1"/>
  <c r="A159" i="2" s="1"/>
  <c r="A160" i="2" s="1"/>
  <c r="A161" i="2" s="1"/>
  <c r="A162" i="2" s="1"/>
  <c r="A163" i="2" s="1"/>
  <c r="A164" i="2" s="1"/>
  <c r="A165" i="2"/>
  <c r="A150" i="1"/>
  <c r="A151" i="1" s="1"/>
  <c r="A152" i="1" s="1"/>
  <c r="A153" i="1" s="1"/>
  <c r="A154" i="1" s="1"/>
  <c r="A155" i="1" s="1"/>
  <c r="A156" i="1" s="1"/>
  <c r="A157" i="1" s="1"/>
  <c r="A158" i="1" s="1"/>
  <c r="A159" i="1" s="1"/>
  <c r="A160" i="1" s="1"/>
  <c r="A161" i="1"/>
  <c r="G22" i="1"/>
  <c r="A185" i="6" l="1"/>
  <c r="A174" i="6"/>
  <c r="A175" i="6" s="1"/>
  <c r="A176" i="6" s="1"/>
  <c r="A177" i="6" s="1"/>
  <c r="A178" i="6" s="1"/>
  <c r="A179" i="6" s="1"/>
  <c r="A180" i="6" s="1"/>
  <c r="A181" i="6" s="1"/>
  <c r="A182" i="6" s="1"/>
  <c r="A183" i="6" s="1"/>
  <c r="A184" i="6" s="1"/>
  <c r="K24" i="6"/>
  <c r="E25" i="6" s="1"/>
  <c r="I24" i="6"/>
  <c r="G24" i="6" s="1"/>
  <c r="L24" i="6"/>
  <c r="J24" i="6"/>
  <c r="H24" i="6" s="1"/>
  <c r="C29" i="6"/>
  <c r="B30" i="6"/>
  <c r="D29" i="6"/>
  <c r="H26" i="4"/>
  <c r="D26" i="4"/>
  <c r="I26" i="4" s="1"/>
  <c r="K26" i="4" s="1"/>
  <c r="A189" i="4"/>
  <c r="A178" i="4"/>
  <c r="A179" i="4" s="1"/>
  <c r="A180" i="4" s="1"/>
  <c r="A181" i="4" s="1"/>
  <c r="A182" i="4" s="1"/>
  <c r="A183" i="4" s="1"/>
  <c r="A184" i="4" s="1"/>
  <c r="A185" i="4" s="1"/>
  <c r="A186" i="4" s="1"/>
  <c r="A187" i="4" s="1"/>
  <c r="A188" i="4" s="1"/>
  <c r="J34" i="4"/>
  <c r="B35" i="4"/>
  <c r="G34" i="4"/>
  <c r="A189" i="3"/>
  <c r="A178" i="3"/>
  <c r="A179" i="3" s="1"/>
  <c r="A180" i="3" s="1"/>
  <c r="A181" i="3" s="1"/>
  <c r="A182" i="3" s="1"/>
  <c r="A183" i="3" s="1"/>
  <c r="A184" i="3" s="1"/>
  <c r="A185" i="3" s="1"/>
  <c r="A186" i="3" s="1"/>
  <c r="A187" i="3" s="1"/>
  <c r="A188" i="3" s="1"/>
  <c r="H27" i="3"/>
  <c r="D27" i="3"/>
  <c r="B35" i="3"/>
  <c r="G34" i="3"/>
  <c r="A166" i="2"/>
  <c r="A167" i="2" s="1"/>
  <c r="A168" i="2" s="1"/>
  <c r="A169" i="2" s="1"/>
  <c r="A170" i="2" s="1"/>
  <c r="A171" i="2" s="1"/>
  <c r="A172" i="2" s="1"/>
  <c r="A173" i="2" s="1"/>
  <c r="A174" i="2" s="1"/>
  <c r="A175" i="2" s="1"/>
  <c r="A176" i="2" s="1"/>
  <c r="A177" i="2"/>
  <c r="D33" i="2"/>
  <c r="B34" i="2"/>
  <c r="C32" i="2"/>
  <c r="G32" i="2" s="1"/>
  <c r="F32" i="2"/>
  <c r="D32" i="2" s="1"/>
  <c r="A162" i="1"/>
  <c r="A163" i="1" s="1"/>
  <c r="A164" i="1" s="1"/>
  <c r="A165" i="1" s="1"/>
  <c r="A166" i="1" s="1"/>
  <c r="A167" i="1" s="1"/>
  <c r="A168" i="1" s="1"/>
  <c r="A169" i="1" s="1"/>
  <c r="A170" i="1" s="1"/>
  <c r="A171" i="1" s="1"/>
  <c r="A172" i="1" s="1"/>
  <c r="A173" i="1"/>
  <c r="C23" i="1"/>
  <c r="F23" i="1"/>
  <c r="E23" i="1" s="1"/>
  <c r="L25" i="6" l="1"/>
  <c r="J25" i="6"/>
  <c r="H25" i="6" s="1"/>
  <c r="I25" i="6"/>
  <c r="G25" i="6" s="1"/>
  <c r="K25" i="6" s="1"/>
  <c r="E26" i="6" s="1"/>
  <c r="A197" i="6"/>
  <c r="A186" i="6"/>
  <c r="A187" i="6" s="1"/>
  <c r="A188" i="6" s="1"/>
  <c r="A189" i="6" s="1"/>
  <c r="A190" i="6" s="1"/>
  <c r="A191" i="6" s="1"/>
  <c r="A192" i="6" s="1"/>
  <c r="A193" i="6" s="1"/>
  <c r="A194" i="6" s="1"/>
  <c r="A195" i="6" s="1"/>
  <c r="A196" i="6" s="1"/>
  <c r="C30" i="6"/>
  <c r="B31" i="6"/>
  <c r="D30" i="6"/>
  <c r="B36" i="4"/>
  <c r="G35" i="4"/>
  <c r="J35" i="4"/>
  <c r="A201" i="4"/>
  <c r="A190" i="4"/>
  <c r="A191" i="4" s="1"/>
  <c r="A192" i="4" s="1"/>
  <c r="A193" i="4" s="1"/>
  <c r="A194" i="4" s="1"/>
  <c r="A195" i="4" s="1"/>
  <c r="A196" i="4" s="1"/>
  <c r="A197" i="4" s="1"/>
  <c r="A198" i="4" s="1"/>
  <c r="A199" i="4" s="1"/>
  <c r="A200" i="4" s="1"/>
  <c r="F27" i="4"/>
  <c r="C27" i="4"/>
  <c r="B36" i="3"/>
  <c r="G35" i="3"/>
  <c r="F28" i="3"/>
  <c r="C28" i="3"/>
  <c r="A201" i="3"/>
  <c r="A190" i="3"/>
  <c r="A191" i="3" s="1"/>
  <c r="A192" i="3" s="1"/>
  <c r="A193" i="3" s="1"/>
  <c r="A194" i="3" s="1"/>
  <c r="A195" i="3" s="1"/>
  <c r="A196" i="3" s="1"/>
  <c r="A197" i="3" s="1"/>
  <c r="A198" i="3" s="1"/>
  <c r="A199" i="3" s="1"/>
  <c r="A200" i="3" s="1"/>
  <c r="F33" i="2"/>
  <c r="E33" i="2" s="1"/>
  <c r="C33" i="2"/>
  <c r="G33" i="2" s="1"/>
  <c r="B35" i="2"/>
  <c r="D34" i="2"/>
  <c r="A189" i="2"/>
  <c r="A178" i="2"/>
  <c r="A179" i="2" s="1"/>
  <c r="A180" i="2" s="1"/>
  <c r="A181" i="2" s="1"/>
  <c r="A182" i="2" s="1"/>
  <c r="A183" i="2" s="1"/>
  <c r="A184" i="2" s="1"/>
  <c r="A185" i="2" s="1"/>
  <c r="A186" i="2" s="1"/>
  <c r="A187" i="2" s="1"/>
  <c r="A188" i="2" s="1"/>
  <c r="A185" i="1"/>
  <c r="A174" i="1"/>
  <c r="A175" i="1" s="1"/>
  <c r="A176" i="1" s="1"/>
  <c r="A177" i="1" s="1"/>
  <c r="A178" i="1" s="1"/>
  <c r="A179" i="1" s="1"/>
  <c r="A180" i="1" s="1"/>
  <c r="A181" i="1" s="1"/>
  <c r="A182" i="1" s="1"/>
  <c r="A183" i="1" s="1"/>
  <c r="A184" i="1" s="1"/>
  <c r="G23" i="1"/>
  <c r="K26" i="6" l="1"/>
  <c r="E27" i="6" s="1"/>
  <c r="I26" i="6"/>
  <c r="G26" i="6" s="1"/>
  <c r="J26" i="6"/>
  <c r="H26" i="6" s="1"/>
  <c r="L26" i="6" s="1"/>
  <c r="A209" i="6"/>
  <c r="A198" i="6"/>
  <c r="A199" i="6" s="1"/>
  <c r="A200" i="6" s="1"/>
  <c r="A201" i="6" s="1"/>
  <c r="A202" i="6" s="1"/>
  <c r="A203" i="6" s="1"/>
  <c r="A204" i="6" s="1"/>
  <c r="A205" i="6" s="1"/>
  <c r="A206" i="6" s="1"/>
  <c r="A207" i="6" s="1"/>
  <c r="A208" i="6" s="1"/>
  <c r="C31" i="6"/>
  <c r="B32" i="6"/>
  <c r="D31" i="6"/>
  <c r="H27" i="4"/>
  <c r="D27" i="4"/>
  <c r="I27" i="4" s="1"/>
  <c r="K27" i="4" s="1"/>
  <c r="A213" i="4"/>
  <c r="A202" i="4"/>
  <c r="A203" i="4" s="1"/>
  <c r="A204" i="4" s="1"/>
  <c r="A205" i="4" s="1"/>
  <c r="A206" i="4" s="1"/>
  <c r="A207" i="4" s="1"/>
  <c r="A208" i="4" s="1"/>
  <c r="A209" i="4" s="1"/>
  <c r="A210" i="4" s="1"/>
  <c r="A211" i="4" s="1"/>
  <c r="A212" i="4" s="1"/>
  <c r="J36" i="4"/>
  <c r="B37" i="4"/>
  <c r="G36" i="4"/>
  <c r="A213" i="3"/>
  <c r="A202" i="3"/>
  <c r="A203" i="3" s="1"/>
  <c r="A204" i="3" s="1"/>
  <c r="A205" i="3" s="1"/>
  <c r="A206" i="3" s="1"/>
  <c r="A207" i="3" s="1"/>
  <c r="A208" i="3" s="1"/>
  <c r="A209" i="3" s="1"/>
  <c r="A210" i="3" s="1"/>
  <c r="A211" i="3" s="1"/>
  <c r="A212" i="3" s="1"/>
  <c r="H28" i="3"/>
  <c r="D28" i="3"/>
  <c r="B37" i="3"/>
  <c r="G36" i="3"/>
  <c r="A201" i="2"/>
  <c r="A190" i="2"/>
  <c r="A191" i="2" s="1"/>
  <c r="A192" i="2" s="1"/>
  <c r="A193" i="2" s="1"/>
  <c r="A194" i="2" s="1"/>
  <c r="A195" i="2" s="1"/>
  <c r="A196" i="2" s="1"/>
  <c r="A197" i="2" s="1"/>
  <c r="A198" i="2" s="1"/>
  <c r="A199" i="2" s="1"/>
  <c r="A200" i="2" s="1"/>
  <c r="C34" i="2"/>
  <c r="F34" i="2"/>
  <c r="E34" i="2" s="1"/>
  <c r="D35" i="2"/>
  <c r="B36" i="2"/>
  <c r="C24" i="1"/>
  <c r="F24" i="1"/>
  <c r="E24" i="1" s="1"/>
  <c r="A197" i="1"/>
  <c r="A186" i="1"/>
  <c r="A187" i="1" s="1"/>
  <c r="A188" i="1" s="1"/>
  <c r="A189" i="1" s="1"/>
  <c r="A190" i="1" s="1"/>
  <c r="A191" i="1" s="1"/>
  <c r="A192" i="1" s="1"/>
  <c r="A193" i="1" s="1"/>
  <c r="A194" i="1" s="1"/>
  <c r="A195" i="1" s="1"/>
  <c r="A196" i="1" s="1"/>
  <c r="A221" i="6" l="1"/>
  <c r="A210" i="6"/>
  <c r="A211" i="6" s="1"/>
  <c r="A212" i="6" s="1"/>
  <c r="A213" i="6" s="1"/>
  <c r="A214" i="6" s="1"/>
  <c r="A215" i="6" s="1"/>
  <c r="A216" i="6" s="1"/>
  <c r="A217" i="6" s="1"/>
  <c r="A218" i="6" s="1"/>
  <c r="A219" i="6" s="1"/>
  <c r="A220" i="6" s="1"/>
  <c r="L27" i="6"/>
  <c r="J27" i="6"/>
  <c r="H27" i="6" s="1"/>
  <c r="K27" i="6"/>
  <c r="E28" i="6" s="1"/>
  <c r="I27" i="6"/>
  <c r="G27" i="6" s="1"/>
  <c r="C32" i="6"/>
  <c r="B33" i="6"/>
  <c r="D32" i="6"/>
  <c r="B38" i="4"/>
  <c r="G37" i="4"/>
  <c r="J37" i="4"/>
  <c r="A225" i="4"/>
  <c r="A214" i="4"/>
  <c r="A215" i="4" s="1"/>
  <c r="A216" i="4" s="1"/>
  <c r="A217" i="4" s="1"/>
  <c r="A218" i="4" s="1"/>
  <c r="A219" i="4" s="1"/>
  <c r="A220" i="4" s="1"/>
  <c r="A221" i="4" s="1"/>
  <c r="A222" i="4" s="1"/>
  <c r="A223" i="4" s="1"/>
  <c r="A224" i="4" s="1"/>
  <c r="F28" i="4"/>
  <c r="C28" i="4"/>
  <c r="B38" i="3"/>
  <c r="G37" i="3"/>
  <c r="C29" i="3"/>
  <c r="F29" i="3"/>
  <c r="A225" i="3"/>
  <c r="A214" i="3"/>
  <c r="A215" i="3" s="1"/>
  <c r="A216" i="3" s="1"/>
  <c r="A217" i="3" s="1"/>
  <c r="A218" i="3" s="1"/>
  <c r="A219" i="3" s="1"/>
  <c r="A220" i="3" s="1"/>
  <c r="A221" i="3" s="1"/>
  <c r="A222" i="3" s="1"/>
  <c r="A223" i="3" s="1"/>
  <c r="A224" i="3" s="1"/>
  <c r="B37" i="2"/>
  <c r="D36" i="2"/>
  <c r="G34" i="2"/>
  <c r="A213" i="2"/>
  <c r="A202" i="2"/>
  <c r="A203" i="2" s="1"/>
  <c r="A204" i="2" s="1"/>
  <c r="A205" i="2" s="1"/>
  <c r="A206" i="2" s="1"/>
  <c r="A207" i="2" s="1"/>
  <c r="A208" i="2" s="1"/>
  <c r="A209" i="2" s="1"/>
  <c r="A210" i="2" s="1"/>
  <c r="A211" i="2" s="1"/>
  <c r="A212" i="2" s="1"/>
  <c r="A209" i="1"/>
  <c r="A198" i="1"/>
  <c r="A199" i="1" s="1"/>
  <c r="A200" i="1" s="1"/>
  <c r="A201" i="1" s="1"/>
  <c r="A202" i="1" s="1"/>
  <c r="A203" i="1" s="1"/>
  <c r="A204" i="1" s="1"/>
  <c r="A205" i="1" s="1"/>
  <c r="A206" i="1" s="1"/>
  <c r="A207" i="1" s="1"/>
  <c r="A208" i="1" s="1"/>
  <c r="G24" i="1"/>
  <c r="K28" i="6" l="1"/>
  <c r="E29" i="6" s="1"/>
  <c r="I28" i="6"/>
  <c r="G28" i="6" s="1"/>
  <c r="L28" i="6"/>
  <c r="J28" i="6"/>
  <c r="H28" i="6" s="1"/>
  <c r="A233" i="6"/>
  <c r="A222" i="6"/>
  <c r="A223" i="6" s="1"/>
  <c r="A224" i="6" s="1"/>
  <c r="A225" i="6" s="1"/>
  <c r="A226" i="6" s="1"/>
  <c r="A227" i="6" s="1"/>
  <c r="A228" i="6" s="1"/>
  <c r="A229" i="6" s="1"/>
  <c r="A230" i="6" s="1"/>
  <c r="A231" i="6" s="1"/>
  <c r="A232" i="6" s="1"/>
  <c r="C33" i="6"/>
  <c r="B34" i="6"/>
  <c r="D33" i="6"/>
  <c r="H28" i="4"/>
  <c r="D28" i="4"/>
  <c r="I28" i="4" s="1"/>
  <c r="K28" i="4" s="1"/>
  <c r="A237" i="4"/>
  <c r="A226" i="4"/>
  <c r="A227" i="4" s="1"/>
  <c r="A228" i="4" s="1"/>
  <c r="A229" i="4" s="1"/>
  <c r="A230" i="4" s="1"/>
  <c r="A231" i="4" s="1"/>
  <c r="A232" i="4" s="1"/>
  <c r="A233" i="4" s="1"/>
  <c r="A234" i="4" s="1"/>
  <c r="A235" i="4" s="1"/>
  <c r="A236" i="4" s="1"/>
  <c r="J38" i="4"/>
  <c r="B39" i="4"/>
  <c r="G38" i="4"/>
  <c r="A237" i="3"/>
  <c r="A226" i="3"/>
  <c r="A227" i="3" s="1"/>
  <c r="A228" i="3" s="1"/>
  <c r="A229" i="3" s="1"/>
  <c r="A230" i="3" s="1"/>
  <c r="A231" i="3" s="1"/>
  <c r="A232" i="3" s="1"/>
  <c r="A233" i="3" s="1"/>
  <c r="A234" i="3" s="1"/>
  <c r="A235" i="3" s="1"/>
  <c r="A236" i="3" s="1"/>
  <c r="H29" i="3"/>
  <c r="D29" i="3"/>
  <c r="B39" i="3"/>
  <c r="G38" i="3"/>
  <c r="F35" i="2"/>
  <c r="E35" i="2" s="1"/>
  <c r="C35" i="2"/>
  <c r="G35" i="2" s="1"/>
  <c r="A225" i="2"/>
  <c r="A214" i="2"/>
  <c r="A215" i="2" s="1"/>
  <c r="A216" i="2" s="1"/>
  <c r="A217" i="2" s="1"/>
  <c r="A218" i="2" s="1"/>
  <c r="A219" i="2" s="1"/>
  <c r="A220" i="2" s="1"/>
  <c r="A221" i="2" s="1"/>
  <c r="A222" i="2" s="1"/>
  <c r="A223" i="2" s="1"/>
  <c r="A224" i="2" s="1"/>
  <c r="D37" i="2"/>
  <c r="B38" i="2"/>
  <c r="C25" i="1"/>
  <c r="F25" i="1"/>
  <c r="E25" i="1" s="1"/>
  <c r="A221" i="1"/>
  <c r="A210" i="1"/>
  <c r="A211" i="1" s="1"/>
  <c r="A212" i="1" s="1"/>
  <c r="A213" i="1" s="1"/>
  <c r="A214" i="1" s="1"/>
  <c r="A215" i="1" s="1"/>
  <c r="A216" i="1" s="1"/>
  <c r="A217" i="1" s="1"/>
  <c r="A218" i="1" s="1"/>
  <c r="A219" i="1" s="1"/>
  <c r="A220" i="1" s="1"/>
  <c r="A245" i="6" l="1"/>
  <c r="A234" i="6"/>
  <c r="A235" i="6" s="1"/>
  <c r="A236" i="6" s="1"/>
  <c r="A237" i="6" s="1"/>
  <c r="A238" i="6" s="1"/>
  <c r="A239" i="6" s="1"/>
  <c r="A240" i="6" s="1"/>
  <c r="A241" i="6" s="1"/>
  <c r="A242" i="6" s="1"/>
  <c r="A243" i="6" s="1"/>
  <c r="A244" i="6" s="1"/>
  <c r="K29" i="6"/>
  <c r="E30" i="6" s="1"/>
  <c r="I29" i="6"/>
  <c r="G29" i="6" s="1"/>
  <c r="J29" i="6"/>
  <c r="H29" i="6" s="1"/>
  <c r="L29" i="6" s="1"/>
  <c r="C34" i="6"/>
  <c r="B35" i="6"/>
  <c r="D34" i="6"/>
  <c r="B40" i="4"/>
  <c r="G39" i="4"/>
  <c r="J39" i="4"/>
  <c r="A238" i="4"/>
  <c r="A239" i="4" s="1"/>
  <c r="A240" i="4" s="1"/>
  <c r="A241" i="4" s="1"/>
  <c r="A242" i="4" s="1"/>
  <c r="A243" i="4" s="1"/>
  <c r="A244" i="4" s="1"/>
  <c r="A245" i="4" s="1"/>
  <c r="A246" i="4" s="1"/>
  <c r="A247" i="4" s="1"/>
  <c r="A248" i="4" s="1"/>
  <c r="A249" i="4"/>
  <c r="F29" i="4"/>
  <c r="C29" i="4"/>
  <c r="B40" i="3"/>
  <c r="G39" i="3"/>
  <c r="F30" i="3"/>
  <c r="C30" i="3"/>
  <c r="A249" i="3"/>
  <c r="A238" i="3"/>
  <c r="A239" i="3" s="1"/>
  <c r="A240" i="3" s="1"/>
  <c r="A241" i="3" s="1"/>
  <c r="A242" i="3" s="1"/>
  <c r="A243" i="3" s="1"/>
  <c r="A244" i="3" s="1"/>
  <c r="A245" i="3" s="1"/>
  <c r="A246" i="3" s="1"/>
  <c r="A247" i="3" s="1"/>
  <c r="A248" i="3" s="1"/>
  <c r="B39" i="2"/>
  <c r="D38" i="2"/>
  <c r="C36" i="2"/>
  <c r="G36" i="2" s="1"/>
  <c r="F36" i="2"/>
  <c r="E36" i="2" s="1"/>
  <c r="A237" i="2"/>
  <c r="A226" i="2"/>
  <c r="A227" i="2" s="1"/>
  <c r="A228" i="2" s="1"/>
  <c r="A229" i="2" s="1"/>
  <c r="A230" i="2" s="1"/>
  <c r="A231" i="2" s="1"/>
  <c r="A232" i="2" s="1"/>
  <c r="A233" i="2" s="1"/>
  <c r="A234" i="2" s="1"/>
  <c r="A235" i="2" s="1"/>
  <c r="A236" i="2" s="1"/>
  <c r="A233" i="1"/>
  <c r="A222" i="1"/>
  <c r="A223" i="1" s="1"/>
  <c r="A224" i="1" s="1"/>
  <c r="A225" i="1" s="1"/>
  <c r="A226" i="1" s="1"/>
  <c r="A227" i="1" s="1"/>
  <c r="A228" i="1" s="1"/>
  <c r="A229" i="1" s="1"/>
  <c r="A230" i="1" s="1"/>
  <c r="A231" i="1" s="1"/>
  <c r="A232" i="1" s="1"/>
  <c r="G25" i="1"/>
  <c r="K30" i="6" l="1"/>
  <c r="E31" i="6" s="1"/>
  <c r="I30" i="6"/>
  <c r="G30" i="6" s="1"/>
  <c r="J30" i="6"/>
  <c r="H30" i="6" s="1"/>
  <c r="L30" i="6" s="1"/>
  <c r="A257" i="6"/>
  <c r="A246" i="6"/>
  <c r="A247" i="6" s="1"/>
  <c r="A248" i="6" s="1"/>
  <c r="A249" i="6" s="1"/>
  <c r="A250" i="6" s="1"/>
  <c r="A251" i="6" s="1"/>
  <c r="A252" i="6" s="1"/>
  <c r="A253" i="6" s="1"/>
  <c r="A254" i="6" s="1"/>
  <c r="A255" i="6" s="1"/>
  <c r="A256" i="6" s="1"/>
  <c r="C35" i="6"/>
  <c r="B36" i="6"/>
  <c r="D35" i="6"/>
  <c r="H29" i="4"/>
  <c r="D29" i="4"/>
  <c r="I29" i="4" s="1"/>
  <c r="K29" i="4" s="1"/>
  <c r="A261" i="4"/>
  <c r="A250" i="4"/>
  <c r="A251" i="4" s="1"/>
  <c r="A252" i="4" s="1"/>
  <c r="A253" i="4" s="1"/>
  <c r="A254" i="4" s="1"/>
  <c r="A255" i="4" s="1"/>
  <c r="A256" i="4" s="1"/>
  <c r="A257" i="4" s="1"/>
  <c r="A258" i="4" s="1"/>
  <c r="A259" i="4" s="1"/>
  <c r="A260" i="4" s="1"/>
  <c r="J40" i="4"/>
  <c r="B41" i="4"/>
  <c r="G40" i="4"/>
  <c r="A261" i="3"/>
  <c r="A250" i="3"/>
  <c r="A251" i="3" s="1"/>
  <c r="A252" i="3" s="1"/>
  <c r="A253" i="3" s="1"/>
  <c r="A254" i="3" s="1"/>
  <c r="A255" i="3" s="1"/>
  <c r="A256" i="3" s="1"/>
  <c r="A257" i="3" s="1"/>
  <c r="A258" i="3" s="1"/>
  <c r="A259" i="3" s="1"/>
  <c r="A260" i="3" s="1"/>
  <c r="H30" i="3"/>
  <c r="D30" i="3"/>
  <c r="B41" i="3"/>
  <c r="G40" i="3"/>
  <c r="A249" i="2"/>
  <c r="A238" i="2"/>
  <c r="A239" i="2" s="1"/>
  <c r="A240" i="2" s="1"/>
  <c r="A241" i="2" s="1"/>
  <c r="A242" i="2" s="1"/>
  <c r="A243" i="2" s="1"/>
  <c r="A244" i="2" s="1"/>
  <c r="A245" i="2" s="1"/>
  <c r="A246" i="2" s="1"/>
  <c r="A247" i="2" s="1"/>
  <c r="A248" i="2" s="1"/>
  <c r="F37" i="2"/>
  <c r="E37" i="2" s="1"/>
  <c r="C37" i="2"/>
  <c r="G37" i="2" s="1"/>
  <c r="D39" i="2"/>
  <c r="B40" i="2"/>
  <c r="C26" i="1"/>
  <c r="F26" i="1"/>
  <c r="E26" i="1" s="1"/>
  <c r="A245" i="1"/>
  <c r="A234" i="1"/>
  <c r="A235" i="1" s="1"/>
  <c r="A236" i="1" s="1"/>
  <c r="A237" i="1" s="1"/>
  <c r="A238" i="1" s="1"/>
  <c r="A239" i="1" s="1"/>
  <c r="A240" i="1" s="1"/>
  <c r="A241" i="1" s="1"/>
  <c r="A242" i="1" s="1"/>
  <c r="A243" i="1" s="1"/>
  <c r="A244" i="1" s="1"/>
  <c r="A269" i="6" l="1"/>
  <c r="A258" i="6"/>
  <c r="A259" i="6" s="1"/>
  <c r="A260" i="6" s="1"/>
  <c r="A261" i="6" s="1"/>
  <c r="A262" i="6" s="1"/>
  <c r="A263" i="6" s="1"/>
  <c r="A264" i="6" s="1"/>
  <c r="A265" i="6" s="1"/>
  <c r="A266" i="6" s="1"/>
  <c r="A267" i="6" s="1"/>
  <c r="A268" i="6" s="1"/>
  <c r="K31" i="6"/>
  <c r="E32" i="6" s="1"/>
  <c r="I31" i="6"/>
  <c r="G31" i="6" s="1"/>
  <c r="J31" i="6"/>
  <c r="H31" i="6" s="1"/>
  <c r="L31" i="6" s="1"/>
  <c r="C36" i="6"/>
  <c r="B37" i="6"/>
  <c r="D36" i="6"/>
  <c r="B42" i="4"/>
  <c r="G41" i="4"/>
  <c r="J41" i="4"/>
  <c r="A262" i="4"/>
  <c r="A263" i="4" s="1"/>
  <c r="A264" i="4" s="1"/>
  <c r="A265" i="4" s="1"/>
  <c r="A266" i="4" s="1"/>
  <c r="A267" i="4" s="1"/>
  <c r="A268" i="4" s="1"/>
  <c r="A269" i="4" s="1"/>
  <c r="A270" i="4" s="1"/>
  <c r="A271" i="4" s="1"/>
  <c r="A272" i="4" s="1"/>
  <c r="A273" i="4"/>
  <c r="F30" i="4"/>
  <c r="C30" i="4"/>
  <c r="B42" i="3"/>
  <c r="G41" i="3"/>
  <c r="C31" i="3"/>
  <c r="F31" i="3"/>
  <c r="A273" i="3"/>
  <c r="A262" i="3"/>
  <c r="A263" i="3" s="1"/>
  <c r="A264" i="3" s="1"/>
  <c r="A265" i="3" s="1"/>
  <c r="A266" i="3" s="1"/>
  <c r="A267" i="3" s="1"/>
  <c r="A268" i="3" s="1"/>
  <c r="A269" i="3" s="1"/>
  <c r="A270" i="3" s="1"/>
  <c r="A271" i="3" s="1"/>
  <c r="A272" i="3" s="1"/>
  <c r="B41" i="2"/>
  <c r="D40" i="2"/>
  <c r="C38" i="2"/>
  <c r="G38" i="2" s="1"/>
  <c r="F38" i="2"/>
  <c r="E38" i="2" s="1"/>
  <c r="A261" i="2"/>
  <c r="A250" i="2"/>
  <c r="A251" i="2" s="1"/>
  <c r="A252" i="2" s="1"/>
  <c r="A253" i="2" s="1"/>
  <c r="A254" i="2" s="1"/>
  <c r="A255" i="2" s="1"/>
  <c r="A256" i="2" s="1"/>
  <c r="A257" i="2" s="1"/>
  <c r="A258" i="2" s="1"/>
  <c r="A259" i="2" s="1"/>
  <c r="A260" i="2" s="1"/>
  <c r="A257" i="1"/>
  <c r="A246" i="1"/>
  <c r="A247" i="1" s="1"/>
  <c r="A248" i="1" s="1"/>
  <c r="A249" i="1" s="1"/>
  <c r="A250" i="1" s="1"/>
  <c r="A251" i="1" s="1"/>
  <c r="A252" i="1" s="1"/>
  <c r="A253" i="1" s="1"/>
  <c r="A254" i="1" s="1"/>
  <c r="A255" i="1" s="1"/>
  <c r="A256" i="1" s="1"/>
  <c r="G26" i="1"/>
  <c r="K32" i="6" l="1"/>
  <c r="E33" i="6" s="1"/>
  <c r="I32" i="6"/>
  <c r="G32" i="6" s="1"/>
  <c r="J32" i="6"/>
  <c r="H32" i="6" s="1"/>
  <c r="L32" i="6" s="1"/>
  <c r="A281" i="6"/>
  <c r="A270" i="6"/>
  <c r="A271" i="6" s="1"/>
  <c r="A272" i="6" s="1"/>
  <c r="A273" i="6" s="1"/>
  <c r="A274" i="6" s="1"/>
  <c r="A275" i="6" s="1"/>
  <c r="A276" i="6" s="1"/>
  <c r="A277" i="6" s="1"/>
  <c r="A278" i="6" s="1"/>
  <c r="A279" i="6" s="1"/>
  <c r="A280" i="6" s="1"/>
  <c r="C37" i="6"/>
  <c r="B38" i="6"/>
  <c r="D37" i="6"/>
  <c r="H30" i="4"/>
  <c r="D30" i="4"/>
  <c r="I30" i="4" s="1"/>
  <c r="K30" i="4" s="1"/>
  <c r="A274" i="4"/>
  <c r="A275" i="4" s="1"/>
  <c r="A276" i="4" s="1"/>
  <c r="A277" i="4" s="1"/>
  <c r="A278" i="4" s="1"/>
  <c r="A279" i="4" s="1"/>
  <c r="A280" i="4" s="1"/>
  <c r="A281" i="4" s="1"/>
  <c r="A282" i="4" s="1"/>
  <c r="A283" i="4" s="1"/>
  <c r="A284" i="4" s="1"/>
  <c r="A285" i="4"/>
  <c r="J42" i="4"/>
  <c r="B43" i="4"/>
  <c r="G42" i="4"/>
  <c r="A285" i="3"/>
  <c r="A274" i="3"/>
  <c r="A275" i="3" s="1"/>
  <c r="A276" i="3" s="1"/>
  <c r="A277" i="3" s="1"/>
  <c r="A278" i="3" s="1"/>
  <c r="A279" i="3" s="1"/>
  <c r="A280" i="3" s="1"/>
  <c r="A281" i="3" s="1"/>
  <c r="A282" i="3" s="1"/>
  <c r="A283" i="3" s="1"/>
  <c r="A284" i="3" s="1"/>
  <c r="H31" i="3"/>
  <c r="D31" i="3"/>
  <c r="B43" i="3"/>
  <c r="G42" i="3"/>
  <c r="A273" i="2"/>
  <c r="A262" i="2"/>
  <c r="A263" i="2" s="1"/>
  <c r="A264" i="2" s="1"/>
  <c r="A265" i="2" s="1"/>
  <c r="A266" i="2" s="1"/>
  <c r="A267" i="2" s="1"/>
  <c r="A268" i="2" s="1"/>
  <c r="A269" i="2" s="1"/>
  <c r="A270" i="2" s="1"/>
  <c r="A271" i="2" s="1"/>
  <c r="A272" i="2" s="1"/>
  <c r="F39" i="2"/>
  <c r="E39" i="2" s="1"/>
  <c r="C39" i="2"/>
  <c r="G39" i="2" s="1"/>
  <c r="D41" i="2"/>
  <c r="B42" i="2"/>
  <c r="C27" i="1"/>
  <c r="F27" i="1"/>
  <c r="E27" i="1" s="1"/>
  <c r="A269" i="1"/>
  <c r="A258" i="1"/>
  <c r="A259" i="1" s="1"/>
  <c r="A260" i="1" s="1"/>
  <c r="A261" i="1" s="1"/>
  <c r="A262" i="1" s="1"/>
  <c r="A263" i="1" s="1"/>
  <c r="A264" i="1" s="1"/>
  <c r="A265" i="1" s="1"/>
  <c r="A266" i="1" s="1"/>
  <c r="A267" i="1" s="1"/>
  <c r="A268" i="1" s="1"/>
  <c r="A293" i="6" l="1"/>
  <c r="A282" i="6"/>
  <c r="A283" i="6" s="1"/>
  <c r="A284" i="6" s="1"/>
  <c r="A285" i="6" s="1"/>
  <c r="A286" i="6" s="1"/>
  <c r="A287" i="6" s="1"/>
  <c r="A288" i="6" s="1"/>
  <c r="A289" i="6" s="1"/>
  <c r="A290" i="6" s="1"/>
  <c r="A291" i="6" s="1"/>
  <c r="A292" i="6" s="1"/>
  <c r="K33" i="6"/>
  <c r="E34" i="6" s="1"/>
  <c r="I33" i="6"/>
  <c r="G33" i="6" s="1"/>
  <c r="J33" i="6"/>
  <c r="H33" i="6" s="1"/>
  <c r="L33" i="6" s="1"/>
  <c r="C38" i="6"/>
  <c r="B39" i="6"/>
  <c r="D38" i="6"/>
  <c r="B44" i="4"/>
  <c r="G43" i="4"/>
  <c r="J43" i="4"/>
  <c r="A297" i="4"/>
  <c r="A286" i="4"/>
  <c r="A287" i="4" s="1"/>
  <c r="A288" i="4" s="1"/>
  <c r="A289" i="4" s="1"/>
  <c r="A290" i="4" s="1"/>
  <c r="A291" i="4" s="1"/>
  <c r="A292" i="4" s="1"/>
  <c r="A293" i="4" s="1"/>
  <c r="A294" i="4" s="1"/>
  <c r="A295" i="4" s="1"/>
  <c r="A296" i="4" s="1"/>
  <c r="F31" i="4"/>
  <c r="C31" i="4"/>
  <c r="B44" i="3"/>
  <c r="G43" i="3"/>
  <c r="F32" i="3"/>
  <c r="C32" i="3"/>
  <c r="A297" i="3"/>
  <c r="A286" i="3"/>
  <c r="A287" i="3" s="1"/>
  <c r="A288" i="3" s="1"/>
  <c r="A289" i="3" s="1"/>
  <c r="A290" i="3" s="1"/>
  <c r="A291" i="3" s="1"/>
  <c r="A292" i="3" s="1"/>
  <c r="A293" i="3" s="1"/>
  <c r="A294" i="3" s="1"/>
  <c r="A295" i="3" s="1"/>
  <c r="A296" i="3" s="1"/>
  <c r="B43" i="2"/>
  <c r="D42" i="2"/>
  <c r="C40" i="2"/>
  <c r="G40" i="2" s="1"/>
  <c r="F40" i="2"/>
  <c r="E40" i="2" s="1"/>
  <c r="A285" i="2"/>
  <c r="A274" i="2"/>
  <c r="A275" i="2" s="1"/>
  <c r="A276" i="2" s="1"/>
  <c r="A277" i="2" s="1"/>
  <c r="A278" i="2" s="1"/>
  <c r="A279" i="2" s="1"/>
  <c r="A280" i="2" s="1"/>
  <c r="A281" i="2" s="1"/>
  <c r="A282" i="2" s="1"/>
  <c r="A283" i="2" s="1"/>
  <c r="A284" i="2" s="1"/>
  <c r="A281" i="1"/>
  <c r="A270" i="1"/>
  <c r="A271" i="1" s="1"/>
  <c r="A272" i="1" s="1"/>
  <c r="A273" i="1" s="1"/>
  <c r="A274" i="1" s="1"/>
  <c r="A275" i="1" s="1"/>
  <c r="A276" i="1" s="1"/>
  <c r="A277" i="1" s="1"/>
  <c r="A278" i="1" s="1"/>
  <c r="A279" i="1" s="1"/>
  <c r="A280" i="1" s="1"/>
  <c r="G27" i="1"/>
  <c r="K34" i="6" l="1"/>
  <c r="E35" i="6" s="1"/>
  <c r="I34" i="6"/>
  <c r="G34" i="6" s="1"/>
  <c r="J34" i="6"/>
  <c r="H34" i="6" s="1"/>
  <c r="L34" i="6" s="1"/>
  <c r="A305" i="6"/>
  <c r="A306" i="6" s="1"/>
  <c r="A307" i="6" s="1"/>
  <c r="A308" i="6" s="1"/>
  <c r="A309" i="6" s="1"/>
  <c r="A310" i="6" s="1"/>
  <c r="A311" i="6" s="1"/>
  <c r="A312" i="6" s="1"/>
  <c r="A313" i="6" s="1"/>
  <c r="A314" i="6" s="1"/>
  <c r="A315" i="6" s="1"/>
  <c r="A316" i="6" s="1"/>
  <c r="A294" i="6"/>
  <c r="A295" i="6" s="1"/>
  <c r="A296" i="6" s="1"/>
  <c r="A297" i="6" s="1"/>
  <c r="A298" i="6" s="1"/>
  <c r="A299" i="6" s="1"/>
  <c r="A300" i="6" s="1"/>
  <c r="A301" i="6" s="1"/>
  <c r="A302" i="6" s="1"/>
  <c r="A303" i="6" s="1"/>
  <c r="A304" i="6" s="1"/>
  <c r="C39" i="6"/>
  <c r="B40" i="6"/>
  <c r="D39" i="6"/>
  <c r="H31" i="4"/>
  <c r="D31" i="4"/>
  <c r="I31" i="4" s="1"/>
  <c r="K31" i="4" s="1"/>
  <c r="A309" i="4"/>
  <c r="A310" i="4" s="1"/>
  <c r="A311" i="4" s="1"/>
  <c r="A312" i="4" s="1"/>
  <c r="A313" i="4" s="1"/>
  <c r="A314" i="4" s="1"/>
  <c r="A315" i="4" s="1"/>
  <c r="A316" i="4" s="1"/>
  <c r="A317" i="4" s="1"/>
  <c r="A318" i="4" s="1"/>
  <c r="A319" i="4" s="1"/>
  <c r="A320" i="4" s="1"/>
  <c r="A298" i="4"/>
  <c r="A299" i="4" s="1"/>
  <c r="A300" i="4" s="1"/>
  <c r="A301" i="4" s="1"/>
  <c r="A302" i="4" s="1"/>
  <c r="A303" i="4" s="1"/>
  <c r="A304" i="4" s="1"/>
  <c r="A305" i="4" s="1"/>
  <c r="A306" i="4" s="1"/>
  <c r="A307" i="4" s="1"/>
  <c r="A308" i="4" s="1"/>
  <c r="B45" i="4"/>
  <c r="A309" i="3"/>
  <c r="A310" i="3" s="1"/>
  <c r="A311" i="3" s="1"/>
  <c r="A312" i="3" s="1"/>
  <c r="A313" i="3" s="1"/>
  <c r="A314" i="3" s="1"/>
  <c r="A315" i="3" s="1"/>
  <c r="A316" i="3" s="1"/>
  <c r="A317" i="3" s="1"/>
  <c r="A318" i="3" s="1"/>
  <c r="A319" i="3" s="1"/>
  <c r="A320" i="3" s="1"/>
  <c r="A298" i="3"/>
  <c r="A299" i="3" s="1"/>
  <c r="A300" i="3" s="1"/>
  <c r="A301" i="3" s="1"/>
  <c r="A302" i="3" s="1"/>
  <c r="A303" i="3" s="1"/>
  <c r="A304" i="3" s="1"/>
  <c r="A305" i="3" s="1"/>
  <c r="A306" i="3" s="1"/>
  <c r="A307" i="3" s="1"/>
  <c r="A308" i="3" s="1"/>
  <c r="H32" i="3"/>
  <c r="D32" i="3"/>
  <c r="G16" i="3" s="1"/>
  <c r="B45" i="3"/>
  <c r="A297" i="2"/>
  <c r="A286" i="2"/>
  <c r="A287" i="2" s="1"/>
  <c r="A288" i="2" s="1"/>
  <c r="A289" i="2" s="1"/>
  <c r="A290" i="2" s="1"/>
  <c r="A291" i="2" s="1"/>
  <c r="A292" i="2" s="1"/>
  <c r="A293" i="2" s="1"/>
  <c r="A294" i="2" s="1"/>
  <c r="A295" i="2" s="1"/>
  <c r="A296" i="2" s="1"/>
  <c r="F41" i="2"/>
  <c r="E41" i="2" s="1"/>
  <c r="C41" i="2"/>
  <c r="G41" i="2" s="1"/>
  <c r="D43" i="2"/>
  <c r="B44" i="2"/>
  <c r="F28" i="1"/>
  <c r="E28" i="1" s="1"/>
  <c r="A293" i="1"/>
  <c r="A282" i="1"/>
  <c r="A283" i="1" s="1"/>
  <c r="A284" i="1" s="1"/>
  <c r="A285" i="1" s="1"/>
  <c r="A286" i="1" s="1"/>
  <c r="A287" i="1" s="1"/>
  <c r="A288" i="1" s="1"/>
  <c r="A289" i="1" s="1"/>
  <c r="A290" i="1" s="1"/>
  <c r="A291" i="1" s="1"/>
  <c r="A292" i="1" s="1"/>
  <c r="K35" i="6" l="1"/>
  <c r="E36" i="6" s="1"/>
  <c r="I35" i="6"/>
  <c r="G35" i="6" s="1"/>
  <c r="J35" i="6"/>
  <c r="H35" i="6" s="1"/>
  <c r="L35" i="6" s="1"/>
  <c r="C40" i="6"/>
  <c r="B41" i="6"/>
  <c r="D40" i="6"/>
  <c r="B46" i="4"/>
  <c r="G45" i="4"/>
  <c r="J45" i="4"/>
  <c r="F32" i="4"/>
  <c r="C32" i="4"/>
  <c r="B46" i="3"/>
  <c r="G45" i="3"/>
  <c r="F33" i="3"/>
  <c r="C33" i="3"/>
  <c r="B45" i="2"/>
  <c r="D44" i="2"/>
  <c r="C42" i="2"/>
  <c r="G42" i="2" s="1"/>
  <c r="F42" i="2"/>
  <c r="E42" i="2" s="1"/>
  <c r="A298" i="2"/>
  <c r="A299" i="2" s="1"/>
  <c r="A300" i="2" s="1"/>
  <c r="A301" i="2" s="1"/>
  <c r="A302" i="2" s="1"/>
  <c r="A303" i="2" s="1"/>
  <c r="A304" i="2" s="1"/>
  <c r="A305" i="2" s="1"/>
  <c r="A306" i="2" s="1"/>
  <c r="A307" i="2" s="1"/>
  <c r="A308" i="2" s="1"/>
  <c r="A309" i="2"/>
  <c r="A310" i="2" s="1"/>
  <c r="A311" i="2" s="1"/>
  <c r="A312" i="2" s="1"/>
  <c r="A313" i="2" s="1"/>
  <c r="A314" i="2" s="1"/>
  <c r="A315" i="2" s="1"/>
  <c r="A316" i="2" s="1"/>
  <c r="A317" i="2" s="1"/>
  <c r="A318" i="2" s="1"/>
  <c r="A319" i="2" s="1"/>
  <c r="A320" i="2" s="1"/>
  <c r="A294" i="1"/>
  <c r="A295" i="1" s="1"/>
  <c r="A296" i="1" s="1"/>
  <c r="A297" i="1" s="1"/>
  <c r="A298" i="1" s="1"/>
  <c r="A299" i="1" s="1"/>
  <c r="A300" i="1" s="1"/>
  <c r="A301" i="1" s="1"/>
  <c r="A302" i="1" s="1"/>
  <c r="A303" i="1" s="1"/>
  <c r="A304" i="1" s="1"/>
  <c r="A305" i="1"/>
  <c r="A306" i="1" s="1"/>
  <c r="A307" i="1" s="1"/>
  <c r="A308" i="1" s="1"/>
  <c r="A309" i="1" s="1"/>
  <c r="A310" i="1" s="1"/>
  <c r="A311" i="1" s="1"/>
  <c r="A312" i="1" s="1"/>
  <c r="A313" i="1" s="1"/>
  <c r="A314" i="1" s="1"/>
  <c r="A315" i="1" s="1"/>
  <c r="A316" i="1" s="1"/>
  <c r="G28" i="1"/>
  <c r="K36" i="6" l="1"/>
  <c r="E37" i="6" s="1"/>
  <c r="I36" i="6"/>
  <c r="G36" i="6" s="1"/>
  <c r="J36" i="6"/>
  <c r="H36" i="6" s="1"/>
  <c r="L36" i="6" s="1"/>
  <c r="C41" i="6"/>
  <c r="B42" i="6"/>
  <c r="D41" i="6"/>
  <c r="H32" i="4"/>
  <c r="D32" i="4"/>
  <c r="J46" i="4"/>
  <c r="B47" i="4"/>
  <c r="G46" i="4"/>
  <c r="D33" i="3"/>
  <c r="E33" i="3" s="1"/>
  <c r="H33" i="3" s="1"/>
  <c r="B47" i="3"/>
  <c r="G46" i="3"/>
  <c r="F43" i="2"/>
  <c r="E43" i="2" s="1"/>
  <c r="C43" i="2"/>
  <c r="G43" i="2" s="1"/>
  <c r="D45" i="2"/>
  <c r="B46" i="2"/>
  <c r="F29" i="1"/>
  <c r="E29" i="1" s="1"/>
  <c r="C29" i="1"/>
  <c r="G29" i="1" s="1"/>
  <c r="K37" i="6" l="1"/>
  <c r="E38" i="6" s="1"/>
  <c r="I37" i="6"/>
  <c r="G37" i="6" s="1"/>
  <c r="J37" i="6"/>
  <c r="H37" i="6" s="1"/>
  <c r="L37" i="6" s="1"/>
  <c r="C42" i="6"/>
  <c r="B43" i="6"/>
  <c r="D42" i="6"/>
  <c r="B48" i="4"/>
  <c r="G47" i="4"/>
  <c r="J47" i="4"/>
  <c r="I32" i="4"/>
  <c r="K32" i="4" s="1"/>
  <c r="G8" i="4"/>
  <c r="C33" i="4"/>
  <c r="F33" i="4"/>
  <c r="F34" i="3"/>
  <c r="C34" i="3"/>
  <c r="B48" i="3"/>
  <c r="G47" i="3"/>
  <c r="B47" i="2"/>
  <c r="D46" i="2"/>
  <c r="C44" i="2"/>
  <c r="G44" i="2" s="1"/>
  <c r="F44" i="2"/>
  <c r="E44" i="2" s="1"/>
  <c r="C30" i="1"/>
  <c r="F30" i="1"/>
  <c r="E30" i="1" s="1"/>
  <c r="K38" i="6" l="1"/>
  <c r="E39" i="6" s="1"/>
  <c r="I38" i="6"/>
  <c r="G38" i="6" s="1"/>
  <c r="J38" i="6"/>
  <c r="H38" i="6" s="1"/>
  <c r="L38" i="6" s="1"/>
  <c r="C43" i="6"/>
  <c r="B44" i="6"/>
  <c r="D43" i="6"/>
  <c r="D33" i="4"/>
  <c r="J48" i="4"/>
  <c r="B49" i="4"/>
  <c r="G48" i="4"/>
  <c r="D34" i="3"/>
  <c r="E34" i="3" s="1"/>
  <c r="H34" i="3" s="1"/>
  <c r="B49" i="3"/>
  <c r="G48" i="3"/>
  <c r="F45" i="2"/>
  <c r="E45" i="2" s="1"/>
  <c r="C45" i="2"/>
  <c r="G45" i="2" s="1"/>
  <c r="D47" i="2"/>
  <c r="B48" i="2"/>
  <c r="G30" i="1"/>
  <c r="K39" i="6" l="1"/>
  <c r="E40" i="6" s="1"/>
  <c r="I39" i="6"/>
  <c r="G39" i="6" s="1"/>
  <c r="J39" i="6"/>
  <c r="H39" i="6" s="1"/>
  <c r="L39" i="6" s="1"/>
  <c r="C44" i="6"/>
  <c r="B45" i="6"/>
  <c r="D44" i="6"/>
  <c r="I33" i="4"/>
  <c r="K33" i="4" s="1"/>
  <c r="E33" i="4"/>
  <c r="H33" i="4" s="1"/>
  <c r="B50" i="4"/>
  <c r="G49" i="4"/>
  <c r="J49" i="4"/>
  <c r="F35" i="3"/>
  <c r="C35" i="3"/>
  <c r="B50" i="3"/>
  <c r="G49" i="3"/>
  <c r="B49" i="2"/>
  <c r="D48" i="2"/>
  <c r="C46" i="2"/>
  <c r="G46" i="2" s="1"/>
  <c r="F46" i="2"/>
  <c r="E46" i="2" s="1"/>
  <c r="F31" i="1"/>
  <c r="E31" i="1" s="1"/>
  <c r="C31" i="1"/>
  <c r="G31" i="1" s="1"/>
  <c r="K40" i="6" l="1"/>
  <c r="E41" i="6" s="1"/>
  <c r="I40" i="6"/>
  <c r="G40" i="6" s="1"/>
  <c r="J40" i="6"/>
  <c r="H40" i="6" s="1"/>
  <c r="L40" i="6" s="1"/>
  <c r="C45" i="6"/>
  <c r="B46" i="6"/>
  <c r="D45" i="6"/>
  <c r="F34" i="4"/>
  <c r="C34" i="4"/>
  <c r="J50" i="4"/>
  <c r="B51" i="4"/>
  <c r="G50" i="4"/>
  <c r="D35" i="3"/>
  <c r="E35" i="3" s="1"/>
  <c r="H35" i="3" s="1"/>
  <c r="B51" i="3"/>
  <c r="G50" i="3"/>
  <c r="F47" i="2"/>
  <c r="E47" i="2" s="1"/>
  <c r="C47" i="2"/>
  <c r="G47" i="2" s="1"/>
  <c r="D49" i="2"/>
  <c r="B50" i="2"/>
  <c r="C32" i="1"/>
  <c r="F32" i="1"/>
  <c r="E32" i="1" s="1"/>
  <c r="K41" i="6" l="1"/>
  <c r="E42" i="6" s="1"/>
  <c r="I41" i="6"/>
  <c r="G41" i="6" s="1"/>
  <c r="J41" i="6"/>
  <c r="H41" i="6" s="1"/>
  <c r="L41" i="6" s="1"/>
  <c r="C46" i="6"/>
  <c r="B47" i="6"/>
  <c r="D46" i="6"/>
  <c r="B52" i="4"/>
  <c r="G51" i="4"/>
  <c r="J51" i="4"/>
  <c r="D34" i="4"/>
  <c r="F36" i="3"/>
  <c r="C36" i="3"/>
  <c r="B52" i="3"/>
  <c r="G51" i="3"/>
  <c r="B51" i="2"/>
  <c r="D50" i="2"/>
  <c r="C48" i="2"/>
  <c r="G48" i="2" s="1"/>
  <c r="F48" i="2"/>
  <c r="E48" i="2" s="1"/>
  <c r="G32" i="1"/>
  <c r="K42" i="6" l="1"/>
  <c r="E43" i="6" s="1"/>
  <c r="I42" i="6"/>
  <c r="G42" i="6" s="1"/>
  <c r="J42" i="6"/>
  <c r="H42" i="6" s="1"/>
  <c r="L42" i="6" s="1"/>
  <c r="C47" i="6"/>
  <c r="B48" i="6"/>
  <c r="D47" i="6"/>
  <c r="I34" i="4"/>
  <c r="K34" i="4" s="1"/>
  <c r="E34" i="4"/>
  <c r="H34" i="4" s="1"/>
  <c r="J52" i="4"/>
  <c r="B53" i="4"/>
  <c r="G52" i="4"/>
  <c r="D36" i="3"/>
  <c r="E36" i="3" s="1"/>
  <c r="H36" i="3" s="1"/>
  <c r="B53" i="3"/>
  <c r="G52" i="3"/>
  <c r="F49" i="2"/>
  <c r="E49" i="2" s="1"/>
  <c r="C49" i="2"/>
  <c r="G49" i="2" s="1"/>
  <c r="D51" i="2"/>
  <c r="B52" i="2"/>
  <c r="F33" i="1"/>
  <c r="E33" i="1" s="1"/>
  <c r="C33" i="1"/>
  <c r="G33" i="1" s="1"/>
  <c r="K43" i="6" l="1"/>
  <c r="E44" i="6" s="1"/>
  <c r="I43" i="6"/>
  <c r="G43" i="6" s="1"/>
  <c r="J43" i="6"/>
  <c r="H43" i="6" s="1"/>
  <c r="L43" i="6" s="1"/>
  <c r="C48" i="6"/>
  <c r="B49" i="6"/>
  <c r="D48" i="6"/>
  <c r="B54" i="4"/>
  <c r="G53" i="4"/>
  <c r="J53" i="4"/>
  <c r="C35" i="4"/>
  <c r="F35" i="4"/>
  <c r="F37" i="3"/>
  <c r="C37" i="3"/>
  <c r="B54" i="3"/>
  <c r="G53" i="3"/>
  <c r="B53" i="2"/>
  <c r="D52" i="2"/>
  <c r="C50" i="2"/>
  <c r="G50" i="2" s="1"/>
  <c r="F50" i="2"/>
  <c r="E50" i="2" s="1"/>
  <c r="C34" i="1"/>
  <c r="F34" i="1"/>
  <c r="E34" i="1" s="1"/>
  <c r="K44" i="6" l="1"/>
  <c r="E45" i="6" s="1"/>
  <c r="I44" i="6"/>
  <c r="G44" i="6" s="1"/>
  <c r="J44" i="6"/>
  <c r="H44" i="6" s="1"/>
  <c r="L44" i="6" s="1"/>
  <c r="C49" i="6"/>
  <c r="B50" i="6"/>
  <c r="D49" i="6"/>
  <c r="D35" i="4"/>
  <c r="J54" i="4"/>
  <c r="B55" i="4"/>
  <c r="G54" i="4"/>
  <c r="D37" i="3"/>
  <c r="E37" i="3" s="1"/>
  <c r="H37" i="3" s="1"/>
  <c r="B55" i="3"/>
  <c r="G54" i="3"/>
  <c r="F51" i="2"/>
  <c r="E51" i="2" s="1"/>
  <c r="C51" i="2"/>
  <c r="G51" i="2" s="1"/>
  <c r="D53" i="2"/>
  <c r="B54" i="2"/>
  <c r="G34" i="1"/>
  <c r="K45" i="6" l="1"/>
  <c r="E46" i="6" s="1"/>
  <c r="I45" i="6"/>
  <c r="G45" i="6" s="1"/>
  <c r="J45" i="6"/>
  <c r="H45" i="6" s="1"/>
  <c r="L45" i="6" s="1"/>
  <c r="C50" i="6"/>
  <c r="B51" i="6"/>
  <c r="D50" i="6"/>
  <c r="B56" i="4"/>
  <c r="G55" i="4"/>
  <c r="J55" i="4"/>
  <c r="I35" i="4"/>
  <c r="K35" i="4" s="1"/>
  <c r="E35" i="4"/>
  <c r="H35" i="4" s="1"/>
  <c r="F38" i="3"/>
  <c r="C38" i="3"/>
  <c r="B56" i="3"/>
  <c r="G55" i="3"/>
  <c r="B55" i="2"/>
  <c r="D54" i="2"/>
  <c r="C52" i="2"/>
  <c r="G52" i="2" s="1"/>
  <c r="F52" i="2"/>
  <c r="E52" i="2" s="1"/>
  <c r="F35" i="1"/>
  <c r="E35" i="1" s="1"/>
  <c r="C35" i="1"/>
  <c r="G35" i="1" s="1"/>
  <c r="K46" i="6" l="1"/>
  <c r="E47" i="6" s="1"/>
  <c r="I46" i="6"/>
  <c r="G46" i="6" s="1"/>
  <c r="J46" i="6"/>
  <c r="H46" i="6" s="1"/>
  <c r="L46" i="6" s="1"/>
  <c r="C51" i="6"/>
  <c r="B52" i="6"/>
  <c r="D51" i="6"/>
  <c r="F36" i="4"/>
  <c r="C36" i="4"/>
  <c r="J56" i="4"/>
  <c r="B57" i="4"/>
  <c r="G56" i="4"/>
  <c r="D38" i="3"/>
  <c r="E38" i="3" s="1"/>
  <c r="H38" i="3" s="1"/>
  <c r="B57" i="3"/>
  <c r="G56" i="3"/>
  <c r="F53" i="2"/>
  <c r="E53" i="2" s="1"/>
  <c r="C53" i="2"/>
  <c r="G53" i="2" s="1"/>
  <c r="D55" i="2"/>
  <c r="B56" i="2"/>
  <c r="C36" i="1"/>
  <c r="F36" i="1"/>
  <c r="E36" i="1" s="1"/>
  <c r="K47" i="6" l="1"/>
  <c r="E48" i="6" s="1"/>
  <c r="I47" i="6"/>
  <c r="G47" i="6" s="1"/>
  <c r="J47" i="6"/>
  <c r="H47" i="6" s="1"/>
  <c r="L47" i="6" s="1"/>
  <c r="C52" i="6"/>
  <c r="B53" i="6"/>
  <c r="D52" i="6"/>
  <c r="B58" i="4"/>
  <c r="G57" i="4"/>
  <c r="J57" i="4"/>
  <c r="D36" i="4"/>
  <c r="F39" i="3"/>
  <c r="C39" i="3"/>
  <c r="B58" i="3"/>
  <c r="G57" i="3"/>
  <c r="B57" i="2"/>
  <c r="D56" i="2"/>
  <c r="C54" i="2"/>
  <c r="G54" i="2" s="1"/>
  <c r="F54" i="2"/>
  <c r="E54" i="2" s="1"/>
  <c r="G36" i="1"/>
  <c r="K48" i="6" l="1"/>
  <c r="E49" i="6" s="1"/>
  <c r="I48" i="6"/>
  <c r="G48" i="6" s="1"/>
  <c r="J48" i="6"/>
  <c r="H48" i="6" s="1"/>
  <c r="L48" i="6" s="1"/>
  <c r="C53" i="6"/>
  <c r="B54" i="6"/>
  <c r="D53" i="6"/>
  <c r="I36" i="4"/>
  <c r="K36" i="4" s="1"/>
  <c r="E36" i="4"/>
  <c r="H36" i="4" s="1"/>
  <c r="J58" i="4"/>
  <c r="B59" i="4"/>
  <c r="G58" i="4"/>
  <c r="D39" i="3"/>
  <c r="E39" i="3" s="1"/>
  <c r="H39" i="3" s="1"/>
  <c r="B59" i="3"/>
  <c r="G58" i="3"/>
  <c r="F55" i="2"/>
  <c r="E55" i="2" s="1"/>
  <c r="C55" i="2"/>
  <c r="G55" i="2" s="1"/>
  <c r="D57" i="2"/>
  <c r="B58" i="2"/>
  <c r="F37" i="1"/>
  <c r="E37" i="1" s="1"/>
  <c r="C37" i="1"/>
  <c r="G37" i="1" s="1"/>
  <c r="K49" i="6" l="1"/>
  <c r="E50" i="6" s="1"/>
  <c r="I49" i="6"/>
  <c r="G49" i="6" s="1"/>
  <c r="J49" i="6"/>
  <c r="H49" i="6" s="1"/>
  <c r="L49" i="6" s="1"/>
  <c r="C54" i="6"/>
  <c r="B55" i="6"/>
  <c r="D54" i="6"/>
  <c r="B60" i="4"/>
  <c r="G59" i="4"/>
  <c r="J59" i="4"/>
  <c r="C37" i="4"/>
  <c r="F37" i="4"/>
  <c r="F40" i="3"/>
  <c r="C40" i="3"/>
  <c r="B60" i="3"/>
  <c r="G59" i="3"/>
  <c r="B59" i="2"/>
  <c r="D58" i="2"/>
  <c r="C56" i="2"/>
  <c r="G56" i="2" s="1"/>
  <c r="F56" i="2"/>
  <c r="E56" i="2" s="1"/>
  <c r="C38" i="1"/>
  <c r="F38" i="1"/>
  <c r="E38" i="1" s="1"/>
  <c r="K50" i="6" l="1"/>
  <c r="E51" i="6" s="1"/>
  <c r="I50" i="6"/>
  <c r="G50" i="6" s="1"/>
  <c r="J50" i="6"/>
  <c r="H50" i="6" s="1"/>
  <c r="L50" i="6" s="1"/>
  <c r="C55" i="6"/>
  <c r="B56" i="6"/>
  <c r="D55" i="6"/>
  <c r="D37" i="4"/>
  <c r="J60" i="4"/>
  <c r="B61" i="4"/>
  <c r="G60" i="4"/>
  <c r="D40" i="3"/>
  <c r="E40" i="3" s="1"/>
  <c r="H40" i="3" s="1"/>
  <c r="B61" i="3"/>
  <c r="G60" i="3"/>
  <c r="F57" i="2"/>
  <c r="E57" i="2" s="1"/>
  <c r="C57" i="2"/>
  <c r="G57" i="2" s="1"/>
  <c r="D59" i="2"/>
  <c r="B60" i="2"/>
  <c r="G38" i="1"/>
  <c r="K51" i="6" l="1"/>
  <c r="E52" i="6" s="1"/>
  <c r="I51" i="6"/>
  <c r="G51" i="6" s="1"/>
  <c r="J51" i="6"/>
  <c r="H51" i="6" s="1"/>
  <c r="L51" i="6" s="1"/>
  <c r="C56" i="6"/>
  <c r="B57" i="6"/>
  <c r="D56" i="6"/>
  <c r="B62" i="4"/>
  <c r="G61" i="4"/>
  <c r="J61" i="4"/>
  <c r="I37" i="4"/>
  <c r="K37" i="4" s="1"/>
  <c r="E37" i="4"/>
  <c r="H37" i="4" s="1"/>
  <c r="F41" i="3"/>
  <c r="C41" i="3"/>
  <c r="B62" i="3"/>
  <c r="G61" i="3"/>
  <c r="B61" i="2"/>
  <c r="D60" i="2"/>
  <c r="C58" i="2"/>
  <c r="G58" i="2" s="1"/>
  <c r="F58" i="2"/>
  <c r="E58" i="2" s="1"/>
  <c r="F39" i="1"/>
  <c r="E39" i="1" s="1"/>
  <c r="C39" i="1"/>
  <c r="G39" i="1" s="1"/>
  <c r="K52" i="6" l="1"/>
  <c r="E53" i="6" s="1"/>
  <c r="I52" i="6"/>
  <c r="G52" i="6" s="1"/>
  <c r="J52" i="6"/>
  <c r="H52" i="6" s="1"/>
  <c r="L52" i="6" s="1"/>
  <c r="C57" i="6"/>
  <c r="B58" i="6"/>
  <c r="D57" i="6"/>
  <c r="F38" i="4"/>
  <c r="C38" i="4"/>
  <c r="J62" i="4"/>
  <c r="B63" i="4"/>
  <c r="G62" i="4"/>
  <c r="D41" i="3"/>
  <c r="E41" i="3" s="1"/>
  <c r="H41" i="3" s="1"/>
  <c r="B63" i="3"/>
  <c r="G62" i="3"/>
  <c r="F59" i="2"/>
  <c r="E59" i="2" s="1"/>
  <c r="C59" i="2"/>
  <c r="G59" i="2" s="1"/>
  <c r="D61" i="2"/>
  <c r="B62" i="2"/>
  <c r="C40" i="1"/>
  <c r="F40" i="1"/>
  <c r="E40" i="1" s="1"/>
  <c r="K53" i="6" l="1"/>
  <c r="E54" i="6" s="1"/>
  <c r="I53" i="6"/>
  <c r="G53" i="6" s="1"/>
  <c r="J53" i="6"/>
  <c r="H53" i="6" s="1"/>
  <c r="L53" i="6" s="1"/>
  <c r="C58" i="6"/>
  <c r="B59" i="6"/>
  <c r="D58" i="6"/>
  <c r="B64" i="4"/>
  <c r="G63" i="4"/>
  <c r="J63" i="4"/>
  <c r="D38" i="4"/>
  <c r="F42" i="3"/>
  <c r="C42" i="3"/>
  <c r="B64" i="3"/>
  <c r="G63" i="3"/>
  <c r="B63" i="2"/>
  <c r="D62" i="2"/>
  <c r="C60" i="2"/>
  <c r="G60" i="2" s="1"/>
  <c r="F60" i="2"/>
  <c r="E60" i="2" s="1"/>
  <c r="G40" i="1"/>
  <c r="K54" i="6" l="1"/>
  <c r="E55" i="6" s="1"/>
  <c r="I54" i="6"/>
  <c r="G54" i="6" s="1"/>
  <c r="J54" i="6"/>
  <c r="H54" i="6" s="1"/>
  <c r="L54" i="6" s="1"/>
  <c r="C59" i="6"/>
  <c r="B60" i="6"/>
  <c r="D59" i="6"/>
  <c r="I38" i="4"/>
  <c r="K38" i="4" s="1"/>
  <c r="E38" i="4"/>
  <c r="H38" i="4" s="1"/>
  <c r="J64" i="4"/>
  <c r="B65" i="4"/>
  <c r="G64" i="4"/>
  <c r="D42" i="3"/>
  <c r="E42" i="3" s="1"/>
  <c r="H42" i="3" s="1"/>
  <c r="B65" i="3"/>
  <c r="G64" i="3"/>
  <c r="F61" i="2"/>
  <c r="E61" i="2" s="1"/>
  <c r="C61" i="2"/>
  <c r="G61" i="2" s="1"/>
  <c r="D63" i="2"/>
  <c r="B64" i="2"/>
  <c r="F41" i="1"/>
  <c r="E41" i="1" s="1"/>
  <c r="C41" i="1"/>
  <c r="G41" i="1" s="1"/>
  <c r="K55" i="6" l="1"/>
  <c r="E56" i="6" s="1"/>
  <c r="I55" i="6"/>
  <c r="G55" i="6" s="1"/>
  <c r="J55" i="6"/>
  <c r="H55" i="6" s="1"/>
  <c r="L55" i="6" s="1"/>
  <c r="C60" i="6"/>
  <c r="B61" i="6"/>
  <c r="D60" i="6"/>
  <c r="B66" i="4"/>
  <c r="G65" i="4"/>
  <c r="J65" i="4"/>
  <c r="C39" i="4"/>
  <c r="F39" i="4"/>
  <c r="F43" i="3"/>
  <c r="C43" i="3"/>
  <c r="B66" i="3"/>
  <c r="G65" i="3"/>
  <c r="B65" i="2"/>
  <c r="D64" i="2"/>
  <c r="C62" i="2"/>
  <c r="G62" i="2" s="1"/>
  <c r="F62" i="2"/>
  <c r="E62" i="2" s="1"/>
  <c r="C42" i="1"/>
  <c r="F42" i="1"/>
  <c r="E42" i="1" s="1"/>
  <c r="K56" i="6" l="1"/>
  <c r="E57" i="6" s="1"/>
  <c r="I56" i="6"/>
  <c r="G56" i="6" s="1"/>
  <c r="J56" i="6"/>
  <c r="H56" i="6" s="1"/>
  <c r="L56" i="6" s="1"/>
  <c r="C61" i="6"/>
  <c r="B62" i="6"/>
  <c r="D61" i="6"/>
  <c r="D39" i="4"/>
  <c r="J66" i="4"/>
  <c r="B67" i="4"/>
  <c r="G66" i="4"/>
  <c r="D43" i="3"/>
  <c r="E43" i="3" s="1"/>
  <c r="H43" i="3" s="1"/>
  <c r="B67" i="3"/>
  <c r="G66" i="3"/>
  <c r="F63" i="2"/>
  <c r="E63" i="2" s="1"/>
  <c r="C63" i="2"/>
  <c r="G63" i="2" s="1"/>
  <c r="D65" i="2"/>
  <c r="B66" i="2"/>
  <c r="G42" i="1"/>
  <c r="K57" i="6" l="1"/>
  <c r="E58" i="6" s="1"/>
  <c r="I57" i="6"/>
  <c r="G57" i="6" s="1"/>
  <c r="J57" i="6"/>
  <c r="H57" i="6" s="1"/>
  <c r="L57" i="6" s="1"/>
  <c r="C62" i="6"/>
  <c r="B63" i="6"/>
  <c r="D62" i="6"/>
  <c r="B68" i="4"/>
  <c r="G67" i="4"/>
  <c r="J67" i="4"/>
  <c r="I39" i="4"/>
  <c r="K39" i="4" s="1"/>
  <c r="E39" i="4"/>
  <c r="H39" i="4" s="1"/>
  <c r="F44" i="3"/>
  <c r="C44" i="3"/>
  <c r="B68" i="3"/>
  <c r="G67" i="3"/>
  <c r="B67" i="2"/>
  <c r="D66" i="2"/>
  <c r="C64" i="2"/>
  <c r="G64" i="2" s="1"/>
  <c r="F64" i="2"/>
  <c r="E64" i="2" s="1"/>
  <c r="F43" i="1"/>
  <c r="E43" i="1" s="1"/>
  <c r="C43" i="1"/>
  <c r="G43" i="1" s="1"/>
  <c r="K58" i="6" l="1"/>
  <c r="E59" i="6" s="1"/>
  <c r="I58" i="6"/>
  <c r="G58" i="6" s="1"/>
  <c r="J58" i="6"/>
  <c r="H58" i="6" s="1"/>
  <c r="L58" i="6" s="1"/>
  <c r="C63" i="6"/>
  <c r="B64" i="6"/>
  <c r="D63" i="6"/>
  <c r="F40" i="4"/>
  <c r="C40" i="4"/>
  <c r="J68" i="4"/>
  <c r="B69" i="4"/>
  <c r="G68" i="4"/>
  <c r="D44" i="3"/>
  <c r="E44" i="3" s="1"/>
  <c r="B69" i="3"/>
  <c r="G68" i="3"/>
  <c r="F65" i="2"/>
  <c r="E65" i="2" s="1"/>
  <c r="C65" i="2"/>
  <c r="G65" i="2" s="1"/>
  <c r="D67" i="2"/>
  <c r="B68" i="2"/>
  <c r="C44" i="1"/>
  <c r="F44" i="1"/>
  <c r="E44" i="1" s="1"/>
  <c r="K59" i="6" l="1"/>
  <c r="E60" i="6" s="1"/>
  <c r="I59" i="6"/>
  <c r="G59" i="6" s="1"/>
  <c r="J59" i="6"/>
  <c r="H59" i="6" s="1"/>
  <c r="L59" i="6" s="1"/>
  <c r="C64" i="6"/>
  <c r="B65" i="6"/>
  <c r="D64" i="6"/>
  <c r="B70" i="4"/>
  <c r="G69" i="4"/>
  <c r="J69" i="4"/>
  <c r="D40" i="4"/>
  <c r="B70" i="3"/>
  <c r="G69" i="3"/>
  <c r="G44" i="3"/>
  <c r="H44" i="3" s="1"/>
  <c r="B69" i="2"/>
  <c r="D68" i="2"/>
  <c r="C66" i="2"/>
  <c r="G66" i="2" s="1"/>
  <c r="F66" i="2"/>
  <c r="E66" i="2" s="1"/>
  <c r="G44" i="1"/>
  <c r="K60" i="6" l="1"/>
  <c r="E61" i="6" s="1"/>
  <c r="I60" i="6"/>
  <c r="G60" i="6" s="1"/>
  <c r="J60" i="6"/>
  <c r="H60" i="6" s="1"/>
  <c r="L60" i="6" s="1"/>
  <c r="C65" i="6"/>
  <c r="B66" i="6"/>
  <c r="D65" i="6"/>
  <c r="I40" i="4"/>
  <c r="K40" i="4" s="1"/>
  <c r="E40" i="4"/>
  <c r="H40" i="4" s="1"/>
  <c r="J70" i="4"/>
  <c r="B71" i="4"/>
  <c r="G70" i="4"/>
  <c r="F45" i="3"/>
  <c r="C45" i="3"/>
  <c r="B71" i="3"/>
  <c r="G70" i="3"/>
  <c r="F67" i="2"/>
  <c r="E67" i="2" s="1"/>
  <c r="C67" i="2"/>
  <c r="G67" i="2" s="1"/>
  <c r="D69" i="2"/>
  <c r="B70" i="2"/>
  <c r="F45" i="1"/>
  <c r="E45" i="1" s="1"/>
  <c r="C45" i="1"/>
  <c r="G45" i="1" s="1"/>
  <c r="K61" i="6" l="1"/>
  <c r="E62" i="6" s="1"/>
  <c r="I61" i="6"/>
  <c r="G61" i="6" s="1"/>
  <c r="J61" i="6"/>
  <c r="H61" i="6" s="1"/>
  <c r="L61" i="6" s="1"/>
  <c r="C66" i="6"/>
  <c r="B67" i="6"/>
  <c r="D66" i="6"/>
  <c r="B72" i="4"/>
  <c r="G71" i="4"/>
  <c r="J71" i="4"/>
  <c r="C41" i="4"/>
  <c r="F41" i="4"/>
  <c r="D45" i="3"/>
  <c r="E45" i="3" s="1"/>
  <c r="H45" i="3" s="1"/>
  <c r="B72" i="3"/>
  <c r="G71" i="3"/>
  <c r="B71" i="2"/>
  <c r="D70" i="2"/>
  <c r="C68" i="2"/>
  <c r="G68" i="2" s="1"/>
  <c r="F68" i="2"/>
  <c r="E68" i="2" s="1"/>
  <c r="C46" i="1"/>
  <c r="F46" i="1"/>
  <c r="E46" i="1" s="1"/>
  <c r="K62" i="6" l="1"/>
  <c r="E63" i="6" s="1"/>
  <c r="I62" i="6"/>
  <c r="G62" i="6" s="1"/>
  <c r="J62" i="6"/>
  <c r="H62" i="6" s="1"/>
  <c r="L62" i="6" s="1"/>
  <c r="C67" i="6"/>
  <c r="B68" i="6"/>
  <c r="D67" i="6"/>
  <c r="D41" i="4"/>
  <c r="J72" i="4"/>
  <c r="B73" i="4"/>
  <c r="G72" i="4"/>
  <c r="F46" i="3"/>
  <c r="C46" i="3"/>
  <c r="B73" i="3"/>
  <c r="G72" i="3"/>
  <c r="F69" i="2"/>
  <c r="E69" i="2" s="1"/>
  <c r="C69" i="2"/>
  <c r="G69" i="2" s="1"/>
  <c r="D71" i="2"/>
  <c r="B72" i="2"/>
  <c r="G46" i="1"/>
  <c r="K63" i="6" l="1"/>
  <c r="E64" i="6" s="1"/>
  <c r="I63" i="6"/>
  <c r="G63" i="6" s="1"/>
  <c r="J63" i="6"/>
  <c r="H63" i="6" s="1"/>
  <c r="L63" i="6" s="1"/>
  <c r="C68" i="6"/>
  <c r="B69" i="6"/>
  <c r="D68" i="6"/>
  <c r="I41" i="4"/>
  <c r="K41" i="4" s="1"/>
  <c r="E41" i="4"/>
  <c r="H41" i="4" s="1"/>
  <c r="B74" i="4"/>
  <c r="G73" i="4"/>
  <c r="J73" i="4"/>
  <c r="D46" i="3"/>
  <c r="E46" i="3" s="1"/>
  <c r="H46" i="3" s="1"/>
  <c r="B74" i="3"/>
  <c r="G73" i="3"/>
  <c r="B73" i="2"/>
  <c r="D72" i="2"/>
  <c r="C70" i="2"/>
  <c r="G70" i="2" s="1"/>
  <c r="F70" i="2"/>
  <c r="E70" i="2" s="1"/>
  <c r="F47" i="1"/>
  <c r="E47" i="1" s="1"/>
  <c r="C47" i="1"/>
  <c r="G47" i="1" s="1"/>
  <c r="K64" i="6" l="1"/>
  <c r="E65" i="6" s="1"/>
  <c r="I64" i="6"/>
  <c r="G64" i="6" s="1"/>
  <c r="J64" i="6"/>
  <c r="H64" i="6" s="1"/>
  <c r="L64" i="6" s="1"/>
  <c r="C69" i="6"/>
  <c r="B70" i="6"/>
  <c r="D69" i="6"/>
  <c r="F42" i="4"/>
  <c r="C42" i="4"/>
  <c r="J74" i="4"/>
  <c r="B75" i="4"/>
  <c r="G74" i="4"/>
  <c r="F47" i="3"/>
  <c r="C47" i="3"/>
  <c r="B75" i="3"/>
  <c r="G74" i="3"/>
  <c r="F71" i="2"/>
  <c r="E71" i="2" s="1"/>
  <c r="C71" i="2"/>
  <c r="G71" i="2" s="1"/>
  <c r="D73" i="2"/>
  <c r="B74" i="2"/>
  <c r="C48" i="1"/>
  <c r="F48" i="1"/>
  <c r="E48" i="1" s="1"/>
  <c r="K65" i="6" l="1"/>
  <c r="E66" i="6" s="1"/>
  <c r="I65" i="6"/>
  <c r="G65" i="6" s="1"/>
  <c r="J65" i="6"/>
  <c r="H65" i="6" s="1"/>
  <c r="L65" i="6" s="1"/>
  <c r="C70" i="6"/>
  <c r="B71" i="6"/>
  <c r="D70" i="6"/>
  <c r="B76" i="4"/>
  <c r="G75" i="4"/>
  <c r="J75" i="4"/>
  <c r="D42" i="4"/>
  <c r="D47" i="3"/>
  <c r="E47" i="3" s="1"/>
  <c r="H47" i="3" s="1"/>
  <c r="B76" i="3"/>
  <c r="G75" i="3"/>
  <c r="B75" i="2"/>
  <c r="D74" i="2"/>
  <c r="C72" i="2"/>
  <c r="G72" i="2" s="1"/>
  <c r="F72" i="2"/>
  <c r="E72" i="2" s="1"/>
  <c r="G48" i="1"/>
  <c r="K66" i="6" l="1"/>
  <c r="E67" i="6" s="1"/>
  <c r="I66" i="6"/>
  <c r="G66" i="6" s="1"/>
  <c r="J66" i="6"/>
  <c r="H66" i="6" s="1"/>
  <c r="L66" i="6" s="1"/>
  <c r="C71" i="6"/>
  <c r="B72" i="6"/>
  <c r="D71" i="6"/>
  <c r="I42" i="4"/>
  <c r="K42" i="4" s="1"/>
  <c r="E42" i="4"/>
  <c r="H42" i="4" s="1"/>
  <c r="J76" i="4"/>
  <c r="B77" i="4"/>
  <c r="G76" i="4"/>
  <c r="F48" i="3"/>
  <c r="C48" i="3"/>
  <c r="B77" i="3"/>
  <c r="G76" i="3"/>
  <c r="F73" i="2"/>
  <c r="E73" i="2" s="1"/>
  <c r="C73" i="2"/>
  <c r="G73" i="2" s="1"/>
  <c r="D75" i="2"/>
  <c r="B76" i="2"/>
  <c r="F49" i="1"/>
  <c r="E49" i="1" s="1"/>
  <c r="C49" i="1"/>
  <c r="G49" i="1" s="1"/>
  <c r="K67" i="6" l="1"/>
  <c r="E68" i="6" s="1"/>
  <c r="I67" i="6"/>
  <c r="G67" i="6" s="1"/>
  <c r="J67" i="6"/>
  <c r="H67" i="6" s="1"/>
  <c r="L67" i="6" s="1"/>
  <c r="C72" i="6"/>
  <c r="B73" i="6"/>
  <c r="D72" i="6"/>
  <c r="B78" i="4"/>
  <c r="G77" i="4"/>
  <c r="J77" i="4"/>
  <c r="C43" i="4"/>
  <c r="F43" i="4"/>
  <c r="D48" i="3"/>
  <c r="E48" i="3" s="1"/>
  <c r="H48" i="3" s="1"/>
  <c r="B78" i="3"/>
  <c r="G77" i="3"/>
  <c r="B77" i="2"/>
  <c r="D76" i="2"/>
  <c r="C74" i="2"/>
  <c r="G74" i="2" s="1"/>
  <c r="F74" i="2"/>
  <c r="E74" i="2" s="1"/>
  <c r="C50" i="1"/>
  <c r="F50" i="1"/>
  <c r="E50" i="1" s="1"/>
  <c r="K68" i="6" l="1"/>
  <c r="E69" i="6" s="1"/>
  <c r="I68" i="6"/>
  <c r="G68" i="6" s="1"/>
  <c r="J68" i="6"/>
  <c r="H68" i="6" s="1"/>
  <c r="L68" i="6" s="1"/>
  <c r="C73" i="6"/>
  <c r="B74" i="6"/>
  <c r="D73" i="6"/>
  <c r="D43" i="4"/>
  <c r="J78" i="4"/>
  <c r="B79" i="4"/>
  <c r="G78" i="4"/>
  <c r="F49" i="3"/>
  <c r="C49" i="3"/>
  <c r="B79" i="3"/>
  <c r="G78" i="3"/>
  <c r="F75" i="2"/>
  <c r="E75" i="2" s="1"/>
  <c r="C75" i="2"/>
  <c r="G75" i="2" s="1"/>
  <c r="D77" i="2"/>
  <c r="B78" i="2"/>
  <c r="G50" i="1"/>
  <c r="K69" i="6" l="1"/>
  <c r="E70" i="6" s="1"/>
  <c r="I69" i="6"/>
  <c r="G69" i="6" s="1"/>
  <c r="J69" i="6"/>
  <c r="H69" i="6" s="1"/>
  <c r="L69" i="6" s="1"/>
  <c r="C74" i="6"/>
  <c r="B75" i="6"/>
  <c r="D74" i="6"/>
  <c r="B80" i="4"/>
  <c r="G79" i="4"/>
  <c r="J79" i="4"/>
  <c r="I43" i="4"/>
  <c r="K43" i="4" s="1"/>
  <c r="E43" i="4"/>
  <c r="H43" i="4" s="1"/>
  <c r="D49" i="3"/>
  <c r="E49" i="3" s="1"/>
  <c r="H49" i="3" s="1"/>
  <c r="B80" i="3"/>
  <c r="G79" i="3"/>
  <c r="B79" i="2"/>
  <c r="D78" i="2"/>
  <c r="C76" i="2"/>
  <c r="G76" i="2" s="1"/>
  <c r="F76" i="2"/>
  <c r="E76" i="2" s="1"/>
  <c r="F51" i="1"/>
  <c r="E51" i="1" s="1"/>
  <c r="C51" i="1"/>
  <c r="G51" i="1" s="1"/>
  <c r="K70" i="6" l="1"/>
  <c r="E71" i="6" s="1"/>
  <c r="I70" i="6"/>
  <c r="G70" i="6" s="1"/>
  <c r="J70" i="6"/>
  <c r="H70" i="6" s="1"/>
  <c r="L70" i="6" s="1"/>
  <c r="C75" i="6"/>
  <c r="B76" i="6"/>
  <c r="D75" i="6"/>
  <c r="F44" i="4"/>
  <c r="C44" i="4"/>
  <c r="J80" i="4"/>
  <c r="B81" i="4"/>
  <c r="G80" i="4"/>
  <c r="F50" i="3"/>
  <c r="C50" i="3"/>
  <c r="B81" i="3"/>
  <c r="G80" i="3"/>
  <c r="F77" i="2"/>
  <c r="E77" i="2" s="1"/>
  <c r="C77" i="2"/>
  <c r="G77" i="2" s="1"/>
  <c r="D79" i="2"/>
  <c r="B80" i="2"/>
  <c r="C52" i="1"/>
  <c r="F52" i="1"/>
  <c r="E52" i="1" s="1"/>
  <c r="K71" i="6" l="1"/>
  <c r="E72" i="6" s="1"/>
  <c r="I71" i="6"/>
  <c r="G71" i="6" s="1"/>
  <c r="J71" i="6"/>
  <c r="H71" i="6" s="1"/>
  <c r="L71" i="6" s="1"/>
  <c r="C76" i="6"/>
  <c r="B77" i="6"/>
  <c r="D76" i="6"/>
  <c r="B82" i="4"/>
  <c r="G81" i="4"/>
  <c r="J81" i="4"/>
  <c r="D44" i="4"/>
  <c r="D50" i="3"/>
  <c r="E50" i="3" s="1"/>
  <c r="H50" i="3" s="1"/>
  <c r="B82" i="3"/>
  <c r="G81" i="3"/>
  <c r="B81" i="2"/>
  <c r="D80" i="2"/>
  <c r="C78" i="2"/>
  <c r="G78" i="2" s="1"/>
  <c r="F78" i="2"/>
  <c r="E78" i="2" s="1"/>
  <c r="G52" i="1"/>
  <c r="K72" i="6" l="1"/>
  <c r="E73" i="6" s="1"/>
  <c r="I72" i="6"/>
  <c r="G72" i="6" s="1"/>
  <c r="J72" i="6"/>
  <c r="H72" i="6" s="1"/>
  <c r="L72" i="6" s="1"/>
  <c r="C77" i="6"/>
  <c r="B78" i="6"/>
  <c r="D77" i="6"/>
  <c r="E44" i="4"/>
  <c r="J82" i="4"/>
  <c r="B83" i="4"/>
  <c r="G82" i="4"/>
  <c r="F51" i="3"/>
  <c r="C51" i="3"/>
  <c r="B83" i="3"/>
  <c r="G82" i="3"/>
  <c r="F79" i="2"/>
  <c r="E79" i="2" s="1"/>
  <c r="C79" i="2"/>
  <c r="G79" i="2" s="1"/>
  <c r="D81" i="2"/>
  <c r="B82" i="2"/>
  <c r="F53" i="1"/>
  <c r="E53" i="1" s="1"/>
  <c r="C53" i="1"/>
  <c r="G53" i="1" s="1"/>
  <c r="K73" i="6" l="1"/>
  <c r="E74" i="6" s="1"/>
  <c r="I73" i="6"/>
  <c r="G73" i="6" s="1"/>
  <c r="J73" i="6"/>
  <c r="H73" i="6" s="1"/>
  <c r="L73" i="6" s="1"/>
  <c r="C78" i="6"/>
  <c r="B79" i="6"/>
  <c r="D78" i="6"/>
  <c r="B84" i="4"/>
  <c r="G83" i="4"/>
  <c r="J83" i="4"/>
  <c r="G44" i="4"/>
  <c r="D51" i="3"/>
  <c r="E51" i="3" s="1"/>
  <c r="H51" i="3" s="1"/>
  <c r="B84" i="3"/>
  <c r="G83" i="3"/>
  <c r="B83" i="2"/>
  <c r="D82" i="2"/>
  <c r="C80" i="2"/>
  <c r="G80" i="2" s="1"/>
  <c r="F80" i="2"/>
  <c r="E80" i="2" s="1"/>
  <c r="C54" i="1"/>
  <c r="F54" i="1"/>
  <c r="E54" i="1" s="1"/>
  <c r="K74" i="6" l="1"/>
  <c r="E75" i="6" s="1"/>
  <c r="I74" i="6"/>
  <c r="G74" i="6" s="1"/>
  <c r="J74" i="6"/>
  <c r="H74" i="6" s="1"/>
  <c r="L74" i="6" s="1"/>
  <c r="C79" i="6"/>
  <c r="B80" i="6"/>
  <c r="D79" i="6"/>
  <c r="J44" i="4"/>
  <c r="I44" i="4"/>
  <c r="K44" i="4" s="1"/>
  <c r="H44" i="4"/>
  <c r="J84" i="4"/>
  <c r="B85" i="4"/>
  <c r="G84" i="4"/>
  <c r="F52" i="3"/>
  <c r="C52" i="3"/>
  <c r="B85" i="3"/>
  <c r="G84" i="3"/>
  <c r="F81" i="2"/>
  <c r="E81" i="2" s="1"/>
  <c r="C81" i="2"/>
  <c r="G81" i="2" s="1"/>
  <c r="D83" i="2"/>
  <c r="B84" i="2"/>
  <c r="G54" i="1"/>
  <c r="K75" i="6" l="1"/>
  <c r="E76" i="6" s="1"/>
  <c r="I75" i="6"/>
  <c r="G75" i="6" s="1"/>
  <c r="J75" i="6"/>
  <c r="H75" i="6" s="1"/>
  <c r="L75" i="6" s="1"/>
  <c r="C80" i="6"/>
  <c r="B81" i="6"/>
  <c r="D80" i="6"/>
  <c r="B86" i="4"/>
  <c r="G85" i="4"/>
  <c r="J85" i="4"/>
  <c r="C45" i="4"/>
  <c r="F45" i="4"/>
  <c r="D52" i="3"/>
  <c r="E52" i="3" s="1"/>
  <c r="H52" i="3" s="1"/>
  <c r="B86" i="3"/>
  <c r="G85" i="3"/>
  <c r="B85" i="2"/>
  <c r="D84" i="2"/>
  <c r="C82" i="2"/>
  <c r="G82" i="2" s="1"/>
  <c r="F82" i="2"/>
  <c r="E82" i="2" s="1"/>
  <c r="F55" i="1"/>
  <c r="E55" i="1" s="1"/>
  <c r="C55" i="1"/>
  <c r="G55" i="1" s="1"/>
  <c r="K76" i="6" l="1"/>
  <c r="E77" i="6" s="1"/>
  <c r="I76" i="6"/>
  <c r="G76" i="6" s="1"/>
  <c r="J76" i="6"/>
  <c r="H76" i="6" s="1"/>
  <c r="L76" i="6" s="1"/>
  <c r="C81" i="6"/>
  <c r="B82" i="6"/>
  <c r="D81" i="6"/>
  <c r="D45" i="4"/>
  <c r="J86" i="4"/>
  <c r="B87" i="4"/>
  <c r="G86" i="4"/>
  <c r="F53" i="3"/>
  <c r="C53" i="3"/>
  <c r="B87" i="3"/>
  <c r="G86" i="3"/>
  <c r="F83" i="2"/>
  <c r="E83" i="2" s="1"/>
  <c r="C83" i="2"/>
  <c r="G83" i="2" s="1"/>
  <c r="D85" i="2"/>
  <c r="B86" i="2"/>
  <c r="C56" i="1"/>
  <c r="F56" i="1"/>
  <c r="E56" i="1" s="1"/>
  <c r="K77" i="6" l="1"/>
  <c r="E78" i="6" s="1"/>
  <c r="I77" i="6"/>
  <c r="G77" i="6" s="1"/>
  <c r="J77" i="6"/>
  <c r="H77" i="6" s="1"/>
  <c r="L77" i="6" s="1"/>
  <c r="C82" i="6"/>
  <c r="B83" i="6"/>
  <c r="D82" i="6"/>
  <c r="B88" i="4"/>
  <c r="G87" i="4"/>
  <c r="J87" i="4"/>
  <c r="I45" i="4"/>
  <c r="K45" i="4" s="1"/>
  <c r="E45" i="4"/>
  <c r="H45" i="4" s="1"/>
  <c r="D53" i="3"/>
  <c r="E53" i="3" s="1"/>
  <c r="H53" i="3" s="1"/>
  <c r="B88" i="3"/>
  <c r="G87" i="3"/>
  <c r="B87" i="2"/>
  <c r="D86" i="2"/>
  <c r="C84" i="2"/>
  <c r="G84" i="2" s="1"/>
  <c r="F84" i="2"/>
  <c r="E84" i="2" s="1"/>
  <c r="G56" i="1"/>
  <c r="K78" i="6" l="1"/>
  <c r="E79" i="6" s="1"/>
  <c r="I78" i="6"/>
  <c r="G78" i="6" s="1"/>
  <c r="J78" i="6"/>
  <c r="H78" i="6" s="1"/>
  <c r="L78" i="6" s="1"/>
  <c r="C83" i="6"/>
  <c r="B84" i="6"/>
  <c r="D83" i="6"/>
  <c r="F46" i="4"/>
  <c r="C46" i="4"/>
  <c r="J88" i="4"/>
  <c r="B89" i="4"/>
  <c r="G88" i="4"/>
  <c r="F54" i="3"/>
  <c r="C54" i="3"/>
  <c r="B89" i="3"/>
  <c r="G88" i="3"/>
  <c r="F85" i="2"/>
  <c r="E85" i="2" s="1"/>
  <c r="C85" i="2"/>
  <c r="G85" i="2" s="1"/>
  <c r="D87" i="2"/>
  <c r="B88" i="2"/>
  <c r="F57" i="1"/>
  <c r="E57" i="1" s="1"/>
  <c r="C57" i="1"/>
  <c r="G57" i="1" s="1"/>
  <c r="K79" i="6" l="1"/>
  <c r="E80" i="6" s="1"/>
  <c r="I79" i="6"/>
  <c r="G79" i="6" s="1"/>
  <c r="J79" i="6"/>
  <c r="H79" i="6" s="1"/>
  <c r="L79" i="6" s="1"/>
  <c r="C84" i="6"/>
  <c r="B85" i="6"/>
  <c r="D84" i="6"/>
  <c r="B90" i="4"/>
  <c r="G89" i="4"/>
  <c r="J89" i="4"/>
  <c r="D46" i="4"/>
  <c r="D54" i="3"/>
  <c r="E54" i="3" s="1"/>
  <c r="H54" i="3" s="1"/>
  <c r="B90" i="3"/>
  <c r="G89" i="3"/>
  <c r="B89" i="2"/>
  <c r="D88" i="2"/>
  <c r="C86" i="2"/>
  <c r="G86" i="2" s="1"/>
  <c r="F86" i="2"/>
  <c r="E86" i="2" s="1"/>
  <c r="C58" i="1"/>
  <c r="F58" i="1"/>
  <c r="E58" i="1" s="1"/>
  <c r="K80" i="6" l="1"/>
  <c r="E81" i="6" s="1"/>
  <c r="I80" i="6"/>
  <c r="G80" i="6" s="1"/>
  <c r="J80" i="6"/>
  <c r="H80" i="6" s="1"/>
  <c r="L80" i="6" s="1"/>
  <c r="C85" i="6"/>
  <c r="B86" i="6"/>
  <c r="D85" i="6"/>
  <c r="I46" i="4"/>
  <c r="K46" i="4" s="1"/>
  <c r="E46" i="4"/>
  <c r="H46" i="4" s="1"/>
  <c r="J90" i="4"/>
  <c r="B91" i="4"/>
  <c r="G90" i="4"/>
  <c r="F55" i="3"/>
  <c r="C55" i="3"/>
  <c r="B91" i="3"/>
  <c r="G90" i="3"/>
  <c r="F87" i="2"/>
  <c r="E87" i="2" s="1"/>
  <c r="C87" i="2"/>
  <c r="G87" i="2" s="1"/>
  <c r="D89" i="2"/>
  <c r="B90" i="2"/>
  <c r="G58" i="1"/>
  <c r="K81" i="6" l="1"/>
  <c r="E82" i="6" s="1"/>
  <c r="I81" i="6"/>
  <c r="G81" i="6" s="1"/>
  <c r="J81" i="6"/>
  <c r="H81" i="6" s="1"/>
  <c r="L81" i="6" s="1"/>
  <c r="C86" i="6"/>
  <c r="B87" i="6"/>
  <c r="D86" i="6"/>
  <c r="B92" i="4"/>
  <c r="G91" i="4"/>
  <c r="J91" i="4"/>
  <c r="C47" i="4"/>
  <c r="F47" i="4"/>
  <c r="D55" i="3"/>
  <c r="E55" i="3" s="1"/>
  <c r="H55" i="3" s="1"/>
  <c r="B92" i="3"/>
  <c r="G91" i="3"/>
  <c r="B91" i="2"/>
  <c r="D90" i="2"/>
  <c r="C88" i="2"/>
  <c r="G88" i="2" s="1"/>
  <c r="F88" i="2"/>
  <c r="E88" i="2" s="1"/>
  <c r="F59" i="1"/>
  <c r="E59" i="1" s="1"/>
  <c r="C59" i="1"/>
  <c r="G59" i="1" s="1"/>
  <c r="K82" i="6" l="1"/>
  <c r="E83" i="6" s="1"/>
  <c r="I82" i="6"/>
  <c r="G82" i="6" s="1"/>
  <c r="J82" i="6"/>
  <c r="H82" i="6" s="1"/>
  <c r="L82" i="6" s="1"/>
  <c r="C87" i="6"/>
  <c r="B88" i="6"/>
  <c r="D87" i="6"/>
  <c r="D47" i="4"/>
  <c r="J92" i="4"/>
  <c r="B93" i="4"/>
  <c r="G92" i="4"/>
  <c r="F56" i="3"/>
  <c r="C56" i="3"/>
  <c r="B93" i="3"/>
  <c r="G92" i="3"/>
  <c r="F89" i="2"/>
  <c r="E89" i="2" s="1"/>
  <c r="C89" i="2"/>
  <c r="G89" i="2" s="1"/>
  <c r="D91" i="2"/>
  <c r="B92" i="2"/>
  <c r="C60" i="1"/>
  <c r="F60" i="1"/>
  <c r="E60" i="1" s="1"/>
  <c r="K83" i="6" l="1"/>
  <c r="E84" i="6" s="1"/>
  <c r="I83" i="6"/>
  <c r="G83" i="6" s="1"/>
  <c r="J83" i="6"/>
  <c r="H83" i="6" s="1"/>
  <c r="L83" i="6" s="1"/>
  <c r="C88" i="6"/>
  <c r="B89" i="6"/>
  <c r="D88" i="6"/>
  <c r="B94" i="4"/>
  <c r="G93" i="4"/>
  <c r="J93" i="4"/>
  <c r="I47" i="4"/>
  <c r="K47" i="4" s="1"/>
  <c r="E47" i="4"/>
  <c r="H47" i="4" s="1"/>
  <c r="D56" i="3"/>
  <c r="E56" i="3" s="1"/>
  <c r="H56" i="3" s="1"/>
  <c r="B94" i="3"/>
  <c r="G93" i="3"/>
  <c r="B93" i="2"/>
  <c r="D92" i="2"/>
  <c r="C90" i="2"/>
  <c r="G90" i="2" s="1"/>
  <c r="F90" i="2"/>
  <c r="E90" i="2" s="1"/>
  <c r="G60" i="1"/>
  <c r="K84" i="6" l="1"/>
  <c r="E85" i="6" s="1"/>
  <c r="I84" i="6"/>
  <c r="G84" i="6" s="1"/>
  <c r="J84" i="6"/>
  <c r="H84" i="6" s="1"/>
  <c r="L84" i="6" s="1"/>
  <c r="C89" i="6"/>
  <c r="B90" i="6"/>
  <c r="D89" i="6"/>
  <c r="F48" i="4"/>
  <c r="C48" i="4"/>
  <c r="J94" i="4"/>
  <c r="B95" i="4"/>
  <c r="G94" i="4"/>
  <c r="F57" i="3"/>
  <c r="C57" i="3"/>
  <c r="B95" i="3"/>
  <c r="G94" i="3"/>
  <c r="F91" i="2"/>
  <c r="E91" i="2" s="1"/>
  <c r="C91" i="2"/>
  <c r="G91" i="2" s="1"/>
  <c r="D93" i="2"/>
  <c r="B94" i="2"/>
  <c r="F61" i="1"/>
  <c r="E61" i="1" s="1"/>
  <c r="C61" i="1"/>
  <c r="G61" i="1" s="1"/>
  <c r="K85" i="6" l="1"/>
  <c r="E86" i="6" s="1"/>
  <c r="I85" i="6"/>
  <c r="G85" i="6" s="1"/>
  <c r="J85" i="6"/>
  <c r="H85" i="6" s="1"/>
  <c r="L85" i="6" s="1"/>
  <c r="C90" i="6"/>
  <c r="B91" i="6"/>
  <c r="D90" i="6"/>
  <c r="B96" i="4"/>
  <c r="G95" i="4"/>
  <c r="J95" i="4"/>
  <c r="D48" i="4"/>
  <c r="D57" i="3"/>
  <c r="E57" i="3" s="1"/>
  <c r="H57" i="3" s="1"/>
  <c r="B96" i="3"/>
  <c r="G95" i="3"/>
  <c r="B95" i="2"/>
  <c r="D94" i="2"/>
  <c r="C92" i="2"/>
  <c r="G92" i="2" s="1"/>
  <c r="F92" i="2"/>
  <c r="E92" i="2" s="1"/>
  <c r="C62" i="1"/>
  <c r="F62" i="1"/>
  <c r="E62" i="1" s="1"/>
  <c r="K86" i="6" l="1"/>
  <c r="E87" i="6" s="1"/>
  <c r="I86" i="6"/>
  <c r="G86" i="6" s="1"/>
  <c r="J86" i="6"/>
  <c r="H86" i="6" s="1"/>
  <c r="L86" i="6" s="1"/>
  <c r="C91" i="6"/>
  <c r="B92" i="6"/>
  <c r="D91" i="6"/>
  <c r="I48" i="4"/>
  <c r="K48" i="4" s="1"/>
  <c r="E48" i="4"/>
  <c r="H48" i="4" s="1"/>
  <c r="J96" i="4"/>
  <c r="B97" i="4"/>
  <c r="G96" i="4"/>
  <c r="F58" i="3"/>
  <c r="C58" i="3"/>
  <c r="B97" i="3"/>
  <c r="G96" i="3"/>
  <c r="F93" i="2"/>
  <c r="E93" i="2" s="1"/>
  <c r="C93" i="2"/>
  <c r="G93" i="2" s="1"/>
  <c r="D95" i="2"/>
  <c r="B96" i="2"/>
  <c r="G62" i="1"/>
  <c r="K87" i="6" l="1"/>
  <c r="E88" i="6" s="1"/>
  <c r="I87" i="6"/>
  <c r="G87" i="6" s="1"/>
  <c r="J87" i="6"/>
  <c r="H87" i="6" s="1"/>
  <c r="L87" i="6" s="1"/>
  <c r="C92" i="6"/>
  <c r="B93" i="6"/>
  <c r="D92" i="6"/>
  <c r="B98" i="4"/>
  <c r="G97" i="4"/>
  <c r="J97" i="4"/>
  <c r="C49" i="4"/>
  <c r="F49" i="4"/>
  <c r="D58" i="3"/>
  <c r="E58" i="3" s="1"/>
  <c r="H58" i="3" s="1"/>
  <c r="B98" i="3"/>
  <c r="G97" i="3"/>
  <c r="B97" i="2"/>
  <c r="D96" i="2"/>
  <c r="C94" i="2"/>
  <c r="G94" i="2" s="1"/>
  <c r="F94" i="2"/>
  <c r="E94" i="2" s="1"/>
  <c r="F63" i="1"/>
  <c r="E63" i="1" s="1"/>
  <c r="C63" i="1"/>
  <c r="G63" i="1" s="1"/>
  <c r="K88" i="6" l="1"/>
  <c r="E89" i="6" s="1"/>
  <c r="I88" i="6"/>
  <c r="G88" i="6" s="1"/>
  <c r="J88" i="6"/>
  <c r="H88" i="6" s="1"/>
  <c r="L88" i="6" s="1"/>
  <c r="C93" i="6"/>
  <c r="B94" i="6"/>
  <c r="D93" i="6"/>
  <c r="D49" i="4"/>
  <c r="J98" i="4"/>
  <c r="B99" i="4"/>
  <c r="G98" i="4"/>
  <c r="F59" i="3"/>
  <c r="C59" i="3"/>
  <c r="B99" i="3"/>
  <c r="G98" i="3"/>
  <c r="F95" i="2"/>
  <c r="E95" i="2" s="1"/>
  <c r="C95" i="2"/>
  <c r="G95" i="2" s="1"/>
  <c r="D97" i="2"/>
  <c r="B98" i="2"/>
  <c r="C64" i="1"/>
  <c r="F64" i="1"/>
  <c r="E64" i="1" s="1"/>
  <c r="K89" i="6" l="1"/>
  <c r="E90" i="6" s="1"/>
  <c r="I89" i="6"/>
  <c r="G89" i="6" s="1"/>
  <c r="J89" i="6"/>
  <c r="H89" i="6" s="1"/>
  <c r="L89" i="6" s="1"/>
  <c r="C94" i="6"/>
  <c r="B95" i="6"/>
  <c r="D94" i="6"/>
  <c r="B100" i="4"/>
  <c r="G99" i="4"/>
  <c r="J99" i="4"/>
  <c r="I49" i="4"/>
  <c r="K49" i="4" s="1"/>
  <c r="E49" i="4"/>
  <c r="H49" i="4" s="1"/>
  <c r="D59" i="3"/>
  <c r="E59" i="3" s="1"/>
  <c r="H59" i="3" s="1"/>
  <c r="B100" i="3"/>
  <c r="G99" i="3"/>
  <c r="B99" i="2"/>
  <c r="D98" i="2"/>
  <c r="C96" i="2"/>
  <c r="G96" i="2" s="1"/>
  <c r="F96" i="2"/>
  <c r="E96" i="2" s="1"/>
  <c r="G64" i="1"/>
  <c r="K90" i="6" l="1"/>
  <c r="E91" i="6" s="1"/>
  <c r="I90" i="6"/>
  <c r="G90" i="6" s="1"/>
  <c r="J90" i="6"/>
  <c r="H90" i="6" s="1"/>
  <c r="L90" i="6" s="1"/>
  <c r="C95" i="6"/>
  <c r="B96" i="6"/>
  <c r="D95" i="6"/>
  <c r="F50" i="4"/>
  <c r="C50" i="4"/>
  <c r="J100" i="4"/>
  <c r="B101" i="4"/>
  <c r="G100" i="4"/>
  <c r="F60" i="3"/>
  <c r="C60" i="3"/>
  <c r="B101" i="3"/>
  <c r="G100" i="3"/>
  <c r="F97" i="2"/>
  <c r="E97" i="2" s="1"/>
  <c r="C97" i="2"/>
  <c r="G97" i="2" s="1"/>
  <c r="D99" i="2"/>
  <c r="B100" i="2"/>
  <c r="F65" i="1"/>
  <c r="E65" i="1" s="1"/>
  <c r="C65" i="1"/>
  <c r="K91" i="6" l="1"/>
  <c r="E92" i="6" s="1"/>
  <c r="I91" i="6"/>
  <c r="G91" i="6" s="1"/>
  <c r="J91" i="6"/>
  <c r="H91" i="6" s="1"/>
  <c r="L91" i="6" s="1"/>
  <c r="C96" i="6"/>
  <c r="B97" i="6"/>
  <c r="D96" i="6"/>
  <c r="B102" i="4"/>
  <c r="G101" i="4"/>
  <c r="J101" i="4"/>
  <c r="D50" i="4"/>
  <c r="D60" i="3"/>
  <c r="E60" i="3" s="1"/>
  <c r="H60" i="3" s="1"/>
  <c r="B102" i="3"/>
  <c r="G101" i="3"/>
  <c r="G65" i="1"/>
  <c r="B101" i="2"/>
  <c r="D100" i="2"/>
  <c r="C98" i="2"/>
  <c r="G98" i="2" s="1"/>
  <c r="F98" i="2"/>
  <c r="E98" i="2" s="1"/>
  <c r="C66" i="1"/>
  <c r="F66" i="1"/>
  <c r="E66" i="1" s="1"/>
  <c r="K92" i="6" l="1"/>
  <c r="E93" i="6" s="1"/>
  <c r="I92" i="6"/>
  <c r="G92" i="6" s="1"/>
  <c r="J92" i="6"/>
  <c r="H92" i="6" s="1"/>
  <c r="L92" i="6" s="1"/>
  <c r="C97" i="6"/>
  <c r="B98" i="6"/>
  <c r="D97" i="6"/>
  <c r="I50" i="4"/>
  <c r="K50" i="4" s="1"/>
  <c r="E50" i="4"/>
  <c r="H50" i="4" s="1"/>
  <c r="J102" i="4"/>
  <c r="B103" i="4"/>
  <c r="G102" i="4"/>
  <c r="F61" i="3"/>
  <c r="C61" i="3"/>
  <c r="B103" i="3"/>
  <c r="G102" i="3"/>
  <c r="F99" i="2"/>
  <c r="E99" i="2" s="1"/>
  <c r="C99" i="2"/>
  <c r="G99" i="2" s="1"/>
  <c r="D101" i="2"/>
  <c r="B102" i="2"/>
  <c r="G66" i="1"/>
  <c r="K93" i="6" l="1"/>
  <c r="E94" i="6" s="1"/>
  <c r="I93" i="6"/>
  <c r="G93" i="6" s="1"/>
  <c r="J93" i="6"/>
  <c r="H93" i="6" s="1"/>
  <c r="L93" i="6" s="1"/>
  <c r="C98" i="6"/>
  <c r="B99" i="6"/>
  <c r="D98" i="6"/>
  <c r="B104" i="4"/>
  <c r="G103" i="4"/>
  <c r="J103" i="4"/>
  <c r="C51" i="4"/>
  <c r="F51" i="4"/>
  <c r="D61" i="3"/>
  <c r="E61" i="3" s="1"/>
  <c r="H61" i="3" s="1"/>
  <c r="B104" i="3"/>
  <c r="G103" i="3"/>
  <c r="B103" i="2"/>
  <c r="D102" i="2"/>
  <c r="C100" i="2"/>
  <c r="G100" i="2" s="1"/>
  <c r="F100" i="2"/>
  <c r="E100" i="2" s="1"/>
  <c r="F67" i="1"/>
  <c r="E67" i="1" s="1"/>
  <c r="C67" i="1"/>
  <c r="G67" i="1" s="1"/>
  <c r="K94" i="6" l="1"/>
  <c r="E95" i="6" s="1"/>
  <c r="I94" i="6"/>
  <c r="G94" i="6" s="1"/>
  <c r="J94" i="6"/>
  <c r="H94" i="6" s="1"/>
  <c r="L94" i="6" s="1"/>
  <c r="C99" i="6"/>
  <c r="B100" i="6"/>
  <c r="D99" i="6"/>
  <c r="D51" i="4"/>
  <c r="J104" i="4"/>
  <c r="B105" i="4"/>
  <c r="G104" i="4"/>
  <c r="F62" i="3"/>
  <c r="C62" i="3"/>
  <c r="B105" i="3"/>
  <c r="G104" i="3"/>
  <c r="F101" i="2"/>
  <c r="E101" i="2" s="1"/>
  <c r="C101" i="2"/>
  <c r="G101" i="2" s="1"/>
  <c r="D103" i="2"/>
  <c r="B104" i="2"/>
  <c r="C68" i="1"/>
  <c r="F68" i="1"/>
  <c r="E68" i="1" s="1"/>
  <c r="K95" i="6" l="1"/>
  <c r="E96" i="6" s="1"/>
  <c r="I95" i="6"/>
  <c r="G95" i="6" s="1"/>
  <c r="J95" i="6"/>
  <c r="H95" i="6" s="1"/>
  <c r="L95" i="6" s="1"/>
  <c r="C100" i="6"/>
  <c r="B101" i="6"/>
  <c r="D100" i="6"/>
  <c r="B106" i="4"/>
  <c r="G105" i="4"/>
  <c r="J105" i="4"/>
  <c r="I51" i="4"/>
  <c r="K51" i="4" s="1"/>
  <c r="E51" i="4"/>
  <c r="H51" i="4" s="1"/>
  <c r="D62" i="3"/>
  <c r="E62" i="3" s="1"/>
  <c r="H62" i="3" s="1"/>
  <c r="B106" i="3"/>
  <c r="G105" i="3"/>
  <c r="B105" i="2"/>
  <c r="D104" i="2"/>
  <c r="C102" i="2"/>
  <c r="G102" i="2" s="1"/>
  <c r="F102" i="2"/>
  <c r="E102" i="2" s="1"/>
  <c r="G68" i="1"/>
  <c r="K96" i="6" l="1"/>
  <c r="E97" i="6" s="1"/>
  <c r="I96" i="6"/>
  <c r="G96" i="6" s="1"/>
  <c r="J96" i="6"/>
  <c r="H96" i="6" s="1"/>
  <c r="L96" i="6" s="1"/>
  <c r="C101" i="6"/>
  <c r="B102" i="6"/>
  <c r="D101" i="6"/>
  <c r="F52" i="4"/>
  <c r="C52" i="4"/>
  <c r="J106" i="4"/>
  <c r="B107" i="4"/>
  <c r="G106" i="4"/>
  <c r="F63" i="3"/>
  <c r="C63" i="3"/>
  <c r="B107" i="3"/>
  <c r="G106" i="3"/>
  <c r="F103" i="2"/>
  <c r="E103" i="2" s="1"/>
  <c r="C103" i="2"/>
  <c r="G103" i="2" s="1"/>
  <c r="D105" i="2"/>
  <c r="B106" i="2"/>
  <c r="F69" i="1"/>
  <c r="E69" i="1" s="1"/>
  <c r="C69" i="1"/>
  <c r="G69" i="1" s="1"/>
  <c r="K97" i="6" l="1"/>
  <c r="E98" i="6" s="1"/>
  <c r="I97" i="6"/>
  <c r="G97" i="6" s="1"/>
  <c r="J97" i="6"/>
  <c r="H97" i="6" s="1"/>
  <c r="L97" i="6" s="1"/>
  <c r="C102" i="6"/>
  <c r="B103" i="6"/>
  <c r="D102" i="6"/>
  <c r="B108" i="4"/>
  <c r="G107" i="4"/>
  <c r="J107" i="4"/>
  <c r="D52" i="4"/>
  <c r="D63" i="3"/>
  <c r="E63" i="3" s="1"/>
  <c r="H63" i="3" s="1"/>
  <c r="B108" i="3"/>
  <c r="G107" i="3"/>
  <c r="B107" i="2"/>
  <c r="D106" i="2"/>
  <c r="C104" i="2"/>
  <c r="G104" i="2" s="1"/>
  <c r="F104" i="2"/>
  <c r="E104" i="2" s="1"/>
  <c r="C70" i="1"/>
  <c r="F70" i="1"/>
  <c r="E70" i="1" s="1"/>
  <c r="K98" i="6" l="1"/>
  <c r="E99" i="6" s="1"/>
  <c r="I98" i="6"/>
  <c r="G98" i="6" s="1"/>
  <c r="J98" i="6"/>
  <c r="H98" i="6" s="1"/>
  <c r="L98" i="6" s="1"/>
  <c r="C103" i="6"/>
  <c r="B104" i="6"/>
  <c r="D103" i="6"/>
  <c r="I52" i="4"/>
  <c r="K52" i="4" s="1"/>
  <c r="E52" i="4"/>
  <c r="H52" i="4" s="1"/>
  <c r="J108" i="4"/>
  <c r="B109" i="4"/>
  <c r="G108" i="4"/>
  <c r="F64" i="3"/>
  <c r="C64" i="3"/>
  <c r="B109" i="3"/>
  <c r="G108" i="3"/>
  <c r="F105" i="2"/>
  <c r="E105" i="2" s="1"/>
  <c r="C105" i="2"/>
  <c r="G105" i="2" s="1"/>
  <c r="D107" i="2"/>
  <c r="B108" i="2"/>
  <c r="G70" i="1"/>
  <c r="K99" i="6" l="1"/>
  <c r="E100" i="6" s="1"/>
  <c r="I99" i="6"/>
  <c r="G99" i="6" s="1"/>
  <c r="J99" i="6"/>
  <c r="H99" i="6" s="1"/>
  <c r="L99" i="6" s="1"/>
  <c r="C104" i="6"/>
  <c r="B105" i="6"/>
  <c r="D104" i="6"/>
  <c r="B110" i="4"/>
  <c r="G109" i="4"/>
  <c r="J109" i="4"/>
  <c r="C53" i="4"/>
  <c r="F53" i="4"/>
  <c r="D64" i="3"/>
  <c r="E64" i="3" s="1"/>
  <c r="H64" i="3" s="1"/>
  <c r="B110" i="3"/>
  <c r="G109" i="3"/>
  <c r="B109" i="2"/>
  <c r="D108" i="2"/>
  <c r="C106" i="2"/>
  <c r="G106" i="2" s="1"/>
  <c r="F106" i="2"/>
  <c r="E106" i="2" s="1"/>
  <c r="F71" i="1"/>
  <c r="E71" i="1" s="1"/>
  <c r="C71" i="1"/>
  <c r="K100" i="6" l="1"/>
  <c r="E101" i="6" s="1"/>
  <c r="I100" i="6"/>
  <c r="G100" i="6" s="1"/>
  <c r="J100" i="6"/>
  <c r="H100" i="6" s="1"/>
  <c r="L100" i="6" s="1"/>
  <c r="C105" i="6"/>
  <c r="B106" i="6"/>
  <c r="D105" i="6"/>
  <c r="D53" i="4"/>
  <c r="J110" i="4"/>
  <c r="B111" i="4"/>
  <c r="G110" i="4"/>
  <c r="F65" i="3"/>
  <c r="C65" i="3"/>
  <c r="B111" i="3"/>
  <c r="G110" i="3"/>
  <c r="F107" i="2"/>
  <c r="E107" i="2" s="1"/>
  <c r="C107" i="2"/>
  <c r="G107" i="2" s="1"/>
  <c r="D109" i="2"/>
  <c r="B110" i="2"/>
  <c r="G71" i="1"/>
  <c r="K101" i="6" l="1"/>
  <c r="E102" i="6" s="1"/>
  <c r="I101" i="6"/>
  <c r="G101" i="6" s="1"/>
  <c r="J101" i="6"/>
  <c r="H101" i="6" s="1"/>
  <c r="L101" i="6" s="1"/>
  <c r="C106" i="6"/>
  <c r="B107" i="6"/>
  <c r="D106" i="6"/>
  <c r="B112" i="4"/>
  <c r="G111" i="4"/>
  <c r="J111" i="4"/>
  <c r="I53" i="4"/>
  <c r="K53" i="4" s="1"/>
  <c r="E53" i="4"/>
  <c r="H53" i="4" s="1"/>
  <c r="D65" i="3"/>
  <c r="E65" i="3" s="1"/>
  <c r="H65" i="3" s="1"/>
  <c r="B112" i="3"/>
  <c r="G111" i="3"/>
  <c r="B111" i="2"/>
  <c r="D110" i="2"/>
  <c r="C108" i="2"/>
  <c r="G108" i="2" s="1"/>
  <c r="F108" i="2"/>
  <c r="E108" i="2" s="1"/>
  <c r="C72" i="1"/>
  <c r="F72" i="1"/>
  <c r="E72" i="1" s="1"/>
  <c r="K102" i="6" l="1"/>
  <c r="E103" i="6" s="1"/>
  <c r="I102" i="6"/>
  <c r="G102" i="6" s="1"/>
  <c r="J102" i="6"/>
  <c r="H102" i="6" s="1"/>
  <c r="L102" i="6" s="1"/>
  <c r="C107" i="6"/>
  <c r="B108" i="6"/>
  <c r="D107" i="6"/>
  <c r="F54" i="4"/>
  <c r="C54" i="4"/>
  <c r="J112" i="4"/>
  <c r="B113" i="4"/>
  <c r="G112" i="4"/>
  <c r="F66" i="3"/>
  <c r="C66" i="3"/>
  <c r="B113" i="3"/>
  <c r="G112" i="3"/>
  <c r="G72" i="1"/>
  <c r="F109" i="2"/>
  <c r="E109" i="2" s="1"/>
  <c r="C109" i="2"/>
  <c r="G109" i="2" s="1"/>
  <c r="D111" i="2"/>
  <c r="B112" i="2"/>
  <c r="F73" i="1"/>
  <c r="E73" i="1" s="1"/>
  <c r="C73" i="1"/>
  <c r="K103" i="6" l="1"/>
  <c r="E104" i="6" s="1"/>
  <c r="I103" i="6"/>
  <c r="G103" i="6" s="1"/>
  <c r="J103" i="6"/>
  <c r="H103" i="6" s="1"/>
  <c r="L103" i="6" s="1"/>
  <c r="C108" i="6"/>
  <c r="B109" i="6"/>
  <c r="D108" i="6"/>
  <c r="B114" i="4"/>
  <c r="G113" i="4"/>
  <c r="J113" i="4"/>
  <c r="D54" i="4"/>
  <c r="D66" i="3"/>
  <c r="E66" i="3" s="1"/>
  <c r="H66" i="3" s="1"/>
  <c r="B114" i="3"/>
  <c r="G113" i="3"/>
  <c r="B113" i="2"/>
  <c r="D112" i="2"/>
  <c r="C110" i="2"/>
  <c r="G110" i="2" s="1"/>
  <c r="F110" i="2"/>
  <c r="E110" i="2" s="1"/>
  <c r="G73" i="1"/>
  <c r="K104" i="6" l="1"/>
  <c r="E105" i="6" s="1"/>
  <c r="I104" i="6"/>
  <c r="G104" i="6" s="1"/>
  <c r="J104" i="6"/>
  <c r="H104" i="6" s="1"/>
  <c r="L104" i="6" s="1"/>
  <c r="C109" i="6"/>
  <c r="B110" i="6"/>
  <c r="D109" i="6"/>
  <c r="I54" i="4"/>
  <c r="K54" i="4" s="1"/>
  <c r="E54" i="4"/>
  <c r="H54" i="4" s="1"/>
  <c r="J114" i="4"/>
  <c r="B115" i="4"/>
  <c r="G114" i="4"/>
  <c r="F67" i="3"/>
  <c r="C67" i="3"/>
  <c r="B115" i="3"/>
  <c r="G114" i="3"/>
  <c r="F111" i="2"/>
  <c r="E111" i="2" s="1"/>
  <c r="C111" i="2"/>
  <c r="G111" i="2" s="1"/>
  <c r="D113" i="2"/>
  <c r="B114" i="2"/>
  <c r="C74" i="1"/>
  <c r="F74" i="1"/>
  <c r="E74" i="1" s="1"/>
  <c r="K105" i="6" l="1"/>
  <c r="E106" i="6" s="1"/>
  <c r="I105" i="6"/>
  <c r="G105" i="6" s="1"/>
  <c r="J105" i="6"/>
  <c r="H105" i="6" s="1"/>
  <c r="L105" i="6" s="1"/>
  <c r="C110" i="6"/>
  <c r="B111" i="6"/>
  <c r="D110" i="6"/>
  <c r="B116" i="4"/>
  <c r="G115" i="4"/>
  <c r="J115" i="4"/>
  <c r="C55" i="4"/>
  <c r="F55" i="4"/>
  <c r="D67" i="3"/>
  <c r="E67" i="3" s="1"/>
  <c r="H67" i="3" s="1"/>
  <c r="B116" i="3"/>
  <c r="G115" i="3"/>
  <c r="G74" i="1"/>
  <c r="B115" i="2"/>
  <c r="D114" i="2"/>
  <c r="C112" i="2"/>
  <c r="G112" i="2" s="1"/>
  <c r="F112" i="2"/>
  <c r="E112" i="2" s="1"/>
  <c r="F75" i="1"/>
  <c r="E75" i="1" s="1"/>
  <c r="C75" i="1"/>
  <c r="K106" i="6" l="1"/>
  <c r="E107" i="6" s="1"/>
  <c r="I106" i="6"/>
  <c r="G106" i="6" s="1"/>
  <c r="J106" i="6"/>
  <c r="H106" i="6" s="1"/>
  <c r="L106" i="6" s="1"/>
  <c r="C111" i="6"/>
  <c r="B112" i="6"/>
  <c r="D111" i="6"/>
  <c r="D55" i="4"/>
  <c r="J116" i="4"/>
  <c r="B117" i="4"/>
  <c r="G116" i="4"/>
  <c r="F68" i="3"/>
  <c r="C68" i="3"/>
  <c r="B117" i="3"/>
  <c r="G116" i="3"/>
  <c r="F113" i="2"/>
  <c r="E113" i="2" s="1"/>
  <c r="C113" i="2"/>
  <c r="G113" i="2" s="1"/>
  <c r="D115" i="2"/>
  <c r="B116" i="2"/>
  <c r="G75" i="1"/>
  <c r="K107" i="6" l="1"/>
  <c r="E108" i="6" s="1"/>
  <c r="I107" i="6"/>
  <c r="G107" i="6" s="1"/>
  <c r="J107" i="6"/>
  <c r="H107" i="6" s="1"/>
  <c r="L107" i="6" s="1"/>
  <c r="C112" i="6"/>
  <c r="B113" i="6"/>
  <c r="D112" i="6"/>
  <c r="B118" i="4"/>
  <c r="G117" i="4"/>
  <c r="J117" i="4"/>
  <c r="I55" i="4"/>
  <c r="K55" i="4" s="1"/>
  <c r="E55" i="4"/>
  <c r="H55" i="4" s="1"/>
  <c r="D68" i="3"/>
  <c r="E68" i="3" s="1"/>
  <c r="H68" i="3" s="1"/>
  <c r="B118" i="3"/>
  <c r="G117" i="3"/>
  <c r="B117" i="2"/>
  <c r="D116" i="2"/>
  <c r="C114" i="2"/>
  <c r="G114" i="2" s="1"/>
  <c r="F114" i="2"/>
  <c r="E114" i="2" s="1"/>
  <c r="C76" i="1"/>
  <c r="F76" i="1"/>
  <c r="E76" i="1" s="1"/>
  <c r="K108" i="6" l="1"/>
  <c r="E109" i="6" s="1"/>
  <c r="I108" i="6"/>
  <c r="G108" i="6" s="1"/>
  <c r="J108" i="6"/>
  <c r="H108" i="6" s="1"/>
  <c r="L108" i="6" s="1"/>
  <c r="C113" i="6"/>
  <c r="B114" i="6"/>
  <c r="D113" i="6"/>
  <c r="F56" i="4"/>
  <c r="C56" i="4"/>
  <c r="J118" i="4"/>
  <c r="B119" i="4"/>
  <c r="G118" i="4"/>
  <c r="F69" i="3"/>
  <c r="C69" i="3"/>
  <c r="B119" i="3"/>
  <c r="G118" i="3"/>
  <c r="G76" i="1"/>
  <c r="F115" i="2"/>
  <c r="E115" i="2" s="1"/>
  <c r="C115" i="2"/>
  <c r="G115" i="2" s="1"/>
  <c r="D117" i="2"/>
  <c r="B118" i="2"/>
  <c r="F77" i="1"/>
  <c r="E77" i="1" s="1"/>
  <c r="C77" i="1"/>
  <c r="K109" i="6" l="1"/>
  <c r="E110" i="6" s="1"/>
  <c r="I109" i="6"/>
  <c r="G109" i="6" s="1"/>
  <c r="J109" i="6"/>
  <c r="H109" i="6" s="1"/>
  <c r="L109" i="6" s="1"/>
  <c r="C114" i="6"/>
  <c r="B115" i="6"/>
  <c r="D114" i="6"/>
  <c r="B120" i="4"/>
  <c r="G119" i="4"/>
  <c r="J119" i="4"/>
  <c r="D56" i="4"/>
  <c r="D69" i="3"/>
  <c r="E69" i="3" s="1"/>
  <c r="H69" i="3" s="1"/>
  <c r="B120" i="3"/>
  <c r="G119" i="3"/>
  <c r="B119" i="2"/>
  <c r="D118" i="2"/>
  <c r="C116" i="2"/>
  <c r="G116" i="2" s="1"/>
  <c r="F116" i="2"/>
  <c r="E116" i="2" s="1"/>
  <c r="G77" i="1"/>
  <c r="K110" i="6" l="1"/>
  <c r="E111" i="6" s="1"/>
  <c r="I110" i="6"/>
  <c r="G110" i="6" s="1"/>
  <c r="J110" i="6"/>
  <c r="H110" i="6" s="1"/>
  <c r="L110" i="6" s="1"/>
  <c r="C115" i="6"/>
  <c r="B116" i="6"/>
  <c r="D115" i="6"/>
  <c r="I56" i="4"/>
  <c r="K56" i="4" s="1"/>
  <c r="E56" i="4"/>
  <c r="H56" i="4" s="1"/>
  <c r="J120" i="4"/>
  <c r="B121" i="4"/>
  <c r="G120" i="4"/>
  <c r="F70" i="3"/>
  <c r="C70" i="3"/>
  <c r="B121" i="3"/>
  <c r="G120" i="3"/>
  <c r="F117" i="2"/>
  <c r="E117" i="2" s="1"/>
  <c r="C117" i="2"/>
  <c r="G117" i="2" s="1"/>
  <c r="D119" i="2"/>
  <c r="B120" i="2"/>
  <c r="C78" i="1"/>
  <c r="F78" i="1"/>
  <c r="E78" i="1" s="1"/>
  <c r="K111" i="6" l="1"/>
  <c r="E112" i="6" s="1"/>
  <c r="I111" i="6"/>
  <c r="G111" i="6" s="1"/>
  <c r="J111" i="6"/>
  <c r="H111" i="6" s="1"/>
  <c r="L111" i="6" s="1"/>
  <c r="C116" i="6"/>
  <c r="B117" i="6"/>
  <c r="D116" i="6"/>
  <c r="B122" i="4"/>
  <c r="G121" i="4"/>
  <c r="J121" i="4"/>
  <c r="C57" i="4"/>
  <c r="F57" i="4"/>
  <c r="D70" i="3"/>
  <c r="E70" i="3" s="1"/>
  <c r="H70" i="3" s="1"/>
  <c r="B122" i="3"/>
  <c r="G121" i="3"/>
  <c r="G78" i="1"/>
  <c r="B121" i="2"/>
  <c r="D120" i="2"/>
  <c r="C118" i="2"/>
  <c r="G118" i="2" s="1"/>
  <c r="F118" i="2"/>
  <c r="E118" i="2" s="1"/>
  <c r="F79" i="1"/>
  <c r="E79" i="1" s="1"/>
  <c r="C79" i="1"/>
  <c r="K112" i="6" l="1"/>
  <c r="E113" i="6" s="1"/>
  <c r="I112" i="6"/>
  <c r="G112" i="6" s="1"/>
  <c r="J112" i="6"/>
  <c r="H112" i="6" s="1"/>
  <c r="L112" i="6" s="1"/>
  <c r="C117" i="6"/>
  <c r="B118" i="6"/>
  <c r="D117" i="6"/>
  <c r="D57" i="4"/>
  <c r="J122" i="4"/>
  <c r="B123" i="4"/>
  <c r="G122" i="4"/>
  <c r="F71" i="3"/>
  <c r="C71" i="3"/>
  <c r="B123" i="3"/>
  <c r="G122" i="3"/>
  <c r="F119" i="2"/>
  <c r="E119" i="2" s="1"/>
  <c r="C119" i="2"/>
  <c r="G119" i="2" s="1"/>
  <c r="D121" i="2"/>
  <c r="B122" i="2"/>
  <c r="G79" i="1"/>
  <c r="K113" i="6" l="1"/>
  <c r="E114" i="6" s="1"/>
  <c r="I113" i="6"/>
  <c r="G113" i="6" s="1"/>
  <c r="J113" i="6"/>
  <c r="H113" i="6" s="1"/>
  <c r="L113" i="6" s="1"/>
  <c r="C118" i="6"/>
  <c r="B119" i="6"/>
  <c r="D118" i="6"/>
  <c r="B124" i="4"/>
  <c r="G123" i="4"/>
  <c r="J123" i="4"/>
  <c r="I57" i="4"/>
  <c r="K57" i="4" s="1"/>
  <c r="E57" i="4"/>
  <c r="H57" i="4" s="1"/>
  <c r="D71" i="3"/>
  <c r="E71" i="3" s="1"/>
  <c r="H71" i="3" s="1"/>
  <c r="B124" i="3"/>
  <c r="G123" i="3"/>
  <c r="B123" i="2"/>
  <c r="D122" i="2"/>
  <c r="C120" i="2"/>
  <c r="G120" i="2" s="1"/>
  <c r="F120" i="2"/>
  <c r="E120" i="2" s="1"/>
  <c r="C80" i="1"/>
  <c r="F80" i="1"/>
  <c r="E80" i="1" s="1"/>
  <c r="K114" i="6" l="1"/>
  <c r="E115" i="6" s="1"/>
  <c r="I114" i="6"/>
  <c r="G114" i="6" s="1"/>
  <c r="J114" i="6"/>
  <c r="H114" i="6" s="1"/>
  <c r="L114" i="6" s="1"/>
  <c r="C119" i="6"/>
  <c r="B120" i="6"/>
  <c r="D119" i="6"/>
  <c r="F58" i="4"/>
  <c r="C58" i="4"/>
  <c r="J124" i="4"/>
  <c r="B125" i="4"/>
  <c r="G124" i="4"/>
  <c r="F72" i="3"/>
  <c r="C72" i="3"/>
  <c r="B125" i="3"/>
  <c r="G124" i="3"/>
  <c r="G80" i="1"/>
  <c r="F121" i="2"/>
  <c r="E121" i="2" s="1"/>
  <c r="C121" i="2"/>
  <c r="G121" i="2" s="1"/>
  <c r="D123" i="2"/>
  <c r="B124" i="2"/>
  <c r="F81" i="1"/>
  <c r="E81" i="1" s="1"/>
  <c r="C81" i="1"/>
  <c r="K115" i="6" l="1"/>
  <c r="E116" i="6" s="1"/>
  <c r="I115" i="6"/>
  <c r="G115" i="6" s="1"/>
  <c r="J115" i="6"/>
  <c r="H115" i="6" s="1"/>
  <c r="L115" i="6" s="1"/>
  <c r="C120" i="6"/>
  <c r="B121" i="6"/>
  <c r="D120" i="6"/>
  <c r="B126" i="4"/>
  <c r="G125" i="4"/>
  <c r="J125" i="4"/>
  <c r="D58" i="4"/>
  <c r="D72" i="3"/>
  <c r="E72" i="3" s="1"/>
  <c r="H72" i="3" s="1"/>
  <c r="B126" i="3"/>
  <c r="G125" i="3"/>
  <c r="B125" i="2"/>
  <c r="D124" i="2"/>
  <c r="C122" i="2"/>
  <c r="G122" i="2" s="1"/>
  <c r="F122" i="2"/>
  <c r="E122" i="2" s="1"/>
  <c r="G81" i="1"/>
  <c r="K116" i="6" l="1"/>
  <c r="E117" i="6" s="1"/>
  <c r="I116" i="6"/>
  <c r="G116" i="6" s="1"/>
  <c r="J116" i="6"/>
  <c r="H116" i="6" s="1"/>
  <c r="L116" i="6" s="1"/>
  <c r="C121" i="6"/>
  <c r="B122" i="6"/>
  <c r="D121" i="6"/>
  <c r="I58" i="4"/>
  <c r="K58" i="4" s="1"/>
  <c r="E58" i="4"/>
  <c r="H58" i="4" s="1"/>
  <c r="J126" i="4"/>
  <c r="B127" i="4"/>
  <c r="G126" i="4"/>
  <c r="F73" i="3"/>
  <c r="C73" i="3"/>
  <c r="B127" i="3"/>
  <c r="G126" i="3"/>
  <c r="F123" i="2"/>
  <c r="E123" i="2" s="1"/>
  <c r="C123" i="2"/>
  <c r="G123" i="2" s="1"/>
  <c r="D125" i="2"/>
  <c r="B126" i="2"/>
  <c r="C82" i="1"/>
  <c r="F82" i="1"/>
  <c r="E82" i="1" s="1"/>
  <c r="K117" i="6" l="1"/>
  <c r="E118" i="6" s="1"/>
  <c r="I117" i="6"/>
  <c r="G117" i="6" s="1"/>
  <c r="J117" i="6"/>
  <c r="H117" i="6" s="1"/>
  <c r="L117" i="6" s="1"/>
  <c r="C122" i="6"/>
  <c r="B123" i="6"/>
  <c r="D122" i="6"/>
  <c r="B128" i="4"/>
  <c r="G127" i="4"/>
  <c r="J127" i="4"/>
  <c r="C59" i="4"/>
  <c r="F59" i="4"/>
  <c r="D73" i="3"/>
  <c r="E73" i="3" s="1"/>
  <c r="H73" i="3" s="1"/>
  <c r="B128" i="3"/>
  <c r="G127" i="3"/>
  <c r="G82" i="1"/>
  <c r="B127" i="2"/>
  <c r="D126" i="2"/>
  <c r="C124" i="2"/>
  <c r="G124" i="2" s="1"/>
  <c r="F124" i="2"/>
  <c r="E124" i="2" s="1"/>
  <c r="F83" i="1"/>
  <c r="E83" i="1" s="1"/>
  <c r="C83" i="1"/>
  <c r="K118" i="6" l="1"/>
  <c r="E119" i="6" s="1"/>
  <c r="I118" i="6"/>
  <c r="G118" i="6" s="1"/>
  <c r="J118" i="6"/>
  <c r="H118" i="6" s="1"/>
  <c r="L118" i="6" s="1"/>
  <c r="C123" i="6"/>
  <c r="B124" i="6"/>
  <c r="D123" i="6"/>
  <c r="D59" i="4"/>
  <c r="J128" i="4"/>
  <c r="B129" i="4"/>
  <c r="G128" i="4"/>
  <c r="F74" i="3"/>
  <c r="C74" i="3"/>
  <c r="B129" i="3"/>
  <c r="G128" i="3"/>
  <c r="F125" i="2"/>
  <c r="E125" i="2" s="1"/>
  <c r="C125" i="2"/>
  <c r="G125" i="2" s="1"/>
  <c r="D127" i="2"/>
  <c r="B128" i="2"/>
  <c r="G83" i="1"/>
  <c r="K119" i="6" l="1"/>
  <c r="E120" i="6" s="1"/>
  <c r="I119" i="6"/>
  <c r="G119" i="6" s="1"/>
  <c r="J119" i="6"/>
  <c r="H119" i="6" s="1"/>
  <c r="L119" i="6" s="1"/>
  <c r="C124" i="6"/>
  <c r="B125" i="6"/>
  <c r="D124" i="6"/>
  <c r="B130" i="4"/>
  <c r="G129" i="4"/>
  <c r="J129" i="4"/>
  <c r="I59" i="4"/>
  <c r="K59" i="4" s="1"/>
  <c r="E59" i="4"/>
  <c r="H59" i="4" s="1"/>
  <c r="D74" i="3"/>
  <c r="E74" i="3" s="1"/>
  <c r="H74" i="3" s="1"/>
  <c r="G129" i="3"/>
  <c r="B130" i="3"/>
  <c r="B129" i="2"/>
  <c r="D128" i="2"/>
  <c r="C126" i="2"/>
  <c r="G126" i="2" s="1"/>
  <c r="F126" i="2"/>
  <c r="E126" i="2" s="1"/>
  <c r="C84" i="1"/>
  <c r="F84" i="1"/>
  <c r="E84" i="1" s="1"/>
  <c r="K120" i="6" l="1"/>
  <c r="E121" i="6" s="1"/>
  <c r="I120" i="6"/>
  <c r="G120" i="6" s="1"/>
  <c r="J120" i="6"/>
  <c r="H120" i="6" s="1"/>
  <c r="L120" i="6" s="1"/>
  <c r="C125" i="6"/>
  <c r="B126" i="6"/>
  <c r="D125" i="6"/>
  <c r="F60" i="4"/>
  <c r="C60" i="4"/>
  <c r="J130" i="4"/>
  <c r="B131" i="4"/>
  <c r="G130" i="4"/>
  <c r="F75" i="3"/>
  <c r="C75" i="3"/>
  <c r="G130" i="3"/>
  <c r="B131" i="3"/>
  <c r="G84" i="1"/>
  <c r="F127" i="2"/>
  <c r="E127" i="2" s="1"/>
  <c r="C127" i="2"/>
  <c r="G127" i="2" s="1"/>
  <c r="D129" i="2"/>
  <c r="B130" i="2"/>
  <c r="F85" i="1"/>
  <c r="E85" i="1" s="1"/>
  <c r="C85" i="1"/>
  <c r="K121" i="6" l="1"/>
  <c r="E122" i="6" s="1"/>
  <c r="I121" i="6"/>
  <c r="G121" i="6" s="1"/>
  <c r="J121" i="6"/>
  <c r="H121" i="6" s="1"/>
  <c r="L121" i="6" s="1"/>
  <c r="C126" i="6"/>
  <c r="B127" i="6"/>
  <c r="D126" i="6"/>
  <c r="B132" i="4"/>
  <c r="G131" i="4"/>
  <c r="J131" i="4"/>
  <c r="D60" i="4"/>
  <c r="D75" i="3"/>
  <c r="E75" i="3" s="1"/>
  <c r="H75" i="3" s="1"/>
  <c r="G131" i="3"/>
  <c r="B132" i="3"/>
  <c r="B131" i="2"/>
  <c r="D130" i="2"/>
  <c r="C128" i="2"/>
  <c r="G128" i="2" s="1"/>
  <c r="F128" i="2"/>
  <c r="E128" i="2" s="1"/>
  <c r="G85" i="1"/>
  <c r="K122" i="6" l="1"/>
  <c r="E123" i="6" s="1"/>
  <c r="I122" i="6"/>
  <c r="G122" i="6" s="1"/>
  <c r="J122" i="6"/>
  <c r="H122" i="6" s="1"/>
  <c r="L122" i="6" s="1"/>
  <c r="C127" i="6"/>
  <c r="B128" i="6"/>
  <c r="D127" i="6"/>
  <c r="I60" i="4"/>
  <c r="K60" i="4" s="1"/>
  <c r="E60" i="4"/>
  <c r="H60" i="4" s="1"/>
  <c r="J132" i="4"/>
  <c r="B133" i="4"/>
  <c r="G132" i="4"/>
  <c r="F76" i="3"/>
  <c r="C76" i="3"/>
  <c r="G132" i="3"/>
  <c r="B133" i="3"/>
  <c r="F129" i="2"/>
  <c r="E129" i="2" s="1"/>
  <c r="C129" i="2"/>
  <c r="G129" i="2" s="1"/>
  <c r="D131" i="2"/>
  <c r="B132" i="2"/>
  <c r="C86" i="1"/>
  <c r="F86" i="1"/>
  <c r="E86" i="1" s="1"/>
  <c r="K123" i="6" l="1"/>
  <c r="E124" i="6" s="1"/>
  <c r="I123" i="6"/>
  <c r="G123" i="6" s="1"/>
  <c r="J123" i="6"/>
  <c r="H123" i="6" s="1"/>
  <c r="L123" i="6" s="1"/>
  <c r="C128" i="6"/>
  <c r="B129" i="6"/>
  <c r="D128" i="6"/>
  <c r="B134" i="4"/>
  <c r="G133" i="4"/>
  <c r="J133" i="4"/>
  <c r="C61" i="4"/>
  <c r="F61" i="4"/>
  <c r="D76" i="3"/>
  <c r="E76" i="3" s="1"/>
  <c r="H76" i="3" s="1"/>
  <c r="G133" i="3"/>
  <c r="B134" i="3"/>
  <c r="G86" i="1"/>
  <c r="B133" i="2"/>
  <c r="D132" i="2"/>
  <c r="C130" i="2"/>
  <c r="G130" i="2" s="1"/>
  <c r="F130" i="2"/>
  <c r="E130" i="2" s="1"/>
  <c r="F87" i="1"/>
  <c r="E87" i="1" s="1"/>
  <c r="C87" i="1"/>
  <c r="K124" i="6" l="1"/>
  <c r="E125" i="6" s="1"/>
  <c r="I124" i="6"/>
  <c r="G124" i="6" s="1"/>
  <c r="J124" i="6"/>
  <c r="H124" i="6" s="1"/>
  <c r="L124" i="6" s="1"/>
  <c r="C129" i="6"/>
  <c r="B130" i="6"/>
  <c r="D129" i="6"/>
  <c r="D61" i="4"/>
  <c r="J134" i="4"/>
  <c r="B135" i="4"/>
  <c r="G134" i="4"/>
  <c r="F77" i="3"/>
  <c r="C77" i="3"/>
  <c r="G134" i="3"/>
  <c r="B135" i="3"/>
  <c r="F131" i="2"/>
  <c r="E131" i="2" s="1"/>
  <c r="C131" i="2"/>
  <c r="G131" i="2" s="1"/>
  <c r="D133" i="2"/>
  <c r="B134" i="2"/>
  <c r="G87" i="1"/>
  <c r="K125" i="6" l="1"/>
  <c r="E126" i="6" s="1"/>
  <c r="I125" i="6"/>
  <c r="G125" i="6" s="1"/>
  <c r="J125" i="6"/>
  <c r="H125" i="6" s="1"/>
  <c r="L125" i="6" s="1"/>
  <c r="C130" i="6"/>
  <c r="B131" i="6"/>
  <c r="D130" i="6"/>
  <c r="B136" i="4"/>
  <c r="G135" i="4"/>
  <c r="J135" i="4"/>
  <c r="I61" i="4"/>
  <c r="K61" i="4" s="1"/>
  <c r="E61" i="4"/>
  <c r="H61" i="4" s="1"/>
  <c r="D77" i="3"/>
  <c r="E77" i="3" s="1"/>
  <c r="H77" i="3" s="1"/>
  <c r="G135" i="3"/>
  <c r="B136" i="3"/>
  <c r="B135" i="2"/>
  <c r="D134" i="2"/>
  <c r="C132" i="2"/>
  <c r="G132" i="2" s="1"/>
  <c r="F132" i="2"/>
  <c r="E132" i="2" s="1"/>
  <c r="C88" i="1"/>
  <c r="F88" i="1"/>
  <c r="E88" i="1" s="1"/>
  <c r="K126" i="6" l="1"/>
  <c r="E127" i="6" s="1"/>
  <c r="I126" i="6"/>
  <c r="G126" i="6" s="1"/>
  <c r="J126" i="6"/>
  <c r="H126" i="6" s="1"/>
  <c r="L126" i="6" s="1"/>
  <c r="C131" i="6"/>
  <c r="B132" i="6"/>
  <c r="D131" i="6"/>
  <c r="F62" i="4"/>
  <c r="C62" i="4"/>
  <c r="J136" i="4"/>
  <c r="B137" i="4"/>
  <c r="G136" i="4"/>
  <c r="F78" i="3"/>
  <c r="C78" i="3"/>
  <c r="G136" i="3"/>
  <c r="B137" i="3"/>
  <c r="G88" i="1"/>
  <c r="F133" i="2"/>
  <c r="E133" i="2" s="1"/>
  <c r="C133" i="2"/>
  <c r="G133" i="2" s="1"/>
  <c r="D135" i="2"/>
  <c r="B136" i="2"/>
  <c r="F89" i="1"/>
  <c r="E89" i="1" s="1"/>
  <c r="C89" i="1"/>
  <c r="K127" i="6" l="1"/>
  <c r="E128" i="6" s="1"/>
  <c r="I127" i="6"/>
  <c r="G127" i="6" s="1"/>
  <c r="J127" i="6"/>
  <c r="H127" i="6" s="1"/>
  <c r="L127" i="6" s="1"/>
  <c r="C132" i="6"/>
  <c r="B133" i="6"/>
  <c r="D132" i="6"/>
  <c r="B138" i="4"/>
  <c r="G137" i="4"/>
  <c r="J137" i="4"/>
  <c r="D62" i="4"/>
  <c r="D78" i="3"/>
  <c r="E78" i="3" s="1"/>
  <c r="H78" i="3" s="1"/>
  <c r="G137" i="3"/>
  <c r="B138" i="3"/>
  <c r="B137" i="2"/>
  <c r="D136" i="2"/>
  <c r="C134" i="2"/>
  <c r="G134" i="2" s="1"/>
  <c r="F134" i="2"/>
  <c r="E134" i="2" s="1"/>
  <c r="G89" i="1"/>
  <c r="K128" i="6" l="1"/>
  <c r="E129" i="6" s="1"/>
  <c r="I128" i="6"/>
  <c r="G128" i="6" s="1"/>
  <c r="J128" i="6"/>
  <c r="H128" i="6" s="1"/>
  <c r="L128" i="6" s="1"/>
  <c r="C133" i="6"/>
  <c r="B134" i="6"/>
  <c r="D133" i="6"/>
  <c r="I62" i="4"/>
  <c r="K62" i="4" s="1"/>
  <c r="E62" i="4"/>
  <c r="H62" i="4" s="1"/>
  <c r="J138" i="4"/>
  <c r="B139" i="4"/>
  <c r="G138" i="4"/>
  <c r="F79" i="3"/>
  <c r="C79" i="3"/>
  <c r="G138" i="3"/>
  <c r="B139" i="3"/>
  <c r="F135" i="2"/>
  <c r="E135" i="2" s="1"/>
  <c r="C135" i="2"/>
  <c r="G135" i="2" s="1"/>
  <c r="D137" i="2"/>
  <c r="B138" i="2"/>
  <c r="C90" i="1"/>
  <c r="F90" i="1"/>
  <c r="E90" i="1" s="1"/>
  <c r="K129" i="6" l="1"/>
  <c r="E130" i="6" s="1"/>
  <c r="I129" i="6"/>
  <c r="G129" i="6" s="1"/>
  <c r="J129" i="6"/>
  <c r="H129" i="6" s="1"/>
  <c r="L129" i="6" s="1"/>
  <c r="C134" i="6"/>
  <c r="B135" i="6"/>
  <c r="D134" i="6"/>
  <c r="B140" i="4"/>
  <c r="G139" i="4"/>
  <c r="J139" i="4"/>
  <c r="C63" i="4"/>
  <c r="F63" i="4"/>
  <c r="D79" i="3"/>
  <c r="E79" i="3" s="1"/>
  <c r="H79" i="3" s="1"/>
  <c r="G139" i="3"/>
  <c r="B140" i="3"/>
  <c r="G90" i="1"/>
  <c r="B139" i="2"/>
  <c r="D138" i="2"/>
  <c r="C136" i="2"/>
  <c r="G136" i="2" s="1"/>
  <c r="F136" i="2"/>
  <c r="E136" i="2" s="1"/>
  <c r="F91" i="1"/>
  <c r="E91" i="1" s="1"/>
  <c r="C91" i="1"/>
  <c r="K130" i="6" l="1"/>
  <c r="E131" i="6" s="1"/>
  <c r="I130" i="6"/>
  <c r="G130" i="6" s="1"/>
  <c r="J130" i="6"/>
  <c r="H130" i="6" s="1"/>
  <c r="L130" i="6" s="1"/>
  <c r="C135" i="6"/>
  <c r="B136" i="6"/>
  <c r="D135" i="6"/>
  <c r="D63" i="4"/>
  <c r="J140" i="4"/>
  <c r="B141" i="4"/>
  <c r="G140" i="4"/>
  <c r="F80" i="3"/>
  <c r="C80" i="3"/>
  <c r="G140" i="3"/>
  <c r="B141" i="3"/>
  <c r="F137" i="2"/>
  <c r="E137" i="2" s="1"/>
  <c r="C137" i="2"/>
  <c r="G137" i="2" s="1"/>
  <c r="D139" i="2"/>
  <c r="B140" i="2"/>
  <c r="G91" i="1"/>
  <c r="K131" i="6" l="1"/>
  <c r="E132" i="6" s="1"/>
  <c r="I131" i="6"/>
  <c r="G131" i="6" s="1"/>
  <c r="J131" i="6"/>
  <c r="H131" i="6" s="1"/>
  <c r="L131" i="6" s="1"/>
  <c r="C136" i="6"/>
  <c r="B137" i="6"/>
  <c r="D136" i="6"/>
  <c r="B142" i="4"/>
  <c r="G141" i="4"/>
  <c r="J141" i="4"/>
  <c r="I63" i="4"/>
  <c r="K63" i="4" s="1"/>
  <c r="E63" i="4"/>
  <c r="H63" i="4" s="1"/>
  <c r="D80" i="3"/>
  <c r="E80" i="3" s="1"/>
  <c r="H80" i="3" s="1"/>
  <c r="G141" i="3"/>
  <c r="B142" i="3"/>
  <c r="B141" i="2"/>
  <c r="D140" i="2"/>
  <c r="C138" i="2"/>
  <c r="G138" i="2" s="1"/>
  <c r="F138" i="2"/>
  <c r="E138" i="2" s="1"/>
  <c r="C92" i="1"/>
  <c r="F92" i="1"/>
  <c r="E92" i="1" s="1"/>
  <c r="K132" i="6" l="1"/>
  <c r="E133" i="6" s="1"/>
  <c r="I132" i="6"/>
  <c r="G132" i="6" s="1"/>
  <c r="J132" i="6"/>
  <c r="H132" i="6" s="1"/>
  <c r="L132" i="6" s="1"/>
  <c r="C137" i="6"/>
  <c r="B138" i="6"/>
  <c r="D137" i="6"/>
  <c r="F64" i="4"/>
  <c r="C64" i="4"/>
  <c r="J142" i="4"/>
  <c r="B143" i="4"/>
  <c r="G142" i="4"/>
  <c r="F81" i="3"/>
  <c r="C81" i="3"/>
  <c r="G142" i="3"/>
  <c r="B143" i="3"/>
  <c r="G92" i="1"/>
  <c r="F139" i="2"/>
  <c r="E139" i="2" s="1"/>
  <c r="C139" i="2"/>
  <c r="G139" i="2" s="1"/>
  <c r="D141" i="2"/>
  <c r="B142" i="2"/>
  <c r="F93" i="1"/>
  <c r="E93" i="1" s="1"/>
  <c r="C93" i="1"/>
  <c r="K133" i="6" l="1"/>
  <c r="E134" i="6" s="1"/>
  <c r="I133" i="6"/>
  <c r="G133" i="6" s="1"/>
  <c r="J133" i="6"/>
  <c r="H133" i="6" s="1"/>
  <c r="L133" i="6" s="1"/>
  <c r="C138" i="6"/>
  <c r="B139" i="6"/>
  <c r="D138" i="6"/>
  <c r="B144" i="4"/>
  <c r="G143" i="4"/>
  <c r="J143" i="4"/>
  <c r="D64" i="4"/>
  <c r="D81" i="3"/>
  <c r="E81" i="3" s="1"/>
  <c r="H81" i="3" s="1"/>
  <c r="G143" i="3"/>
  <c r="B144" i="3"/>
  <c r="B143" i="2"/>
  <c r="D142" i="2"/>
  <c r="C140" i="2"/>
  <c r="G140" i="2" s="1"/>
  <c r="F140" i="2"/>
  <c r="E140" i="2" s="1"/>
  <c r="G93" i="1"/>
  <c r="K134" i="6" l="1"/>
  <c r="E135" i="6" s="1"/>
  <c r="I134" i="6"/>
  <c r="G134" i="6" s="1"/>
  <c r="J134" i="6"/>
  <c r="H134" i="6" s="1"/>
  <c r="L134" i="6" s="1"/>
  <c r="C139" i="6"/>
  <c r="B140" i="6"/>
  <c r="D139" i="6"/>
  <c r="I64" i="4"/>
  <c r="K64" i="4" s="1"/>
  <c r="E64" i="4"/>
  <c r="H64" i="4" s="1"/>
  <c r="J144" i="4"/>
  <c r="B145" i="4"/>
  <c r="G144" i="4"/>
  <c r="F82" i="3"/>
  <c r="C82" i="3"/>
  <c r="G144" i="3"/>
  <c r="B145" i="3"/>
  <c r="F141" i="2"/>
  <c r="E141" i="2" s="1"/>
  <c r="C141" i="2"/>
  <c r="G141" i="2" s="1"/>
  <c r="D143" i="2"/>
  <c r="B144" i="2"/>
  <c r="C94" i="1"/>
  <c r="F94" i="1"/>
  <c r="E94" i="1" s="1"/>
  <c r="K135" i="6" l="1"/>
  <c r="E136" i="6" s="1"/>
  <c r="I135" i="6"/>
  <c r="G135" i="6" s="1"/>
  <c r="J135" i="6"/>
  <c r="H135" i="6" s="1"/>
  <c r="L135" i="6" s="1"/>
  <c r="C140" i="6"/>
  <c r="B141" i="6"/>
  <c r="D140" i="6"/>
  <c r="B146" i="4"/>
  <c r="G145" i="4"/>
  <c r="J145" i="4"/>
  <c r="C65" i="4"/>
  <c r="F65" i="4"/>
  <c r="D82" i="3"/>
  <c r="E82" i="3" s="1"/>
  <c r="H82" i="3" s="1"/>
  <c r="G145" i="3"/>
  <c r="B146" i="3"/>
  <c r="G94" i="1"/>
  <c r="B145" i="2"/>
  <c r="D144" i="2"/>
  <c r="C142" i="2"/>
  <c r="G142" i="2" s="1"/>
  <c r="F142" i="2"/>
  <c r="E142" i="2" s="1"/>
  <c r="F95" i="1"/>
  <c r="E95" i="1" s="1"/>
  <c r="C95" i="1"/>
  <c r="K136" i="6" l="1"/>
  <c r="E137" i="6" s="1"/>
  <c r="I136" i="6"/>
  <c r="G136" i="6" s="1"/>
  <c r="J136" i="6"/>
  <c r="H136" i="6" s="1"/>
  <c r="L136" i="6" s="1"/>
  <c r="C141" i="6"/>
  <c r="B142" i="6"/>
  <c r="D141" i="6"/>
  <c r="D65" i="4"/>
  <c r="J146" i="4"/>
  <c r="B147" i="4"/>
  <c r="G146" i="4"/>
  <c r="F83" i="3"/>
  <c r="C83" i="3"/>
  <c r="G146" i="3"/>
  <c r="B147" i="3"/>
  <c r="F143" i="2"/>
  <c r="E143" i="2" s="1"/>
  <c r="C143" i="2"/>
  <c r="G143" i="2" s="1"/>
  <c r="D145" i="2"/>
  <c r="B146" i="2"/>
  <c r="G95" i="1"/>
  <c r="K137" i="6" l="1"/>
  <c r="E138" i="6" s="1"/>
  <c r="I137" i="6"/>
  <c r="G137" i="6" s="1"/>
  <c r="J137" i="6"/>
  <c r="H137" i="6" s="1"/>
  <c r="L137" i="6" s="1"/>
  <c r="C142" i="6"/>
  <c r="B143" i="6"/>
  <c r="D142" i="6"/>
  <c r="B148" i="4"/>
  <c r="G147" i="4"/>
  <c r="J147" i="4"/>
  <c r="I65" i="4"/>
  <c r="K65" i="4" s="1"/>
  <c r="E65" i="4"/>
  <c r="H65" i="4" s="1"/>
  <c r="D83" i="3"/>
  <c r="E83" i="3" s="1"/>
  <c r="H83" i="3" s="1"/>
  <c r="G147" i="3"/>
  <c r="B148" i="3"/>
  <c r="B147" i="2"/>
  <c r="D146" i="2"/>
  <c r="C144" i="2"/>
  <c r="G144" i="2" s="1"/>
  <c r="F144" i="2"/>
  <c r="E144" i="2" s="1"/>
  <c r="C96" i="1"/>
  <c r="F96" i="1"/>
  <c r="E96" i="1" s="1"/>
  <c r="K138" i="6" l="1"/>
  <c r="E139" i="6" s="1"/>
  <c r="I138" i="6"/>
  <c r="G138" i="6" s="1"/>
  <c r="J138" i="6"/>
  <c r="H138" i="6" s="1"/>
  <c r="L138" i="6" s="1"/>
  <c r="C143" i="6"/>
  <c r="B144" i="6"/>
  <c r="D143" i="6"/>
  <c r="F66" i="4"/>
  <c r="C66" i="4"/>
  <c r="J148" i="4"/>
  <c r="B149" i="4"/>
  <c r="G148" i="4"/>
  <c r="F84" i="3"/>
  <c r="C84" i="3"/>
  <c r="G148" i="3"/>
  <c r="B149" i="3"/>
  <c r="G96" i="1"/>
  <c r="F145" i="2"/>
  <c r="E145" i="2" s="1"/>
  <c r="C145" i="2"/>
  <c r="G145" i="2" s="1"/>
  <c r="D147" i="2"/>
  <c r="B148" i="2"/>
  <c r="F97" i="1"/>
  <c r="E97" i="1" s="1"/>
  <c r="C97" i="1"/>
  <c r="K139" i="6" l="1"/>
  <c r="E140" i="6" s="1"/>
  <c r="I139" i="6"/>
  <c r="G139" i="6" s="1"/>
  <c r="J139" i="6"/>
  <c r="H139" i="6" s="1"/>
  <c r="L139" i="6" s="1"/>
  <c r="C144" i="6"/>
  <c r="B145" i="6"/>
  <c r="D144" i="6"/>
  <c r="B150" i="4"/>
  <c r="G149" i="4"/>
  <c r="J149" i="4"/>
  <c r="D66" i="4"/>
  <c r="D84" i="3"/>
  <c r="E84" i="3" s="1"/>
  <c r="H84" i="3" s="1"/>
  <c r="G149" i="3"/>
  <c r="B150" i="3"/>
  <c r="B149" i="2"/>
  <c r="D148" i="2"/>
  <c r="C146" i="2"/>
  <c r="G146" i="2" s="1"/>
  <c r="F146" i="2"/>
  <c r="E146" i="2" s="1"/>
  <c r="G97" i="1"/>
  <c r="K140" i="6" l="1"/>
  <c r="E141" i="6" s="1"/>
  <c r="I140" i="6"/>
  <c r="G140" i="6" s="1"/>
  <c r="J140" i="6"/>
  <c r="H140" i="6" s="1"/>
  <c r="L140" i="6" s="1"/>
  <c r="C145" i="6"/>
  <c r="B146" i="6"/>
  <c r="D145" i="6"/>
  <c r="I66" i="4"/>
  <c r="K66" i="4" s="1"/>
  <c r="E66" i="4"/>
  <c r="H66" i="4" s="1"/>
  <c r="J150" i="4"/>
  <c r="B151" i="4"/>
  <c r="G150" i="4"/>
  <c r="F85" i="3"/>
  <c r="C85" i="3"/>
  <c r="G150" i="3"/>
  <c r="B151" i="3"/>
  <c r="F147" i="2"/>
  <c r="E147" i="2" s="1"/>
  <c r="C147" i="2"/>
  <c r="G147" i="2" s="1"/>
  <c r="D149" i="2"/>
  <c r="B150" i="2"/>
  <c r="C98" i="1"/>
  <c r="F98" i="1"/>
  <c r="E98" i="1" s="1"/>
  <c r="K141" i="6" l="1"/>
  <c r="E142" i="6" s="1"/>
  <c r="I141" i="6"/>
  <c r="G141" i="6" s="1"/>
  <c r="J141" i="6"/>
  <c r="H141" i="6" s="1"/>
  <c r="L141" i="6" s="1"/>
  <c r="C146" i="6"/>
  <c r="B147" i="6"/>
  <c r="D146" i="6"/>
  <c r="B152" i="4"/>
  <c r="G151" i="4"/>
  <c r="J151" i="4"/>
  <c r="C67" i="4"/>
  <c r="F67" i="4"/>
  <c r="D85" i="3"/>
  <c r="E85" i="3" s="1"/>
  <c r="H85" i="3" s="1"/>
  <c r="G151" i="3"/>
  <c r="B152" i="3"/>
  <c r="G98" i="1"/>
  <c r="B151" i="2"/>
  <c r="D150" i="2"/>
  <c r="C148" i="2"/>
  <c r="G148" i="2" s="1"/>
  <c r="F148" i="2"/>
  <c r="E148" i="2" s="1"/>
  <c r="F99" i="1"/>
  <c r="E99" i="1" s="1"/>
  <c r="C99" i="1"/>
  <c r="K142" i="6" l="1"/>
  <c r="E143" i="6" s="1"/>
  <c r="I142" i="6"/>
  <c r="G142" i="6" s="1"/>
  <c r="J142" i="6"/>
  <c r="H142" i="6" s="1"/>
  <c r="L142" i="6" s="1"/>
  <c r="C147" i="6"/>
  <c r="B148" i="6"/>
  <c r="D147" i="6"/>
  <c r="D67" i="4"/>
  <c r="J152" i="4"/>
  <c r="B153" i="4"/>
  <c r="G152" i="4"/>
  <c r="F86" i="3"/>
  <c r="C86" i="3"/>
  <c r="G152" i="3"/>
  <c r="B153" i="3"/>
  <c r="F149" i="2"/>
  <c r="E149" i="2" s="1"/>
  <c r="C149" i="2"/>
  <c r="G149" i="2" s="1"/>
  <c r="D151" i="2"/>
  <c r="B152" i="2"/>
  <c r="G99" i="1"/>
  <c r="K143" i="6" l="1"/>
  <c r="E144" i="6" s="1"/>
  <c r="I143" i="6"/>
  <c r="G143" i="6" s="1"/>
  <c r="J143" i="6"/>
  <c r="H143" i="6" s="1"/>
  <c r="L143" i="6" s="1"/>
  <c r="C148" i="6"/>
  <c r="B149" i="6"/>
  <c r="D148" i="6"/>
  <c r="B154" i="4"/>
  <c r="G153" i="4"/>
  <c r="J153" i="4"/>
  <c r="I67" i="4"/>
  <c r="K67" i="4" s="1"/>
  <c r="E67" i="4"/>
  <c r="H67" i="4" s="1"/>
  <c r="D86" i="3"/>
  <c r="E86" i="3" s="1"/>
  <c r="H86" i="3" s="1"/>
  <c r="G153" i="3"/>
  <c r="B154" i="3"/>
  <c r="B153" i="2"/>
  <c r="D152" i="2"/>
  <c r="C150" i="2"/>
  <c r="G150" i="2" s="1"/>
  <c r="F150" i="2"/>
  <c r="E150" i="2" s="1"/>
  <c r="C100" i="1"/>
  <c r="F100" i="1"/>
  <c r="E100" i="1" s="1"/>
  <c r="K144" i="6" l="1"/>
  <c r="E145" i="6" s="1"/>
  <c r="I144" i="6"/>
  <c r="G144" i="6" s="1"/>
  <c r="J144" i="6"/>
  <c r="H144" i="6" s="1"/>
  <c r="L144" i="6" s="1"/>
  <c r="C149" i="6"/>
  <c r="B150" i="6"/>
  <c r="D149" i="6"/>
  <c r="F68" i="4"/>
  <c r="C68" i="4"/>
  <c r="J154" i="4"/>
  <c r="B155" i="4"/>
  <c r="G154" i="4"/>
  <c r="F87" i="3"/>
  <c r="C87" i="3"/>
  <c r="G154" i="3"/>
  <c r="B155" i="3"/>
  <c r="G100" i="1"/>
  <c r="F151" i="2"/>
  <c r="E151" i="2" s="1"/>
  <c r="C151" i="2"/>
  <c r="G151" i="2" s="1"/>
  <c r="D153" i="2"/>
  <c r="B154" i="2"/>
  <c r="F101" i="1"/>
  <c r="E101" i="1" s="1"/>
  <c r="C101" i="1"/>
  <c r="K145" i="6" l="1"/>
  <c r="E146" i="6" s="1"/>
  <c r="I145" i="6"/>
  <c r="G145" i="6" s="1"/>
  <c r="J145" i="6"/>
  <c r="H145" i="6" s="1"/>
  <c r="L145" i="6" s="1"/>
  <c r="C150" i="6"/>
  <c r="B151" i="6"/>
  <c r="D150" i="6"/>
  <c r="B156" i="4"/>
  <c r="G155" i="4"/>
  <c r="J155" i="4"/>
  <c r="D68" i="4"/>
  <c r="D87" i="3"/>
  <c r="E87" i="3" s="1"/>
  <c r="H87" i="3" s="1"/>
  <c r="G155" i="3"/>
  <c r="B156" i="3"/>
  <c r="B155" i="2"/>
  <c r="D154" i="2"/>
  <c r="C152" i="2"/>
  <c r="G152" i="2" s="1"/>
  <c r="F152" i="2"/>
  <c r="E152" i="2" s="1"/>
  <c r="G101" i="1"/>
  <c r="K146" i="6" l="1"/>
  <c r="E147" i="6" s="1"/>
  <c r="I146" i="6"/>
  <c r="G146" i="6" s="1"/>
  <c r="J146" i="6"/>
  <c r="H146" i="6" s="1"/>
  <c r="L146" i="6" s="1"/>
  <c r="C151" i="6"/>
  <c r="B152" i="6"/>
  <c r="D151" i="6"/>
  <c r="I68" i="4"/>
  <c r="K68" i="4" s="1"/>
  <c r="E68" i="4"/>
  <c r="H68" i="4" s="1"/>
  <c r="J156" i="4"/>
  <c r="B157" i="4"/>
  <c r="G156" i="4"/>
  <c r="F88" i="3"/>
  <c r="C88" i="3"/>
  <c r="G156" i="3"/>
  <c r="B157" i="3"/>
  <c r="F153" i="2"/>
  <c r="E153" i="2" s="1"/>
  <c r="C153" i="2"/>
  <c r="G153" i="2" s="1"/>
  <c r="D155" i="2"/>
  <c r="B156" i="2"/>
  <c r="C102" i="1"/>
  <c r="F102" i="1"/>
  <c r="E102" i="1" s="1"/>
  <c r="K147" i="6" l="1"/>
  <c r="E148" i="6" s="1"/>
  <c r="I147" i="6"/>
  <c r="G147" i="6" s="1"/>
  <c r="J147" i="6"/>
  <c r="H147" i="6" s="1"/>
  <c r="L147" i="6" s="1"/>
  <c r="C152" i="6"/>
  <c r="B153" i="6"/>
  <c r="D152" i="6"/>
  <c r="B158" i="4"/>
  <c r="G157" i="4"/>
  <c r="J157" i="4"/>
  <c r="C69" i="4"/>
  <c r="F69" i="4"/>
  <c r="D88" i="3"/>
  <c r="E88" i="3" s="1"/>
  <c r="H88" i="3" s="1"/>
  <c r="G157" i="3"/>
  <c r="B158" i="3"/>
  <c r="G102" i="1"/>
  <c r="B157" i="2"/>
  <c r="D156" i="2"/>
  <c r="C154" i="2"/>
  <c r="G154" i="2" s="1"/>
  <c r="F154" i="2"/>
  <c r="E154" i="2" s="1"/>
  <c r="F103" i="1"/>
  <c r="E103" i="1" s="1"/>
  <c r="C103" i="1"/>
  <c r="K148" i="6" l="1"/>
  <c r="E149" i="6" s="1"/>
  <c r="I148" i="6"/>
  <c r="G148" i="6" s="1"/>
  <c r="J148" i="6"/>
  <c r="H148" i="6" s="1"/>
  <c r="L148" i="6" s="1"/>
  <c r="C153" i="6"/>
  <c r="B154" i="6"/>
  <c r="D153" i="6"/>
  <c r="D69" i="4"/>
  <c r="J158" i="4"/>
  <c r="B159" i="4"/>
  <c r="G158" i="4"/>
  <c r="F89" i="3"/>
  <c r="C89" i="3"/>
  <c r="G158" i="3"/>
  <c r="B159" i="3"/>
  <c r="F155" i="2"/>
  <c r="E155" i="2" s="1"/>
  <c r="C155" i="2"/>
  <c r="G155" i="2" s="1"/>
  <c r="D157" i="2"/>
  <c r="B158" i="2"/>
  <c r="G103" i="1"/>
  <c r="K149" i="6" l="1"/>
  <c r="E150" i="6" s="1"/>
  <c r="I149" i="6"/>
  <c r="G149" i="6" s="1"/>
  <c r="J149" i="6"/>
  <c r="H149" i="6" s="1"/>
  <c r="L149" i="6" s="1"/>
  <c r="C154" i="6"/>
  <c r="B155" i="6"/>
  <c r="D154" i="6"/>
  <c r="B160" i="4"/>
  <c r="G159" i="4"/>
  <c r="J159" i="4"/>
  <c r="I69" i="4"/>
  <c r="K69" i="4" s="1"/>
  <c r="E69" i="4"/>
  <c r="H69" i="4" s="1"/>
  <c r="D89" i="3"/>
  <c r="E89" i="3" s="1"/>
  <c r="H89" i="3" s="1"/>
  <c r="G159" i="3"/>
  <c r="B160" i="3"/>
  <c r="B159" i="2"/>
  <c r="D158" i="2"/>
  <c r="C156" i="2"/>
  <c r="G156" i="2" s="1"/>
  <c r="F156" i="2"/>
  <c r="E156" i="2" s="1"/>
  <c r="C104" i="1"/>
  <c r="F104" i="1"/>
  <c r="E104" i="1" s="1"/>
  <c r="K150" i="6" l="1"/>
  <c r="E151" i="6" s="1"/>
  <c r="I150" i="6"/>
  <c r="G150" i="6" s="1"/>
  <c r="J150" i="6"/>
  <c r="H150" i="6" s="1"/>
  <c r="L150" i="6" s="1"/>
  <c r="C155" i="6"/>
  <c r="B156" i="6"/>
  <c r="D155" i="6"/>
  <c r="F70" i="4"/>
  <c r="C70" i="4"/>
  <c r="J160" i="4"/>
  <c r="B161" i="4"/>
  <c r="G160" i="4"/>
  <c r="F90" i="3"/>
  <c r="C90" i="3"/>
  <c r="G160" i="3"/>
  <c r="B161" i="3"/>
  <c r="G104" i="1"/>
  <c r="F157" i="2"/>
  <c r="E157" i="2" s="1"/>
  <c r="C157" i="2"/>
  <c r="G157" i="2" s="1"/>
  <c r="D159" i="2"/>
  <c r="B160" i="2"/>
  <c r="F105" i="1"/>
  <c r="E105" i="1" s="1"/>
  <c r="C105" i="1"/>
  <c r="K151" i="6" l="1"/>
  <c r="E152" i="6" s="1"/>
  <c r="I151" i="6"/>
  <c r="G151" i="6" s="1"/>
  <c r="J151" i="6"/>
  <c r="H151" i="6" s="1"/>
  <c r="L151" i="6" s="1"/>
  <c r="C156" i="6"/>
  <c r="B157" i="6"/>
  <c r="D156" i="6"/>
  <c r="B162" i="4"/>
  <c r="G161" i="4"/>
  <c r="J161" i="4"/>
  <c r="D70" i="4"/>
  <c r="D90" i="3"/>
  <c r="E90" i="3" s="1"/>
  <c r="H90" i="3" s="1"/>
  <c r="G161" i="3"/>
  <c r="B162" i="3"/>
  <c r="B161" i="2"/>
  <c r="D160" i="2"/>
  <c r="C158" i="2"/>
  <c r="G158" i="2" s="1"/>
  <c r="F158" i="2"/>
  <c r="E158" i="2" s="1"/>
  <c r="G105" i="1"/>
  <c r="K152" i="6" l="1"/>
  <c r="E153" i="6" s="1"/>
  <c r="I152" i="6"/>
  <c r="G152" i="6" s="1"/>
  <c r="J152" i="6"/>
  <c r="H152" i="6" s="1"/>
  <c r="L152" i="6" s="1"/>
  <c r="C157" i="6"/>
  <c r="B158" i="6"/>
  <c r="D157" i="6"/>
  <c r="I70" i="4"/>
  <c r="K70" i="4" s="1"/>
  <c r="E70" i="4"/>
  <c r="H70" i="4" s="1"/>
  <c r="J162" i="4"/>
  <c r="B163" i="4"/>
  <c r="G162" i="4"/>
  <c r="F91" i="3"/>
  <c r="C91" i="3"/>
  <c r="G162" i="3"/>
  <c r="B163" i="3"/>
  <c r="F159" i="2"/>
  <c r="E159" i="2" s="1"/>
  <c r="C159" i="2"/>
  <c r="G159" i="2" s="1"/>
  <c r="D161" i="2"/>
  <c r="B162" i="2"/>
  <c r="C106" i="1"/>
  <c r="F106" i="1"/>
  <c r="E106" i="1" s="1"/>
  <c r="I153" i="6" l="1"/>
  <c r="G153" i="6" s="1"/>
  <c r="K153" i="6" s="1"/>
  <c r="E154" i="6" s="1"/>
  <c r="J153" i="6"/>
  <c r="H153" i="6" s="1"/>
  <c r="L153" i="6" s="1"/>
  <c r="C158" i="6"/>
  <c r="B159" i="6"/>
  <c r="D158" i="6"/>
  <c r="B164" i="4"/>
  <c r="G163" i="4"/>
  <c r="J163" i="4"/>
  <c r="C71" i="4"/>
  <c r="F71" i="4"/>
  <c r="D91" i="3"/>
  <c r="E91" i="3" s="1"/>
  <c r="H91" i="3" s="1"/>
  <c r="G163" i="3"/>
  <c r="B164" i="3"/>
  <c r="G106" i="1"/>
  <c r="B163" i="2"/>
  <c r="D162" i="2"/>
  <c r="C160" i="2"/>
  <c r="G160" i="2" s="1"/>
  <c r="F160" i="2"/>
  <c r="E160" i="2" s="1"/>
  <c r="F107" i="1"/>
  <c r="E107" i="1" s="1"/>
  <c r="C107" i="1"/>
  <c r="K154" i="6" l="1"/>
  <c r="E155" i="6" s="1"/>
  <c r="I154" i="6"/>
  <c r="G154" i="6" s="1"/>
  <c r="L154" i="6"/>
  <c r="J154" i="6"/>
  <c r="H154" i="6" s="1"/>
  <c r="C159" i="6"/>
  <c r="B160" i="6"/>
  <c r="D159" i="6"/>
  <c r="D71" i="4"/>
  <c r="J164" i="4"/>
  <c r="B165" i="4"/>
  <c r="G164" i="4"/>
  <c r="F92" i="3"/>
  <c r="C92" i="3"/>
  <c r="G164" i="3"/>
  <c r="B165" i="3"/>
  <c r="F161" i="2"/>
  <c r="E161" i="2" s="1"/>
  <c r="C161" i="2"/>
  <c r="G161" i="2" s="1"/>
  <c r="D163" i="2"/>
  <c r="B164" i="2"/>
  <c r="G107" i="1"/>
  <c r="K155" i="6" l="1"/>
  <c r="E156" i="6" s="1"/>
  <c r="I155" i="6"/>
  <c r="G155" i="6" s="1"/>
  <c r="L155" i="6"/>
  <c r="J155" i="6"/>
  <c r="H155" i="6" s="1"/>
  <c r="C160" i="6"/>
  <c r="B161" i="6"/>
  <c r="D160" i="6"/>
  <c r="B166" i="4"/>
  <c r="G165" i="4"/>
  <c r="J165" i="4"/>
  <c r="I71" i="4"/>
  <c r="K71" i="4" s="1"/>
  <c r="E71" i="4"/>
  <c r="H71" i="4" s="1"/>
  <c r="D92" i="3"/>
  <c r="E92" i="3" s="1"/>
  <c r="H92" i="3" s="1"/>
  <c r="G165" i="3"/>
  <c r="B166" i="3"/>
  <c r="B165" i="2"/>
  <c r="D164" i="2"/>
  <c r="C162" i="2"/>
  <c r="G162" i="2" s="1"/>
  <c r="F162" i="2"/>
  <c r="E162" i="2" s="1"/>
  <c r="C108" i="1"/>
  <c r="F108" i="1"/>
  <c r="E108" i="1" s="1"/>
  <c r="K156" i="6" l="1"/>
  <c r="E157" i="6" s="1"/>
  <c r="I156" i="6"/>
  <c r="G156" i="6" s="1"/>
  <c r="L156" i="6"/>
  <c r="J156" i="6"/>
  <c r="H156" i="6" s="1"/>
  <c r="C161" i="6"/>
  <c r="B162" i="6"/>
  <c r="D161" i="6"/>
  <c r="F72" i="4"/>
  <c r="C72" i="4"/>
  <c r="J166" i="4"/>
  <c r="B167" i="4"/>
  <c r="G166" i="4"/>
  <c r="F93" i="3"/>
  <c r="C93" i="3"/>
  <c r="G166" i="3"/>
  <c r="B167" i="3"/>
  <c r="G108" i="1"/>
  <c r="F163" i="2"/>
  <c r="E163" i="2" s="1"/>
  <c r="C163" i="2"/>
  <c r="G163" i="2" s="1"/>
  <c r="D165" i="2"/>
  <c r="B166" i="2"/>
  <c r="F109" i="1"/>
  <c r="E109" i="1" s="1"/>
  <c r="C109" i="1"/>
  <c r="K157" i="6" l="1"/>
  <c r="E158" i="6" s="1"/>
  <c r="I157" i="6"/>
  <c r="G157" i="6" s="1"/>
  <c r="L157" i="6"/>
  <c r="J157" i="6"/>
  <c r="H157" i="6" s="1"/>
  <c r="C162" i="6"/>
  <c r="B163" i="6"/>
  <c r="D162" i="6"/>
  <c r="B168" i="4"/>
  <c r="G167" i="4"/>
  <c r="J167" i="4"/>
  <c r="D72" i="4"/>
  <c r="D93" i="3"/>
  <c r="E93" i="3" s="1"/>
  <c r="H93" i="3" s="1"/>
  <c r="G167" i="3"/>
  <c r="B168" i="3"/>
  <c r="B167" i="2"/>
  <c r="D166" i="2"/>
  <c r="C164" i="2"/>
  <c r="G164" i="2" s="1"/>
  <c r="F164" i="2"/>
  <c r="E164" i="2" s="1"/>
  <c r="G109" i="1"/>
  <c r="K158" i="6" l="1"/>
  <c r="E159" i="6" s="1"/>
  <c r="I158" i="6"/>
  <c r="G158" i="6" s="1"/>
  <c r="L158" i="6"/>
  <c r="J158" i="6"/>
  <c r="H158" i="6" s="1"/>
  <c r="C163" i="6"/>
  <c r="B164" i="6"/>
  <c r="D163" i="6"/>
  <c r="I72" i="4"/>
  <c r="K72" i="4" s="1"/>
  <c r="E72" i="4"/>
  <c r="H72" i="4" s="1"/>
  <c r="J168" i="4"/>
  <c r="B169" i="4"/>
  <c r="G168" i="4"/>
  <c r="F94" i="3"/>
  <c r="C94" i="3"/>
  <c r="G168" i="3"/>
  <c r="B169" i="3"/>
  <c r="F165" i="2"/>
  <c r="E165" i="2" s="1"/>
  <c r="C165" i="2"/>
  <c r="G165" i="2" s="1"/>
  <c r="D167" i="2"/>
  <c r="B168" i="2"/>
  <c r="C110" i="1"/>
  <c r="F110" i="1"/>
  <c r="E110" i="1" s="1"/>
  <c r="K159" i="6" l="1"/>
  <c r="E160" i="6" s="1"/>
  <c r="I159" i="6"/>
  <c r="G159" i="6" s="1"/>
  <c r="L159" i="6"/>
  <c r="J159" i="6"/>
  <c r="H159" i="6" s="1"/>
  <c r="C164" i="6"/>
  <c r="B165" i="6"/>
  <c r="D164" i="6"/>
  <c r="B170" i="4"/>
  <c r="G169" i="4"/>
  <c r="J169" i="4"/>
  <c r="C73" i="4"/>
  <c r="F73" i="4"/>
  <c r="D94" i="3"/>
  <c r="E94" i="3" s="1"/>
  <c r="H94" i="3" s="1"/>
  <c r="G169" i="3"/>
  <c r="B170" i="3"/>
  <c r="G110" i="1"/>
  <c r="B169" i="2"/>
  <c r="D168" i="2"/>
  <c r="C166" i="2"/>
  <c r="G166" i="2" s="1"/>
  <c r="F166" i="2"/>
  <c r="E166" i="2" s="1"/>
  <c r="F111" i="1"/>
  <c r="E111" i="1" s="1"/>
  <c r="C111" i="1"/>
  <c r="K160" i="6" l="1"/>
  <c r="E161" i="6" s="1"/>
  <c r="I160" i="6"/>
  <c r="G160" i="6" s="1"/>
  <c r="L160" i="6"/>
  <c r="J160" i="6"/>
  <c r="H160" i="6" s="1"/>
  <c r="C165" i="6"/>
  <c r="B166" i="6"/>
  <c r="D165" i="6"/>
  <c r="D73" i="4"/>
  <c r="J170" i="4"/>
  <c r="B171" i="4"/>
  <c r="G170" i="4"/>
  <c r="F95" i="3"/>
  <c r="C95" i="3"/>
  <c r="G170" i="3"/>
  <c r="B171" i="3"/>
  <c r="F167" i="2"/>
  <c r="E167" i="2" s="1"/>
  <c r="C167" i="2"/>
  <c r="G167" i="2" s="1"/>
  <c r="D169" i="2"/>
  <c r="B170" i="2"/>
  <c r="G111" i="1"/>
  <c r="K161" i="6" l="1"/>
  <c r="E162" i="6" s="1"/>
  <c r="I161" i="6"/>
  <c r="G161" i="6" s="1"/>
  <c r="L161" i="6"/>
  <c r="J161" i="6"/>
  <c r="H161" i="6" s="1"/>
  <c r="C166" i="6"/>
  <c r="B167" i="6"/>
  <c r="D166" i="6"/>
  <c r="B172" i="4"/>
  <c r="G171" i="4"/>
  <c r="J171" i="4"/>
  <c r="I73" i="4"/>
  <c r="K73" i="4" s="1"/>
  <c r="E73" i="4"/>
  <c r="H73" i="4" s="1"/>
  <c r="D95" i="3"/>
  <c r="E95" i="3" s="1"/>
  <c r="H95" i="3" s="1"/>
  <c r="B172" i="3"/>
  <c r="G171" i="3"/>
  <c r="B171" i="2"/>
  <c r="D170" i="2"/>
  <c r="C168" i="2"/>
  <c r="G168" i="2" s="1"/>
  <c r="F168" i="2"/>
  <c r="E168" i="2" s="1"/>
  <c r="C112" i="1"/>
  <c r="F112" i="1"/>
  <c r="E112" i="1" s="1"/>
  <c r="K162" i="6" l="1"/>
  <c r="E163" i="6" s="1"/>
  <c r="I162" i="6"/>
  <c r="G162" i="6" s="1"/>
  <c r="L162" i="6"/>
  <c r="J162" i="6"/>
  <c r="H162" i="6" s="1"/>
  <c r="C167" i="6"/>
  <c r="B168" i="6"/>
  <c r="D167" i="6"/>
  <c r="F74" i="4"/>
  <c r="C74" i="4"/>
  <c r="J172" i="4"/>
  <c r="B173" i="4"/>
  <c r="G172" i="4"/>
  <c r="F96" i="3"/>
  <c r="C96" i="3"/>
  <c r="G172" i="3"/>
  <c r="B173" i="3"/>
  <c r="G112" i="1"/>
  <c r="F169" i="2"/>
  <c r="E169" i="2" s="1"/>
  <c r="C169" i="2"/>
  <c r="G169" i="2" s="1"/>
  <c r="D171" i="2"/>
  <c r="B172" i="2"/>
  <c r="F113" i="1"/>
  <c r="E113" i="1" s="1"/>
  <c r="C113" i="1"/>
  <c r="K163" i="6" l="1"/>
  <c r="E164" i="6" s="1"/>
  <c r="I163" i="6"/>
  <c r="G163" i="6" s="1"/>
  <c r="L163" i="6"/>
  <c r="J163" i="6"/>
  <c r="H163" i="6" s="1"/>
  <c r="C168" i="6"/>
  <c r="B169" i="6"/>
  <c r="D168" i="6"/>
  <c r="B174" i="4"/>
  <c r="G173" i="4"/>
  <c r="J173" i="4"/>
  <c r="D74" i="4"/>
  <c r="D96" i="3"/>
  <c r="E96" i="3" s="1"/>
  <c r="H96" i="3" s="1"/>
  <c r="G173" i="3"/>
  <c r="B174" i="3"/>
  <c r="B173" i="2"/>
  <c r="D172" i="2"/>
  <c r="C170" i="2"/>
  <c r="G170" i="2" s="1"/>
  <c r="F170" i="2"/>
  <c r="E170" i="2" s="1"/>
  <c r="G113" i="1"/>
  <c r="K164" i="6" l="1"/>
  <c r="E165" i="6" s="1"/>
  <c r="I164" i="6"/>
  <c r="G164" i="6" s="1"/>
  <c r="L164" i="6"/>
  <c r="J164" i="6"/>
  <c r="H164" i="6" s="1"/>
  <c r="C169" i="6"/>
  <c r="B170" i="6"/>
  <c r="D169" i="6"/>
  <c r="I74" i="4"/>
  <c r="K74" i="4" s="1"/>
  <c r="E74" i="4"/>
  <c r="H74" i="4" s="1"/>
  <c r="J174" i="4"/>
  <c r="B175" i="4"/>
  <c r="G174" i="4"/>
  <c r="F97" i="3"/>
  <c r="C97" i="3"/>
  <c r="G174" i="3"/>
  <c r="B175" i="3"/>
  <c r="F171" i="2"/>
  <c r="E171" i="2" s="1"/>
  <c r="C171" i="2"/>
  <c r="G171" i="2" s="1"/>
  <c r="D173" i="2"/>
  <c r="B174" i="2"/>
  <c r="C114" i="1"/>
  <c r="F114" i="1"/>
  <c r="E114" i="1" s="1"/>
  <c r="K165" i="6" l="1"/>
  <c r="E166" i="6" s="1"/>
  <c r="I165" i="6"/>
  <c r="G165" i="6" s="1"/>
  <c r="L165" i="6"/>
  <c r="J165" i="6"/>
  <c r="H165" i="6" s="1"/>
  <c r="C170" i="6"/>
  <c r="B171" i="6"/>
  <c r="D170" i="6"/>
  <c r="B176" i="4"/>
  <c r="G175" i="4"/>
  <c r="J175" i="4"/>
  <c r="C75" i="4"/>
  <c r="F75" i="4"/>
  <c r="D97" i="3"/>
  <c r="E97" i="3" s="1"/>
  <c r="H97" i="3" s="1"/>
  <c r="G175" i="3"/>
  <c r="B176" i="3"/>
  <c r="G114" i="1"/>
  <c r="B175" i="2"/>
  <c r="D174" i="2"/>
  <c r="C172" i="2"/>
  <c r="G172" i="2" s="1"/>
  <c r="F172" i="2"/>
  <c r="E172" i="2" s="1"/>
  <c r="F115" i="1"/>
  <c r="E115" i="1" s="1"/>
  <c r="C115" i="1"/>
  <c r="K166" i="6" l="1"/>
  <c r="E167" i="6" s="1"/>
  <c r="I166" i="6"/>
  <c r="G166" i="6" s="1"/>
  <c r="L166" i="6"/>
  <c r="J166" i="6"/>
  <c r="H166" i="6" s="1"/>
  <c r="C171" i="6"/>
  <c r="B172" i="6"/>
  <c r="D171" i="6"/>
  <c r="D75" i="4"/>
  <c r="J176" i="4"/>
  <c r="B177" i="4"/>
  <c r="G176" i="4"/>
  <c r="F98" i="3"/>
  <c r="C98" i="3"/>
  <c r="G176" i="3"/>
  <c r="B177" i="3"/>
  <c r="F173" i="2"/>
  <c r="E173" i="2" s="1"/>
  <c r="C173" i="2"/>
  <c r="G173" i="2" s="1"/>
  <c r="D175" i="2"/>
  <c r="B176" i="2"/>
  <c r="G115" i="1"/>
  <c r="K167" i="6" l="1"/>
  <c r="E168" i="6" s="1"/>
  <c r="I167" i="6"/>
  <c r="G167" i="6" s="1"/>
  <c r="L167" i="6"/>
  <c r="J167" i="6"/>
  <c r="H167" i="6" s="1"/>
  <c r="C172" i="6"/>
  <c r="B173" i="6"/>
  <c r="D172" i="6"/>
  <c r="B178" i="4"/>
  <c r="G177" i="4"/>
  <c r="J177" i="4"/>
  <c r="I75" i="4"/>
  <c r="K75" i="4" s="1"/>
  <c r="E75" i="4"/>
  <c r="H75" i="4" s="1"/>
  <c r="D98" i="3"/>
  <c r="E98" i="3" s="1"/>
  <c r="H98" i="3" s="1"/>
  <c r="G177" i="3"/>
  <c r="B178" i="3"/>
  <c r="B177" i="2"/>
  <c r="D176" i="2"/>
  <c r="C174" i="2"/>
  <c r="G174" i="2" s="1"/>
  <c r="F174" i="2"/>
  <c r="E174" i="2" s="1"/>
  <c r="C116" i="1"/>
  <c r="F116" i="1"/>
  <c r="E116" i="1" s="1"/>
  <c r="K168" i="6" l="1"/>
  <c r="E169" i="6" s="1"/>
  <c r="I168" i="6"/>
  <c r="G168" i="6" s="1"/>
  <c r="L168" i="6"/>
  <c r="J168" i="6"/>
  <c r="H168" i="6" s="1"/>
  <c r="C173" i="6"/>
  <c r="B174" i="6"/>
  <c r="D173" i="6"/>
  <c r="F76" i="4"/>
  <c r="C76" i="4"/>
  <c r="J178" i="4"/>
  <c r="B179" i="4"/>
  <c r="G178" i="4"/>
  <c r="F99" i="3"/>
  <c r="C99" i="3"/>
  <c r="G178" i="3"/>
  <c r="B179" i="3"/>
  <c r="G116" i="1"/>
  <c r="F175" i="2"/>
  <c r="E175" i="2" s="1"/>
  <c r="C175" i="2"/>
  <c r="G175" i="2" s="1"/>
  <c r="D177" i="2"/>
  <c r="B178" i="2"/>
  <c r="F117" i="1"/>
  <c r="E117" i="1" s="1"/>
  <c r="C117" i="1"/>
  <c r="K169" i="6" l="1"/>
  <c r="E170" i="6" s="1"/>
  <c r="I169" i="6"/>
  <c r="G169" i="6" s="1"/>
  <c r="L169" i="6"/>
  <c r="J169" i="6"/>
  <c r="H169" i="6" s="1"/>
  <c r="C174" i="6"/>
  <c r="B175" i="6"/>
  <c r="D174" i="6"/>
  <c r="B180" i="4"/>
  <c r="G179" i="4"/>
  <c r="J179" i="4"/>
  <c r="D76" i="4"/>
  <c r="D99" i="3"/>
  <c r="E99" i="3" s="1"/>
  <c r="H99" i="3" s="1"/>
  <c r="G179" i="3"/>
  <c r="B180" i="3"/>
  <c r="B179" i="2"/>
  <c r="D178" i="2"/>
  <c r="C176" i="2"/>
  <c r="G176" i="2" s="1"/>
  <c r="F176" i="2"/>
  <c r="E176" i="2" s="1"/>
  <c r="G117" i="1"/>
  <c r="K170" i="6" l="1"/>
  <c r="E171" i="6" s="1"/>
  <c r="I170" i="6"/>
  <c r="G170" i="6" s="1"/>
  <c r="L170" i="6"/>
  <c r="J170" i="6"/>
  <c r="H170" i="6" s="1"/>
  <c r="C175" i="6"/>
  <c r="B176" i="6"/>
  <c r="D175" i="6"/>
  <c r="I76" i="4"/>
  <c r="K76" i="4" s="1"/>
  <c r="E76" i="4"/>
  <c r="H76" i="4" s="1"/>
  <c r="J180" i="4"/>
  <c r="B181" i="4"/>
  <c r="G180" i="4"/>
  <c r="F100" i="3"/>
  <c r="C100" i="3"/>
  <c r="G180" i="3"/>
  <c r="B181" i="3"/>
  <c r="F177" i="2"/>
  <c r="E177" i="2" s="1"/>
  <c r="C177" i="2"/>
  <c r="G177" i="2" s="1"/>
  <c r="D179" i="2"/>
  <c r="B180" i="2"/>
  <c r="C118" i="1"/>
  <c r="F118" i="1"/>
  <c r="E118" i="1" s="1"/>
  <c r="K171" i="6" l="1"/>
  <c r="E172" i="6" s="1"/>
  <c r="I171" i="6"/>
  <c r="G171" i="6" s="1"/>
  <c r="L171" i="6"/>
  <c r="J171" i="6"/>
  <c r="H171" i="6" s="1"/>
  <c r="C176" i="6"/>
  <c r="B177" i="6"/>
  <c r="D176" i="6"/>
  <c r="B182" i="4"/>
  <c r="G181" i="4"/>
  <c r="J181" i="4"/>
  <c r="C77" i="4"/>
  <c r="F77" i="4"/>
  <c r="D100" i="3"/>
  <c r="E100" i="3" s="1"/>
  <c r="H100" i="3" s="1"/>
  <c r="G181" i="3"/>
  <c r="B182" i="3"/>
  <c r="G118" i="1"/>
  <c r="B181" i="2"/>
  <c r="D180" i="2"/>
  <c r="C178" i="2"/>
  <c r="G178" i="2" s="1"/>
  <c r="F178" i="2"/>
  <c r="E178" i="2" s="1"/>
  <c r="F119" i="1"/>
  <c r="E119" i="1" s="1"/>
  <c r="C119" i="1"/>
  <c r="K172" i="6" l="1"/>
  <c r="E173" i="6" s="1"/>
  <c r="I172" i="6"/>
  <c r="G172" i="6" s="1"/>
  <c r="L172" i="6"/>
  <c r="J172" i="6"/>
  <c r="H172" i="6" s="1"/>
  <c r="C177" i="6"/>
  <c r="B178" i="6"/>
  <c r="D177" i="6"/>
  <c r="D77" i="4"/>
  <c r="J182" i="4"/>
  <c r="B183" i="4"/>
  <c r="G182" i="4"/>
  <c r="F101" i="3"/>
  <c r="C101" i="3"/>
  <c r="G182" i="3"/>
  <c r="B183" i="3"/>
  <c r="F179" i="2"/>
  <c r="E179" i="2" s="1"/>
  <c r="C179" i="2"/>
  <c r="G179" i="2" s="1"/>
  <c r="D181" i="2"/>
  <c r="B182" i="2"/>
  <c r="G119" i="1"/>
  <c r="K173" i="6" l="1"/>
  <c r="E174" i="6" s="1"/>
  <c r="I173" i="6"/>
  <c r="G173" i="6" s="1"/>
  <c r="L173" i="6"/>
  <c r="J173" i="6"/>
  <c r="H173" i="6" s="1"/>
  <c r="C178" i="6"/>
  <c r="B179" i="6"/>
  <c r="D178" i="6"/>
  <c r="B184" i="4"/>
  <c r="G183" i="4"/>
  <c r="J183" i="4"/>
  <c r="I77" i="4"/>
  <c r="K77" i="4" s="1"/>
  <c r="E77" i="4"/>
  <c r="H77" i="4" s="1"/>
  <c r="D101" i="3"/>
  <c r="E101" i="3" s="1"/>
  <c r="H101" i="3" s="1"/>
  <c r="G183" i="3"/>
  <c r="B184" i="3"/>
  <c r="B183" i="2"/>
  <c r="D182" i="2"/>
  <c r="C180" i="2"/>
  <c r="G180" i="2" s="1"/>
  <c r="F180" i="2"/>
  <c r="E180" i="2" s="1"/>
  <c r="C120" i="1"/>
  <c r="F120" i="1"/>
  <c r="E120" i="1" s="1"/>
  <c r="K174" i="6" l="1"/>
  <c r="E175" i="6" s="1"/>
  <c r="I174" i="6"/>
  <c r="G174" i="6" s="1"/>
  <c r="L174" i="6"/>
  <c r="J174" i="6"/>
  <c r="H174" i="6" s="1"/>
  <c r="C179" i="6"/>
  <c r="B180" i="6"/>
  <c r="D179" i="6"/>
  <c r="F78" i="4"/>
  <c r="C78" i="4"/>
  <c r="J184" i="4"/>
  <c r="B185" i="4"/>
  <c r="G184" i="4"/>
  <c r="F102" i="3"/>
  <c r="C102" i="3"/>
  <c r="G184" i="3"/>
  <c r="B185" i="3"/>
  <c r="G120" i="1"/>
  <c r="F181" i="2"/>
  <c r="E181" i="2" s="1"/>
  <c r="C181" i="2"/>
  <c r="G181" i="2" s="1"/>
  <c r="D183" i="2"/>
  <c r="B184" i="2"/>
  <c r="F121" i="1"/>
  <c r="E121" i="1" s="1"/>
  <c r="C121" i="1"/>
  <c r="K175" i="6" l="1"/>
  <c r="E176" i="6" s="1"/>
  <c r="I175" i="6"/>
  <c r="G175" i="6" s="1"/>
  <c r="L175" i="6"/>
  <c r="J175" i="6"/>
  <c r="H175" i="6" s="1"/>
  <c r="C180" i="6"/>
  <c r="B181" i="6"/>
  <c r="D180" i="6"/>
  <c r="B186" i="4"/>
  <c r="G185" i="4"/>
  <c r="J185" i="4"/>
  <c r="D78" i="4"/>
  <c r="D102" i="3"/>
  <c r="E102" i="3" s="1"/>
  <c r="H102" i="3" s="1"/>
  <c r="G185" i="3"/>
  <c r="B186" i="3"/>
  <c r="B185" i="2"/>
  <c r="D184" i="2"/>
  <c r="C182" i="2"/>
  <c r="G182" i="2" s="1"/>
  <c r="F182" i="2"/>
  <c r="E182" i="2" s="1"/>
  <c r="G121" i="1"/>
  <c r="K176" i="6" l="1"/>
  <c r="E177" i="6" s="1"/>
  <c r="I176" i="6"/>
  <c r="G176" i="6" s="1"/>
  <c r="L176" i="6"/>
  <c r="J176" i="6"/>
  <c r="H176" i="6" s="1"/>
  <c r="C181" i="6"/>
  <c r="B182" i="6"/>
  <c r="D181" i="6"/>
  <c r="I78" i="4"/>
  <c r="K78" i="4" s="1"/>
  <c r="E78" i="4"/>
  <c r="H78" i="4" s="1"/>
  <c r="J186" i="4"/>
  <c r="B187" i="4"/>
  <c r="G186" i="4"/>
  <c r="F103" i="3"/>
  <c r="C103" i="3"/>
  <c r="G186" i="3"/>
  <c r="B187" i="3"/>
  <c r="F183" i="2"/>
  <c r="E183" i="2" s="1"/>
  <c r="C183" i="2"/>
  <c r="G183" i="2" s="1"/>
  <c r="D185" i="2"/>
  <c r="B186" i="2"/>
  <c r="C122" i="1"/>
  <c r="F122" i="1"/>
  <c r="E122" i="1" s="1"/>
  <c r="K177" i="6" l="1"/>
  <c r="E178" i="6" s="1"/>
  <c r="I177" i="6"/>
  <c r="G177" i="6" s="1"/>
  <c r="L177" i="6"/>
  <c r="J177" i="6"/>
  <c r="H177" i="6" s="1"/>
  <c r="C182" i="6"/>
  <c r="B183" i="6"/>
  <c r="D182" i="6"/>
  <c r="B188" i="4"/>
  <c r="G187" i="4"/>
  <c r="J187" i="4"/>
  <c r="C79" i="4"/>
  <c r="F79" i="4"/>
  <c r="D103" i="3"/>
  <c r="E103" i="3" s="1"/>
  <c r="H103" i="3" s="1"/>
  <c r="G187" i="3"/>
  <c r="B188" i="3"/>
  <c r="G122" i="1"/>
  <c r="B187" i="2"/>
  <c r="D186" i="2"/>
  <c r="C184" i="2"/>
  <c r="G184" i="2" s="1"/>
  <c r="F184" i="2"/>
  <c r="E184" i="2" s="1"/>
  <c r="F123" i="1"/>
  <c r="E123" i="1" s="1"/>
  <c r="C123" i="1"/>
  <c r="K178" i="6" l="1"/>
  <c r="E179" i="6" s="1"/>
  <c r="I178" i="6"/>
  <c r="G178" i="6" s="1"/>
  <c r="L178" i="6"/>
  <c r="J178" i="6"/>
  <c r="H178" i="6" s="1"/>
  <c r="C183" i="6"/>
  <c r="B184" i="6"/>
  <c r="D183" i="6"/>
  <c r="D79" i="4"/>
  <c r="J188" i="4"/>
  <c r="B189" i="4"/>
  <c r="G188" i="4"/>
  <c r="F104" i="3"/>
  <c r="C104" i="3"/>
  <c r="G188" i="3"/>
  <c r="B189" i="3"/>
  <c r="F185" i="2"/>
  <c r="E185" i="2" s="1"/>
  <c r="C185" i="2"/>
  <c r="G185" i="2" s="1"/>
  <c r="B188" i="2"/>
  <c r="D187" i="2"/>
  <c r="G123" i="1"/>
  <c r="K179" i="6" l="1"/>
  <c r="E180" i="6" s="1"/>
  <c r="I179" i="6"/>
  <c r="G179" i="6" s="1"/>
  <c r="L179" i="6"/>
  <c r="J179" i="6"/>
  <c r="H179" i="6" s="1"/>
  <c r="C184" i="6"/>
  <c r="B185" i="6"/>
  <c r="D184" i="6"/>
  <c r="B190" i="4"/>
  <c r="G189" i="4"/>
  <c r="J189" i="4"/>
  <c r="I79" i="4"/>
  <c r="K79" i="4" s="1"/>
  <c r="E79" i="4"/>
  <c r="H79" i="4" s="1"/>
  <c r="D104" i="3"/>
  <c r="E104" i="3" s="1"/>
  <c r="H104" i="3" s="1"/>
  <c r="G189" i="3"/>
  <c r="B190" i="3"/>
  <c r="C186" i="2"/>
  <c r="F186" i="2"/>
  <c r="E186" i="2" s="1"/>
  <c r="D188" i="2"/>
  <c r="B189" i="2"/>
  <c r="C124" i="1"/>
  <c r="F124" i="1"/>
  <c r="E124" i="1" s="1"/>
  <c r="K180" i="6" l="1"/>
  <c r="E181" i="6" s="1"/>
  <c r="I180" i="6"/>
  <c r="G180" i="6" s="1"/>
  <c r="L180" i="6"/>
  <c r="J180" i="6"/>
  <c r="H180" i="6" s="1"/>
  <c r="C185" i="6"/>
  <c r="B186" i="6"/>
  <c r="D185" i="6"/>
  <c r="F80" i="4"/>
  <c r="C80" i="4"/>
  <c r="J190" i="4"/>
  <c r="B191" i="4"/>
  <c r="G190" i="4"/>
  <c r="F105" i="3"/>
  <c r="C105" i="3"/>
  <c r="G190" i="3"/>
  <c r="B191" i="3"/>
  <c r="G124" i="1"/>
  <c r="B190" i="2"/>
  <c r="D189" i="2"/>
  <c r="G186" i="2"/>
  <c r="F125" i="1"/>
  <c r="E125" i="1" s="1"/>
  <c r="C125" i="1"/>
  <c r="K181" i="6" l="1"/>
  <c r="E182" i="6" s="1"/>
  <c r="I181" i="6"/>
  <c r="G181" i="6" s="1"/>
  <c r="L181" i="6"/>
  <c r="J181" i="6"/>
  <c r="H181" i="6" s="1"/>
  <c r="C186" i="6"/>
  <c r="B187" i="6"/>
  <c r="D186" i="6"/>
  <c r="B192" i="4"/>
  <c r="G191" i="4"/>
  <c r="J191" i="4"/>
  <c r="D80" i="4"/>
  <c r="D105" i="3"/>
  <c r="E105" i="3" s="1"/>
  <c r="H105" i="3" s="1"/>
  <c r="G191" i="3"/>
  <c r="B192" i="3"/>
  <c r="C187" i="2"/>
  <c r="F187" i="2"/>
  <c r="E187" i="2" s="1"/>
  <c r="D190" i="2"/>
  <c r="B191" i="2"/>
  <c r="G125" i="1"/>
  <c r="K182" i="6" l="1"/>
  <c r="E183" i="6" s="1"/>
  <c r="I182" i="6"/>
  <c r="G182" i="6" s="1"/>
  <c r="L182" i="6"/>
  <c r="J182" i="6"/>
  <c r="H182" i="6" s="1"/>
  <c r="C187" i="6"/>
  <c r="B188" i="6"/>
  <c r="D187" i="6"/>
  <c r="I80" i="4"/>
  <c r="K80" i="4" s="1"/>
  <c r="E80" i="4"/>
  <c r="H80" i="4" s="1"/>
  <c r="J192" i="4"/>
  <c r="B193" i="4"/>
  <c r="G192" i="4"/>
  <c r="F106" i="3"/>
  <c r="C106" i="3"/>
  <c r="G192" i="3"/>
  <c r="B193" i="3"/>
  <c r="B192" i="2"/>
  <c r="D191" i="2"/>
  <c r="G187" i="2"/>
  <c r="C126" i="1"/>
  <c r="G126" i="1" s="1"/>
  <c r="F126" i="1"/>
  <c r="E126" i="1" s="1"/>
  <c r="K183" i="6" l="1"/>
  <c r="E184" i="6" s="1"/>
  <c r="I183" i="6"/>
  <c r="G183" i="6" s="1"/>
  <c r="L183" i="6"/>
  <c r="J183" i="6"/>
  <c r="H183" i="6" s="1"/>
  <c r="C188" i="6"/>
  <c r="B189" i="6"/>
  <c r="D188" i="6"/>
  <c r="B194" i="4"/>
  <c r="G193" i="4"/>
  <c r="J193" i="4"/>
  <c r="C81" i="4"/>
  <c r="F81" i="4"/>
  <c r="D106" i="3"/>
  <c r="E106" i="3" s="1"/>
  <c r="H106" i="3" s="1"/>
  <c r="G193" i="3"/>
  <c r="B194" i="3"/>
  <c r="F188" i="2"/>
  <c r="E188" i="2" s="1"/>
  <c r="C188" i="2"/>
  <c r="G188" i="2" s="1"/>
  <c r="D192" i="2"/>
  <c r="B193" i="2"/>
  <c r="F127" i="1"/>
  <c r="E127" i="1" s="1"/>
  <c r="C127" i="1"/>
  <c r="K184" i="6" l="1"/>
  <c r="E185" i="6" s="1"/>
  <c r="I184" i="6"/>
  <c r="G184" i="6" s="1"/>
  <c r="L184" i="6"/>
  <c r="J184" i="6"/>
  <c r="H184" i="6" s="1"/>
  <c r="C189" i="6"/>
  <c r="B190" i="6"/>
  <c r="D189" i="6"/>
  <c r="D81" i="4"/>
  <c r="J194" i="4"/>
  <c r="B195" i="4"/>
  <c r="G194" i="4"/>
  <c r="F107" i="3"/>
  <c r="C107" i="3"/>
  <c r="G194" i="3"/>
  <c r="B195" i="3"/>
  <c r="C189" i="2"/>
  <c r="F189" i="2"/>
  <c r="E189" i="2" s="1"/>
  <c r="B194" i="2"/>
  <c r="D193" i="2"/>
  <c r="G127" i="1"/>
  <c r="K185" i="6" l="1"/>
  <c r="E186" i="6" s="1"/>
  <c r="I185" i="6"/>
  <c r="G185" i="6" s="1"/>
  <c r="L185" i="6"/>
  <c r="J185" i="6"/>
  <c r="H185" i="6" s="1"/>
  <c r="C190" i="6"/>
  <c r="B191" i="6"/>
  <c r="D190" i="6"/>
  <c r="B196" i="4"/>
  <c r="G195" i="4"/>
  <c r="J195" i="4"/>
  <c r="I81" i="4"/>
  <c r="K81" i="4" s="1"/>
  <c r="E81" i="4"/>
  <c r="H81" i="4" s="1"/>
  <c r="D107" i="3"/>
  <c r="E107" i="3" s="1"/>
  <c r="H107" i="3" s="1"/>
  <c r="G195" i="3"/>
  <c r="B196" i="3"/>
  <c r="D194" i="2"/>
  <c r="B195" i="2"/>
  <c r="G189" i="2"/>
  <c r="C128" i="1"/>
  <c r="G128" i="1" s="1"/>
  <c r="F128" i="1"/>
  <c r="E128" i="1" s="1"/>
  <c r="K186" i="6" l="1"/>
  <c r="E187" i="6" s="1"/>
  <c r="I186" i="6"/>
  <c r="G186" i="6" s="1"/>
  <c r="L186" i="6"/>
  <c r="J186" i="6"/>
  <c r="H186" i="6" s="1"/>
  <c r="C191" i="6"/>
  <c r="B192" i="6"/>
  <c r="D191" i="6"/>
  <c r="F82" i="4"/>
  <c r="C82" i="4"/>
  <c r="J196" i="4"/>
  <c r="B197" i="4"/>
  <c r="G196" i="4"/>
  <c r="F108" i="3"/>
  <c r="C108" i="3"/>
  <c r="G196" i="3"/>
  <c r="B197" i="3"/>
  <c r="F190" i="2"/>
  <c r="E190" i="2" s="1"/>
  <c r="C190" i="2"/>
  <c r="G190" i="2" s="1"/>
  <c r="B196" i="2"/>
  <c r="D195" i="2"/>
  <c r="F129" i="1"/>
  <c r="E129" i="1" s="1"/>
  <c r="C129" i="1"/>
  <c r="K187" i="6" l="1"/>
  <c r="E188" i="6" s="1"/>
  <c r="I187" i="6"/>
  <c r="G187" i="6" s="1"/>
  <c r="L187" i="6"/>
  <c r="J187" i="6"/>
  <c r="H187" i="6" s="1"/>
  <c r="C192" i="6"/>
  <c r="B193" i="6"/>
  <c r="D192" i="6"/>
  <c r="B198" i="4"/>
  <c r="G197" i="4"/>
  <c r="J197" i="4"/>
  <c r="D82" i="4"/>
  <c r="D108" i="3"/>
  <c r="E108" i="3" s="1"/>
  <c r="H108" i="3" s="1"/>
  <c r="G197" i="3"/>
  <c r="B198" i="3"/>
  <c r="C191" i="2"/>
  <c r="F191" i="2"/>
  <c r="E191" i="2" s="1"/>
  <c r="D196" i="2"/>
  <c r="B197" i="2"/>
  <c r="G129" i="1"/>
  <c r="K188" i="6" l="1"/>
  <c r="E189" i="6" s="1"/>
  <c r="I188" i="6"/>
  <c r="G188" i="6" s="1"/>
  <c r="L188" i="6"/>
  <c r="J188" i="6"/>
  <c r="H188" i="6" s="1"/>
  <c r="C193" i="6"/>
  <c r="B194" i="6"/>
  <c r="D193" i="6"/>
  <c r="I82" i="4"/>
  <c r="K82" i="4" s="1"/>
  <c r="E82" i="4"/>
  <c r="H82" i="4" s="1"/>
  <c r="J198" i="4"/>
  <c r="B199" i="4"/>
  <c r="G198" i="4"/>
  <c r="F109" i="3"/>
  <c r="C109" i="3"/>
  <c r="G198" i="3"/>
  <c r="B199" i="3"/>
  <c r="B198" i="2"/>
  <c r="D197" i="2"/>
  <c r="G191" i="2"/>
  <c r="C130" i="1"/>
  <c r="G130" i="1" s="1"/>
  <c r="F130" i="1"/>
  <c r="E130" i="1" s="1"/>
  <c r="K189" i="6" l="1"/>
  <c r="E190" i="6" s="1"/>
  <c r="I189" i="6"/>
  <c r="G189" i="6" s="1"/>
  <c r="L189" i="6"/>
  <c r="J189" i="6"/>
  <c r="H189" i="6" s="1"/>
  <c r="C194" i="6"/>
  <c r="B195" i="6"/>
  <c r="D194" i="6"/>
  <c r="B200" i="4"/>
  <c r="G199" i="4"/>
  <c r="J199" i="4"/>
  <c r="C83" i="4"/>
  <c r="F83" i="4"/>
  <c r="D109" i="3"/>
  <c r="E109" i="3" s="1"/>
  <c r="H109" i="3" s="1"/>
  <c r="G199" i="3"/>
  <c r="B200" i="3"/>
  <c r="F192" i="2"/>
  <c r="E192" i="2" s="1"/>
  <c r="C192" i="2"/>
  <c r="G192" i="2" s="1"/>
  <c r="D198" i="2"/>
  <c r="B199" i="2"/>
  <c r="F131" i="1"/>
  <c r="E131" i="1" s="1"/>
  <c r="C131" i="1"/>
  <c r="K190" i="6" l="1"/>
  <c r="E191" i="6" s="1"/>
  <c r="I190" i="6"/>
  <c r="G190" i="6" s="1"/>
  <c r="L190" i="6"/>
  <c r="J190" i="6"/>
  <c r="H190" i="6" s="1"/>
  <c r="C195" i="6"/>
  <c r="B196" i="6"/>
  <c r="D195" i="6"/>
  <c r="D83" i="4"/>
  <c r="J200" i="4"/>
  <c r="B201" i="4"/>
  <c r="G200" i="4"/>
  <c r="F110" i="3"/>
  <c r="C110" i="3"/>
  <c r="G200" i="3"/>
  <c r="B201" i="3"/>
  <c r="B200" i="2"/>
  <c r="D199" i="2"/>
  <c r="C193" i="2"/>
  <c r="G193" i="2" s="1"/>
  <c r="F193" i="2"/>
  <c r="E193" i="2" s="1"/>
  <c r="G131" i="1"/>
  <c r="K191" i="6" l="1"/>
  <c r="E192" i="6" s="1"/>
  <c r="I191" i="6"/>
  <c r="G191" i="6" s="1"/>
  <c r="L191" i="6"/>
  <c r="J191" i="6"/>
  <c r="H191" i="6" s="1"/>
  <c r="C196" i="6"/>
  <c r="B197" i="6"/>
  <c r="D196" i="6"/>
  <c r="B202" i="4"/>
  <c r="G201" i="4"/>
  <c r="J201" i="4"/>
  <c r="I83" i="4"/>
  <c r="K83" i="4" s="1"/>
  <c r="E83" i="4"/>
  <c r="H83" i="4" s="1"/>
  <c r="D110" i="3"/>
  <c r="E110" i="3" s="1"/>
  <c r="H110" i="3" s="1"/>
  <c r="G201" i="3"/>
  <c r="B202" i="3"/>
  <c r="F194" i="2"/>
  <c r="E194" i="2" s="1"/>
  <c r="C194" i="2"/>
  <c r="G194" i="2" s="1"/>
  <c r="D200" i="2"/>
  <c r="B201" i="2"/>
  <c r="C132" i="1"/>
  <c r="F132" i="1"/>
  <c r="E132" i="1" s="1"/>
  <c r="K192" i="6" l="1"/>
  <c r="E193" i="6" s="1"/>
  <c r="I192" i="6"/>
  <c r="G192" i="6" s="1"/>
  <c r="L192" i="6"/>
  <c r="J192" i="6"/>
  <c r="H192" i="6" s="1"/>
  <c r="C197" i="6"/>
  <c r="B198" i="6"/>
  <c r="D197" i="6"/>
  <c r="F84" i="4"/>
  <c r="C84" i="4"/>
  <c r="J202" i="4"/>
  <c r="B203" i="4"/>
  <c r="G202" i="4"/>
  <c r="F111" i="3"/>
  <c r="C111" i="3"/>
  <c r="G202" i="3"/>
  <c r="B203" i="3"/>
  <c r="G132" i="1"/>
  <c r="C195" i="2"/>
  <c r="F195" i="2"/>
  <c r="E195" i="2" s="1"/>
  <c r="B202" i="2"/>
  <c r="D201" i="2"/>
  <c r="F133" i="1"/>
  <c r="E133" i="1" s="1"/>
  <c r="C133" i="1"/>
  <c r="K193" i="6" l="1"/>
  <c r="E194" i="6" s="1"/>
  <c r="I193" i="6"/>
  <c r="G193" i="6" s="1"/>
  <c r="L193" i="6"/>
  <c r="J193" i="6"/>
  <c r="H193" i="6" s="1"/>
  <c r="C198" i="6"/>
  <c r="B199" i="6"/>
  <c r="D198" i="6"/>
  <c r="B204" i="4"/>
  <c r="G203" i="4"/>
  <c r="J203" i="4"/>
  <c r="D84" i="4"/>
  <c r="D111" i="3"/>
  <c r="E111" i="3" s="1"/>
  <c r="H111" i="3" s="1"/>
  <c r="G203" i="3"/>
  <c r="B204" i="3"/>
  <c r="D202" i="2"/>
  <c r="B203" i="2"/>
  <c r="G195" i="2"/>
  <c r="G133" i="1"/>
  <c r="K194" i="6" l="1"/>
  <c r="E195" i="6" s="1"/>
  <c r="I194" i="6"/>
  <c r="G194" i="6" s="1"/>
  <c r="L194" i="6"/>
  <c r="J194" i="6"/>
  <c r="H194" i="6" s="1"/>
  <c r="C199" i="6"/>
  <c r="B200" i="6"/>
  <c r="D199" i="6"/>
  <c r="I84" i="4"/>
  <c r="K84" i="4" s="1"/>
  <c r="E84" i="4"/>
  <c r="H84" i="4" s="1"/>
  <c r="J204" i="4"/>
  <c r="B205" i="4"/>
  <c r="G204" i="4"/>
  <c r="F112" i="3"/>
  <c r="C112" i="3"/>
  <c r="G204" i="3"/>
  <c r="B205" i="3"/>
  <c r="F196" i="2"/>
  <c r="E196" i="2" s="1"/>
  <c r="C196" i="2"/>
  <c r="G196" i="2" s="1"/>
  <c r="B204" i="2"/>
  <c r="D203" i="2"/>
  <c r="C134" i="1"/>
  <c r="F134" i="1"/>
  <c r="E134" i="1" s="1"/>
  <c r="K195" i="6" l="1"/>
  <c r="E196" i="6" s="1"/>
  <c r="I195" i="6"/>
  <c r="G195" i="6" s="1"/>
  <c r="L195" i="6"/>
  <c r="J195" i="6"/>
  <c r="H195" i="6" s="1"/>
  <c r="C200" i="6"/>
  <c r="B201" i="6"/>
  <c r="D200" i="6"/>
  <c r="B206" i="4"/>
  <c r="G205" i="4"/>
  <c r="J205" i="4"/>
  <c r="C85" i="4"/>
  <c r="F85" i="4"/>
  <c r="D112" i="3"/>
  <c r="E112" i="3" s="1"/>
  <c r="H112" i="3" s="1"/>
  <c r="G205" i="3"/>
  <c r="B206" i="3"/>
  <c r="G134" i="1"/>
  <c r="C197" i="2"/>
  <c r="F197" i="2"/>
  <c r="E197" i="2" s="1"/>
  <c r="D204" i="2"/>
  <c r="B205" i="2"/>
  <c r="F135" i="1"/>
  <c r="E135" i="1" s="1"/>
  <c r="C135" i="1"/>
  <c r="K196" i="6" l="1"/>
  <c r="E197" i="6" s="1"/>
  <c r="I196" i="6"/>
  <c r="G196" i="6" s="1"/>
  <c r="L196" i="6"/>
  <c r="J196" i="6"/>
  <c r="H196" i="6" s="1"/>
  <c r="C201" i="6"/>
  <c r="B202" i="6"/>
  <c r="D201" i="6"/>
  <c r="D85" i="4"/>
  <c r="J206" i="4"/>
  <c r="B207" i="4"/>
  <c r="G206" i="4"/>
  <c r="F113" i="3"/>
  <c r="C113" i="3"/>
  <c r="G206" i="3"/>
  <c r="B207" i="3"/>
  <c r="B206" i="2"/>
  <c r="D205" i="2"/>
  <c r="G197" i="2"/>
  <c r="G135" i="1"/>
  <c r="K197" i="6" l="1"/>
  <c r="E198" i="6" s="1"/>
  <c r="I197" i="6"/>
  <c r="G197" i="6" s="1"/>
  <c r="L197" i="6"/>
  <c r="J197" i="6"/>
  <c r="H197" i="6" s="1"/>
  <c r="C202" i="6"/>
  <c r="B203" i="6"/>
  <c r="D202" i="6"/>
  <c r="B208" i="4"/>
  <c r="G207" i="4"/>
  <c r="J207" i="4"/>
  <c r="I85" i="4"/>
  <c r="K85" i="4" s="1"/>
  <c r="E85" i="4"/>
  <c r="H85" i="4" s="1"/>
  <c r="D113" i="3"/>
  <c r="E113" i="3" s="1"/>
  <c r="H113" i="3" s="1"/>
  <c r="G207" i="3"/>
  <c r="B208" i="3"/>
  <c r="F198" i="2"/>
  <c r="E198" i="2" s="1"/>
  <c r="C198" i="2"/>
  <c r="G198" i="2" s="1"/>
  <c r="D206" i="2"/>
  <c r="B207" i="2"/>
  <c r="C136" i="1"/>
  <c r="F136" i="1"/>
  <c r="E136" i="1" s="1"/>
  <c r="K198" i="6" l="1"/>
  <c r="E199" i="6" s="1"/>
  <c r="I198" i="6"/>
  <c r="G198" i="6" s="1"/>
  <c r="L198" i="6"/>
  <c r="J198" i="6"/>
  <c r="H198" i="6" s="1"/>
  <c r="C203" i="6"/>
  <c r="B204" i="6"/>
  <c r="D203" i="6"/>
  <c r="F86" i="4"/>
  <c r="C86" i="4"/>
  <c r="J208" i="4"/>
  <c r="B209" i="4"/>
  <c r="G208" i="4"/>
  <c r="F114" i="3"/>
  <c r="C114" i="3"/>
  <c r="G208" i="3"/>
  <c r="B209" i="3"/>
  <c r="G136" i="1"/>
  <c r="B208" i="2"/>
  <c r="D207" i="2"/>
  <c r="C199" i="2"/>
  <c r="G199" i="2" s="1"/>
  <c r="F199" i="2"/>
  <c r="E199" i="2" s="1"/>
  <c r="F137" i="1"/>
  <c r="E137" i="1" s="1"/>
  <c r="C137" i="1"/>
  <c r="K199" i="6" l="1"/>
  <c r="E200" i="6" s="1"/>
  <c r="I199" i="6"/>
  <c r="G199" i="6" s="1"/>
  <c r="L199" i="6"/>
  <c r="J199" i="6"/>
  <c r="H199" i="6" s="1"/>
  <c r="C204" i="6"/>
  <c r="B205" i="6"/>
  <c r="D204" i="6"/>
  <c r="B210" i="4"/>
  <c r="G209" i="4"/>
  <c r="J209" i="4"/>
  <c r="D86" i="4"/>
  <c r="D114" i="3"/>
  <c r="E114" i="3" s="1"/>
  <c r="H114" i="3" s="1"/>
  <c r="G209" i="3"/>
  <c r="B210" i="3"/>
  <c r="F200" i="2"/>
  <c r="E200" i="2" s="1"/>
  <c r="C200" i="2"/>
  <c r="G200" i="2" s="1"/>
  <c r="D208" i="2"/>
  <c r="B209" i="2"/>
  <c r="G137" i="1"/>
  <c r="K200" i="6" l="1"/>
  <c r="E201" i="6" s="1"/>
  <c r="I200" i="6"/>
  <c r="G200" i="6" s="1"/>
  <c r="L200" i="6"/>
  <c r="J200" i="6"/>
  <c r="H200" i="6" s="1"/>
  <c r="C205" i="6"/>
  <c r="B206" i="6"/>
  <c r="D205" i="6"/>
  <c r="I86" i="4"/>
  <c r="K86" i="4" s="1"/>
  <c r="E86" i="4"/>
  <c r="H86" i="4" s="1"/>
  <c r="J210" i="4"/>
  <c r="B211" i="4"/>
  <c r="G210" i="4"/>
  <c r="F115" i="3"/>
  <c r="C115" i="3"/>
  <c r="G210" i="3"/>
  <c r="B211" i="3"/>
  <c r="C201" i="2"/>
  <c r="F201" i="2"/>
  <c r="E201" i="2" s="1"/>
  <c r="B210" i="2"/>
  <c r="D209" i="2"/>
  <c r="C138" i="1"/>
  <c r="F138" i="1"/>
  <c r="E138" i="1" s="1"/>
  <c r="K201" i="6" l="1"/>
  <c r="E202" i="6" s="1"/>
  <c r="I201" i="6"/>
  <c r="G201" i="6" s="1"/>
  <c r="L201" i="6"/>
  <c r="J201" i="6"/>
  <c r="H201" i="6" s="1"/>
  <c r="C206" i="6"/>
  <c r="B207" i="6"/>
  <c r="D206" i="6"/>
  <c r="B212" i="4"/>
  <c r="G211" i="4"/>
  <c r="J211" i="4"/>
  <c r="C87" i="4"/>
  <c r="F87" i="4"/>
  <c r="D115" i="3"/>
  <c r="E115" i="3" s="1"/>
  <c r="H115" i="3" s="1"/>
  <c r="G211" i="3"/>
  <c r="B212" i="3"/>
  <c r="G138" i="1"/>
  <c r="D210" i="2"/>
  <c r="B211" i="2"/>
  <c r="G201" i="2"/>
  <c r="F139" i="1"/>
  <c r="E139" i="1" s="1"/>
  <c r="C139" i="1"/>
  <c r="K202" i="6" l="1"/>
  <c r="E203" i="6" s="1"/>
  <c r="I202" i="6"/>
  <c r="G202" i="6" s="1"/>
  <c r="L202" i="6"/>
  <c r="J202" i="6"/>
  <c r="H202" i="6" s="1"/>
  <c r="C207" i="6"/>
  <c r="B208" i="6"/>
  <c r="D207" i="6"/>
  <c r="D87" i="4"/>
  <c r="J212" i="4"/>
  <c r="B213" i="4"/>
  <c r="G212" i="4"/>
  <c r="F116" i="3"/>
  <c r="C116" i="3"/>
  <c r="G212" i="3"/>
  <c r="B213" i="3"/>
  <c r="F202" i="2"/>
  <c r="E202" i="2" s="1"/>
  <c r="C202" i="2"/>
  <c r="G202" i="2" s="1"/>
  <c r="B212" i="2"/>
  <c r="D211" i="2"/>
  <c r="G139" i="1"/>
  <c r="K203" i="6" l="1"/>
  <c r="E204" i="6" s="1"/>
  <c r="I203" i="6"/>
  <c r="G203" i="6" s="1"/>
  <c r="L203" i="6"/>
  <c r="J203" i="6"/>
  <c r="H203" i="6" s="1"/>
  <c r="C208" i="6"/>
  <c r="B209" i="6"/>
  <c r="D208" i="6"/>
  <c r="B214" i="4"/>
  <c r="G213" i="4"/>
  <c r="J213" i="4"/>
  <c r="I87" i="4"/>
  <c r="K87" i="4" s="1"/>
  <c r="E87" i="4"/>
  <c r="H87" i="4" s="1"/>
  <c r="D116" i="3"/>
  <c r="E116" i="3" s="1"/>
  <c r="H116" i="3" s="1"/>
  <c r="G213" i="3"/>
  <c r="B214" i="3"/>
  <c r="C203" i="2"/>
  <c r="F203" i="2"/>
  <c r="E203" i="2" s="1"/>
  <c r="D212" i="2"/>
  <c r="B213" i="2"/>
  <c r="C140" i="1"/>
  <c r="F140" i="1"/>
  <c r="E140" i="1" s="1"/>
  <c r="K204" i="6" l="1"/>
  <c r="E205" i="6" s="1"/>
  <c r="I204" i="6"/>
  <c r="G204" i="6" s="1"/>
  <c r="L204" i="6"/>
  <c r="J204" i="6"/>
  <c r="H204" i="6" s="1"/>
  <c r="C209" i="6"/>
  <c r="B210" i="6"/>
  <c r="D209" i="6"/>
  <c r="F88" i="4"/>
  <c r="C88" i="4"/>
  <c r="J214" i="4"/>
  <c r="B215" i="4"/>
  <c r="G214" i="4"/>
  <c r="F117" i="3"/>
  <c r="C117" i="3"/>
  <c r="G214" i="3"/>
  <c r="B215" i="3"/>
  <c r="G140" i="1"/>
  <c r="B214" i="2"/>
  <c r="D213" i="2"/>
  <c r="G203" i="2"/>
  <c r="F141" i="1"/>
  <c r="E141" i="1" s="1"/>
  <c r="C141" i="1"/>
  <c r="K205" i="6" l="1"/>
  <c r="E206" i="6" s="1"/>
  <c r="I205" i="6"/>
  <c r="G205" i="6" s="1"/>
  <c r="L205" i="6"/>
  <c r="J205" i="6"/>
  <c r="H205" i="6" s="1"/>
  <c r="C210" i="6"/>
  <c r="B211" i="6"/>
  <c r="D210" i="6"/>
  <c r="B216" i="4"/>
  <c r="G215" i="4"/>
  <c r="J215" i="4"/>
  <c r="D88" i="4"/>
  <c r="D117" i="3"/>
  <c r="E117" i="3" s="1"/>
  <c r="H117" i="3" s="1"/>
  <c r="G215" i="3"/>
  <c r="B216" i="3"/>
  <c r="F204" i="2"/>
  <c r="E204" i="2" s="1"/>
  <c r="C204" i="2"/>
  <c r="G204" i="2" s="1"/>
  <c r="D214" i="2"/>
  <c r="B215" i="2"/>
  <c r="G141" i="1"/>
  <c r="K206" i="6" l="1"/>
  <c r="E207" i="6" s="1"/>
  <c r="I206" i="6"/>
  <c r="G206" i="6" s="1"/>
  <c r="L206" i="6"/>
  <c r="J206" i="6"/>
  <c r="H206" i="6" s="1"/>
  <c r="C211" i="6"/>
  <c r="B212" i="6"/>
  <c r="D211" i="6"/>
  <c r="J216" i="4"/>
  <c r="B217" i="4"/>
  <c r="G216" i="4"/>
  <c r="I88" i="4"/>
  <c r="K88" i="4" s="1"/>
  <c r="E88" i="4"/>
  <c r="H88" i="4" s="1"/>
  <c r="F118" i="3"/>
  <c r="C118" i="3"/>
  <c r="G216" i="3"/>
  <c r="B217" i="3"/>
  <c r="B216" i="2"/>
  <c r="D215" i="2"/>
  <c r="C205" i="2"/>
  <c r="G205" i="2" s="1"/>
  <c r="F205" i="2"/>
  <c r="E205" i="2" s="1"/>
  <c r="C142" i="1"/>
  <c r="F142" i="1"/>
  <c r="E142" i="1" s="1"/>
  <c r="K207" i="6" l="1"/>
  <c r="E208" i="6" s="1"/>
  <c r="I207" i="6"/>
  <c r="G207" i="6" s="1"/>
  <c r="L207" i="6"/>
  <c r="J207" i="6"/>
  <c r="H207" i="6" s="1"/>
  <c r="C212" i="6"/>
  <c r="B213" i="6"/>
  <c r="D212" i="6"/>
  <c r="C89" i="4"/>
  <c r="F89" i="4"/>
  <c r="B218" i="4"/>
  <c r="G217" i="4"/>
  <c r="J217" i="4"/>
  <c r="D118" i="3"/>
  <c r="E118" i="3" s="1"/>
  <c r="H118" i="3" s="1"/>
  <c r="G217" i="3"/>
  <c r="B218" i="3"/>
  <c r="G142" i="1"/>
  <c r="F206" i="2"/>
  <c r="E206" i="2" s="1"/>
  <c r="C206" i="2"/>
  <c r="G206" i="2" s="1"/>
  <c r="D216" i="2"/>
  <c r="B217" i="2"/>
  <c r="F143" i="1"/>
  <c r="E143" i="1" s="1"/>
  <c r="C143" i="1"/>
  <c r="K208" i="6" l="1"/>
  <c r="E209" i="6" s="1"/>
  <c r="I208" i="6"/>
  <c r="G208" i="6" s="1"/>
  <c r="L208" i="6"/>
  <c r="J208" i="6"/>
  <c r="H208" i="6" s="1"/>
  <c r="C213" i="6"/>
  <c r="B214" i="6"/>
  <c r="D213" i="6"/>
  <c r="J218" i="4"/>
  <c r="B219" i="4"/>
  <c r="G218" i="4"/>
  <c r="D89" i="4"/>
  <c r="F119" i="3"/>
  <c r="C119" i="3"/>
  <c r="G218" i="3"/>
  <c r="B219" i="3"/>
  <c r="C207" i="2"/>
  <c r="F207" i="2"/>
  <c r="E207" i="2" s="1"/>
  <c r="B218" i="2"/>
  <c r="D217" i="2"/>
  <c r="G143" i="1"/>
  <c r="K209" i="6" l="1"/>
  <c r="E210" i="6" s="1"/>
  <c r="I209" i="6"/>
  <c r="G209" i="6" s="1"/>
  <c r="L209" i="6"/>
  <c r="J209" i="6"/>
  <c r="H209" i="6" s="1"/>
  <c r="C214" i="6"/>
  <c r="B215" i="6"/>
  <c r="D214" i="6"/>
  <c r="I89" i="4"/>
  <c r="K89" i="4" s="1"/>
  <c r="E89" i="4"/>
  <c r="H89" i="4" s="1"/>
  <c r="B220" i="4"/>
  <c r="G219" i="4"/>
  <c r="J219" i="4"/>
  <c r="D119" i="3"/>
  <c r="E119" i="3" s="1"/>
  <c r="H119" i="3" s="1"/>
  <c r="G219" i="3"/>
  <c r="B220" i="3"/>
  <c r="D218" i="2"/>
  <c r="B219" i="2"/>
  <c r="G207" i="2"/>
  <c r="C144" i="1"/>
  <c r="G144" i="1" s="1"/>
  <c r="F144" i="1"/>
  <c r="E144" i="1" s="1"/>
  <c r="K210" i="6" l="1"/>
  <c r="E211" i="6" s="1"/>
  <c r="I210" i="6"/>
  <c r="G210" i="6" s="1"/>
  <c r="L210" i="6"/>
  <c r="J210" i="6"/>
  <c r="H210" i="6" s="1"/>
  <c r="C215" i="6"/>
  <c r="B216" i="6"/>
  <c r="D215" i="6"/>
  <c r="J220" i="4"/>
  <c r="B221" i="4"/>
  <c r="G220" i="4"/>
  <c r="F90" i="4"/>
  <c r="C90" i="4"/>
  <c r="F120" i="3"/>
  <c r="C120" i="3"/>
  <c r="G220" i="3"/>
  <c r="B221" i="3"/>
  <c r="F208" i="2"/>
  <c r="E208" i="2" s="1"/>
  <c r="C208" i="2"/>
  <c r="G208" i="2" s="1"/>
  <c r="B220" i="2"/>
  <c r="D219" i="2"/>
  <c r="F145" i="1"/>
  <c r="E145" i="1" s="1"/>
  <c r="C145" i="1"/>
  <c r="K211" i="6" l="1"/>
  <c r="E212" i="6" s="1"/>
  <c r="I211" i="6"/>
  <c r="G211" i="6" s="1"/>
  <c r="L211" i="6"/>
  <c r="J211" i="6"/>
  <c r="H211" i="6" s="1"/>
  <c r="C216" i="6"/>
  <c r="B217" i="6"/>
  <c r="D216" i="6"/>
  <c r="D90" i="4"/>
  <c r="B222" i="4"/>
  <c r="G221" i="4"/>
  <c r="J221" i="4"/>
  <c r="D120" i="3"/>
  <c r="E120" i="3" s="1"/>
  <c r="H120" i="3" s="1"/>
  <c r="G221" i="3"/>
  <c r="B222" i="3"/>
  <c r="C209" i="2"/>
  <c r="F209" i="2"/>
  <c r="E209" i="2" s="1"/>
  <c r="D220" i="2"/>
  <c r="B221" i="2"/>
  <c r="G145" i="1"/>
  <c r="K212" i="6" l="1"/>
  <c r="E213" i="6" s="1"/>
  <c r="I212" i="6"/>
  <c r="G212" i="6" s="1"/>
  <c r="L212" i="6"/>
  <c r="J212" i="6"/>
  <c r="H212" i="6" s="1"/>
  <c r="C217" i="6"/>
  <c r="B218" i="6"/>
  <c r="D217" i="6"/>
  <c r="J222" i="4"/>
  <c r="B223" i="4"/>
  <c r="G222" i="4"/>
  <c r="I90" i="4"/>
  <c r="K90" i="4" s="1"/>
  <c r="E90" i="4"/>
  <c r="H90" i="4" s="1"/>
  <c r="F121" i="3"/>
  <c r="C121" i="3"/>
  <c r="G222" i="3"/>
  <c r="B223" i="3"/>
  <c r="B222" i="2"/>
  <c r="D221" i="2"/>
  <c r="G209" i="2"/>
  <c r="C146" i="1"/>
  <c r="G146" i="1" s="1"/>
  <c r="F146" i="1"/>
  <c r="E146" i="1" s="1"/>
  <c r="K213" i="6" l="1"/>
  <c r="E214" i="6" s="1"/>
  <c r="I213" i="6"/>
  <c r="G213" i="6" s="1"/>
  <c r="L213" i="6"/>
  <c r="J213" i="6"/>
  <c r="H213" i="6" s="1"/>
  <c r="C218" i="6"/>
  <c r="B219" i="6"/>
  <c r="D218" i="6"/>
  <c r="C91" i="4"/>
  <c r="F91" i="4"/>
  <c r="B224" i="4"/>
  <c r="G223" i="4"/>
  <c r="J223" i="4"/>
  <c r="D121" i="3"/>
  <c r="E121" i="3" s="1"/>
  <c r="H121" i="3" s="1"/>
  <c r="G223" i="3"/>
  <c r="B224" i="3"/>
  <c r="F210" i="2"/>
  <c r="E210" i="2" s="1"/>
  <c r="C210" i="2"/>
  <c r="G210" i="2" s="1"/>
  <c r="D222" i="2"/>
  <c r="B223" i="2"/>
  <c r="F147" i="1"/>
  <c r="E147" i="1" s="1"/>
  <c r="C147" i="1"/>
  <c r="K214" i="6" l="1"/>
  <c r="E215" i="6" s="1"/>
  <c r="I214" i="6"/>
  <c r="G214" i="6" s="1"/>
  <c r="L214" i="6"/>
  <c r="J214" i="6"/>
  <c r="H214" i="6" s="1"/>
  <c r="C219" i="6"/>
  <c r="B220" i="6"/>
  <c r="D219" i="6"/>
  <c r="J224" i="4"/>
  <c r="B225" i="4"/>
  <c r="G224" i="4"/>
  <c r="D91" i="4"/>
  <c r="F122" i="3"/>
  <c r="C122" i="3"/>
  <c r="G224" i="3"/>
  <c r="B225" i="3"/>
  <c r="B224" i="2"/>
  <c r="D223" i="2"/>
  <c r="C211" i="2"/>
  <c r="G211" i="2" s="1"/>
  <c r="F211" i="2"/>
  <c r="E211" i="2" s="1"/>
  <c r="G147" i="1"/>
  <c r="K215" i="6" l="1"/>
  <c r="E216" i="6" s="1"/>
  <c r="I215" i="6"/>
  <c r="G215" i="6" s="1"/>
  <c r="L215" i="6"/>
  <c r="J215" i="6"/>
  <c r="H215" i="6" s="1"/>
  <c r="C220" i="6"/>
  <c r="B221" i="6"/>
  <c r="D220" i="6"/>
  <c r="I91" i="4"/>
  <c r="K91" i="4" s="1"/>
  <c r="E91" i="4"/>
  <c r="H91" i="4" s="1"/>
  <c r="B226" i="4"/>
  <c r="G225" i="4"/>
  <c r="J225" i="4"/>
  <c r="D122" i="3"/>
  <c r="E122" i="3" s="1"/>
  <c r="H122" i="3" s="1"/>
  <c r="G225" i="3"/>
  <c r="B226" i="3"/>
  <c r="F212" i="2"/>
  <c r="E212" i="2" s="1"/>
  <c r="C212" i="2"/>
  <c r="G212" i="2" s="1"/>
  <c r="D224" i="2"/>
  <c r="B225" i="2"/>
  <c r="C148" i="1"/>
  <c r="F148" i="1"/>
  <c r="E148" i="1" s="1"/>
  <c r="K216" i="6" l="1"/>
  <c r="E217" i="6" s="1"/>
  <c r="I216" i="6"/>
  <c r="G216" i="6" s="1"/>
  <c r="L216" i="6"/>
  <c r="J216" i="6"/>
  <c r="H216" i="6" s="1"/>
  <c r="C221" i="6"/>
  <c r="B222" i="6"/>
  <c r="D221" i="6"/>
  <c r="J226" i="4"/>
  <c r="B227" i="4"/>
  <c r="G226" i="4"/>
  <c r="F92" i="4"/>
  <c r="C92" i="4"/>
  <c r="F123" i="3"/>
  <c r="C123" i="3"/>
  <c r="G226" i="3"/>
  <c r="B227" i="3"/>
  <c r="G148" i="1"/>
  <c r="C213" i="2"/>
  <c r="F213" i="2"/>
  <c r="E213" i="2" s="1"/>
  <c r="B226" i="2"/>
  <c r="D225" i="2"/>
  <c r="F149" i="1"/>
  <c r="E149" i="1" s="1"/>
  <c r="C149" i="1"/>
  <c r="K217" i="6" l="1"/>
  <c r="E218" i="6" s="1"/>
  <c r="I217" i="6"/>
  <c r="G217" i="6" s="1"/>
  <c r="L217" i="6"/>
  <c r="J217" i="6"/>
  <c r="H217" i="6" s="1"/>
  <c r="C222" i="6"/>
  <c r="B223" i="6"/>
  <c r="D222" i="6"/>
  <c r="D92" i="4"/>
  <c r="B228" i="4"/>
  <c r="G227" i="4"/>
  <c r="J227" i="4"/>
  <c r="D123" i="3"/>
  <c r="E123" i="3" s="1"/>
  <c r="H123" i="3" s="1"/>
  <c r="G227" i="3"/>
  <c r="B228" i="3"/>
  <c r="D226" i="2"/>
  <c r="B227" i="2"/>
  <c r="G213" i="2"/>
  <c r="G149" i="1"/>
  <c r="K218" i="6" l="1"/>
  <c r="E219" i="6" s="1"/>
  <c r="I218" i="6"/>
  <c r="G218" i="6" s="1"/>
  <c r="L218" i="6"/>
  <c r="J218" i="6"/>
  <c r="H218" i="6" s="1"/>
  <c r="C223" i="6"/>
  <c r="B224" i="6"/>
  <c r="D223" i="6"/>
  <c r="B229" i="4"/>
  <c r="G228" i="4"/>
  <c r="J228" i="4"/>
  <c r="I92" i="4"/>
  <c r="K92" i="4" s="1"/>
  <c r="E92" i="4"/>
  <c r="H92" i="4" s="1"/>
  <c r="F124" i="3"/>
  <c r="C124" i="3"/>
  <c r="G228" i="3"/>
  <c r="B229" i="3"/>
  <c r="F214" i="2"/>
  <c r="E214" i="2" s="1"/>
  <c r="C214" i="2"/>
  <c r="G214" i="2" s="1"/>
  <c r="B228" i="2"/>
  <c r="D227" i="2"/>
  <c r="C150" i="1"/>
  <c r="F150" i="1"/>
  <c r="E150" i="1" s="1"/>
  <c r="K219" i="6" l="1"/>
  <c r="E220" i="6" s="1"/>
  <c r="I219" i="6"/>
  <c r="G219" i="6" s="1"/>
  <c r="L219" i="6"/>
  <c r="J219" i="6"/>
  <c r="H219" i="6" s="1"/>
  <c r="C224" i="6"/>
  <c r="B225" i="6"/>
  <c r="D224" i="6"/>
  <c r="J229" i="4"/>
  <c r="B230" i="4"/>
  <c r="G229" i="4"/>
  <c r="C93" i="4"/>
  <c r="F93" i="4"/>
  <c r="D124" i="3"/>
  <c r="E124" i="3" s="1"/>
  <c r="H124" i="3" s="1"/>
  <c r="G229" i="3"/>
  <c r="B230" i="3"/>
  <c r="G150" i="1"/>
  <c r="C215" i="2"/>
  <c r="F215" i="2"/>
  <c r="E215" i="2" s="1"/>
  <c r="D228" i="2"/>
  <c r="B229" i="2"/>
  <c r="F151" i="1"/>
  <c r="E151" i="1" s="1"/>
  <c r="C151" i="1"/>
  <c r="K220" i="6" l="1"/>
  <c r="E221" i="6" s="1"/>
  <c r="I220" i="6"/>
  <c r="G220" i="6" s="1"/>
  <c r="L220" i="6"/>
  <c r="J220" i="6"/>
  <c r="H220" i="6" s="1"/>
  <c r="C225" i="6"/>
  <c r="B226" i="6"/>
  <c r="D225" i="6"/>
  <c r="D93" i="4"/>
  <c r="B231" i="4"/>
  <c r="G230" i="4"/>
  <c r="J230" i="4"/>
  <c r="F125" i="3"/>
  <c r="C125" i="3"/>
  <c r="G230" i="3"/>
  <c r="B231" i="3"/>
  <c r="B230" i="2"/>
  <c r="D229" i="2"/>
  <c r="G215" i="2"/>
  <c r="G151" i="1"/>
  <c r="K221" i="6" l="1"/>
  <c r="E222" i="6" s="1"/>
  <c r="I221" i="6"/>
  <c r="G221" i="6" s="1"/>
  <c r="L221" i="6"/>
  <c r="J221" i="6"/>
  <c r="H221" i="6" s="1"/>
  <c r="C226" i="6"/>
  <c r="B227" i="6"/>
  <c r="D226" i="6"/>
  <c r="J231" i="4"/>
  <c r="B232" i="4"/>
  <c r="G231" i="4"/>
  <c r="I93" i="4"/>
  <c r="K93" i="4" s="1"/>
  <c r="E93" i="4"/>
  <c r="H93" i="4" s="1"/>
  <c r="D125" i="3"/>
  <c r="E125" i="3" s="1"/>
  <c r="H125" i="3" s="1"/>
  <c r="G231" i="3"/>
  <c r="B232" i="3"/>
  <c r="F216" i="2"/>
  <c r="E216" i="2" s="1"/>
  <c r="C216" i="2"/>
  <c r="G216" i="2" s="1"/>
  <c r="D230" i="2"/>
  <c r="B231" i="2"/>
  <c r="C152" i="1"/>
  <c r="F152" i="1"/>
  <c r="E152" i="1" s="1"/>
  <c r="K222" i="6" l="1"/>
  <c r="E223" i="6" s="1"/>
  <c r="I222" i="6"/>
  <c r="G222" i="6" s="1"/>
  <c r="L222" i="6"/>
  <c r="J222" i="6"/>
  <c r="H222" i="6" s="1"/>
  <c r="C227" i="6"/>
  <c r="B228" i="6"/>
  <c r="D227" i="6"/>
  <c r="F94" i="4"/>
  <c r="C94" i="4"/>
  <c r="B233" i="4"/>
  <c r="G232" i="4"/>
  <c r="J232" i="4"/>
  <c r="F126" i="3"/>
  <c r="C126" i="3"/>
  <c r="G232" i="3"/>
  <c r="B233" i="3"/>
  <c r="G152" i="1"/>
  <c r="B232" i="2"/>
  <c r="D231" i="2"/>
  <c r="C217" i="2"/>
  <c r="G217" i="2" s="1"/>
  <c r="F217" i="2"/>
  <c r="E217" i="2" s="1"/>
  <c r="F153" i="1"/>
  <c r="E153" i="1" s="1"/>
  <c r="C153" i="1"/>
  <c r="K223" i="6" l="1"/>
  <c r="E224" i="6" s="1"/>
  <c r="I223" i="6"/>
  <c r="G223" i="6" s="1"/>
  <c r="L223" i="6"/>
  <c r="J223" i="6"/>
  <c r="H223" i="6" s="1"/>
  <c r="C228" i="6"/>
  <c r="B229" i="6"/>
  <c r="D228" i="6"/>
  <c r="J233" i="4"/>
  <c r="B234" i="4"/>
  <c r="G233" i="4"/>
  <c r="D94" i="4"/>
  <c r="D126" i="3"/>
  <c r="E126" i="3" s="1"/>
  <c r="H126" i="3" s="1"/>
  <c r="G233" i="3"/>
  <c r="B234" i="3"/>
  <c r="F218" i="2"/>
  <c r="E218" i="2" s="1"/>
  <c r="C218" i="2"/>
  <c r="G218" i="2" s="1"/>
  <c r="D232" i="2"/>
  <c r="B233" i="2"/>
  <c r="G153" i="1"/>
  <c r="K224" i="6" l="1"/>
  <c r="E225" i="6" s="1"/>
  <c r="I224" i="6"/>
  <c r="G224" i="6" s="1"/>
  <c r="L224" i="6"/>
  <c r="J224" i="6"/>
  <c r="H224" i="6" s="1"/>
  <c r="C229" i="6"/>
  <c r="B230" i="6"/>
  <c r="D229" i="6"/>
  <c r="I94" i="4"/>
  <c r="K94" i="4" s="1"/>
  <c r="E94" i="4"/>
  <c r="H94" i="4" s="1"/>
  <c r="B235" i="4"/>
  <c r="G234" i="4"/>
  <c r="J234" i="4"/>
  <c r="F127" i="3"/>
  <c r="C127" i="3"/>
  <c r="G234" i="3"/>
  <c r="B235" i="3"/>
  <c r="C219" i="2"/>
  <c r="F219" i="2"/>
  <c r="E219" i="2" s="1"/>
  <c r="B234" i="2"/>
  <c r="D233" i="2"/>
  <c r="C154" i="1"/>
  <c r="F154" i="1"/>
  <c r="E154" i="1" s="1"/>
  <c r="K225" i="6" l="1"/>
  <c r="E226" i="6" s="1"/>
  <c r="I225" i="6"/>
  <c r="G225" i="6" s="1"/>
  <c r="L225" i="6"/>
  <c r="J225" i="6"/>
  <c r="H225" i="6" s="1"/>
  <c r="C230" i="6"/>
  <c r="B231" i="6"/>
  <c r="D230" i="6"/>
  <c r="J235" i="4"/>
  <c r="B236" i="4"/>
  <c r="G235" i="4"/>
  <c r="C95" i="4"/>
  <c r="F95" i="4"/>
  <c r="D127" i="3"/>
  <c r="E127" i="3" s="1"/>
  <c r="H127" i="3" s="1"/>
  <c r="B236" i="3"/>
  <c r="G235" i="3"/>
  <c r="G154" i="1"/>
  <c r="D234" i="2"/>
  <c r="B235" i="2"/>
  <c r="G219" i="2"/>
  <c r="F155" i="1"/>
  <c r="E155" i="1" s="1"/>
  <c r="C155" i="1"/>
  <c r="K226" i="6" l="1"/>
  <c r="E227" i="6" s="1"/>
  <c r="I226" i="6"/>
  <c r="G226" i="6" s="1"/>
  <c r="L226" i="6"/>
  <c r="J226" i="6"/>
  <c r="H226" i="6" s="1"/>
  <c r="C231" i="6"/>
  <c r="B232" i="6"/>
  <c r="D231" i="6"/>
  <c r="D95" i="4"/>
  <c r="B237" i="4"/>
  <c r="G236" i="4"/>
  <c r="J236" i="4"/>
  <c r="F128" i="3"/>
  <c r="C128" i="3"/>
  <c r="B237" i="3"/>
  <c r="G236" i="3"/>
  <c r="F220" i="2"/>
  <c r="E220" i="2" s="1"/>
  <c r="C220" i="2"/>
  <c r="G220" i="2" s="1"/>
  <c r="B236" i="2"/>
  <c r="D235" i="2"/>
  <c r="G155" i="1"/>
  <c r="K227" i="6" l="1"/>
  <c r="E228" i="6" s="1"/>
  <c r="I227" i="6"/>
  <c r="G227" i="6" s="1"/>
  <c r="L227" i="6"/>
  <c r="J227" i="6"/>
  <c r="H227" i="6" s="1"/>
  <c r="C232" i="6"/>
  <c r="B233" i="6"/>
  <c r="D232" i="6"/>
  <c r="J237" i="4"/>
  <c r="B238" i="4"/>
  <c r="G237" i="4"/>
  <c r="I95" i="4"/>
  <c r="K95" i="4" s="1"/>
  <c r="E95" i="4"/>
  <c r="H95" i="4" s="1"/>
  <c r="D128" i="3"/>
  <c r="E128" i="3" s="1"/>
  <c r="H128" i="3" s="1"/>
  <c r="B238" i="3"/>
  <c r="G237" i="3"/>
  <c r="C221" i="2"/>
  <c r="F221" i="2"/>
  <c r="E221" i="2" s="1"/>
  <c r="D236" i="2"/>
  <c r="B237" i="2"/>
  <c r="C156" i="1"/>
  <c r="F156" i="1"/>
  <c r="E156" i="1" s="1"/>
  <c r="K228" i="6" l="1"/>
  <c r="E229" i="6" s="1"/>
  <c r="I228" i="6"/>
  <c r="G228" i="6" s="1"/>
  <c r="L228" i="6"/>
  <c r="J228" i="6"/>
  <c r="H228" i="6" s="1"/>
  <c r="C233" i="6"/>
  <c r="B234" i="6"/>
  <c r="D233" i="6"/>
  <c r="F96" i="4"/>
  <c r="C96" i="4"/>
  <c r="B239" i="4"/>
  <c r="G238" i="4"/>
  <c r="J238" i="4"/>
  <c r="F129" i="3"/>
  <c r="C129" i="3"/>
  <c r="B239" i="3"/>
  <c r="G238" i="3"/>
  <c r="G156" i="1"/>
  <c r="B238" i="2"/>
  <c r="D237" i="2"/>
  <c r="G221" i="2"/>
  <c r="F157" i="1"/>
  <c r="E157" i="1" s="1"/>
  <c r="C157" i="1"/>
  <c r="K229" i="6" l="1"/>
  <c r="E230" i="6" s="1"/>
  <c r="I229" i="6"/>
  <c r="G229" i="6" s="1"/>
  <c r="L229" i="6"/>
  <c r="J229" i="6"/>
  <c r="H229" i="6" s="1"/>
  <c r="C234" i="6"/>
  <c r="B235" i="6"/>
  <c r="D234" i="6"/>
  <c r="J239" i="4"/>
  <c r="B240" i="4"/>
  <c r="G239" i="4"/>
  <c r="D96" i="4"/>
  <c r="D129" i="3"/>
  <c r="E129" i="3" s="1"/>
  <c r="H129" i="3" s="1"/>
  <c r="B240" i="3"/>
  <c r="G239" i="3"/>
  <c r="F222" i="2"/>
  <c r="E222" i="2" s="1"/>
  <c r="C222" i="2"/>
  <c r="G222" i="2" s="1"/>
  <c r="D238" i="2"/>
  <c r="B239" i="2"/>
  <c r="G157" i="1"/>
  <c r="K230" i="6" l="1"/>
  <c r="E231" i="6" s="1"/>
  <c r="I230" i="6"/>
  <c r="G230" i="6" s="1"/>
  <c r="L230" i="6"/>
  <c r="J230" i="6"/>
  <c r="H230" i="6" s="1"/>
  <c r="C235" i="6"/>
  <c r="B236" i="6"/>
  <c r="D235" i="6"/>
  <c r="I96" i="4"/>
  <c r="K96" i="4" s="1"/>
  <c r="E96" i="4"/>
  <c r="H96" i="4" s="1"/>
  <c r="B241" i="4"/>
  <c r="G240" i="4"/>
  <c r="J240" i="4"/>
  <c r="C130" i="3"/>
  <c r="F130" i="3"/>
  <c r="B241" i="3"/>
  <c r="G240" i="3"/>
  <c r="B240" i="2"/>
  <c r="D239" i="2"/>
  <c r="C223" i="2"/>
  <c r="G223" i="2" s="1"/>
  <c r="F223" i="2"/>
  <c r="E223" i="2" s="1"/>
  <c r="C158" i="1"/>
  <c r="F158" i="1"/>
  <c r="E158" i="1" s="1"/>
  <c r="K231" i="6" l="1"/>
  <c r="E232" i="6" s="1"/>
  <c r="I231" i="6"/>
  <c r="G231" i="6" s="1"/>
  <c r="L231" i="6"/>
  <c r="J231" i="6"/>
  <c r="H231" i="6" s="1"/>
  <c r="C236" i="6"/>
  <c r="B237" i="6"/>
  <c r="D236" i="6"/>
  <c r="J241" i="4"/>
  <c r="B242" i="4"/>
  <c r="G241" i="4"/>
  <c r="C97" i="4"/>
  <c r="F97" i="4"/>
  <c r="B242" i="3"/>
  <c r="G241" i="3"/>
  <c r="H130" i="3"/>
  <c r="D130" i="3"/>
  <c r="E130" i="3" s="1"/>
  <c r="G158" i="1"/>
  <c r="F224" i="2"/>
  <c r="E224" i="2" s="1"/>
  <c r="C224" i="2"/>
  <c r="G224" i="2" s="1"/>
  <c r="D240" i="2"/>
  <c r="B241" i="2"/>
  <c r="F159" i="1"/>
  <c r="E159" i="1" s="1"/>
  <c r="C159" i="1"/>
  <c r="K232" i="6" l="1"/>
  <c r="E233" i="6" s="1"/>
  <c r="I232" i="6"/>
  <c r="G232" i="6" s="1"/>
  <c r="L232" i="6"/>
  <c r="J232" i="6"/>
  <c r="H232" i="6" s="1"/>
  <c r="C237" i="6"/>
  <c r="B238" i="6"/>
  <c r="D237" i="6"/>
  <c r="D97" i="4"/>
  <c r="B243" i="4"/>
  <c r="G242" i="4"/>
  <c r="J242" i="4"/>
  <c r="C131" i="3"/>
  <c r="F131" i="3"/>
  <c r="B243" i="3"/>
  <c r="G242" i="3"/>
  <c r="C225" i="2"/>
  <c r="F225" i="2"/>
  <c r="E225" i="2" s="1"/>
  <c r="B242" i="2"/>
  <c r="D241" i="2"/>
  <c r="G159" i="1"/>
  <c r="K233" i="6" l="1"/>
  <c r="E234" i="6" s="1"/>
  <c r="I233" i="6"/>
  <c r="G233" i="6" s="1"/>
  <c r="L233" i="6"/>
  <c r="J233" i="6"/>
  <c r="H233" i="6" s="1"/>
  <c r="B239" i="6"/>
  <c r="C238" i="6"/>
  <c r="D238" i="6"/>
  <c r="J243" i="4"/>
  <c r="B244" i="4"/>
  <c r="G243" i="4"/>
  <c r="I97" i="4"/>
  <c r="K97" i="4" s="1"/>
  <c r="E97" i="4"/>
  <c r="H97" i="4" s="1"/>
  <c r="B244" i="3"/>
  <c r="G243" i="3"/>
  <c r="H131" i="3"/>
  <c r="D131" i="3"/>
  <c r="E131" i="3" s="1"/>
  <c r="D242" i="2"/>
  <c r="B243" i="2"/>
  <c r="G225" i="2"/>
  <c r="C160" i="1"/>
  <c r="G160" i="1" s="1"/>
  <c r="F160" i="1"/>
  <c r="E160" i="1" s="1"/>
  <c r="B240" i="6" l="1"/>
  <c r="C239" i="6"/>
  <c r="D239" i="6"/>
  <c r="I234" i="6"/>
  <c r="G234" i="6" s="1"/>
  <c r="K234" i="6" s="1"/>
  <c r="E235" i="6" s="1"/>
  <c r="J234" i="6"/>
  <c r="H234" i="6" s="1"/>
  <c r="L234" i="6" s="1"/>
  <c r="F98" i="4"/>
  <c r="C98" i="4"/>
  <c r="B245" i="4"/>
  <c r="G244" i="4"/>
  <c r="J244" i="4"/>
  <c r="C132" i="3"/>
  <c r="F132" i="3"/>
  <c r="B245" i="3"/>
  <c r="G244" i="3"/>
  <c r="F226" i="2"/>
  <c r="E226" i="2" s="1"/>
  <c r="C226" i="2"/>
  <c r="G226" i="2" s="1"/>
  <c r="B244" i="2"/>
  <c r="D243" i="2"/>
  <c r="F161" i="1"/>
  <c r="E161" i="1" s="1"/>
  <c r="C161" i="1"/>
  <c r="K235" i="6" l="1"/>
  <c r="E236" i="6" s="1"/>
  <c r="I235" i="6"/>
  <c r="G235" i="6" s="1"/>
  <c r="L235" i="6"/>
  <c r="J235" i="6"/>
  <c r="H235" i="6" s="1"/>
  <c r="B241" i="6"/>
  <c r="C240" i="6"/>
  <c r="D240" i="6"/>
  <c r="J245" i="4"/>
  <c r="B246" i="4"/>
  <c r="G245" i="4"/>
  <c r="D98" i="4"/>
  <c r="B246" i="3"/>
  <c r="G245" i="3"/>
  <c r="H132" i="3"/>
  <c r="D132" i="3"/>
  <c r="E132" i="3" s="1"/>
  <c r="C227" i="2"/>
  <c r="F227" i="2"/>
  <c r="E227" i="2" s="1"/>
  <c r="D244" i="2"/>
  <c r="B245" i="2"/>
  <c r="G161" i="1"/>
  <c r="B242" i="6" l="1"/>
  <c r="C241" i="6"/>
  <c r="D241" i="6"/>
  <c r="I236" i="6"/>
  <c r="G236" i="6" s="1"/>
  <c r="K236" i="6" s="1"/>
  <c r="E237" i="6" s="1"/>
  <c r="J236" i="6"/>
  <c r="H236" i="6" s="1"/>
  <c r="L236" i="6" s="1"/>
  <c r="I98" i="4"/>
  <c r="K98" i="4" s="1"/>
  <c r="E98" i="4"/>
  <c r="H98" i="4" s="1"/>
  <c r="B247" i="4"/>
  <c r="G246" i="4"/>
  <c r="J246" i="4"/>
  <c r="C133" i="3"/>
  <c r="F133" i="3"/>
  <c r="B247" i="3"/>
  <c r="G246" i="3"/>
  <c r="B246" i="2"/>
  <c r="D245" i="2"/>
  <c r="G227" i="2"/>
  <c r="C162" i="1"/>
  <c r="G162" i="1" s="1"/>
  <c r="F162" i="1"/>
  <c r="E162" i="1" s="1"/>
  <c r="K237" i="6" l="1"/>
  <c r="E238" i="6" s="1"/>
  <c r="I237" i="6"/>
  <c r="G237" i="6" s="1"/>
  <c r="L237" i="6"/>
  <c r="J237" i="6"/>
  <c r="H237" i="6" s="1"/>
  <c r="B243" i="6"/>
  <c r="C242" i="6"/>
  <c r="D242" i="6"/>
  <c r="J247" i="4"/>
  <c r="B248" i="4"/>
  <c r="G247" i="4"/>
  <c r="C99" i="4"/>
  <c r="F99" i="4"/>
  <c r="B248" i="3"/>
  <c r="G247" i="3"/>
  <c r="H133" i="3"/>
  <c r="D133" i="3"/>
  <c r="E133" i="3" s="1"/>
  <c r="F228" i="2"/>
  <c r="E228" i="2" s="1"/>
  <c r="C228" i="2"/>
  <c r="G228" i="2" s="1"/>
  <c r="D246" i="2"/>
  <c r="B247" i="2"/>
  <c r="F163" i="1"/>
  <c r="E163" i="1" s="1"/>
  <c r="C163" i="1"/>
  <c r="B244" i="6" l="1"/>
  <c r="C243" i="6"/>
  <c r="D243" i="6"/>
  <c r="I238" i="6"/>
  <c r="G238" i="6" s="1"/>
  <c r="K238" i="6" s="1"/>
  <c r="E239" i="6" s="1"/>
  <c r="J238" i="6"/>
  <c r="H238" i="6" s="1"/>
  <c r="L238" i="6" s="1"/>
  <c r="D99" i="4"/>
  <c r="B249" i="4"/>
  <c r="G248" i="4"/>
  <c r="J248" i="4"/>
  <c r="C134" i="3"/>
  <c r="F134" i="3"/>
  <c r="B249" i="3"/>
  <c r="G248" i="3"/>
  <c r="B248" i="2"/>
  <c r="D247" i="2"/>
  <c r="C229" i="2"/>
  <c r="G229" i="2" s="1"/>
  <c r="F229" i="2"/>
  <c r="E229" i="2" s="1"/>
  <c r="G163" i="1"/>
  <c r="L239" i="6" l="1"/>
  <c r="J239" i="6"/>
  <c r="H239" i="6" s="1"/>
  <c r="I239" i="6"/>
  <c r="G239" i="6" s="1"/>
  <c r="K239" i="6" s="1"/>
  <c r="E240" i="6" s="1"/>
  <c r="B245" i="6"/>
  <c r="C244" i="6"/>
  <c r="D244" i="6"/>
  <c r="J249" i="4"/>
  <c r="B250" i="4"/>
  <c r="G249" i="4"/>
  <c r="I99" i="4"/>
  <c r="K99" i="4" s="1"/>
  <c r="E99" i="4"/>
  <c r="H99" i="4" s="1"/>
  <c r="B250" i="3"/>
  <c r="G249" i="3"/>
  <c r="H134" i="3"/>
  <c r="D134" i="3"/>
  <c r="E134" i="3" s="1"/>
  <c r="F230" i="2"/>
  <c r="E230" i="2" s="1"/>
  <c r="C230" i="2"/>
  <c r="G230" i="2" s="1"/>
  <c r="D248" i="2"/>
  <c r="B249" i="2"/>
  <c r="C164" i="1"/>
  <c r="F164" i="1"/>
  <c r="E164" i="1" s="1"/>
  <c r="L240" i="6" l="1"/>
  <c r="J240" i="6"/>
  <c r="H240" i="6" s="1"/>
  <c r="I240" i="6"/>
  <c r="G240" i="6" s="1"/>
  <c r="K240" i="6" s="1"/>
  <c r="E241" i="6" s="1"/>
  <c r="B246" i="6"/>
  <c r="C245" i="6"/>
  <c r="D245" i="6"/>
  <c r="F100" i="4"/>
  <c r="C100" i="4"/>
  <c r="B251" i="4"/>
  <c r="G250" i="4"/>
  <c r="J250" i="4"/>
  <c r="C135" i="3"/>
  <c r="F135" i="3"/>
  <c r="B251" i="3"/>
  <c r="G250" i="3"/>
  <c r="G164" i="1"/>
  <c r="C231" i="2"/>
  <c r="F231" i="2"/>
  <c r="E231" i="2" s="1"/>
  <c r="B250" i="2"/>
  <c r="D249" i="2"/>
  <c r="F165" i="1"/>
  <c r="E165" i="1" s="1"/>
  <c r="C165" i="1"/>
  <c r="L241" i="6" l="1"/>
  <c r="J241" i="6"/>
  <c r="H241" i="6" s="1"/>
  <c r="I241" i="6"/>
  <c r="G241" i="6" s="1"/>
  <c r="K241" i="6" s="1"/>
  <c r="E242" i="6" s="1"/>
  <c r="B247" i="6"/>
  <c r="C246" i="6"/>
  <c r="D246" i="6"/>
  <c r="J251" i="4"/>
  <c r="B252" i="4"/>
  <c r="G251" i="4"/>
  <c r="D100" i="4"/>
  <c r="B252" i="3"/>
  <c r="G251" i="3"/>
  <c r="H135" i="3"/>
  <c r="D135" i="3"/>
  <c r="E135" i="3" s="1"/>
  <c r="D250" i="2"/>
  <c r="B251" i="2"/>
  <c r="G231" i="2"/>
  <c r="G165" i="1"/>
  <c r="L242" i="6" l="1"/>
  <c r="J242" i="6"/>
  <c r="H242" i="6" s="1"/>
  <c r="I242" i="6"/>
  <c r="G242" i="6" s="1"/>
  <c r="K242" i="6" s="1"/>
  <c r="E243" i="6" s="1"/>
  <c r="B248" i="6"/>
  <c r="C247" i="6"/>
  <c r="D247" i="6"/>
  <c r="I100" i="4"/>
  <c r="K100" i="4" s="1"/>
  <c r="E100" i="4"/>
  <c r="H100" i="4" s="1"/>
  <c r="B253" i="4"/>
  <c r="G252" i="4"/>
  <c r="J252" i="4"/>
  <c r="C136" i="3"/>
  <c r="F136" i="3"/>
  <c r="B253" i="3"/>
  <c r="G252" i="3"/>
  <c r="F232" i="2"/>
  <c r="E232" i="2" s="1"/>
  <c r="C232" i="2"/>
  <c r="G232" i="2" s="1"/>
  <c r="B252" i="2"/>
  <c r="D251" i="2"/>
  <c r="C166" i="1"/>
  <c r="F166" i="1"/>
  <c r="E166" i="1" s="1"/>
  <c r="L243" i="6" l="1"/>
  <c r="J243" i="6"/>
  <c r="H243" i="6" s="1"/>
  <c r="I243" i="6"/>
  <c r="G243" i="6" s="1"/>
  <c r="K243" i="6" s="1"/>
  <c r="E244" i="6" s="1"/>
  <c r="B249" i="6"/>
  <c r="C248" i="6"/>
  <c r="D248" i="6"/>
  <c r="J253" i="4"/>
  <c r="B254" i="4"/>
  <c r="G253" i="4"/>
  <c r="C101" i="4"/>
  <c r="F101" i="4"/>
  <c r="B254" i="3"/>
  <c r="G253" i="3"/>
  <c r="H136" i="3"/>
  <c r="D136" i="3"/>
  <c r="E136" i="3" s="1"/>
  <c r="G166" i="1"/>
  <c r="C233" i="2"/>
  <c r="F233" i="2"/>
  <c r="E233" i="2" s="1"/>
  <c r="D252" i="2"/>
  <c r="B253" i="2"/>
  <c r="F167" i="1"/>
  <c r="E167" i="1" s="1"/>
  <c r="C167" i="1"/>
  <c r="L244" i="6" l="1"/>
  <c r="J244" i="6"/>
  <c r="H244" i="6" s="1"/>
  <c r="I244" i="6"/>
  <c r="G244" i="6" s="1"/>
  <c r="K244" i="6" s="1"/>
  <c r="E245" i="6" s="1"/>
  <c r="B250" i="6"/>
  <c r="C249" i="6"/>
  <c r="D249" i="6"/>
  <c r="D101" i="4"/>
  <c r="B255" i="4"/>
  <c r="G254" i="4"/>
  <c r="J254" i="4"/>
  <c r="C137" i="3"/>
  <c r="F137" i="3"/>
  <c r="B255" i="3"/>
  <c r="G254" i="3"/>
  <c r="B254" i="2"/>
  <c r="D253" i="2"/>
  <c r="G233" i="2"/>
  <c r="G167" i="1"/>
  <c r="L245" i="6" l="1"/>
  <c r="J245" i="6"/>
  <c r="H245" i="6" s="1"/>
  <c r="I245" i="6"/>
  <c r="G245" i="6" s="1"/>
  <c r="K245" i="6" s="1"/>
  <c r="E246" i="6" s="1"/>
  <c r="B251" i="6"/>
  <c r="C250" i="6"/>
  <c r="D250" i="6"/>
  <c r="J255" i="4"/>
  <c r="B256" i="4"/>
  <c r="G255" i="4"/>
  <c r="I101" i="4"/>
  <c r="K101" i="4" s="1"/>
  <c r="E101" i="4"/>
  <c r="H101" i="4" s="1"/>
  <c r="B256" i="3"/>
  <c r="G255" i="3"/>
  <c r="H137" i="3"/>
  <c r="D137" i="3"/>
  <c r="E137" i="3" s="1"/>
  <c r="F234" i="2"/>
  <c r="E234" i="2" s="1"/>
  <c r="C234" i="2"/>
  <c r="G234" i="2" s="1"/>
  <c r="D254" i="2"/>
  <c r="B255" i="2"/>
  <c r="C168" i="1"/>
  <c r="F168" i="1"/>
  <c r="E168" i="1" s="1"/>
  <c r="L246" i="6" l="1"/>
  <c r="J246" i="6"/>
  <c r="H246" i="6" s="1"/>
  <c r="I246" i="6"/>
  <c r="G246" i="6" s="1"/>
  <c r="K246" i="6" s="1"/>
  <c r="E247" i="6" s="1"/>
  <c r="B252" i="6"/>
  <c r="C251" i="6"/>
  <c r="D251" i="6"/>
  <c r="F102" i="4"/>
  <c r="C102" i="4"/>
  <c r="B257" i="4"/>
  <c r="G256" i="4"/>
  <c r="J256" i="4"/>
  <c r="C138" i="3"/>
  <c r="F138" i="3"/>
  <c r="B257" i="3"/>
  <c r="G256" i="3"/>
  <c r="G168" i="1"/>
  <c r="B256" i="2"/>
  <c r="D255" i="2"/>
  <c r="C235" i="2"/>
  <c r="G235" i="2" s="1"/>
  <c r="F235" i="2"/>
  <c r="E235" i="2" s="1"/>
  <c r="F169" i="1"/>
  <c r="E169" i="1" s="1"/>
  <c r="C169" i="1"/>
  <c r="L247" i="6" l="1"/>
  <c r="J247" i="6"/>
  <c r="H247" i="6" s="1"/>
  <c r="I247" i="6"/>
  <c r="G247" i="6" s="1"/>
  <c r="K247" i="6" s="1"/>
  <c r="E248" i="6" s="1"/>
  <c r="B253" i="6"/>
  <c r="C252" i="6"/>
  <c r="D252" i="6"/>
  <c r="J257" i="4"/>
  <c r="B258" i="4"/>
  <c r="G257" i="4"/>
  <c r="D102" i="4"/>
  <c r="G257" i="3"/>
  <c r="B258" i="3"/>
  <c r="H138" i="3"/>
  <c r="D138" i="3"/>
  <c r="E138" i="3" s="1"/>
  <c r="F236" i="2"/>
  <c r="E236" i="2" s="1"/>
  <c r="C236" i="2"/>
  <c r="G236" i="2" s="1"/>
  <c r="D256" i="2"/>
  <c r="B257" i="2"/>
  <c r="G169" i="1"/>
  <c r="L248" i="6" l="1"/>
  <c r="J248" i="6"/>
  <c r="H248" i="6" s="1"/>
  <c r="I248" i="6"/>
  <c r="G248" i="6" s="1"/>
  <c r="K248" i="6" s="1"/>
  <c r="E249" i="6" s="1"/>
  <c r="B254" i="6"/>
  <c r="C253" i="6"/>
  <c r="D253" i="6"/>
  <c r="I102" i="4"/>
  <c r="K102" i="4" s="1"/>
  <c r="E102" i="4"/>
  <c r="H102" i="4" s="1"/>
  <c r="B259" i="4"/>
  <c r="G258" i="4"/>
  <c r="J258" i="4"/>
  <c r="C139" i="3"/>
  <c r="F139" i="3"/>
  <c r="G258" i="3"/>
  <c r="B259" i="3"/>
  <c r="C237" i="2"/>
  <c r="F237" i="2"/>
  <c r="E237" i="2" s="1"/>
  <c r="B258" i="2"/>
  <c r="D257" i="2"/>
  <c r="C170" i="1"/>
  <c r="F170" i="1"/>
  <c r="E170" i="1" s="1"/>
  <c r="L249" i="6" l="1"/>
  <c r="J249" i="6"/>
  <c r="H249" i="6" s="1"/>
  <c r="I249" i="6"/>
  <c r="G249" i="6" s="1"/>
  <c r="K249" i="6" s="1"/>
  <c r="E250" i="6" s="1"/>
  <c r="B255" i="6"/>
  <c r="C254" i="6"/>
  <c r="D254" i="6"/>
  <c r="J259" i="4"/>
  <c r="B260" i="4"/>
  <c r="G259" i="4"/>
  <c r="C103" i="4"/>
  <c r="F103" i="4"/>
  <c r="G259" i="3"/>
  <c r="B260" i="3"/>
  <c r="H139" i="3"/>
  <c r="D139" i="3"/>
  <c r="E139" i="3" s="1"/>
  <c r="G170" i="1"/>
  <c r="D258" i="2"/>
  <c r="B259" i="2"/>
  <c r="G237" i="2"/>
  <c r="F171" i="1"/>
  <c r="E171" i="1" s="1"/>
  <c r="C171" i="1"/>
  <c r="L250" i="6" l="1"/>
  <c r="J250" i="6"/>
  <c r="H250" i="6" s="1"/>
  <c r="I250" i="6"/>
  <c r="G250" i="6" s="1"/>
  <c r="K250" i="6" s="1"/>
  <c r="E251" i="6" s="1"/>
  <c r="B256" i="6"/>
  <c r="C255" i="6"/>
  <c r="D255" i="6"/>
  <c r="D103" i="4"/>
  <c r="B261" i="4"/>
  <c r="G260" i="4"/>
  <c r="J260" i="4"/>
  <c r="C140" i="3"/>
  <c r="F140" i="3"/>
  <c r="G260" i="3"/>
  <c r="B261" i="3"/>
  <c r="G171" i="1"/>
  <c r="F238" i="2"/>
  <c r="E238" i="2" s="1"/>
  <c r="C238" i="2"/>
  <c r="G238" i="2" s="1"/>
  <c r="B260" i="2"/>
  <c r="D259" i="2"/>
  <c r="C172" i="1"/>
  <c r="F172" i="1"/>
  <c r="E172" i="1" s="1"/>
  <c r="L251" i="6" l="1"/>
  <c r="J251" i="6"/>
  <c r="H251" i="6" s="1"/>
  <c r="I251" i="6"/>
  <c r="G251" i="6" s="1"/>
  <c r="K251" i="6" s="1"/>
  <c r="E252" i="6" s="1"/>
  <c r="B257" i="6"/>
  <c r="C256" i="6"/>
  <c r="D256" i="6"/>
  <c r="J261" i="4"/>
  <c r="B262" i="4"/>
  <c r="G261" i="4"/>
  <c r="I103" i="4"/>
  <c r="K103" i="4" s="1"/>
  <c r="E103" i="4"/>
  <c r="H103" i="4" s="1"/>
  <c r="G261" i="3"/>
  <c r="B262" i="3"/>
  <c r="H140" i="3"/>
  <c r="D140" i="3"/>
  <c r="E140" i="3" s="1"/>
  <c r="C239" i="2"/>
  <c r="F239" i="2"/>
  <c r="E239" i="2" s="1"/>
  <c r="D260" i="2"/>
  <c r="B261" i="2"/>
  <c r="G172" i="1"/>
  <c r="L252" i="6" l="1"/>
  <c r="J252" i="6"/>
  <c r="H252" i="6" s="1"/>
  <c r="I252" i="6"/>
  <c r="G252" i="6" s="1"/>
  <c r="K252" i="6" s="1"/>
  <c r="E253" i="6" s="1"/>
  <c r="B258" i="6"/>
  <c r="C257" i="6"/>
  <c r="D257" i="6"/>
  <c r="F104" i="4"/>
  <c r="C104" i="4"/>
  <c r="B263" i="4"/>
  <c r="G262" i="4"/>
  <c r="J262" i="4"/>
  <c r="C141" i="3"/>
  <c r="F141" i="3"/>
  <c r="G262" i="3"/>
  <c r="B263" i="3"/>
  <c r="B262" i="2"/>
  <c r="D261" i="2"/>
  <c r="G239" i="2"/>
  <c r="F173" i="1"/>
  <c r="E173" i="1" s="1"/>
  <c r="C173" i="1"/>
  <c r="L253" i="6" l="1"/>
  <c r="J253" i="6"/>
  <c r="H253" i="6" s="1"/>
  <c r="I253" i="6"/>
  <c r="G253" i="6" s="1"/>
  <c r="K253" i="6" s="1"/>
  <c r="E254" i="6" s="1"/>
  <c r="B259" i="6"/>
  <c r="C258" i="6"/>
  <c r="D258" i="6"/>
  <c r="J263" i="4"/>
  <c r="B264" i="4"/>
  <c r="G263" i="4"/>
  <c r="D104" i="4"/>
  <c r="G263" i="3"/>
  <c r="B264" i="3"/>
  <c r="H141" i="3"/>
  <c r="D141" i="3"/>
  <c r="E141" i="3" s="1"/>
  <c r="G173" i="1"/>
  <c r="F240" i="2"/>
  <c r="E240" i="2" s="1"/>
  <c r="C240" i="2"/>
  <c r="G240" i="2" s="1"/>
  <c r="D262" i="2"/>
  <c r="B263" i="2"/>
  <c r="C174" i="1"/>
  <c r="F174" i="1"/>
  <c r="E174" i="1" s="1"/>
  <c r="L254" i="6" l="1"/>
  <c r="J254" i="6"/>
  <c r="H254" i="6" s="1"/>
  <c r="I254" i="6"/>
  <c r="G254" i="6" s="1"/>
  <c r="K254" i="6" s="1"/>
  <c r="E255" i="6" s="1"/>
  <c r="B260" i="6"/>
  <c r="C259" i="6"/>
  <c r="D259" i="6"/>
  <c r="I104" i="4"/>
  <c r="K104" i="4" s="1"/>
  <c r="E104" i="4"/>
  <c r="H104" i="4" s="1"/>
  <c r="B265" i="4"/>
  <c r="G264" i="4"/>
  <c r="J264" i="4"/>
  <c r="C142" i="3"/>
  <c r="F142" i="3"/>
  <c r="G264" i="3"/>
  <c r="B265" i="3"/>
  <c r="C241" i="2"/>
  <c r="F241" i="2"/>
  <c r="E241" i="2" s="1"/>
  <c r="B264" i="2"/>
  <c r="D263" i="2"/>
  <c r="G174" i="1"/>
  <c r="L255" i="6" l="1"/>
  <c r="J255" i="6"/>
  <c r="H255" i="6" s="1"/>
  <c r="I255" i="6"/>
  <c r="G255" i="6" s="1"/>
  <c r="K255" i="6" s="1"/>
  <c r="E256" i="6" s="1"/>
  <c r="B261" i="6"/>
  <c r="C260" i="6"/>
  <c r="D260" i="6"/>
  <c r="J265" i="4"/>
  <c r="B266" i="4"/>
  <c r="G265" i="4"/>
  <c r="C105" i="4"/>
  <c r="F105" i="4"/>
  <c r="G265" i="3"/>
  <c r="B266" i="3"/>
  <c r="H142" i="3"/>
  <c r="D142" i="3"/>
  <c r="E142" i="3" s="1"/>
  <c r="D264" i="2"/>
  <c r="B265" i="2"/>
  <c r="G241" i="2"/>
  <c r="F175" i="1"/>
  <c r="E175" i="1" s="1"/>
  <c r="C175" i="1"/>
  <c r="L256" i="6" l="1"/>
  <c r="J256" i="6"/>
  <c r="H256" i="6" s="1"/>
  <c r="I256" i="6"/>
  <c r="G256" i="6" s="1"/>
  <c r="K256" i="6" s="1"/>
  <c r="E257" i="6" s="1"/>
  <c r="B262" i="6"/>
  <c r="C261" i="6"/>
  <c r="D261" i="6"/>
  <c r="D105" i="4"/>
  <c r="B267" i="4"/>
  <c r="G266" i="4"/>
  <c r="J266" i="4"/>
  <c r="C143" i="3"/>
  <c r="F143" i="3"/>
  <c r="G266" i="3"/>
  <c r="B267" i="3"/>
  <c r="G175" i="1"/>
  <c r="F242" i="2"/>
  <c r="E242" i="2" s="1"/>
  <c r="C242" i="2"/>
  <c r="G242" i="2" s="1"/>
  <c r="B266" i="2"/>
  <c r="D265" i="2"/>
  <c r="C176" i="1"/>
  <c r="F176" i="1"/>
  <c r="E176" i="1" s="1"/>
  <c r="L257" i="6" l="1"/>
  <c r="J257" i="6"/>
  <c r="H257" i="6" s="1"/>
  <c r="I257" i="6"/>
  <c r="G257" i="6" s="1"/>
  <c r="K257" i="6" s="1"/>
  <c r="E258" i="6" s="1"/>
  <c r="B263" i="6"/>
  <c r="C262" i="6"/>
  <c r="D262" i="6"/>
  <c r="J267" i="4"/>
  <c r="B268" i="4"/>
  <c r="G267" i="4"/>
  <c r="I105" i="4"/>
  <c r="K105" i="4" s="1"/>
  <c r="E105" i="4"/>
  <c r="H105" i="4" s="1"/>
  <c r="G267" i="3"/>
  <c r="B268" i="3"/>
  <c r="H143" i="3"/>
  <c r="D143" i="3"/>
  <c r="E143" i="3" s="1"/>
  <c r="C243" i="2"/>
  <c r="F243" i="2"/>
  <c r="E243" i="2" s="1"/>
  <c r="D266" i="2"/>
  <c r="B267" i="2"/>
  <c r="G176" i="1"/>
  <c r="L258" i="6" l="1"/>
  <c r="J258" i="6"/>
  <c r="H258" i="6" s="1"/>
  <c r="I258" i="6"/>
  <c r="G258" i="6" s="1"/>
  <c r="K258" i="6" s="1"/>
  <c r="E259" i="6" s="1"/>
  <c r="B264" i="6"/>
  <c r="C263" i="6"/>
  <c r="D263" i="6"/>
  <c r="F106" i="4"/>
  <c r="C106" i="4"/>
  <c r="B269" i="4"/>
  <c r="G268" i="4"/>
  <c r="J268" i="4"/>
  <c r="C144" i="3"/>
  <c r="F144" i="3"/>
  <c r="G268" i="3"/>
  <c r="B269" i="3"/>
  <c r="B268" i="2"/>
  <c r="D267" i="2"/>
  <c r="G243" i="2"/>
  <c r="F177" i="1"/>
  <c r="E177" i="1" s="1"/>
  <c r="C177" i="1"/>
  <c r="L259" i="6" l="1"/>
  <c r="J259" i="6"/>
  <c r="H259" i="6" s="1"/>
  <c r="I259" i="6"/>
  <c r="G259" i="6" s="1"/>
  <c r="K259" i="6" s="1"/>
  <c r="E260" i="6" s="1"/>
  <c r="B265" i="6"/>
  <c r="C264" i="6"/>
  <c r="D264" i="6"/>
  <c r="J269" i="4"/>
  <c r="B270" i="4"/>
  <c r="G269" i="4"/>
  <c r="D106" i="4"/>
  <c r="G269" i="3"/>
  <c r="B270" i="3"/>
  <c r="H144" i="3"/>
  <c r="D144" i="3"/>
  <c r="E144" i="3" s="1"/>
  <c r="G177" i="1"/>
  <c r="F244" i="2"/>
  <c r="E244" i="2" s="1"/>
  <c r="C244" i="2"/>
  <c r="G244" i="2" s="1"/>
  <c r="D268" i="2"/>
  <c r="B269" i="2"/>
  <c r="C178" i="1"/>
  <c r="F178" i="1"/>
  <c r="E178" i="1" s="1"/>
  <c r="L260" i="6" l="1"/>
  <c r="J260" i="6"/>
  <c r="H260" i="6" s="1"/>
  <c r="I260" i="6"/>
  <c r="G260" i="6" s="1"/>
  <c r="K260" i="6" s="1"/>
  <c r="E261" i="6" s="1"/>
  <c r="B266" i="6"/>
  <c r="C265" i="6"/>
  <c r="D265" i="6"/>
  <c r="I106" i="4"/>
  <c r="K106" i="4" s="1"/>
  <c r="E106" i="4"/>
  <c r="H106" i="4" s="1"/>
  <c r="B271" i="4"/>
  <c r="G270" i="4"/>
  <c r="J270" i="4"/>
  <c r="C145" i="3"/>
  <c r="F145" i="3"/>
  <c r="G270" i="3"/>
  <c r="B271" i="3"/>
  <c r="B270" i="2"/>
  <c r="D269" i="2"/>
  <c r="C245" i="2"/>
  <c r="G245" i="2" s="1"/>
  <c r="F245" i="2"/>
  <c r="E245" i="2" s="1"/>
  <c r="G178" i="1"/>
  <c r="L261" i="6" l="1"/>
  <c r="J261" i="6"/>
  <c r="H261" i="6" s="1"/>
  <c r="I261" i="6"/>
  <c r="G261" i="6" s="1"/>
  <c r="K261" i="6" s="1"/>
  <c r="E262" i="6" s="1"/>
  <c r="B267" i="6"/>
  <c r="C266" i="6"/>
  <c r="D266" i="6"/>
  <c r="J271" i="4"/>
  <c r="B272" i="4"/>
  <c r="G271" i="4"/>
  <c r="C107" i="4"/>
  <c r="F107" i="4"/>
  <c r="G271" i="3"/>
  <c r="B272" i="3"/>
  <c r="H145" i="3"/>
  <c r="D145" i="3"/>
  <c r="E145" i="3" s="1"/>
  <c r="F246" i="2"/>
  <c r="E246" i="2" s="1"/>
  <c r="C246" i="2"/>
  <c r="G246" i="2" s="1"/>
  <c r="D270" i="2"/>
  <c r="B271" i="2"/>
  <c r="F179" i="1"/>
  <c r="E179" i="1" s="1"/>
  <c r="C179" i="1"/>
  <c r="G179" i="1" s="1"/>
  <c r="L262" i="6" l="1"/>
  <c r="J262" i="6"/>
  <c r="H262" i="6" s="1"/>
  <c r="I262" i="6"/>
  <c r="G262" i="6" s="1"/>
  <c r="K262" i="6" s="1"/>
  <c r="E263" i="6" s="1"/>
  <c r="B268" i="6"/>
  <c r="C267" i="6"/>
  <c r="D267" i="6"/>
  <c r="D107" i="4"/>
  <c r="B273" i="4"/>
  <c r="G272" i="4"/>
  <c r="J272" i="4"/>
  <c r="C146" i="3"/>
  <c r="F146" i="3"/>
  <c r="G272" i="3"/>
  <c r="B273" i="3"/>
  <c r="C247" i="2"/>
  <c r="F247" i="2"/>
  <c r="E247" i="2" s="1"/>
  <c r="B272" i="2"/>
  <c r="D271" i="2"/>
  <c r="C180" i="1"/>
  <c r="F180" i="1"/>
  <c r="E180" i="1" s="1"/>
  <c r="L263" i="6" l="1"/>
  <c r="J263" i="6"/>
  <c r="H263" i="6" s="1"/>
  <c r="I263" i="6"/>
  <c r="G263" i="6" s="1"/>
  <c r="K263" i="6" s="1"/>
  <c r="E264" i="6" s="1"/>
  <c r="B269" i="6"/>
  <c r="C268" i="6"/>
  <c r="D268" i="6"/>
  <c r="J273" i="4"/>
  <c r="B274" i="4"/>
  <c r="G273" i="4"/>
  <c r="I107" i="4"/>
  <c r="K107" i="4" s="1"/>
  <c r="E107" i="4"/>
  <c r="H107" i="4" s="1"/>
  <c r="G273" i="3"/>
  <c r="B274" i="3"/>
  <c r="H146" i="3"/>
  <c r="D146" i="3"/>
  <c r="E146" i="3" s="1"/>
  <c r="D272" i="2"/>
  <c r="B273" i="2"/>
  <c r="G247" i="2"/>
  <c r="G180" i="1"/>
  <c r="L264" i="6" l="1"/>
  <c r="J264" i="6"/>
  <c r="H264" i="6" s="1"/>
  <c r="I264" i="6"/>
  <c r="G264" i="6" s="1"/>
  <c r="K264" i="6" s="1"/>
  <c r="E265" i="6" s="1"/>
  <c r="B270" i="6"/>
  <c r="C269" i="6"/>
  <c r="D269" i="6"/>
  <c r="F108" i="4"/>
  <c r="C108" i="4"/>
  <c r="B275" i="4"/>
  <c r="G274" i="4"/>
  <c r="J274" i="4"/>
  <c r="C147" i="3"/>
  <c r="F147" i="3"/>
  <c r="G274" i="3"/>
  <c r="B275" i="3"/>
  <c r="F248" i="2"/>
  <c r="E248" i="2" s="1"/>
  <c r="C248" i="2"/>
  <c r="G248" i="2" s="1"/>
  <c r="B274" i="2"/>
  <c r="D273" i="2"/>
  <c r="F181" i="1"/>
  <c r="E181" i="1" s="1"/>
  <c r="C181" i="1"/>
  <c r="G181" i="1" s="1"/>
  <c r="L265" i="6" l="1"/>
  <c r="J265" i="6"/>
  <c r="H265" i="6" s="1"/>
  <c r="I265" i="6"/>
  <c r="G265" i="6" s="1"/>
  <c r="K265" i="6" s="1"/>
  <c r="E266" i="6" s="1"/>
  <c r="B271" i="6"/>
  <c r="C270" i="6"/>
  <c r="D270" i="6"/>
  <c r="D108" i="4"/>
  <c r="J275" i="4"/>
  <c r="B276" i="4"/>
  <c r="G275" i="4"/>
  <c r="G275" i="3"/>
  <c r="B276" i="3"/>
  <c r="H147" i="3"/>
  <c r="D147" i="3"/>
  <c r="E147" i="3" s="1"/>
  <c r="C249" i="2"/>
  <c r="F249" i="2"/>
  <c r="E249" i="2" s="1"/>
  <c r="D274" i="2"/>
  <c r="B275" i="2"/>
  <c r="C182" i="1"/>
  <c r="F182" i="1"/>
  <c r="E182" i="1" s="1"/>
  <c r="L266" i="6" l="1"/>
  <c r="J266" i="6"/>
  <c r="H266" i="6" s="1"/>
  <c r="I266" i="6"/>
  <c r="G266" i="6" s="1"/>
  <c r="K266" i="6" s="1"/>
  <c r="E267" i="6" s="1"/>
  <c r="B272" i="6"/>
  <c r="C271" i="6"/>
  <c r="D271" i="6"/>
  <c r="B277" i="4"/>
  <c r="G276" i="4"/>
  <c r="J276" i="4"/>
  <c r="I108" i="4"/>
  <c r="K108" i="4" s="1"/>
  <c r="E108" i="4"/>
  <c r="H108" i="4" s="1"/>
  <c r="C148" i="3"/>
  <c r="F148" i="3"/>
  <c r="G276" i="3"/>
  <c r="B277" i="3"/>
  <c r="B276" i="2"/>
  <c r="D275" i="2"/>
  <c r="G249" i="2"/>
  <c r="G182" i="1"/>
  <c r="L267" i="6" l="1"/>
  <c r="J267" i="6"/>
  <c r="H267" i="6" s="1"/>
  <c r="I267" i="6"/>
  <c r="G267" i="6" s="1"/>
  <c r="K267" i="6" s="1"/>
  <c r="E268" i="6" s="1"/>
  <c r="B273" i="6"/>
  <c r="C272" i="6"/>
  <c r="D272" i="6"/>
  <c r="C109" i="4"/>
  <c r="F109" i="4"/>
  <c r="J277" i="4"/>
  <c r="B278" i="4"/>
  <c r="G277" i="4"/>
  <c r="G277" i="3"/>
  <c r="B278" i="3"/>
  <c r="H148" i="3"/>
  <c r="D148" i="3"/>
  <c r="E148" i="3" s="1"/>
  <c r="F250" i="2"/>
  <c r="E250" i="2" s="1"/>
  <c r="C250" i="2"/>
  <c r="G250" i="2" s="1"/>
  <c r="D276" i="2"/>
  <c r="B277" i="2"/>
  <c r="C183" i="1"/>
  <c r="F183" i="1"/>
  <c r="E183" i="1" s="1"/>
  <c r="L268" i="6" l="1"/>
  <c r="J268" i="6"/>
  <c r="H268" i="6" s="1"/>
  <c r="I268" i="6"/>
  <c r="G268" i="6" s="1"/>
  <c r="K268" i="6" s="1"/>
  <c r="E269" i="6" s="1"/>
  <c r="B274" i="6"/>
  <c r="C273" i="6"/>
  <c r="D273" i="6"/>
  <c r="B279" i="4"/>
  <c r="G278" i="4"/>
  <c r="J278" i="4"/>
  <c r="D109" i="4"/>
  <c r="C149" i="3"/>
  <c r="F149" i="3"/>
  <c r="G278" i="3"/>
  <c r="B279" i="3"/>
  <c r="B278" i="2"/>
  <c r="D277" i="2"/>
  <c r="C251" i="2"/>
  <c r="G251" i="2" s="1"/>
  <c r="F251" i="2"/>
  <c r="E251" i="2" s="1"/>
  <c r="G183" i="1"/>
  <c r="L269" i="6" l="1"/>
  <c r="J269" i="6"/>
  <c r="H269" i="6" s="1"/>
  <c r="I269" i="6"/>
  <c r="G269" i="6" s="1"/>
  <c r="K269" i="6" s="1"/>
  <c r="E270" i="6" s="1"/>
  <c r="B275" i="6"/>
  <c r="C274" i="6"/>
  <c r="D274" i="6"/>
  <c r="I109" i="4"/>
  <c r="K109" i="4" s="1"/>
  <c r="E109" i="4"/>
  <c r="H109" i="4" s="1"/>
  <c r="J279" i="4"/>
  <c r="B280" i="4"/>
  <c r="G279" i="4"/>
  <c r="G279" i="3"/>
  <c r="B280" i="3"/>
  <c r="H149" i="3"/>
  <c r="D149" i="3"/>
  <c r="E149" i="3" s="1"/>
  <c r="F252" i="2"/>
  <c r="E252" i="2" s="1"/>
  <c r="C252" i="2"/>
  <c r="G252" i="2" s="1"/>
  <c r="D278" i="2"/>
  <c r="B279" i="2"/>
  <c r="F184" i="1"/>
  <c r="E184" i="1" s="1"/>
  <c r="C184" i="1"/>
  <c r="G184" i="1" s="1"/>
  <c r="L270" i="6" l="1"/>
  <c r="J270" i="6"/>
  <c r="H270" i="6" s="1"/>
  <c r="I270" i="6"/>
  <c r="G270" i="6" s="1"/>
  <c r="K270" i="6" s="1"/>
  <c r="E271" i="6" s="1"/>
  <c r="B276" i="6"/>
  <c r="C275" i="6"/>
  <c r="D275" i="6"/>
  <c r="B281" i="4"/>
  <c r="G280" i="4"/>
  <c r="J280" i="4"/>
  <c r="F110" i="4"/>
  <c r="C110" i="4"/>
  <c r="C150" i="3"/>
  <c r="F150" i="3"/>
  <c r="G280" i="3"/>
  <c r="B281" i="3"/>
  <c r="C253" i="2"/>
  <c r="F253" i="2"/>
  <c r="E253" i="2" s="1"/>
  <c r="B280" i="2"/>
  <c r="D279" i="2"/>
  <c r="C185" i="1"/>
  <c r="F185" i="1"/>
  <c r="E185" i="1" s="1"/>
  <c r="L271" i="6" l="1"/>
  <c r="J271" i="6"/>
  <c r="H271" i="6" s="1"/>
  <c r="I271" i="6"/>
  <c r="G271" i="6" s="1"/>
  <c r="K271" i="6" s="1"/>
  <c r="E272" i="6" s="1"/>
  <c r="B277" i="6"/>
  <c r="C276" i="6"/>
  <c r="D276" i="6"/>
  <c r="D110" i="4"/>
  <c r="J281" i="4"/>
  <c r="B282" i="4"/>
  <c r="G281" i="4"/>
  <c r="G281" i="3"/>
  <c r="B282" i="3"/>
  <c r="H150" i="3"/>
  <c r="D150" i="3"/>
  <c r="E150" i="3" s="1"/>
  <c r="D280" i="2"/>
  <c r="B281" i="2"/>
  <c r="G253" i="2"/>
  <c r="G185" i="1"/>
  <c r="L272" i="6" l="1"/>
  <c r="J272" i="6"/>
  <c r="H272" i="6" s="1"/>
  <c r="I272" i="6"/>
  <c r="G272" i="6" s="1"/>
  <c r="K272" i="6" s="1"/>
  <c r="E273" i="6" s="1"/>
  <c r="B278" i="6"/>
  <c r="C277" i="6"/>
  <c r="D277" i="6"/>
  <c r="B283" i="4"/>
  <c r="G282" i="4"/>
  <c r="J282" i="4"/>
  <c r="I110" i="4"/>
  <c r="K110" i="4" s="1"/>
  <c r="E110" i="4"/>
  <c r="H110" i="4" s="1"/>
  <c r="C151" i="3"/>
  <c r="F151" i="3"/>
  <c r="G282" i="3"/>
  <c r="B283" i="3"/>
  <c r="F254" i="2"/>
  <c r="E254" i="2" s="1"/>
  <c r="C254" i="2"/>
  <c r="G254" i="2" s="1"/>
  <c r="B282" i="2"/>
  <c r="D281" i="2"/>
  <c r="F186" i="1"/>
  <c r="E186" i="1" s="1"/>
  <c r="C186" i="1"/>
  <c r="G186" i="1" s="1"/>
  <c r="L273" i="6" l="1"/>
  <c r="J273" i="6"/>
  <c r="H273" i="6" s="1"/>
  <c r="I273" i="6"/>
  <c r="G273" i="6" s="1"/>
  <c r="K273" i="6" s="1"/>
  <c r="E274" i="6" s="1"/>
  <c r="B279" i="6"/>
  <c r="C278" i="6"/>
  <c r="D278" i="6"/>
  <c r="C111" i="4"/>
  <c r="F111" i="4"/>
  <c r="J283" i="4"/>
  <c r="B284" i="4"/>
  <c r="G283" i="4"/>
  <c r="G283" i="3"/>
  <c r="B284" i="3"/>
  <c r="H151" i="3"/>
  <c r="D151" i="3"/>
  <c r="E151" i="3" s="1"/>
  <c r="C255" i="2"/>
  <c r="F255" i="2"/>
  <c r="E255" i="2" s="1"/>
  <c r="D282" i="2"/>
  <c r="B283" i="2"/>
  <c r="C187" i="1"/>
  <c r="F187" i="1"/>
  <c r="E187" i="1" s="1"/>
  <c r="L274" i="6" l="1"/>
  <c r="J274" i="6"/>
  <c r="H274" i="6" s="1"/>
  <c r="I274" i="6"/>
  <c r="G274" i="6" s="1"/>
  <c r="K274" i="6" s="1"/>
  <c r="E275" i="6" s="1"/>
  <c r="B280" i="6"/>
  <c r="C279" i="6"/>
  <c r="D279" i="6"/>
  <c r="B285" i="4"/>
  <c r="G284" i="4"/>
  <c r="J284" i="4"/>
  <c r="D111" i="4"/>
  <c r="C152" i="3"/>
  <c r="F152" i="3"/>
  <c r="G284" i="3"/>
  <c r="B285" i="3"/>
  <c r="B284" i="2"/>
  <c r="D283" i="2"/>
  <c r="G255" i="2"/>
  <c r="G187" i="1"/>
  <c r="L275" i="6" l="1"/>
  <c r="J275" i="6"/>
  <c r="H275" i="6" s="1"/>
  <c r="I275" i="6"/>
  <c r="G275" i="6" s="1"/>
  <c r="K275" i="6" s="1"/>
  <c r="E276" i="6" s="1"/>
  <c r="B281" i="6"/>
  <c r="C280" i="6"/>
  <c r="D280" i="6"/>
  <c r="I111" i="4"/>
  <c r="K111" i="4" s="1"/>
  <c r="E111" i="4"/>
  <c r="H111" i="4" s="1"/>
  <c r="J285" i="4"/>
  <c r="B286" i="4"/>
  <c r="G285" i="4"/>
  <c r="G285" i="3"/>
  <c r="B286" i="3"/>
  <c r="H152" i="3"/>
  <c r="D152" i="3"/>
  <c r="E152" i="3" s="1"/>
  <c r="F256" i="2"/>
  <c r="E256" i="2" s="1"/>
  <c r="C256" i="2"/>
  <c r="G256" i="2" s="1"/>
  <c r="D284" i="2"/>
  <c r="B285" i="2"/>
  <c r="F188" i="1"/>
  <c r="E188" i="1" s="1"/>
  <c r="C188" i="1"/>
  <c r="G188" i="1" s="1"/>
  <c r="L276" i="6" l="1"/>
  <c r="J276" i="6"/>
  <c r="H276" i="6" s="1"/>
  <c r="I276" i="6"/>
  <c r="G276" i="6" s="1"/>
  <c r="K276" i="6" s="1"/>
  <c r="E277" i="6" s="1"/>
  <c r="B282" i="6"/>
  <c r="C281" i="6"/>
  <c r="D281" i="6"/>
  <c r="B287" i="4"/>
  <c r="G286" i="4"/>
  <c r="J286" i="4"/>
  <c r="F112" i="4"/>
  <c r="C112" i="4"/>
  <c r="C153" i="3"/>
  <c r="F153" i="3"/>
  <c r="G286" i="3"/>
  <c r="B287" i="3"/>
  <c r="B286" i="2"/>
  <c r="D285" i="2"/>
  <c r="C257" i="2"/>
  <c r="G257" i="2" s="1"/>
  <c r="F257" i="2"/>
  <c r="E257" i="2" s="1"/>
  <c r="C189" i="1"/>
  <c r="F189" i="1"/>
  <c r="E189" i="1" s="1"/>
  <c r="L277" i="6" l="1"/>
  <c r="J277" i="6"/>
  <c r="H277" i="6" s="1"/>
  <c r="I277" i="6"/>
  <c r="G277" i="6" s="1"/>
  <c r="K277" i="6" s="1"/>
  <c r="E278" i="6" s="1"/>
  <c r="B283" i="6"/>
  <c r="C282" i="6"/>
  <c r="D282" i="6"/>
  <c r="D112" i="4"/>
  <c r="J287" i="4"/>
  <c r="B288" i="4"/>
  <c r="G287" i="4"/>
  <c r="G287" i="3"/>
  <c r="B288" i="3"/>
  <c r="H153" i="3"/>
  <c r="D153" i="3"/>
  <c r="E153" i="3" s="1"/>
  <c r="F258" i="2"/>
  <c r="E258" i="2" s="1"/>
  <c r="C258" i="2"/>
  <c r="G258" i="2" s="1"/>
  <c r="D286" i="2"/>
  <c r="B287" i="2"/>
  <c r="G189" i="1"/>
  <c r="L278" i="6" l="1"/>
  <c r="J278" i="6"/>
  <c r="H278" i="6" s="1"/>
  <c r="I278" i="6"/>
  <c r="G278" i="6" s="1"/>
  <c r="K278" i="6" s="1"/>
  <c r="E279" i="6" s="1"/>
  <c r="B284" i="6"/>
  <c r="C283" i="6"/>
  <c r="D283" i="6"/>
  <c r="B289" i="4"/>
  <c r="G288" i="4"/>
  <c r="J288" i="4"/>
  <c r="I112" i="4"/>
  <c r="K112" i="4" s="1"/>
  <c r="E112" i="4"/>
  <c r="H112" i="4" s="1"/>
  <c r="C154" i="3"/>
  <c r="F154" i="3"/>
  <c r="G288" i="3"/>
  <c r="B289" i="3"/>
  <c r="C259" i="2"/>
  <c r="F259" i="2"/>
  <c r="E259" i="2" s="1"/>
  <c r="B288" i="2"/>
  <c r="D287" i="2"/>
  <c r="F190" i="1"/>
  <c r="E190" i="1" s="1"/>
  <c r="C190" i="1"/>
  <c r="G190" i="1" s="1"/>
  <c r="L279" i="6" l="1"/>
  <c r="J279" i="6"/>
  <c r="H279" i="6" s="1"/>
  <c r="I279" i="6"/>
  <c r="G279" i="6" s="1"/>
  <c r="K279" i="6" s="1"/>
  <c r="E280" i="6" s="1"/>
  <c r="B285" i="6"/>
  <c r="C284" i="6"/>
  <c r="D284" i="6"/>
  <c r="C113" i="4"/>
  <c r="F113" i="4"/>
  <c r="B290" i="4"/>
  <c r="J289" i="4"/>
  <c r="G289" i="4"/>
  <c r="G289" i="3"/>
  <c r="B290" i="3"/>
  <c r="H154" i="3"/>
  <c r="D154" i="3"/>
  <c r="E154" i="3" s="1"/>
  <c r="D288" i="2"/>
  <c r="B289" i="2"/>
  <c r="G259" i="2"/>
  <c r="C191" i="1"/>
  <c r="F191" i="1"/>
  <c r="E191" i="1" s="1"/>
  <c r="L280" i="6" l="1"/>
  <c r="J280" i="6"/>
  <c r="H280" i="6" s="1"/>
  <c r="I280" i="6"/>
  <c r="G280" i="6" s="1"/>
  <c r="K280" i="6" s="1"/>
  <c r="E281" i="6" s="1"/>
  <c r="B286" i="6"/>
  <c r="C285" i="6"/>
  <c r="D285" i="6"/>
  <c r="B291" i="4"/>
  <c r="G290" i="4"/>
  <c r="J290" i="4"/>
  <c r="D113" i="4"/>
  <c r="C155" i="3"/>
  <c r="F155" i="3"/>
  <c r="G290" i="3"/>
  <c r="B291" i="3"/>
  <c r="F260" i="2"/>
  <c r="E260" i="2" s="1"/>
  <c r="C260" i="2"/>
  <c r="B290" i="2"/>
  <c r="D289" i="2"/>
  <c r="G191" i="1"/>
  <c r="L281" i="6" l="1"/>
  <c r="J281" i="6"/>
  <c r="H281" i="6" s="1"/>
  <c r="K281" i="6"/>
  <c r="E282" i="6" s="1"/>
  <c r="I281" i="6"/>
  <c r="G281" i="6" s="1"/>
  <c r="B287" i="6"/>
  <c r="C286" i="6"/>
  <c r="D286" i="6"/>
  <c r="I113" i="4"/>
  <c r="K113" i="4" s="1"/>
  <c r="E113" i="4"/>
  <c r="H113" i="4" s="1"/>
  <c r="J291" i="4"/>
  <c r="B292" i="4"/>
  <c r="G291" i="4"/>
  <c r="G291" i="3"/>
  <c r="B292" i="3"/>
  <c r="H155" i="3"/>
  <c r="D155" i="3"/>
  <c r="E155" i="3" s="1"/>
  <c r="D290" i="2"/>
  <c r="B291" i="2"/>
  <c r="G260" i="2"/>
  <c r="F192" i="1"/>
  <c r="E192" i="1" s="1"/>
  <c r="C192" i="1"/>
  <c r="B288" i="6" l="1"/>
  <c r="C287" i="6"/>
  <c r="D287" i="6"/>
  <c r="J282" i="6"/>
  <c r="H282" i="6" s="1"/>
  <c r="L282" i="6" s="1"/>
  <c r="I282" i="6"/>
  <c r="G282" i="6" s="1"/>
  <c r="K282" i="6" s="1"/>
  <c r="E283" i="6" s="1"/>
  <c r="B293" i="4"/>
  <c r="G292" i="4"/>
  <c r="J292" i="4"/>
  <c r="F114" i="4"/>
  <c r="C114" i="4"/>
  <c r="C156" i="3"/>
  <c r="F156" i="3"/>
  <c r="G292" i="3"/>
  <c r="B293" i="3"/>
  <c r="G192" i="1"/>
  <c r="C261" i="2"/>
  <c r="G261" i="2" s="1"/>
  <c r="F261" i="2"/>
  <c r="E261" i="2" s="1"/>
  <c r="B292" i="2"/>
  <c r="D291" i="2"/>
  <c r="C193" i="1"/>
  <c r="F193" i="1"/>
  <c r="E193" i="1" s="1"/>
  <c r="L283" i="6" l="1"/>
  <c r="J283" i="6"/>
  <c r="H283" i="6" s="1"/>
  <c r="K283" i="6"/>
  <c r="E284" i="6" s="1"/>
  <c r="I283" i="6"/>
  <c r="G283" i="6" s="1"/>
  <c r="B289" i="6"/>
  <c r="C288" i="6"/>
  <c r="D288" i="6"/>
  <c r="D114" i="4"/>
  <c r="J293" i="4"/>
  <c r="B294" i="4"/>
  <c r="G293" i="4"/>
  <c r="G293" i="3"/>
  <c r="B294" i="3"/>
  <c r="H156" i="3"/>
  <c r="D156" i="3"/>
  <c r="E156" i="3" s="1"/>
  <c r="D292" i="2"/>
  <c r="B293" i="2"/>
  <c r="F262" i="2"/>
  <c r="E262" i="2" s="1"/>
  <c r="C262" i="2"/>
  <c r="G193" i="1"/>
  <c r="B290" i="6" l="1"/>
  <c r="C289" i="6"/>
  <c r="D289" i="6"/>
  <c r="J284" i="6"/>
  <c r="H284" i="6" s="1"/>
  <c r="L284" i="6" s="1"/>
  <c r="I284" i="6"/>
  <c r="G284" i="6" s="1"/>
  <c r="K284" i="6" s="1"/>
  <c r="E285" i="6" s="1"/>
  <c r="B295" i="4"/>
  <c r="G294" i="4"/>
  <c r="J294" i="4"/>
  <c r="I114" i="4"/>
  <c r="K114" i="4" s="1"/>
  <c r="E114" i="4"/>
  <c r="H114" i="4" s="1"/>
  <c r="C157" i="3"/>
  <c r="F157" i="3"/>
  <c r="G294" i="3"/>
  <c r="B295" i="3"/>
  <c r="B294" i="2"/>
  <c r="D293" i="2"/>
  <c r="G262" i="2"/>
  <c r="F194" i="1"/>
  <c r="E194" i="1" s="1"/>
  <c r="C194" i="1"/>
  <c r="L285" i="6" l="1"/>
  <c r="J285" i="6"/>
  <c r="H285" i="6" s="1"/>
  <c r="K285" i="6"/>
  <c r="E286" i="6" s="1"/>
  <c r="I285" i="6"/>
  <c r="G285" i="6" s="1"/>
  <c r="B291" i="6"/>
  <c r="C290" i="6"/>
  <c r="D290" i="6"/>
  <c r="C115" i="4"/>
  <c r="F115" i="4"/>
  <c r="J295" i="4"/>
  <c r="B296" i="4"/>
  <c r="G295" i="4"/>
  <c r="G295" i="3"/>
  <c r="B296" i="3"/>
  <c r="H157" i="3"/>
  <c r="D157" i="3"/>
  <c r="E157" i="3" s="1"/>
  <c r="G194" i="1"/>
  <c r="D294" i="2"/>
  <c r="B295" i="2"/>
  <c r="C263" i="2"/>
  <c r="G263" i="2" s="1"/>
  <c r="F263" i="2"/>
  <c r="E263" i="2" s="1"/>
  <c r="C195" i="1"/>
  <c r="F195" i="1"/>
  <c r="E195" i="1" s="1"/>
  <c r="B292" i="6" l="1"/>
  <c r="C291" i="6"/>
  <c r="D291" i="6"/>
  <c r="J286" i="6"/>
  <c r="H286" i="6" s="1"/>
  <c r="L286" i="6" s="1"/>
  <c r="I286" i="6"/>
  <c r="G286" i="6" s="1"/>
  <c r="K286" i="6" s="1"/>
  <c r="E287" i="6" s="1"/>
  <c r="B297" i="4"/>
  <c r="G296" i="4"/>
  <c r="J296" i="4"/>
  <c r="D115" i="4"/>
  <c r="C158" i="3"/>
  <c r="F158" i="3"/>
  <c r="G296" i="3"/>
  <c r="B297" i="3"/>
  <c r="F264" i="2"/>
  <c r="E264" i="2" s="1"/>
  <c r="C264" i="2"/>
  <c r="B296" i="2"/>
  <c r="D295" i="2"/>
  <c r="G195" i="1"/>
  <c r="L287" i="6" l="1"/>
  <c r="J287" i="6"/>
  <c r="H287" i="6" s="1"/>
  <c r="K287" i="6"/>
  <c r="E288" i="6" s="1"/>
  <c r="I287" i="6"/>
  <c r="G287" i="6" s="1"/>
  <c r="B293" i="6"/>
  <c r="C292" i="6"/>
  <c r="D292" i="6"/>
  <c r="I115" i="4"/>
  <c r="K115" i="4" s="1"/>
  <c r="E115" i="4"/>
  <c r="H115" i="4" s="1"/>
  <c r="J297" i="4"/>
  <c r="B298" i="4"/>
  <c r="G297" i="4"/>
  <c r="G297" i="3"/>
  <c r="B298" i="3"/>
  <c r="H158" i="3"/>
  <c r="D158" i="3"/>
  <c r="E158" i="3" s="1"/>
  <c r="B297" i="2"/>
  <c r="D296" i="2"/>
  <c r="G264" i="2"/>
  <c r="F196" i="1"/>
  <c r="E196" i="1" s="1"/>
  <c r="C196" i="1"/>
  <c r="B294" i="6" l="1"/>
  <c r="C293" i="6"/>
  <c r="D293" i="6"/>
  <c r="J288" i="6"/>
  <c r="H288" i="6" s="1"/>
  <c r="L288" i="6" s="1"/>
  <c r="I288" i="6"/>
  <c r="G288" i="6" s="1"/>
  <c r="K288" i="6" s="1"/>
  <c r="E289" i="6" s="1"/>
  <c r="B299" i="4"/>
  <c r="G298" i="4"/>
  <c r="J298" i="4"/>
  <c r="F116" i="4"/>
  <c r="C116" i="4"/>
  <c r="C159" i="3"/>
  <c r="F159" i="3"/>
  <c r="G298" i="3"/>
  <c r="B299" i="3"/>
  <c r="G196" i="1"/>
  <c r="C265" i="2"/>
  <c r="F265" i="2"/>
  <c r="E265" i="2" s="1"/>
  <c r="D297" i="2"/>
  <c r="B298" i="2"/>
  <c r="C197" i="1"/>
  <c r="F197" i="1"/>
  <c r="E197" i="1" s="1"/>
  <c r="L289" i="6" l="1"/>
  <c r="J289" i="6"/>
  <c r="H289" i="6" s="1"/>
  <c r="K289" i="6"/>
  <c r="E290" i="6" s="1"/>
  <c r="I289" i="6"/>
  <c r="G289" i="6" s="1"/>
  <c r="B295" i="6"/>
  <c r="C294" i="6"/>
  <c r="D294" i="6"/>
  <c r="D116" i="4"/>
  <c r="J299" i="4"/>
  <c r="B300" i="4"/>
  <c r="G299" i="4"/>
  <c r="G299" i="3"/>
  <c r="B300" i="3"/>
  <c r="H159" i="3"/>
  <c r="D159" i="3"/>
  <c r="E159" i="3" s="1"/>
  <c r="B299" i="2"/>
  <c r="D298" i="2"/>
  <c r="G265" i="2"/>
  <c r="G197" i="1"/>
  <c r="B296" i="6" l="1"/>
  <c r="C295" i="6"/>
  <c r="D295" i="6"/>
  <c r="J290" i="6"/>
  <c r="H290" i="6" s="1"/>
  <c r="L290" i="6" s="1"/>
  <c r="I290" i="6"/>
  <c r="G290" i="6" s="1"/>
  <c r="K290" i="6" s="1"/>
  <c r="E291" i="6" s="1"/>
  <c r="B301" i="4"/>
  <c r="G300" i="4"/>
  <c r="J300" i="4"/>
  <c r="I116" i="4"/>
  <c r="K116" i="4" s="1"/>
  <c r="E116" i="4"/>
  <c r="H116" i="4" s="1"/>
  <c r="C160" i="3"/>
  <c r="F160" i="3"/>
  <c r="G300" i="3"/>
  <c r="B301" i="3"/>
  <c r="D299" i="2"/>
  <c r="B300" i="2"/>
  <c r="F266" i="2"/>
  <c r="E266" i="2" s="1"/>
  <c r="C266" i="2"/>
  <c r="F198" i="1"/>
  <c r="E198" i="1" s="1"/>
  <c r="C198" i="1"/>
  <c r="L291" i="6" l="1"/>
  <c r="J291" i="6"/>
  <c r="H291" i="6" s="1"/>
  <c r="K291" i="6"/>
  <c r="E292" i="6" s="1"/>
  <c r="I291" i="6"/>
  <c r="G291" i="6" s="1"/>
  <c r="B297" i="6"/>
  <c r="C296" i="6"/>
  <c r="D296" i="6"/>
  <c r="C117" i="4"/>
  <c r="F117" i="4"/>
  <c r="J301" i="4"/>
  <c r="B302" i="4"/>
  <c r="G301" i="4"/>
  <c r="G301" i="3"/>
  <c r="B302" i="3"/>
  <c r="H160" i="3"/>
  <c r="D160" i="3"/>
  <c r="E160" i="3" s="1"/>
  <c r="G198" i="1"/>
  <c r="B301" i="2"/>
  <c r="D300" i="2"/>
  <c r="G266" i="2"/>
  <c r="C199" i="1"/>
  <c r="F199" i="1"/>
  <c r="E199" i="1" s="1"/>
  <c r="B298" i="6" l="1"/>
  <c r="C297" i="6"/>
  <c r="D297" i="6"/>
  <c r="J292" i="6"/>
  <c r="H292" i="6" s="1"/>
  <c r="L292" i="6" s="1"/>
  <c r="I292" i="6"/>
  <c r="G292" i="6" s="1"/>
  <c r="K292" i="6" s="1"/>
  <c r="E293" i="6" s="1"/>
  <c r="B303" i="4"/>
  <c r="G302" i="4"/>
  <c r="J302" i="4"/>
  <c r="D117" i="4"/>
  <c r="C161" i="3"/>
  <c r="F161" i="3"/>
  <c r="G302" i="3"/>
  <c r="B303" i="3"/>
  <c r="D301" i="2"/>
  <c r="B302" i="2"/>
  <c r="C267" i="2"/>
  <c r="G267" i="2" s="1"/>
  <c r="F267" i="2"/>
  <c r="E267" i="2" s="1"/>
  <c r="G199" i="1"/>
  <c r="L293" i="6" l="1"/>
  <c r="J293" i="6"/>
  <c r="H293" i="6" s="1"/>
  <c r="K293" i="6"/>
  <c r="E294" i="6" s="1"/>
  <c r="I293" i="6"/>
  <c r="G293" i="6" s="1"/>
  <c r="B299" i="6"/>
  <c r="C298" i="6"/>
  <c r="D298" i="6"/>
  <c r="I117" i="4"/>
  <c r="K117" i="4" s="1"/>
  <c r="E117" i="4"/>
  <c r="H117" i="4" s="1"/>
  <c r="J303" i="4"/>
  <c r="B304" i="4"/>
  <c r="G303" i="4"/>
  <c r="G303" i="3"/>
  <c r="B304" i="3"/>
  <c r="H161" i="3"/>
  <c r="D161" i="3"/>
  <c r="E161" i="3" s="1"/>
  <c r="F268" i="2"/>
  <c r="E268" i="2" s="1"/>
  <c r="C268" i="2"/>
  <c r="B303" i="2"/>
  <c r="D302" i="2"/>
  <c r="F200" i="1"/>
  <c r="E200" i="1" s="1"/>
  <c r="C200" i="1"/>
  <c r="G200" i="1" s="1"/>
  <c r="B300" i="6" l="1"/>
  <c r="C299" i="6"/>
  <c r="D299" i="6"/>
  <c r="J294" i="6"/>
  <c r="H294" i="6" s="1"/>
  <c r="L294" i="6" s="1"/>
  <c r="I294" i="6"/>
  <c r="G294" i="6" s="1"/>
  <c r="K294" i="6" s="1"/>
  <c r="E295" i="6" s="1"/>
  <c r="B305" i="4"/>
  <c r="G304" i="4"/>
  <c r="J304" i="4"/>
  <c r="F118" i="4"/>
  <c r="C118" i="4"/>
  <c r="C162" i="3"/>
  <c r="F162" i="3"/>
  <c r="G304" i="3"/>
  <c r="B305" i="3"/>
  <c r="D303" i="2"/>
  <c r="B304" i="2"/>
  <c r="G268" i="2"/>
  <c r="C201" i="1"/>
  <c r="F201" i="1"/>
  <c r="E201" i="1" s="1"/>
  <c r="L295" i="6" l="1"/>
  <c r="J295" i="6"/>
  <c r="H295" i="6" s="1"/>
  <c r="K295" i="6"/>
  <c r="E296" i="6" s="1"/>
  <c r="I295" i="6"/>
  <c r="G295" i="6" s="1"/>
  <c r="B301" i="6"/>
  <c r="C300" i="6"/>
  <c r="D300" i="6"/>
  <c r="D118" i="4"/>
  <c r="J305" i="4"/>
  <c r="B306" i="4"/>
  <c r="G305" i="4"/>
  <c r="G305" i="3"/>
  <c r="B306" i="3"/>
  <c r="H162" i="3"/>
  <c r="D162" i="3"/>
  <c r="E162" i="3" s="1"/>
  <c r="C269" i="2"/>
  <c r="G269" i="2" s="1"/>
  <c r="F269" i="2"/>
  <c r="E269" i="2" s="1"/>
  <c r="B305" i="2"/>
  <c r="D304" i="2"/>
  <c r="G201" i="1"/>
  <c r="B302" i="6" l="1"/>
  <c r="C301" i="6"/>
  <c r="D301" i="6"/>
  <c r="J296" i="6"/>
  <c r="H296" i="6" s="1"/>
  <c r="L296" i="6" s="1"/>
  <c r="I296" i="6"/>
  <c r="G296" i="6" s="1"/>
  <c r="K296" i="6" s="1"/>
  <c r="E297" i="6" s="1"/>
  <c r="B307" i="4"/>
  <c r="G306" i="4"/>
  <c r="J306" i="4"/>
  <c r="I118" i="4"/>
  <c r="K118" i="4" s="1"/>
  <c r="E118" i="4"/>
  <c r="H118" i="4" s="1"/>
  <c r="C163" i="3"/>
  <c r="F163" i="3"/>
  <c r="G306" i="3"/>
  <c r="B307" i="3"/>
  <c r="D305" i="2"/>
  <c r="B306" i="2"/>
  <c r="F270" i="2"/>
  <c r="E270" i="2" s="1"/>
  <c r="C270" i="2"/>
  <c r="F202" i="1"/>
  <c r="E202" i="1" s="1"/>
  <c r="C202" i="1"/>
  <c r="G202" i="1" s="1"/>
  <c r="L297" i="6" l="1"/>
  <c r="J297" i="6"/>
  <c r="H297" i="6" s="1"/>
  <c r="K297" i="6"/>
  <c r="E298" i="6" s="1"/>
  <c r="I297" i="6"/>
  <c r="G297" i="6" s="1"/>
  <c r="C302" i="6"/>
  <c r="B303" i="6"/>
  <c r="D302" i="6"/>
  <c r="C119" i="4"/>
  <c r="F119" i="4"/>
  <c r="J307" i="4"/>
  <c r="B308" i="4"/>
  <c r="G307" i="4"/>
  <c r="G307" i="3"/>
  <c r="B308" i="3"/>
  <c r="H163" i="3"/>
  <c r="D163" i="3"/>
  <c r="E163" i="3" s="1"/>
  <c r="G270" i="2"/>
  <c r="B307" i="2"/>
  <c r="D306" i="2"/>
  <c r="C203" i="1"/>
  <c r="F203" i="1"/>
  <c r="E203" i="1" s="1"/>
  <c r="L298" i="6" l="1"/>
  <c r="J298" i="6"/>
  <c r="H298" i="6" s="1"/>
  <c r="K298" i="6"/>
  <c r="E299" i="6" s="1"/>
  <c r="I298" i="6"/>
  <c r="G298" i="6" s="1"/>
  <c r="C303" i="6"/>
  <c r="B304" i="6"/>
  <c r="D303" i="6"/>
  <c r="B309" i="4"/>
  <c r="G308" i="4"/>
  <c r="J308" i="4"/>
  <c r="D119" i="4"/>
  <c r="C164" i="3"/>
  <c r="F164" i="3"/>
  <c r="G308" i="3"/>
  <c r="B309" i="3"/>
  <c r="C271" i="2"/>
  <c r="G271" i="2" s="1"/>
  <c r="F271" i="2"/>
  <c r="E271" i="2" s="1"/>
  <c r="D307" i="2"/>
  <c r="B308" i="2"/>
  <c r="G203" i="1"/>
  <c r="L299" i="6" l="1"/>
  <c r="J299" i="6"/>
  <c r="H299" i="6" s="1"/>
  <c r="K299" i="6"/>
  <c r="E300" i="6" s="1"/>
  <c r="I299" i="6"/>
  <c r="G299" i="6" s="1"/>
  <c r="C304" i="6"/>
  <c r="B305" i="6"/>
  <c r="D304" i="6"/>
  <c r="I119" i="4"/>
  <c r="K119" i="4" s="1"/>
  <c r="E119" i="4"/>
  <c r="H119" i="4" s="1"/>
  <c r="J309" i="4"/>
  <c r="B310" i="4"/>
  <c r="G309" i="4"/>
  <c r="G309" i="3"/>
  <c r="B310" i="3"/>
  <c r="H164" i="3"/>
  <c r="D164" i="3"/>
  <c r="E164" i="3" s="1"/>
  <c r="F272" i="2"/>
  <c r="E272" i="2" s="1"/>
  <c r="C272" i="2"/>
  <c r="B309" i="2"/>
  <c r="D308" i="2"/>
  <c r="F204" i="1"/>
  <c r="E204" i="1" s="1"/>
  <c r="C204" i="1"/>
  <c r="G204" i="1" s="1"/>
  <c r="L300" i="6" l="1"/>
  <c r="J300" i="6"/>
  <c r="H300" i="6" s="1"/>
  <c r="K300" i="6"/>
  <c r="E301" i="6" s="1"/>
  <c r="I300" i="6"/>
  <c r="G300" i="6" s="1"/>
  <c r="C305" i="6"/>
  <c r="B306" i="6"/>
  <c r="D305" i="6"/>
  <c r="B311" i="4"/>
  <c r="G310" i="4"/>
  <c r="J310" i="4"/>
  <c r="F120" i="4"/>
  <c r="C120" i="4"/>
  <c r="C165" i="3"/>
  <c r="F165" i="3"/>
  <c r="G310" i="3"/>
  <c r="B311" i="3"/>
  <c r="D309" i="2"/>
  <c r="B310" i="2"/>
  <c r="G272" i="2"/>
  <c r="C205" i="1"/>
  <c r="F205" i="1"/>
  <c r="E205" i="1" s="1"/>
  <c r="L301" i="6" l="1"/>
  <c r="J301" i="6"/>
  <c r="H301" i="6" s="1"/>
  <c r="K301" i="6"/>
  <c r="E302" i="6" s="1"/>
  <c r="I301" i="6"/>
  <c r="G301" i="6" s="1"/>
  <c r="C306" i="6"/>
  <c r="B307" i="6"/>
  <c r="D306" i="6"/>
  <c r="J311" i="4"/>
  <c r="B312" i="4"/>
  <c r="G311" i="4"/>
  <c r="D120" i="4"/>
  <c r="G311" i="3"/>
  <c r="B312" i="3"/>
  <c r="H165" i="3"/>
  <c r="D165" i="3"/>
  <c r="E165" i="3" s="1"/>
  <c r="C273" i="2"/>
  <c r="F273" i="2"/>
  <c r="E273" i="2" s="1"/>
  <c r="B311" i="2"/>
  <c r="D310" i="2"/>
  <c r="G205" i="1"/>
  <c r="L302" i="6" l="1"/>
  <c r="J302" i="6"/>
  <c r="H302" i="6" s="1"/>
  <c r="K302" i="6"/>
  <c r="E303" i="6" s="1"/>
  <c r="I302" i="6"/>
  <c r="G302" i="6" s="1"/>
  <c r="C307" i="6"/>
  <c r="B308" i="6"/>
  <c r="D307" i="6"/>
  <c r="I120" i="4"/>
  <c r="K120" i="4" s="1"/>
  <c r="E120" i="4"/>
  <c r="H120" i="4" s="1"/>
  <c r="B313" i="4"/>
  <c r="G312" i="4"/>
  <c r="J312" i="4"/>
  <c r="C166" i="3"/>
  <c r="F166" i="3"/>
  <c r="G312" i="3"/>
  <c r="B313" i="3"/>
  <c r="D311" i="2"/>
  <c r="B312" i="2"/>
  <c r="G273" i="2"/>
  <c r="F206" i="1"/>
  <c r="E206" i="1" s="1"/>
  <c r="C206" i="1"/>
  <c r="K303" i="6" l="1"/>
  <c r="E304" i="6" s="1"/>
  <c r="I303" i="6"/>
  <c r="G303" i="6" s="1"/>
  <c r="L303" i="6"/>
  <c r="J303" i="6"/>
  <c r="H303" i="6" s="1"/>
  <c r="C308" i="6"/>
  <c r="B309" i="6"/>
  <c r="D308" i="6"/>
  <c r="J313" i="4"/>
  <c r="B314" i="4"/>
  <c r="G313" i="4"/>
  <c r="C121" i="4"/>
  <c r="F121" i="4"/>
  <c r="G313" i="3"/>
  <c r="B314" i="3"/>
  <c r="H166" i="3"/>
  <c r="D166" i="3"/>
  <c r="E166" i="3" s="1"/>
  <c r="G206" i="1"/>
  <c r="F274" i="2"/>
  <c r="E274" i="2" s="1"/>
  <c r="C274" i="2"/>
  <c r="G274" i="2" s="1"/>
  <c r="B313" i="2"/>
  <c r="D312" i="2"/>
  <c r="C207" i="1"/>
  <c r="F207" i="1"/>
  <c r="E207" i="1" s="1"/>
  <c r="K304" i="6" l="1"/>
  <c r="E305" i="6" s="1"/>
  <c r="I304" i="6"/>
  <c r="G304" i="6" s="1"/>
  <c r="L304" i="6"/>
  <c r="J304" i="6"/>
  <c r="H304" i="6" s="1"/>
  <c r="C309" i="6"/>
  <c r="B310" i="6"/>
  <c r="D309" i="6"/>
  <c r="D121" i="4"/>
  <c r="B315" i="4"/>
  <c r="G314" i="4"/>
  <c r="J314" i="4"/>
  <c r="C167" i="3"/>
  <c r="F167" i="3"/>
  <c r="G314" i="3"/>
  <c r="B315" i="3"/>
  <c r="C275" i="2"/>
  <c r="F275" i="2"/>
  <c r="E275" i="2" s="1"/>
  <c r="D313" i="2"/>
  <c r="B314" i="2"/>
  <c r="G207" i="1"/>
  <c r="K305" i="6" l="1"/>
  <c r="E306" i="6" s="1"/>
  <c r="I305" i="6"/>
  <c r="G305" i="6" s="1"/>
  <c r="L305" i="6"/>
  <c r="J305" i="6"/>
  <c r="H305" i="6" s="1"/>
  <c r="C310" i="6"/>
  <c r="B311" i="6"/>
  <c r="D310" i="6"/>
  <c r="J315" i="4"/>
  <c r="B316" i="4"/>
  <c r="G315" i="4"/>
  <c r="I121" i="4"/>
  <c r="K121" i="4" s="1"/>
  <c r="E121" i="4"/>
  <c r="H121" i="4" s="1"/>
  <c r="G315" i="3"/>
  <c r="B316" i="3"/>
  <c r="H167" i="3"/>
  <c r="D167" i="3"/>
  <c r="E167" i="3" s="1"/>
  <c r="B315" i="2"/>
  <c r="D314" i="2"/>
  <c r="G275" i="2"/>
  <c r="F208" i="1"/>
  <c r="E208" i="1" s="1"/>
  <c r="C208" i="1"/>
  <c r="K306" i="6" l="1"/>
  <c r="E307" i="6" s="1"/>
  <c r="I306" i="6"/>
  <c r="G306" i="6" s="1"/>
  <c r="L306" i="6"/>
  <c r="J306" i="6"/>
  <c r="H306" i="6" s="1"/>
  <c r="C311" i="6"/>
  <c r="B312" i="6"/>
  <c r="D311" i="6"/>
  <c r="F122" i="4"/>
  <c r="C122" i="4"/>
  <c r="B317" i="4"/>
  <c r="G316" i="4"/>
  <c r="J316" i="4"/>
  <c r="C168" i="3"/>
  <c r="F168" i="3"/>
  <c r="G316" i="3"/>
  <c r="B317" i="3"/>
  <c r="G208" i="1"/>
  <c r="F276" i="2"/>
  <c r="E276" i="2" s="1"/>
  <c r="C276" i="2"/>
  <c r="G276" i="2" s="1"/>
  <c r="D315" i="2"/>
  <c r="B316" i="2"/>
  <c r="C209" i="1"/>
  <c r="F209" i="1"/>
  <c r="E209" i="1" s="1"/>
  <c r="K307" i="6" l="1"/>
  <c r="E308" i="6" s="1"/>
  <c r="I307" i="6"/>
  <c r="G307" i="6" s="1"/>
  <c r="L307" i="6"/>
  <c r="J307" i="6"/>
  <c r="H307" i="6" s="1"/>
  <c r="C312" i="6"/>
  <c r="B313" i="6"/>
  <c r="D312" i="6"/>
  <c r="J317" i="4"/>
  <c r="B318" i="4"/>
  <c r="G317" i="4"/>
  <c r="D122" i="4"/>
  <c r="G317" i="3"/>
  <c r="B318" i="3"/>
  <c r="H168" i="3"/>
  <c r="D168" i="3"/>
  <c r="E168" i="3" s="1"/>
  <c r="B317" i="2"/>
  <c r="D316" i="2"/>
  <c r="C277" i="2"/>
  <c r="G277" i="2" s="1"/>
  <c r="F277" i="2"/>
  <c r="E277" i="2" s="1"/>
  <c r="G209" i="1"/>
  <c r="K308" i="6" l="1"/>
  <c r="E309" i="6" s="1"/>
  <c r="I308" i="6"/>
  <c r="G308" i="6" s="1"/>
  <c r="L308" i="6"/>
  <c r="J308" i="6"/>
  <c r="H308" i="6" s="1"/>
  <c r="C313" i="6"/>
  <c r="B314" i="6"/>
  <c r="D313" i="6"/>
  <c r="I122" i="4"/>
  <c r="K122" i="4" s="1"/>
  <c r="E122" i="4"/>
  <c r="H122" i="4" s="1"/>
  <c r="B319" i="4"/>
  <c r="G318" i="4"/>
  <c r="J318" i="4"/>
  <c r="C169" i="3"/>
  <c r="F169" i="3"/>
  <c r="G318" i="3"/>
  <c r="B319" i="3"/>
  <c r="F278" i="2"/>
  <c r="E278" i="2" s="1"/>
  <c r="C278" i="2"/>
  <c r="G278" i="2" s="1"/>
  <c r="D317" i="2"/>
  <c r="B318" i="2"/>
  <c r="F210" i="1"/>
  <c r="E210" i="1" s="1"/>
  <c r="C210" i="1"/>
  <c r="G210" i="1" s="1"/>
  <c r="K309" i="6" l="1"/>
  <c r="E310" i="6" s="1"/>
  <c r="I309" i="6"/>
  <c r="G309" i="6" s="1"/>
  <c r="L309" i="6"/>
  <c r="J309" i="6"/>
  <c r="H309" i="6" s="1"/>
  <c r="C314" i="6"/>
  <c r="B315" i="6"/>
  <c r="D314" i="6"/>
  <c r="C123" i="4"/>
  <c r="F123" i="4"/>
  <c r="J319" i="4"/>
  <c r="B320" i="4"/>
  <c r="G319" i="4"/>
  <c r="G319" i="3"/>
  <c r="B320" i="3"/>
  <c r="H169" i="3"/>
  <c r="D169" i="3"/>
  <c r="E169" i="3" s="1"/>
  <c r="B319" i="2"/>
  <c r="D318" i="2"/>
  <c r="C279" i="2"/>
  <c r="G279" i="2" s="1"/>
  <c r="F279" i="2"/>
  <c r="E279" i="2" s="1"/>
  <c r="C211" i="1"/>
  <c r="F211" i="1"/>
  <c r="E211" i="1" s="1"/>
  <c r="K310" i="6" l="1"/>
  <c r="E311" i="6" s="1"/>
  <c r="I310" i="6"/>
  <c r="G310" i="6" s="1"/>
  <c r="L310" i="6"/>
  <c r="J310" i="6"/>
  <c r="H310" i="6" s="1"/>
  <c r="C315" i="6"/>
  <c r="B316" i="6"/>
  <c r="D315" i="6"/>
  <c r="G320" i="4"/>
  <c r="J320" i="4"/>
  <c r="D123" i="4"/>
  <c r="C170" i="3"/>
  <c r="F170" i="3"/>
  <c r="G320" i="3"/>
  <c r="F280" i="2"/>
  <c r="E280" i="2" s="1"/>
  <c r="C280" i="2"/>
  <c r="G280" i="2" s="1"/>
  <c r="D319" i="2"/>
  <c r="B320" i="2"/>
  <c r="G211" i="1"/>
  <c r="K311" i="6" l="1"/>
  <c r="E312" i="6" s="1"/>
  <c r="I311" i="6"/>
  <c r="G311" i="6" s="1"/>
  <c r="L311" i="6"/>
  <c r="J311" i="6"/>
  <c r="H311" i="6" s="1"/>
  <c r="C316" i="6"/>
  <c r="D316" i="6"/>
  <c r="I123" i="4"/>
  <c r="K123" i="4" s="1"/>
  <c r="E123" i="4"/>
  <c r="H123" i="4" s="1"/>
  <c r="D170" i="3"/>
  <c r="E170" i="3" s="1"/>
  <c r="H170" i="3" s="1"/>
  <c r="D320" i="2"/>
  <c r="C281" i="2"/>
  <c r="F281" i="2"/>
  <c r="E281" i="2" s="1"/>
  <c r="F212" i="1"/>
  <c r="E212" i="1" s="1"/>
  <c r="C212" i="1"/>
  <c r="K312" i="6" l="1"/>
  <c r="E313" i="6" s="1"/>
  <c r="I312" i="6"/>
  <c r="G312" i="6" s="1"/>
  <c r="L312" i="6"/>
  <c r="J312" i="6"/>
  <c r="H312" i="6" s="1"/>
  <c r="F124" i="4"/>
  <c r="C124" i="4"/>
  <c r="C171" i="3"/>
  <c r="F171" i="3"/>
  <c r="G212" i="1"/>
  <c r="G281" i="2"/>
  <c r="C213" i="1"/>
  <c r="F213" i="1"/>
  <c r="E213" i="1" s="1"/>
  <c r="K313" i="6" l="1"/>
  <c r="E314" i="6" s="1"/>
  <c r="I313" i="6"/>
  <c r="G313" i="6" s="1"/>
  <c r="L313" i="6"/>
  <c r="J313" i="6"/>
  <c r="H313" i="6" s="1"/>
  <c r="D124" i="4"/>
  <c r="H171" i="3"/>
  <c r="D171" i="3"/>
  <c r="E171" i="3" s="1"/>
  <c r="F282" i="2"/>
  <c r="E282" i="2" s="1"/>
  <c r="C282" i="2"/>
  <c r="G282" i="2" s="1"/>
  <c r="G213" i="1"/>
  <c r="K314" i="6" l="1"/>
  <c r="E315" i="6" s="1"/>
  <c r="I314" i="6"/>
  <c r="G314" i="6" s="1"/>
  <c r="L314" i="6"/>
  <c r="J314" i="6"/>
  <c r="H314" i="6" s="1"/>
  <c r="I124" i="4"/>
  <c r="K124" i="4" s="1"/>
  <c r="E124" i="4"/>
  <c r="H124" i="4" s="1"/>
  <c r="C172" i="3"/>
  <c r="F172" i="3"/>
  <c r="C283" i="2"/>
  <c r="F283" i="2"/>
  <c r="E283" i="2" s="1"/>
  <c r="F214" i="1"/>
  <c r="E214" i="1" s="1"/>
  <c r="C214" i="1"/>
  <c r="G214" i="1" s="1"/>
  <c r="K315" i="6" l="1"/>
  <c r="E316" i="6" s="1"/>
  <c r="I315" i="6"/>
  <c r="G315" i="6" s="1"/>
  <c r="L315" i="6"/>
  <c r="J315" i="6"/>
  <c r="H315" i="6" s="1"/>
  <c r="C125" i="4"/>
  <c r="F125" i="4"/>
  <c r="H172" i="3"/>
  <c r="D172" i="3"/>
  <c r="E172" i="3" s="1"/>
  <c r="G283" i="2"/>
  <c r="C215" i="1"/>
  <c r="F215" i="1"/>
  <c r="E215" i="1" s="1"/>
  <c r="I316" i="6" l="1"/>
  <c r="J316" i="6"/>
  <c r="D125" i="4"/>
  <c r="C173" i="3"/>
  <c r="F173" i="3"/>
  <c r="F284" i="2"/>
  <c r="E284" i="2" s="1"/>
  <c r="C284" i="2"/>
  <c r="G284" i="2" s="1"/>
  <c r="G215" i="1"/>
  <c r="H316" i="6" l="1"/>
  <c r="L316" i="6" s="1"/>
  <c r="J319" i="6"/>
  <c r="G316" i="6"/>
  <c r="K316" i="6" s="1"/>
  <c r="I319" i="6"/>
  <c r="I125" i="4"/>
  <c r="K125" i="4" s="1"/>
  <c r="E125" i="4"/>
  <c r="H125" i="4" s="1"/>
  <c r="H173" i="3"/>
  <c r="D173" i="3"/>
  <c r="E173" i="3" s="1"/>
  <c r="C285" i="2"/>
  <c r="F285" i="2"/>
  <c r="E285" i="2" s="1"/>
  <c r="F216" i="1"/>
  <c r="E216" i="1" s="1"/>
  <c r="C216" i="1"/>
  <c r="G216" i="1" s="1"/>
  <c r="F126" i="4" l="1"/>
  <c r="C126" i="4"/>
  <c r="C174" i="3"/>
  <c r="F174" i="3"/>
  <c r="G285" i="2"/>
  <c r="C217" i="1"/>
  <c r="F217" i="1"/>
  <c r="E217" i="1" s="1"/>
  <c r="D126" i="4" l="1"/>
  <c r="H174" i="3"/>
  <c r="D174" i="3"/>
  <c r="E174" i="3" s="1"/>
  <c r="F286" i="2"/>
  <c r="E286" i="2" s="1"/>
  <c r="C286" i="2"/>
  <c r="G286" i="2" s="1"/>
  <c r="G217" i="1"/>
  <c r="I126" i="4" l="1"/>
  <c r="K126" i="4" s="1"/>
  <c r="E126" i="4"/>
  <c r="H126" i="4" s="1"/>
  <c r="C175" i="3"/>
  <c r="F175" i="3"/>
  <c r="C287" i="2"/>
  <c r="F287" i="2"/>
  <c r="E287" i="2" s="1"/>
  <c r="F218" i="1"/>
  <c r="E218" i="1" s="1"/>
  <c r="C218" i="1"/>
  <c r="G218" i="1" s="1"/>
  <c r="C127" i="4" l="1"/>
  <c r="F127" i="4"/>
  <c r="H175" i="3"/>
  <c r="D175" i="3"/>
  <c r="E175" i="3" s="1"/>
  <c r="G287" i="2"/>
  <c r="C219" i="1"/>
  <c r="F219" i="1"/>
  <c r="E219" i="1" s="1"/>
  <c r="D127" i="4" l="1"/>
  <c r="C176" i="3"/>
  <c r="F176" i="3"/>
  <c r="F288" i="2"/>
  <c r="E288" i="2" s="1"/>
  <c r="C288" i="2"/>
  <c r="G288" i="2" s="1"/>
  <c r="G219" i="1"/>
  <c r="I127" i="4" l="1"/>
  <c r="K127" i="4" s="1"/>
  <c r="E127" i="4"/>
  <c r="H127" i="4" s="1"/>
  <c r="H176" i="3"/>
  <c r="D176" i="3"/>
  <c r="E176" i="3" s="1"/>
  <c r="C289" i="2"/>
  <c r="F289" i="2"/>
  <c r="E289" i="2" s="1"/>
  <c r="F220" i="1"/>
  <c r="E220" i="1" s="1"/>
  <c r="C220" i="1"/>
  <c r="G220" i="1" s="1"/>
  <c r="F128" i="4" l="1"/>
  <c r="C128" i="4"/>
  <c r="C177" i="3"/>
  <c r="F177" i="3"/>
  <c r="G289" i="2"/>
  <c r="C221" i="1"/>
  <c r="F221" i="1"/>
  <c r="E221" i="1" s="1"/>
  <c r="D128" i="4" l="1"/>
  <c r="H177" i="3"/>
  <c r="D177" i="3"/>
  <c r="E177" i="3" s="1"/>
  <c r="F290" i="2"/>
  <c r="E290" i="2" s="1"/>
  <c r="C290" i="2"/>
  <c r="G290" i="2" s="1"/>
  <c r="G221" i="1"/>
  <c r="I128" i="4" l="1"/>
  <c r="K128" i="4" s="1"/>
  <c r="E128" i="4"/>
  <c r="H128" i="4" s="1"/>
  <c r="C178" i="3"/>
  <c r="F178" i="3"/>
  <c r="C291" i="2"/>
  <c r="F291" i="2"/>
  <c r="E291" i="2" s="1"/>
  <c r="F222" i="1"/>
  <c r="E222" i="1" s="1"/>
  <c r="C222" i="1"/>
  <c r="G222" i="1" s="1"/>
  <c r="C129" i="4" l="1"/>
  <c r="F129" i="4"/>
  <c r="H178" i="3"/>
  <c r="D178" i="3"/>
  <c r="E178" i="3" s="1"/>
  <c r="G291" i="2"/>
  <c r="C223" i="1"/>
  <c r="F223" i="1"/>
  <c r="E223" i="1" s="1"/>
  <c r="D129" i="4" l="1"/>
  <c r="C179" i="3"/>
  <c r="F179" i="3"/>
  <c r="F292" i="2"/>
  <c r="E292" i="2" s="1"/>
  <c r="C292" i="2"/>
  <c r="G292" i="2" s="1"/>
  <c r="G223" i="1"/>
  <c r="I129" i="4" l="1"/>
  <c r="K129" i="4" s="1"/>
  <c r="E129" i="4"/>
  <c r="H129" i="4" s="1"/>
  <c r="H179" i="3"/>
  <c r="D179" i="3"/>
  <c r="E179" i="3" s="1"/>
  <c r="C293" i="2"/>
  <c r="F293" i="2"/>
  <c r="E293" i="2" s="1"/>
  <c r="F224" i="1"/>
  <c r="E224" i="1" s="1"/>
  <c r="C224" i="1"/>
  <c r="G224" i="1" s="1"/>
  <c r="F130" i="4" l="1"/>
  <c r="C130" i="4"/>
  <c r="C180" i="3"/>
  <c r="F180" i="3"/>
  <c r="G293" i="2"/>
  <c r="C225" i="1"/>
  <c r="F225" i="1"/>
  <c r="E225" i="1" s="1"/>
  <c r="D130" i="4" l="1"/>
  <c r="H180" i="3"/>
  <c r="D180" i="3"/>
  <c r="E180" i="3" s="1"/>
  <c r="F294" i="2"/>
  <c r="E294" i="2" s="1"/>
  <c r="C294" i="2"/>
  <c r="G294" i="2" s="1"/>
  <c r="G225" i="1"/>
  <c r="I130" i="4" l="1"/>
  <c r="K130" i="4" s="1"/>
  <c r="E130" i="4"/>
  <c r="H130" i="4" s="1"/>
  <c r="C181" i="3"/>
  <c r="F181" i="3"/>
  <c r="C295" i="2"/>
  <c r="F295" i="2"/>
  <c r="E295" i="2" s="1"/>
  <c r="F226" i="1"/>
  <c r="E226" i="1" s="1"/>
  <c r="C226" i="1"/>
  <c r="G226" i="1" s="1"/>
  <c r="C131" i="4" l="1"/>
  <c r="F131" i="4"/>
  <c r="H181" i="3"/>
  <c r="D181" i="3"/>
  <c r="E181" i="3" s="1"/>
  <c r="G295" i="2"/>
  <c r="C227" i="1"/>
  <c r="F227" i="1"/>
  <c r="E227" i="1" s="1"/>
  <c r="D131" i="4" l="1"/>
  <c r="C182" i="3"/>
  <c r="F182" i="3"/>
  <c r="F296" i="2"/>
  <c r="E296" i="2" s="1"/>
  <c r="C296" i="2"/>
  <c r="G296" i="2" s="1"/>
  <c r="G227" i="1"/>
  <c r="I131" i="4" l="1"/>
  <c r="K131" i="4" s="1"/>
  <c r="E131" i="4"/>
  <c r="H131" i="4" s="1"/>
  <c r="H182" i="3"/>
  <c r="D182" i="3"/>
  <c r="E182" i="3" s="1"/>
  <c r="F297" i="2"/>
  <c r="E297" i="2" s="1"/>
  <c r="C297" i="2"/>
  <c r="G297" i="2" s="1"/>
  <c r="F228" i="1"/>
  <c r="E228" i="1" s="1"/>
  <c r="C228" i="1"/>
  <c r="G228" i="1" s="1"/>
  <c r="F132" i="4" l="1"/>
  <c r="C132" i="4"/>
  <c r="C183" i="3"/>
  <c r="F183" i="3"/>
  <c r="C298" i="2"/>
  <c r="F298" i="2"/>
  <c r="E298" i="2" s="1"/>
  <c r="C229" i="1"/>
  <c r="F229" i="1"/>
  <c r="E229" i="1" s="1"/>
  <c r="D132" i="4" l="1"/>
  <c r="H183" i="3"/>
  <c r="D183" i="3"/>
  <c r="E183" i="3" s="1"/>
  <c r="G298" i="2"/>
  <c r="G229" i="1"/>
  <c r="I132" i="4" l="1"/>
  <c r="K132" i="4" s="1"/>
  <c r="E132" i="4"/>
  <c r="H132" i="4" s="1"/>
  <c r="C184" i="3"/>
  <c r="F184" i="3"/>
  <c r="F299" i="2"/>
  <c r="E299" i="2" s="1"/>
  <c r="C299" i="2"/>
  <c r="G299" i="2" s="1"/>
  <c r="F230" i="1"/>
  <c r="E230" i="1" s="1"/>
  <c r="C230" i="1"/>
  <c r="G230" i="1" s="1"/>
  <c r="C133" i="4" l="1"/>
  <c r="F133" i="4"/>
  <c r="H184" i="3"/>
  <c r="D184" i="3"/>
  <c r="E184" i="3" s="1"/>
  <c r="C300" i="2"/>
  <c r="F300" i="2"/>
  <c r="E300" i="2" s="1"/>
  <c r="C231" i="1"/>
  <c r="F231" i="1"/>
  <c r="E231" i="1" s="1"/>
  <c r="D133" i="4" l="1"/>
  <c r="C185" i="3"/>
  <c r="F185" i="3"/>
  <c r="G300" i="2"/>
  <c r="G231" i="1"/>
  <c r="I133" i="4" l="1"/>
  <c r="K133" i="4" s="1"/>
  <c r="E133" i="4"/>
  <c r="H133" i="4" s="1"/>
  <c r="H185" i="3"/>
  <c r="D185" i="3"/>
  <c r="E185" i="3" s="1"/>
  <c r="F301" i="2"/>
  <c r="E301" i="2" s="1"/>
  <c r="C301" i="2"/>
  <c r="G301" i="2" s="1"/>
  <c r="F232" i="1"/>
  <c r="E232" i="1" s="1"/>
  <c r="C232" i="1"/>
  <c r="G232" i="1" s="1"/>
  <c r="F134" i="4" l="1"/>
  <c r="C134" i="4"/>
  <c r="C186" i="3"/>
  <c r="F186" i="3"/>
  <c r="C302" i="2"/>
  <c r="F302" i="2"/>
  <c r="E302" i="2" s="1"/>
  <c r="C233" i="1"/>
  <c r="F233" i="1"/>
  <c r="E233" i="1" s="1"/>
  <c r="D134" i="4" l="1"/>
  <c r="H186" i="3"/>
  <c r="D186" i="3"/>
  <c r="E186" i="3" s="1"/>
  <c r="G302" i="2"/>
  <c r="G233" i="1"/>
  <c r="I134" i="4" l="1"/>
  <c r="K134" i="4" s="1"/>
  <c r="E134" i="4"/>
  <c r="H134" i="4" s="1"/>
  <c r="C187" i="3"/>
  <c r="F187" i="3"/>
  <c r="F303" i="2"/>
  <c r="E303" i="2" s="1"/>
  <c r="C303" i="2"/>
  <c r="G303" i="2" s="1"/>
  <c r="F234" i="1"/>
  <c r="E234" i="1" s="1"/>
  <c r="C234" i="1"/>
  <c r="G234" i="1" s="1"/>
  <c r="C135" i="4" l="1"/>
  <c r="F135" i="4"/>
  <c r="H187" i="3"/>
  <c r="D187" i="3"/>
  <c r="E187" i="3" s="1"/>
  <c r="C304" i="2"/>
  <c r="F304" i="2"/>
  <c r="E304" i="2" s="1"/>
  <c r="C235" i="1"/>
  <c r="F235" i="1"/>
  <c r="E235" i="1" s="1"/>
  <c r="D135" i="4" l="1"/>
  <c r="C188" i="3"/>
  <c r="F188" i="3"/>
  <c r="G304" i="2"/>
  <c r="G235" i="1"/>
  <c r="I135" i="4" l="1"/>
  <c r="K135" i="4" s="1"/>
  <c r="E135" i="4"/>
  <c r="H135" i="4" s="1"/>
  <c r="H188" i="3"/>
  <c r="D188" i="3"/>
  <c r="E188" i="3" s="1"/>
  <c r="F305" i="2"/>
  <c r="E305" i="2" s="1"/>
  <c r="C305" i="2"/>
  <c r="G305" i="2" s="1"/>
  <c r="F236" i="1"/>
  <c r="E236" i="1" s="1"/>
  <c r="C236" i="1"/>
  <c r="G236" i="1" s="1"/>
  <c r="F136" i="4" l="1"/>
  <c r="C136" i="4"/>
  <c r="C189" i="3"/>
  <c r="F189" i="3"/>
  <c r="C306" i="2"/>
  <c r="F306" i="2"/>
  <c r="E306" i="2" s="1"/>
  <c r="C237" i="1"/>
  <c r="F237" i="1"/>
  <c r="E237" i="1" s="1"/>
  <c r="D136" i="4" l="1"/>
  <c r="H189" i="3"/>
  <c r="D189" i="3"/>
  <c r="E189" i="3" s="1"/>
  <c r="G306" i="2"/>
  <c r="G237" i="1"/>
  <c r="I136" i="4" l="1"/>
  <c r="K136" i="4" s="1"/>
  <c r="E136" i="4"/>
  <c r="H136" i="4" s="1"/>
  <c r="C190" i="3"/>
  <c r="F190" i="3"/>
  <c r="F307" i="2"/>
  <c r="E307" i="2" s="1"/>
  <c r="C307" i="2"/>
  <c r="G307" i="2" s="1"/>
  <c r="F238" i="1"/>
  <c r="E238" i="1" s="1"/>
  <c r="C238" i="1"/>
  <c r="G238" i="1" s="1"/>
  <c r="C137" i="4" l="1"/>
  <c r="F137" i="4"/>
  <c r="H190" i="3"/>
  <c r="D190" i="3"/>
  <c r="E190" i="3" s="1"/>
  <c r="C308" i="2"/>
  <c r="F308" i="2"/>
  <c r="E308" i="2" s="1"/>
  <c r="C239" i="1"/>
  <c r="F239" i="1"/>
  <c r="E239" i="1" s="1"/>
  <c r="D137" i="4" l="1"/>
  <c r="C191" i="3"/>
  <c r="F191" i="3"/>
  <c r="G308" i="2"/>
  <c r="G239" i="1"/>
  <c r="I137" i="4" l="1"/>
  <c r="K137" i="4" s="1"/>
  <c r="E137" i="4"/>
  <c r="H137" i="4" s="1"/>
  <c r="H191" i="3"/>
  <c r="D191" i="3"/>
  <c r="E191" i="3" s="1"/>
  <c r="F309" i="2"/>
  <c r="E309" i="2" s="1"/>
  <c r="C309" i="2"/>
  <c r="G309" i="2" s="1"/>
  <c r="F240" i="1"/>
  <c r="E240" i="1" s="1"/>
  <c r="C240" i="1"/>
  <c r="G240" i="1" s="1"/>
  <c r="F138" i="4" l="1"/>
  <c r="C138" i="4"/>
  <c r="C192" i="3"/>
  <c r="F192" i="3"/>
  <c r="C310" i="2"/>
  <c r="F310" i="2"/>
  <c r="E310" i="2" s="1"/>
  <c r="C241" i="1"/>
  <c r="F241" i="1"/>
  <c r="E241" i="1" s="1"/>
  <c r="D138" i="4" l="1"/>
  <c r="H192" i="3"/>
  <c r="D192" i="3"/>
  <c r="E192" i="3" s="1"/>
  <c r="G310" i="2"/>
  <c r="G241" i="1"/>
  <c r="I138" i="4" l="1"/>
  <c r="K138" i="4" s="1"/>
  <c r="E138" i="4"/>
  <c r="H138" i="4" s="1"/>
  <c r="C193" i="3"/>
  <c r="F193" i="3"/>
  <c r="F311" i="2"/>
  <c r="E311" i="2" s="1"/>
  <c r="C311" i="2"/>
  <c r="G311" i="2" s="1"/>
  <c r="F242" i="1"/>
  <c r="E242" i="1" s="1"/>
  <c r="C242" i="1"/>
  <c r="G242" i="1" s="1"/>
  <c r="C139" i="4" l="1"/>
  <c r="F139" i="4"/>
  <c r="H193" i="3"/>
  <c r="D193" i="3"/>
  <c r="E193" i="3" s="1"/>
  <c r="C312" i="2"/>
  <c r="F312" i="2"/>
  <c r="E312" i="2" s="1"/>
  <c r="C243" i="1"/>
  <c r="F243" i="1"/>
  <c r="E243" i="1" s="1"/>
  <c r="D139" i="4" l="1"/>
  <c r="C194" i="3"/>
  <c r="F194" i="3"/>
  <c r="G312" i="2"/>
  <c r="G243" i="1"/>
  <c r="I139" i="4" l="1"/>
  <c r="K139" i="4" s="1"/>
  <c r="E139" i="4"/>
  <c r="H139" i="4" s="1"/>
  <c r="H194" i="3"/>
  <c r="D194" i="3"/>
  <c r="E194" i="3" s="1"/>
  <c r="F313" i="2"/>
  <c r="E313" i="2" s="1"/>
  <c r="C313" i="2"/>
  <c r="G313" i="2" s="1"/>
  <c r="F244" i="1"/>
  <c r="E244" i="1" s="1"/>
  <c r="C244" i="1"/>
  <c r="G244" i="1" s="1"/>
  <c r="F140" i="4" l="1"/>
  <c r="C140" i="4"/>
  <c r="C195" i="3"/>
  <c r="F195" i="3"/>
  <c r="C314" i="2"/>
  <c r="F314" i="2"/>
  <c r="E314" i="2" s="1"/>
  <c r="C245" i="1"/>
  <c r="F245" i="1"/>
  <c r="E245" i="1" s="1"/>
  <c r="D140" i="4" l="1"/>
  <c r="H195" i="3"/>
  <c r="D195" i="3"/>
  <c r="E195" i="3" s="1"/>
  <c r="G314" i="2"/>
  <c r="G245" i="1"/>
  <c r="I140" i="4" l="1"/>
  <c r="K140" i="4" s="1"/>
  <c r="E140" i="4"/>
  <c r="H140" i="4" s="1"/>
  <c r="C196" i="3"/>
  <c r="F196" i="3"/>
  <c r="F315" i="2"/>
  <c r="E315" i="2" s="1"/>
  <c r="C315" i="2"/>
  <c r="G315" i="2" s="1"/>
  <c r="F246" i="1"/>
  <c r="E246" i="1" s="1"/>
  <c r="C246" i="1"/>
  <c r="C141" i="4" l="1"/>
  <c r="F141" i="4"/>
  <c r="H196" i="3"/>
  <c r="D196" i="3"/>
  <c r="E196" i="3" s="1"/>
  <c r="G246" i="1"/>
  <c r="C247" i="1" s="1"/>
  <c r="C316" i="2"/>
  <c r="F316" i="2"/>
  <c r="E316" i="2" s="1"/>
  <c r="F247" i="1"/>
  <c r="E247" i="1" s="1"/>
  <c r="D141" i="4" l="1"/>
  <c r="C197" i="3"/>
  <c r="F197" i="3"/>
  <c r="G316" i="2"/>
  <c r="G247" i="1"/>
  <c r="I141" i="4" l="1"/>
  <c r="K141" i="4" s="1"/>
  <c r="E141" i="4"/>
  <c r="H141" i="4" s="1"/>
  <c r="H197" i="3"/>
  <c r="D197" i="3"/>
  <c r="E197" i="3" s="1"/>
  <c r="F317" i="2"/>
  <c r="E317" i="2" s="1"/>
  <c r="C317" i="2"/>
  <c r="G317" i="2" s="1"/>
  <c r="F248" i="1"/>
  <c r="E248" i="1" s="1"/>
  <c r="C248" i="1"/>
  <c r="G248" i="1" s="1"/>
  <c r="F142" i="4" l="1"/>
  <c r="C142" i="4"/>
  <c r="C198" i="3"/>
  <c r="F198" i="3"/>
  <c r="C318" i="2"/>
  <c r="F318" i="2"/>
  <c r="E318" i="2" s="1"/>
  <c r="C249" i="1"/>
  <c r="F249" i="1"/>
  <c r="E249" i="1" s="1"/>
  <c r="D142" i="4" l="1"/>
  <c r="H198" i="3"/>
  <c r="D198" i="3"/>
  <c r="E198" i="3" s="1"/>
  <c r="G318" i="2"/>
  <c r="G249" i="1"/>
  <c r="I142" i="4" l="1"/>
  <c r="K142" i="4" s="1"/>
  <c r="E142" i="4"/>
  <c r="H142" i="4" s="1"/>
  <c r="C199" i="3"/>
  <c r="F199" i="3"/>
  <c r="F319" i="2"/>
  <c r="E319" i="2" s="1"/>
  <c r="C319" i="2"/>
  <c r="G319" i="2" s="1"/>
  <c r="F250" i="1"/>
  <c r="E250" i="1" s="1"/>
  <c r="C250" i="1"/>
  <c r="G250" i="1" s="1"/>
  <c r="C143" i="4" l="1"/>
  <c r="F143" i="4"/>
  <c r="H199" i="3"/>
  <c r="D199" i="3"/>
  <c r="E199" i="3" s="1"/>
  <c r="C320" i="2"/>
  <c r="F320" i="2"/>
  <c r="E320" i="2" s="1"/>
  <c r="C251" i="1"/>
  <c r="F251" i="1"/>
  <c r="E251" i="1" s="1"/>
  <c r="D143" i="4" l="1"/>
  <c r="C200" i="3"/>
  <c r="F200" i="3"/>
  <c r="G320" i="2"/>
  <c r="G251" i="1"/>
  <c r="I143" i="4" l="1"/>
  <c r="K143" i="4" s="1"/>
  <c r="E143" i="4"/>
  <c r="H143" i="4" s="1"/>
  <c r="H200" i="3"/>
  <c r="D200" i="3"/>
  <c r="E200" i="3" s="1"/>
  <c r="F252" i="1"/>
  <c r="E252" i="1" s="1"/>
  <c r="C252" i="1"/>
  <c r="G252" i="1" s="1"/>
  <c r="F144" i="4" l="1"/>
  <c r="C144" i="4"/>
  <c r="C201" i="3"/>
  <c r="F201" i="3"/>
  <c r="C253" i="1"/>
  <c r="F253" i="1"/>
  <c r="E253" i="1" s="1"/>
  <c r="D144" i="4" l="1"/>
  <c r="H201" i="3"/>
  <c r="D201" i="3"/>
  <c r="E201" i="3" s="1"/>
  <c r="G253" i="1"/>
  <c r="I144" i="4" l="1"/>
  <c r="K144" i="4" s="1"/>
  <c r="E144" i="4"/>
  <c r="H144" i="4" s="1"/>
  <c r="C202" i="3"/>
  <c r="F202" i="3"/>
  <c r="F254" i="1"/>
  <c r="E254" i="1" s="1"/>
  <c r="C254" i="1"/>
  <c r="G254" i="1" s="1"/>
  <c r="C145" i="4" l="1"/>
  <c r="F145" i="4"/>
  <c r="H202" i="3"/>
  <c r="D202" i="3"/>
  <c r="E202" i="3" s="1"/>
  <c r="C255" i="1"/>
  <c r="F255" i="1"/>
  <c r="E255" i="1" s="1"/>
  <c r="D145" i="4" l="1"/>
  <c r="C203" i="3"/>
  <c r="F203" i="3"/>
  <c r="G255" i="1"/>
  <c r="I145" i="4" l="1"/>
  <c r="K145" i="4" s="1"/>
  <c r="E145" i="4"/>
  <c r="H145" i="4" s="1"/>
  <c r="H203" i="3"/>
  <c r="D203" i="3"/>
  <c r="E203" i="3" s="1"/>
  <c r="F256" i="1"/>
  <c r="E256" i="1" s="1"/>
  <c r="C256" i="1"/>
  <c r="G256" i="1" s="1"/>
  <c r="F146" i="4" l="1"/>
  <c r="C146" i="4"/>
  <c r="C204" i="3"/>
  <c r="F204" i="3"/>
  <c r="C257" i="1"/>
  <c r="F257" i="1"/>
  <c r="E257" i="1" s="1"/>
  <c r="D146" i="4" l="1"/>
  <c r="H204" i="3"/>
  <c r="D204" i="3"/>
  <c r="E204" i="3" s="1"/>
  <c r="G257" i="1"/>
  <c r="I146" i="4" l="1"/>
  <c r="K146" i="4" s="1"/>
  <c r="E146" i="4"/>
  <c r="H146" i="4" s="1"/>
  <c r="C205" i="3"/>
  <c r="F205" i="3"/>
  <c r="F258" i="1"/>
  <c r="E258" i="1" s="1"/>
  <c r="C258" i="1"/>
  <c r="G258" i="1" s="1"/>
  <c r="C147" i="4" l="1"/>
  <c r="F147" i="4"/>
  <c r="H205" i="3"/>
  <c r="D205" i="3"/>
  <c r="E205" i="3" s="1"/>
  <c r="C259" i="1"/>
  <c r="F259" i="1"/>
  <c r="E259" i="1" s="1"/>
  <c r="D147" i="4" l="1"/>
  <c r="C206" i="3"/>
  <c r="F206" i="3"/>
  <c r="G259" i="1"/>
  <c r="I147" i="4" l="1"/>
  <c r="K147" i="4" s="1"/>
  <c r="E147" i="4"/>
  <c r="H147" i="4" s="1"/>
  <c r="H206" i="3"/>
  <c r="D206" i="3"/>
  <c r="E206" i="3" s="1"/>
  <c r="F260" i="1"/>
  <c r="E260" i="1" s="1"/>
  <c r="C260" i="1"/>
  <c r="G260" i="1" s="1"/>
  <c r="F148" i="4" l="1"/>
  <c r="C148" i="4"/>
  <c r="C207" i="3"/>
  <c r="F207" i="3"/>
  <c r="C261" i="1"/>
  <c r="F261" i="1"/>
  <c r="E261" i="1" s="1"/>
  <c r="D148" i="4" l="1"/>
  <c r="H207" i="3"/>
  <c r="D207" i="3"/>
  <c r="E207" i="3" s="1"/>
  <c r="G261" i="1"/>
  <c r="I148" i="4" l="1"/>
  <c r="K148" i="4" s="1"/>
  <c r="E148" i="4"/>
  <c r="H148" i="4" s="1"/>
  <c r="C208" i="3"/>
  <c r="F208" i="3"/>
  <c r="F262" i="1"/>
  <c r="E262" i="1" s="1"/>
  <c r="C262" i="1"/>
  <c r="G262" i="1" s="1"/>
  <c r="C149" i="4" l="1"/>
  <c r="F149" i="4"/>
  <c r="H208" i="3"/>
  <c r="D208" i="3"/>
  <c r="E208" i="3" s="1"/>
  <c r="C263" i="1"/>
  <c r="F263" i="1"/>
  <c r="E263" i="1" s="1"/>
  <c r="D149" i="4" l="1"/>
  <c r="C209" i="3"/>
  <c r="F209" i="3"/>
  <c r="G263" i="1"/>
  <c r="I149" i="4" l="1"/>
  <c r="K149" i="4" s="1"/>
  <c r="E149" i="4"/>
  <c r="H149" i="4" s="1"/>
  <c r="H209" i="3"/>
  <c r="D209" i="3"/>
  <c r="E209" i="3" s="1"/>
  <c r="F264" i="1"/>
  <c r="E264" i="1" s="1"/>
  <c r="C264" i="1"/>
  <c r="G264" i="1" s="1"/>
  <c r="F150" i="4" l="1"/>
  <c r="C150" i="4"/>
  <c r="C210" i="3"/>
  <c r="F210" i="3"/>
  <c r="C265" i="1"/>
  <c r="F265" i="1"/>
  <c r="E265" i="1" s="1"/>
  <c r="D150" i="4" l="1"/>
  <c r="H210" i="3"/>
  <c r="D210" i="3"/>
  <c r="E210" i="3" s="1"/>
  <c r="G265" i="1"/>
  <c r="I150" i="4" l="1"/>
  <c r="K150" i="4" s="1"/>
  <c r="E150" i="4"/>
  <c r="H150" i="4" s="1"/>
  <c r="C211" i="3"/>
  <c r="F211" i="3"/>
  <c r="F266" i="1"/>
  <c r="E266" i="1" s="1"/>
  <c r="C266" i="1"/>
  <c r="G266" i="1" s="1"/>
  <c r="C151" i="4" l="1"/>
  <c r="F151" i="4"/>
  <c r="H211" i="3"/>
  <c r="D211" i="3"/>
  <c r="E211" i="3" s="1"/>
  <c r="C267" i="1"/>
  <c r="F267" i="1"/>
  <c r="E267" i="1" s="1"/>
  <c r="D151" i="4" l="1"/>
  <c r="C212" i="3"/>
  <c r="F212" i="3"/>
  <c r="G267" i="1"/>
  <c r="I151" i="4" l="1"/>
  <c r="K151" i="4" s="1"/>
  <c r="E151" i="4"/>
  <c r="H151" i="4" s="1"/>
  <c r="H212" i="3"/>
  <c r="D212" i="3"/>
  <c r="E212" i="3" s="1"/>
  <c r="F268" i="1"/>
  <c r="E268" i="1" s="1"/>
  <c r="C268" i="1"/>
  <c r="G268" i="1" s="1"/>
  <c r="F152" i="4" l="1"/>
  <c r="C152" i="4"/>
  <c r="C213" i="3"/>
  <c r="F213" i="3"/>
  <c r="C269" i="1"/>
  <c r="F269" i="1"/>
  <c r="E269" i="1" s="1"/>
  <c r="D152" i="4" l="1"/>
  <c r="H213" i="3"/>
  <c r="D213" i="3"/>
  <c r="E213" i="3" s="1"/>
  <c r="G269" i="1"/>
  <c r="I152" i="4" l="1"/>
  <c r="K152" i="4" s="1"/>
  <c r="E152" i="4"/>
  <c r="H152" i="4" s="1"/>
  <c r="C214" i="3"/>
  <c r="F214" i="3"/>
  <c r="F270" i="1"/>
  <c r="E270" i="1" s="1"/>
  <c r="C270" i="1"/>
  <c r="G270" i="1" s="1"/>
  <c r="C153" i="4" l="1"/>
  <c r="F153" i="4"/>
  <c r="H214" i="3"/>
  <c r="D214" i="3"/>
  <c r="E214" i="3" s="1"/>
  <c r="C271" i="1"/>
  <c r="F271" i="1"/>
  <c r="E271" i="1" s="1"/>
  <c r="D153" i="4" l="1"/>
  <c r="C215" i="3"/>
  <c r="F215" i="3"/>
  <c r="G271" i="1"/>
  <c r="I153" i="4" l="1"/>
  <c r="K153" i="4" s="1"/>
  <c r="E153" i="4"/>
  <c r="H153" i="4" s="1"/>
  <c r="H215" i="3"/>
  <c r="D215" i="3"/>
  <c r="E215" i="3" s="1"/>
  <c r="F272" i="1"/>
  <c r="E272" i="1" s="1"/>
  <c r="C272" i="1"/>
  <c r="G272" i="1" s="1"/>
  <c r="F154" i="4" l="1"/>
  <c r="C154" i="4"/>
  <c r="C216" i="3"/>
  <c r="F216" i="3"/>
  <c r="C273" i="1"/>
  <c r="F273" i="1"/>
  <c r="E273" i="1" s="1"/>
  <c r="D154" i="4" l="1"/>
  <c r="H216" i="3"/>
  <c r="D216" i="3"/>
  <c r="E216" i="3" s="1"/>
  <c r="G273" i="1"/>
  <c r="I154" i="4" l="1"/>
  <c r="K154" i="4" s="1"/>
  <c r="E154" i="4"/>
  <c r="H154" i="4" s="1"/>
  <c r="C217" i="3"/>
  <c r="F217" i="3"/>
  <c r="F274" i="1"/>
  <c r="E274" i="1" s="1"/>
  <c r="C274" i="1"/>
  <c r="G274" i="1" s="1"/>
  <c r="C155" i="4" l="1"/>
  <c r="F155" i="4"/>
  <c r="H217" i="3"/>
  <c r="D217" i="3"/>
  <c r="E217" i="3" s="1"/>
  <c r="C275" i="1"/>
  <c r="F275" i="1"/>
  <c r="E275" i="1" s="1"/>
  <c r="D155" i="4" l="1"/>
  <c r="C218" i="3"/>
  <c r="F218" i="3"/>
  <c r="G275" i="1"/>
  <c r="I155" i="4" l="1"/>
  <c r="K155" i="4" s="1"/>
  <c r="E155" i="4"/>
  <c r="H155" i="4" s="1"/>
  <c r="H218" i="3"/>
  <c r="D218" i="3"/>
  <c r="E218" i="3" s="1"/>
  <c r="F276" i="1"/>
  <c r="E276" i="1" s="1"/>
  <c r="C276" i="1"/>
  <c r="G276" i="1" s="1"/>
  <c r="F156" i="4" l="1"/>
  <c r="C156" i="4"/>
  <c r="C219" i="3"/>
  <c r="F219" i="3"/>
  <c r="C277" i="1"/>
  <c r="F277" i="1"/>
  <c r="E277" i="1" s="1"/>
  <c r="D156" i="4" l="1"/>
  <c r="H219" i="3"/>
  <c r="D219" i="3"/>
  <c r="E219" i="3" s="1"/>
  <c r="G277" i="1"/>
  <c r="I156" i="4" l="1"/>
  <c r="K156" i="4" s="1"/>
  <c r="E156" i="4"/>
  <c r="H156" i="4" s="1"/>
  <c r="C220" i="3"/>
  <c r="F220" i="3"/>
  <c r="F278" i="1"/>
  <c r="E278" i="1" s="1"/>
  <c r="C278" i="1"/>
  <c r="G278" i="1" s="1"/>
  <c r="C157" i="4" l="1"/>
  <c r="F157" i="4"/>
  <c r="H220" i="3"/>
  <c r="D220" i="3"/>
  <c r="E220" i="3" s="1"/>
  <c r="C279" i="1"/>
  <c r="F279" i="1"/>
  <c r="E279" i="1" s="1"/>
  <c r="D157" i="4" l="1"/>
  <c r="C221" i="3"/>
  <c r="F221" i="3"/>
  <c r="G279" i="1"/>
  <c r="I157" i="4" l="1"/>
  <c r="K157" i="4" s="1"/>
  <c r="E157" i="4"/>
  <c r="H157" i="4" s="1"/>
  <c r="H221" i="3"/>
  <c r="D221" i="3"/>
  <c r="E221" i="3" s="1"/>
  <c r="F280" i="1"/>
  <c r="E280" i="1" s="1"/>
  <c r="C280" i="1"/>
  <c r="G280" i="1" s="1"/>
  <c r="F158" i="4" l="1"/>
  <c r="C158" i="4"/>
  <c r="C222" i="3"/>
  <c r="F222" i="3"/>
  <c r="C281" i="1"/>
  <c r="F281" i="1"/>
  <c r="E281" i="1" s="1"/>
  <c r="D158" i="4" l="1"/>
  <c r="H222" i="3"/>
  <c r="D222" i="3"/>
  <c r="E222" i="3" s="1"/>
  <c r="G281" i="1"/>
  <c r="I158" i="4" l="1"/>
  <c r="K158" i="4" s="1"/>
  <c r="E158" i="4"/>
  <c r="H158" i="4" s="1"/>
  <c r="C223" i="3"/>
  <c r="F223" i="3"/>
  <c r="F282" i="1"/>
  <c r="E282" i="1" s="1"/>
  <c r="C282" i="1"/>
  <c r="G282" i="1" s="1"/>
  <c r="C159" i="4" l="1"/>
  <c r="F159" i="4"/>
  <c r="H223" i="3"/>
  <c r="D223" i="3"/>
  <c r="E223" i="3" s="1"/>
  <c r="C283" i="1"/>
  <c r="F283" i="1"/>
  <c r="E283" i="1" s="1"/>
  <c r="D159" i="4" l="1"/>
  <c r="C224" i="3"/>
  <c r="F224" i="3"/>
  <c r="G283" i="1"/>
  <c r="I159" i="4" l="1"/>
  <c r="K159" i="4" s="1"/>
  <c r="E159" i="4"/>
  <c r="H159" i="4" s="1"/>
  <c r="H224" i="3"/>
  <c r="D224" i="3"/>
  <c r="E224" i="3" s="1"/>
  <c r="F284" i="1"/>
  <c r="E284" i="1" s="1"/>
  <c r="C284" i="1"/>
  <c r="G284" i="1" s="1"/>
  <c r="F160" i="4" l="1"/>
  <c r="C160" i="4"/>
  <c r="C225" i="3"/>
  <c r="F225" i="3"/>
  <c r="C285" i="1"/>
  <c r="F285" i="1"/>
  <c r="E285" i="1" s="1"/>
  <c r="D160" i="4" l="1"/>
  <c r="H225" i="3"/>
  <c r="D225" i="3"/>
  <c r="E225" i="3" s="1"/>
  <c r="G285" i="1"/>
  <c r="I160" i="4" l="1"/>
  <c r="K160" i="4" s="1"/>
  <c r="E160" i="4"/>
  <c r="H160" i="4" s="1"/>
  <c r="C226" i="3"/>
  <c r="F226" i="3"/>
  <c r="F286" i="1"/>
  <c r="E286" i="1" s="1"/>
  <c r="C286" i="1"/>
  <c r="G286" i="1" s="1"/>
  <c r="C161" i="4" l="1"/>
  <c r="F161" i="4"/>
  <c r="H226" i="3"/>
  <c r="D226" i="3"/>
  <c r="E226" i="3" s="1"/>
  <c r="C287" i="1"/>
  <c r="F287" i="1"/>
  <c r="E287" i="1" s="1"/>
  <c r="D161" i="4" l="1"/>
  <c r="C227" i="3"/>
  <c r="F227" i="3"/>
  <c r="G287" i="1"/>
  <c r="I161" i="4" l="1"/>
  <c r="K161" i="4" s="1"/>
  <c r="E161" i="4"/>
  <c r="H161" i="4" s="1"/>
  <c r="H227" i="3"/>
  <c r="D227" i="3"/>
  <c r="E227" i="3" s="1"/>
  <c r="F288" i="1"/>
  <c r="E288" i="1" s="1"/>
  <c r="C288" i="1"/>
  <c r="G288" i="1" s="1"/>
  <c r="F162" i="4" l="1"/>
  <c r="C162" i="4"/>
  <c r="C228" i="3"/>
  <c r="F228" i="3"/>
  <c r="C289" i="1"/>
  <c r="F289" i="1"/>
  <c r="E289" i="1" s="1"/>
  <c r="D162" i="4" l="1"/>
  <c r="H228" i="3"/>
  <c r="D228" i="3"/>
  <c r="E228" i="3" s="1"/>
  <c r="G289" i="1"/>
  <c r="I162" i="4" l="1"/>
  <c r="K162" i="4" s="1"/>
  <c r="E162" i="4"/>
  <c r="H162" i="4" s="1"/>
  <c r="C229" i="3"/>
  <c r="F229" i="3"/>
  <c r="F290" i="1"/>
  <c r="E290" i="1" s="1"/>
  <c r="C290" i="1"/>
  <c r="G290" i="1" s="1"/>
  <c r="C163" i="4" l="1"/>
  <c r="F163" i="4"/>
  <c r="H229" i="3"/>
  <c r="D229" i="3"/>
  <c r="E229" i="3" s="1"/>
  <c r="C291" i="1"/>
  <c r="F291" i="1"/>
  <c r="E291" i="1" s="1"/>
  <c r="D163" i="4" l="1"/>
  <c r="C230" i="3"/>
  <c r="F230" i="3"/>
  <c r="G291" i="1"/>
  <c r="I163" i="4" l="1"/>
  <c r="K163" i="4" s="1"/>
  <c r="E163" i="4"/>
  <c r="H163" i="4" s="1"/>
  <c r="H230" i="3"/>
  <c r="D230" i="3"/>
  <c r="E230" i="3" s="1"/>
  <c r="F292" i="1"/>
  <c r="E292" i="1" s="1"/>
  <c r="C292" i="1"/>
  <c r="G292" i="1" s="1"/>
  <c r="F164" i="4" l="1"/>
  <c r="C164" i="4"/>
  <c r="C231" i="3"/>
  <c r="F231" i="3"/>
  <c r="F293" i="1"/>
  <c r="E293" i="1" s="1"/>
  <c r="C293" i="1"/>
  <c r="G293" i="1" s="1"/>
  <c r="D164" i="4" l="1"/>
  <c r="H231" i="3"/>
  <c r="D231" i="3"/>
  <c r="E231" i="3" s="1"/>
  <c r="C294" i="1"/>
  <c r="F294" i="1"/>
  <c r="E294" i="1" s="1"/>
  <c r="I164" i="4" l="1"/>
  <c r="K164" i="4" s="1"/>
  <c r="E164" i="4"/>
  <c r="H164" i="4" s="1"/>
  <c r="C232" i="3"/>
  <c r="F232" i="3"/>
  <c r="G294" i="1"/>
  <c r="C165" i="4" l="1"/>
  <c r="F165" i="4"/>
  <c r="H232" i="3"/>
  <c r="D232" i="3"/>
  <c r="E232" i="3" s="1"/>
  <c r="F295" i="1"/>
  <c r="E295" i="1" s="1"/>
  <c r="C295" i="1"/>
  <c r="G295" i="1" s="1"/>
  <c r="D165" i="4" l="1"/>
  <c r="C233" i="3"/>
  <c r="F233" i="3"/>
  <c r="C296" i="1"/>
  <c r="F296" i="1"/>
  <c r="E296" i="1" s="1"/>
  <c r="I165" i="4" l="1"/>
  <c r="K165" i="4" s="1"/>
  <c r="E165" i="4"/>
  <c r="H165" i="4" s="1"/>
  <c r="H233" i="3"/>
  <c r="D233" i="3"/>
  <c r="E233" i="3" s="1"/>
  <c r="G296" i="1"/>
  <c r="F166" i="4" l="1"/>
  <c r="C166" i="4"/>
  <c r="C234" i="3"/>
  <c r="F234" i="3"/>
  <c r="F297" i="1"/>
  <c r="E297" i="1" s="1"/>
  <c r="C297" i="1"/>
  <c r="G297" i="1" s="1"/>
  <c r="D166" i="4" l="1"/>
  <c r="H234" i="3"/>
  <c r="D234" i="3"/>
  <c r="E234" i="3" s="1"/>
  <c r="C298" i="1"/>
  <c r="F298" i="1"/>
  <c r="E298" i="1" s="1"/>
  <c r="I166" i="4" l="1"/>
  <c r="K166" i="4" s="1"/>
  <c r="E166" i="4"/>
  <c r="H166" i="4" s="1"/>
  <c r="C235" i="3"/>
  <c r="F235" i="3"/>
  <c r="G298" i="1"/>
  <c r="C167" i="4" l="1"/>
  <c r="F167" i="4"/>
  <c r="H235" i="3"/>
  <c r="D235" i="3"/>
  <c r="E235" i="3" s="1"/>
  <c r="F299" i="1"/>
  <c r="E299" i="1" s="1"/>
  <c r="C299" i="1"/>
  <c r="G299" i="1" s="1"/>
  <c r="D167" i="4" l="1"/>
  <c r="F236" i="3"/>
  <c r="C236" i="3"/>
  <c r="C300" i="1"/>
  <c r="F300" i="1"/>
  <c r="E300" i="1" s="1"/>
  <c r="I167" i="4" l="1"/>
  <c r="K167" i="4" s="1"/>
  <c r="E167" i="4"/>
  <c r="H167" i="4" s="1"/>
  <c r="H236" i="3"/>
  <c r="D236" i="3"/>
  <c r="E236" i="3" s="1"/>
  <c r="G300" i="1"/>
  <c r="F168" i="4" l="1"/>
  <c r="C168" i="4"/>
  <c r="F237" i="3"/>
  <c r="C237" i="3"/>
  <c r="F301" i="1"/>
  <c r="E301" i="1" s="1"/>
  <c r="C301" i="1"/>
  <c r="G301" i="1" s="1"/>
  <c r="D168" i="4" l="1"/>
  <c r="H237" i="3"/>
  <c r="D237" i="3"/>
  <c r="E237" i="3" s="1"/>
  <c r="C302" i="1"/>
  <c r="F302" i="1"/>
  <c r="E302" i="1" s="1"/>
  <c r="I168" i="4" l="1"/>
  <c r="K168" i="4" s="1"/>
  <c r="E168" i="4"/>
  <c r="H168" i="4" s="1"/>
  <c r="F238" i="3"/>
  <c r="C238" i="3"/>
  <c r="G302" i="1"/>
  <c r="C169" i="4" l="1"/>
  <c r="F169" i="4"/>
  <c r="H238" i="3"/>
  <c r="D238" i="3"/>
  <c r="E238" i="3" s="1"/>
  <c r="F303" i="1"/>
  <c r="E303" i="1" s="1"/>
  <c r="C303" i="1"/>
  <c r="G303" i="1" s="1"/>
  <c r="D169" i="4" l="1"/>
  <c r="F239" i="3"/>
  <c r="C239" i="3"/>
  <c r="C304" i="1"/>
  <c r="F304" i="1"/>
  <c r="E304" i="1" s="1"/>
  <c r="I169" i="4" l="1"/>
  <c r="K169" i="4" s="1"/>
  <c r="E169" i="4"/>
  <c r="H169" i="4" s="1"/>
  <c r="H239" i="3"/>
  <c r="D239" i="3"/>
  <c r="E239" i="3" s="1"/>
  <c r="G304" i="1"/>
  <c r="F170" i="4" l="1"/>
  <c r="C170" i="4"/>
  <c r="F240" i="3"/>
  <c r="C240" i="3"/>
  <c r="F305" i="1"/>
  <c r="E305" i="1" s="1"/>
  <c r="C305" i="1"/>
  <c r="G305" i="1" s="1"/>
  <c r="D170" i="4" l="1"/>
  <c r="H240" i="3"/>
  <c r="D240" i="3"/>
  <c r="E240" i="3" s="1"/>
  <c r="C306" i="1"/>
  <c r="F306" i="1"/>
  <c r="E306" i="1" s="1"/>
  <c r="I170" i="4" l="1"/>
  <c r="K170" i="4" s="1"/>
  <c r="E170" i="4"/>
  <c r="H170" i="4" s="1"/>
  <c r="F241" i="3"/>
  <c r="C241" i="3"/>
  <c r="G306" i="1"/>
  <c r="C171" i="4" l="1"/>
  <c r="F171" i="4"/>
  <c r="H241" i="3"/>
  <c r="D241" i="3"/>
  <c r="E241" i="3" s="1"/>
  <c r="F307" i="1"/>
  <c r="E307" i="1" s="1"/>
  <c r="C307" i="1"/>
  <c r="G307" i="1" s="1"/>
  <c r="D171" i="4" l="1"/>
  <c r="F242" i="3"/>
  <c r="C242" i="3"/>
  <c r="C308" i="1"/>
  <c r="F308" i="1"/>
  <c r="E308" i="1" s="1"/>
  <c r="I171" i="4" l="1"/>
  <c r="K171" i="4" s="1"/>
  <c r="E171" i="4"/>
  <c r="H171" i="4" s="1"/>
  <c r="H242" i="3"/>
  <c r="D242" i="3"/>
  <c r="E242" i="3" s="1"/>
  <c r="G308" i="1"/>
  <c r="F172" i="4" l="1"/>
  <c r="C172" i="4"/>
  <c r="F243" i="3"/>
  <c r="C243" i="3"/>
  <c r="F309" i="1"/>
  <c r="E309" i="1" s="1"/>
  <c r="C309" i="1"/>
  <c r="G309" i="1" s="1"/>
  <c r="D172" i="4" l="1"/>
  <c r="H243" i="3"/>
  <c r="D243" i="3"/>
  <c r="E243" i="3" s="1"/>
  <c r="C310" i="1"/>
  <c r="F310" i="1"/>
  <c r="E310" i="1" s="1"/>
  <c r="I172" i="4" l="1"/>
  <c r="K172" i="4" s="1"/>
  <c r="E172" i="4"/>
  <c r="H172" i="4" s="1"/>
  <c r="F244" i="3"/>
  <c r="C244" i="3"/>
  <c r="G310" i="1"/>
  <c r="C173" i="4" l="1"/>
  <c r="F173" i="4"/>
  <c r="H244" i="3"/>
  <c r="D244" i="3"/>
  <c r="E244" i="3" s="1"/>
  <c r="F311" i="1"/>
  <c r="E311" i="1" s="1"/>
  <c r="C311" i="1"/>
  <c r="G311" i="1" s="1"/>
  <c r="D173" i="4" l="1"/>
  <c r="F245" i="3"/>
  <c r="C245" i="3"/>
  <c r="C312" i="1"/>
  <c r="F312" i="1"/>
  <c r="E312" i="1" s="1"/>
  <c r="I173" i="4" l="1"/>
  <c r="K173" i="4" s="1"/>
  <c r="E173" i="4"/>
  <c r="H173" i="4" s="1"/>
  <c r="H245" i="3"/>
  <c r="D245" i="3"/>
  <c r="E245" i="3" s="1"/>
  <c r="G312" i="1"/>
  <c r="F174" i="4" l="1"/>
  <c r="C174" i="4"/>
  <c r="F246" i="3"/>
  <c r="C246" i="3"/>
  <c r="F313" i="1"/>
  <c r="E313" i="1" s="1"/>
  <c r="C313" i="1"/>
  <c r="G313" i="1" s="1"/>
  <c r="D174" i="4" l="1"/>
  <c r="H246" i="3"/>
  <c r="D246" i="3"/>
  <c r="E246" i="3" s="1"/>
  <c r="C314" i="1"/>
  <c r="F314" i="1"/>
  <c r="E314" i="1" s="1"/>
  <c r="I174" i="4" l="1"/>
  <c r="K174" i="4" s="1"/>
  <c r="E174" i="4"/>
  <c r="H174" i="4" s="1"/>
  <c r="F247" i="3"/>
  <c r="C247" i="3"/>
  <c r="G314" i="1"/>
  <c r="C175" i="4" l="1"/>
  <c r="F175" i="4"/>
  <c r="H247" i="3"/>
  <c r="D247" i="3"/>
  <c r="E247" i="3" s="1"/>
  <c r="F315" i="1"/>
  <c r="E315" i="1" s="1"/>
  <c r="C315" i="1"/>
  <c r="G315" i="1" s="1"/>
  <c r="D175" i="4" l="1"/>
  <c r="F248" i="3"/>
  <c r="C248" i="3"/>
  <c r="C316" i="1"/>
  <c r="F316" i="1"/>
  <c r="E316" i="1" s="1"/>
  <c r="I175" i="4" l="1"/>
  <c r="K175" i="4" s="1"/>
  <c r="E175" i="4"/>
  <c r="H175" i="4" s="1"/>
  <c r="H248" i="3"/>
  <c r="D248" i="3"/>
  <c r="E248" i="3" s="1"/>
  <c r="G316" i="1"/>
  <c r="F176" i="4" l="1"/>
  <c r="C176" i="4"/>
  <c r="F249" i="3"/>
  <c r="C249" i="3"/>
  <c r="D176" i="4" l="1"/>
  <c r="H249" i="3"/>
  <c r="D249" i="3"/>
  <c r="E249" i="3" s="1"/>
  <c r="I176" i="4" l="1"/>
  <c r="K176" i="4" s="1"/>
  <c r="E176" i="4"/>
  <c r="H176" i="4" s="1"/>
  <c r="F250" i="3"/>
  <c r="C250" i="3"/>
  <c r="C177" i="4" l="1"/>
  <c r="F177" i="4"/>
  <c r="H250" i="3"/>
  <c r="D250" i="3"/>
  <c r="E250" i="3" s="1"/>
  <c r="D177" i="4" l="1"/>
  <c r="F251" i="3"/>
  <c r="C251" i="3"/>
  <c r="I177" i="4" l="1"/>
  <c r="K177" i="4" s="1"/>
  <c r="E177" i="4"/>
  <c r="H177" i="4" s="1"/>
  <c r="H251" i="3"/>
  <c r="D251" i="3"/>
  <c r="E251" i="3" s="1"/>
  <c r="F178" i="4" l="1"/>
  <c r="C178" i="4"/>
  <c r="F252" i="3"/>
  <c r="C252" i="3"/>
  <c r="D178" i="4" l="1"/>
  <c r="H252" i="3"/>
  <c r="D252" i="3"/>
  <c r="E252" i="3" s="1"/>
  <c r="I178" i="4" l="1"/>
  <c r="K178" i="4" s="1"/>
  <c r="E178" i="4"/>
  <c r="H178" i="4" s="1"/>
  <c r="F253" i="3"/>
  <c r="C253" i="3"/>
  <c r="C179" i="4" l="1"/>
  <c r="F179" i="4"/>
  <c r="H253" i="3"/>
  <c r="D253" i="3"/>
  <c r="E253" i="3" s="1"/>
  <c r="D179" i="4" l="1"/>
  <c r="F254" i="3"/>
  <c r="C254" i="3"/>
  <c r="I179" i="4" l="1"/>
  <c r="K179" i="4" s="1"/>
  <c r="E179" i="4"/>
  <c r="H179" i="4" s="1"/>
  <c r="H254" i="3"/>
  <c r="D254" i="3"/>
  <c r="E254" i="3" s="1"/>
  <c r="F180" i="4" l="1"/>
  <c r="C180" i="4"/>
  <c r="F255" i="3"/>
  <c r="C255" i="3"/>
  <c r="D180" i="4" l="1"/>
  <c r="H255" i="3"/>
  <c r="D255" i="3"/>
  <c r="E255" i="3" s="1"/>
  <c r="I180" i="4" l="1"/>
  <c r="K180" i="4" s="1"/>
  <c r="E180" i="4"/>
  <c r="H180" i="4" s="1"/>
  <c r="F256" i="3"/>
  <c r="C256" i="3"/>
  <c r="C181" i="4" l="1"/>
  <c r="F181" i="4"/>
  <c r="H256" i="3"/>
  <c r="D256" i="3"/>
  <c r="E256" i="3" s="1"/>
  <c r="D181" i="4" l="1"/>
  <c r="C257" i="3"/>
  <c r="F257" i="3"/>
  <c r="I181" i="4" l="1"/>
  <c r="K181" i="4" s="1"/>
  <c r="E181" i="4"/>
  <c r="H181" i="4" s="1"/>
  <c r="H257" i="3"/>
  <c r="D257" i="3"/>
  <c r="E257" i="3" s="1"/>
  <c r="F182" i="4" l="1"/>
  <c r="C182" i="4"/>
  <c r="C258" i="3"/>
  <c r="F258" i="3"/>
  <c r="D182" i="4" l="1"/>
  <c r="H258" i="3"/>
  <c r="D258" i="3"/>
  <c r="E258" i="3" s="1"/>
  <c r="I182" i="4" l="1"/>
  <c r="K182" i="4" s="1"/>
  <c r="E182" i="4"/>
  <c r="H182" i="4" s="1"/>
  <c r="C259" i="3"/>
  <c r="F259" i="3"/>
  <c r="C183" i="4" l="1"/>
  <c r="F183" i="4"/>
  <c r="H259" i="3"/>
  <c r="D259" i="3"/>
  <c r="E259" i="3" s="1"/>
  <c r="D183" i="4" l="1"/>
  <c r="C260" i="3"/>
  <c r="F260" i="3"/>
  <c r="I183" i="4" l="1"/>
  <c r="K183" i="4" s="1"/>
  <c r="E183" i="4"/>
  <c r="H183" i="4" s="1"/>
  <c r="H260" i="3"/>
  <c r="D260" i="3"/>
  <c r="E260" i="3" s="1"/>
  <c r="F184" i="4" l="1"/>
  <c r="C184" i="4"/>
  <c r="C261" i="3"/>
  <c r="F261" i="3"/>
  <c r="D184" i="4" l="1"/>
  <c r="H261" i="3"/>
  <c r="D261" i="3"/>
  <c r="E261" i="3" s="1"/>
  <c r="I184" i="4" l="1"/>
  <c r="K184" i="4" s="1"/>
  <c r="E184" i="4"/>
  <c r="H184" i="4" s="1"/>
  <c r="C262" i="3"/>
  <c r="F262" i="3"/>
  <c r="C185" i="4" l="1"/>
  <c r="F185" i="4"/>
  <c r="H262" i="3"/>
  <c r="D262" i="3"/>
  <c r="E262" i="3" s="1"/>
  <c r="D185" i="4" l="1"/>
  <c r="C263" i="3"/>
  <c r="F263" i="3"/>
  <c r="I185" i="4" l="1"/>
  <c r="K185" i="4" s="1"/>
  <c r="E185" i="4"/>
  <c r="H185" i="4" s="1"/>
  <c r="H263" i="3"/>
  <c r="D263" i="3"/>
  <c r="E263" i="3" s="1"/>
  <c r="F186" i="4" l="1"/>
  <c r="C186" i="4"/>
  <c r="C264" i="3"/>
  <c r="F264" i="3"/>
  <c r="D186" i="4" l="1"/>
  <c r="H264" i="3"/>
  <c r="D264" i="3"/>
  <c r="E264" i="3" s="1"/>
  <c r="I186" i="4" l="1"/>
  <c r="K186" i="4" s="1"/>
  <c r="E186" i="4"/>
  <c r="H186" i="4" s="1"/>
  <c r="C265" i="3"/>
  <c r="F265" i="3"/>
  <c r="C187" i="4" l="1"/>
  <c r="F187" i="4"/>
  <c r="H265" i="3"/>
  <c r="D265" i="3"/>
  <c r="E265" i="3" s="1"/>
  <c r="D187" i="4" l="1"/>
  <c r="C266" i="3"/>
  <c r="F266" i="3"/>
  <c r="I187" i="4" l="1"/>
  <c r="K187" i="4" s="1"/>
  <c r="E187" i="4"/>
  <c r="H187" i="4" s="1"/>
  <c r="H266" i="3"/>
  <c r="D266" i="3"/>
  <c r="E266" i="3" s="1"/>
  <c r="F188" i="4" l="1"/>
  <c r="C188" i="4"/>
  <c r="C267" i="3"/>
  <c r="F267" i="3"/>
  <c r="D188" i="4" l="1"/>
  <c r="H267" i="3"/>
  <c r="D267" i="3"/>
  <c r="E267" i="3" s="1"/>
  <c r="I188" i="4" l="1"/>
  <c r="K188" i="4" s="1"/>
  <c r="E188" i="4"/>
  <c r="H188" i="4" s="1"/>
  <c r="C268" i="3"/>
  <c r="F268" i="3"/>
  <c r="C189" i="4" l="1"/>
  <c r="F189" i="4"/>
  <c r="H268" i="3"/>
  <c r="D268" i="3"/>
  <c r="E268" i="3" s="1"/>
  <c r="D189" i="4" l="1"/>
  <c r="C269" i="3"/>
  <c r="F269" i="3"/>
  <c r="I189" i="4" l="1"/>
  <c r="K189" i="4" s="1"/>
  <c r="E189" i="4"/>
  <c r="H189" i="4" s="1"/>
  <c r="H269" i="3"/>
  <c r="D269" i="3"/>
  <c r="E269" i="3" s="1"/>
  <c r="F190" i="4" l="1"/>
  <c r="C190" i="4"/>
  <c r="C270" i="3"/>
  <c r="F270" i="3"/>
  <c r="D190" i="4" l="1"/>
  <c r="H270" i="3"/>
  <c r="D270" i="3"/>
  <c r="E270" i="3" s="1"/>
  <c r="I190" i="4" l="1"/>
  <c r="K190" i="4" s="1"/>
  <c r="E190" i="4"/>
  <c r="H190" i="4" s="1"/>
  <c r="C271" i="3"/>
  <c r="F271" i="3"/>
  <c r="C191" i="4" l="1"/>
  <c r="F191" i="4"/>
  <c r="H271" i="3"/>
  <c r="D271" i="3"/>
  <c r="E271" i="3" s="1"/>
  <c r="D191" i="4" l="1"/>
  <c r="C272" i="3"/>
  <c r="F272" i="3"/>
  <c r="I191" i="4" l="1"/>
  <c r="K191" i="4" s="1"/>
  <c r="E191" i="4"/>
  <c r="H191" i="4" s="1"/>
  <c r="H272" i="3"/>
  <c r="D272" i="3"/>
  <c r="E272" i="3" s="1"/>
  <c r="F192" i="4" l="1"/>
  <c r="C192" i="4"/>
  <c r="C273" i="3"/>
  <c r="F273" i="3"/>
  <c r="D192" i="4" l="1"/>
  <c r="H273" i="3"/>
  <c r="D273" i="3"/>
  <c r="E273" i="3" s="1"/>
  <c r="I192" i="4" l="1"/>
  <c r="K192" i="4" s="1"/>
  <c r="E192" i="4"/>
  <c r="H192" i="4" s="1"/>
  <c r="C274" i="3"/>
  <c r="F274" i="3"/>
  <c r="C193" i="4" l="1"/>
  <c r="F193" i="4"/>
  <c r="H274" i="3"/>
  <c r="D274" i="3"/>
  <c r="E274" i="3" s="1"/>
  <c r="D193" i="4" l="1"/>
  <c r="C275" i="3"/>
  <c r="F275" i="3"/>
  <c r="I193" i="4" l="1"/>
  <c r="K193" i="4" s="1"/>
  <c r="E193" i="4"/>
  <c r="H193" i="4" s="1"/>
  <c r="H275" i="3"/>
  <c r="D275" i="3"/>
  <c r="E275" i="3" s="1"/>
  <c r="F194" i="4" l="1"/>
  <c r="C194" i="4"/>
  <c r="C276" i="3"/>
  <c r="F276" i="3"/>
  <c r="D194" i="4" l="1"/>
  <c r="H276" i="3"/>
  <c r="D276" i="3"/>
  <c r="E276" i="3" s="1"/>
  <c r="I194" i="4" l="1"/>
  <c r="K194" i="4" s="1"/>
  <c r="E194" i="4"/>
  <c r="H194" i="4" s="1"/>
  <c r="C277" i="3"/>
  <c r="F277" i="3"/>
  <c r="C195" i="4" l="1"/>
  <c r="F195" i="4"/>
  <c r="H277" i="3"/>
  <c r="D277" i="3"/>
  <c r="E277" i="3" s="1"/>
  <c r="D195" i="4" l="1"/>
  <c r="C278" i="3"/>
  <c r="F278" i="3"/>
  <c r="I195" i="4" l="1"/>
  <c r="K195" i="4" s="1"/>
  <c r="E195" i="4"/>
  <c r="H195" i="4" s="1"/>
  <c r="H278" i="3"/>
  <c r="D278" i="3"/>
  <c r="E278" i="3" s="1"/>
  <c r="F196" i="4" l="1"/>
  <c r="C196" i="4"/>
  <c r="C279" i="3"/>
  <c r="F279" i="3"/>
  <c r="D196" i="4" l="1"/>
  <c r="H279" i="3"/>
  <c r="D279" i="3"/>
  <c r="E279" i="3" s="1"/>
  <c r="I196" i="4" l="1"/>
  <c r="K196" i="4" s="1"/>
  <c r="E196" i="4"/>
  <c r="H196" i="4" s="1"/>
  <c r="C280" i="3"/>
  <c r="F280" i="3"/>
  <c r="C197" i="4" l="1"/>
  <c r="F197" i="4"/>
  <c r="H280" i="3"/>
  <c r="D280" i="3"/>
  <c r="E280" i="3" s="1"/>
  <c r="D197" i="4" l="1"/>
  <c r="C281" i="3"/>
  <c r="F281" i="3"/>
  <c r="I197" i="4" l="1"/>
  <c r="K197" i="4" s="1"/>
  <c r="E197" i="4"/>
  <c r="H197" i="4" s="1"/>
  <c r="H281" i="3"/>
  <c r="D281" i="3"/>
  <c r="E281" i="3" s="1"/>
  <c r="F198" i="4" l="1"/>
  <c r="C198" i="4"/>
  <c r="C282" i="3"/>
  <c r="F282" i="3"/>
  <c r="D198" i="4" l="1"/>
  <c r="H282" i="3"/>
  <c r="D282" i="3"/>
  <c r="E282" i="3" s="1"/>
  <c r="I198" i="4" l="1"/>
  <c r="K198" i="4" s="1"/>
  <c r="E198" i="4"/>
  <c r="H198" i="4" s="1"/>
  <c r="C283" i="3"/>
  <c r="F283" i="3"/>
  <c r="C199" i="4" l="1"/>
  <c r="F199" i="4"/>
  <c r="H283" i="3"/>
  <c r="D283" i="3"/>
  <c r="E283" i="3" s="1"/>
  <c r="D199" i="4" l="1"/>
  <c r="C284" i="3"/>
  <c r="F284" i="3"/>
  <c r="I199" i="4" l="1"/>
  <c r="K199" i="4" s="1"/>
  <c r="E199" i="4"/>
  <c r="H199" i="4" s="1"/>
  <c r="H284" i="3"/>
  <c r="D284" i="3"/>
  <c r="E284" i="3" s="1"/>
  <c r="F200" i="4" l="1"/>
  <c r="C200" i="4"/>
  <c r="C285" i="3"/>
  <c r="F285" i="3"/>
  <c r="D200" i="4" l="1"/>
  <c r="H285" i="3"/>
  <c r="D285" i="3"/>
  <c r="E285" i="3" s="1"/>
  <c r="I200" i="4" l="1"/>
  <c r="K200" i="4" s="1"/>
  <c r="E200" i="4"/>
  <c r="H200" i="4" s="1"/>
  <c r="C286" i="3"/>
  <c r="F286" i="3"/>
  <c r="C201" i="4" l="1"/>
  <c r="F201" i="4"/>
  <c r="H286" i="3"/>
  <c r="D286" i="3"/>
  <c r="E286" i="3" s="1"/>
  <c r="D201" i="4" l="1"/>
  <c r="C287" i="3"/>
  <c r="F287" i="3"/>
  <c r="I201" i="4" l="1"/>
  <c r="K201" i="4" s="1"/>
  <c r="E201" i="4"/>
  <c r="H201" i="4" s="1"/>
  <c r="H287" i="3"/>
  <c r="D287" i="3"/>
  <c r="E287" i="3" s="1"/>
  <c r="F202" i="4" l="1"/>
  <c r="C202" i="4"/>
  <c r="C288" i="3"/>
  <c r="F288" i="3"/>
  <c r="D202" i="4" l="1"/>
  <c r="H288" i="3"/>
  <c r="D288" i="3"/>
  <c r="E288" i="3" s="1"/>
  <c r="I202" i="4" l="1"/>
  <c r="K202" i="4" s="1"/>
  <c r="E202" i="4"/>
  <c r="H202" i="4" s="1"/>
  <c r="C289" i="3"/>
  <c r="F289" i="3"/>
  <c r="C203" i="4" l="1"/>
  <c r="F203" i="4"/>
  <c r="H289" i="3"/>
  <c r="D289" i="3"/>
  <c r="E289" i="3" s="1"/>
  <c r="D203" i="4" l="1"/>
  <c r="C290" i="3"/>
  <c r="F290" i="3"/>
  <c r="I203" i="4" l="1"/>
  <c r="K203" i="4" s="1"/>
  <c r="E203" i="4"/>
  <c r="H203" i="4" s="1"/>
  <c r="H290" i="3"/>
  <c r="D290" i="3"/>
  <c r="E290" i="3" s="1"/>
  <c r="F204" i="4" l="1"/>
  <c r="C204" i="4"/>
  <c r="C291" i="3"/>
  <c r="F291" i="3"/>
  <c r="D204" i="4" l="1"/>
  <c r="H291" i="3"/>
  <c r="D291" i="3"/>
  <c r="E291" i="3" s="1"/>
  <c r="I204" i="4" l="1"/>
  <c r="K204" i="4" s="1"/>
  <c r="E204" i="4"/>
  <c r="H204" i="4" s="1"/>
  <c r="C292" i="3"/>
  <c r="F292" i="3"/>
  <c r="C205" i="4" l="1"/>
  <c r="F205" i="4"/>
  <c r="H292" i="3"/>
  <c r="D292" i="3"/>
  <c r="E292" i="3" s="1"/>
  <c r="D205" i="4" l="1"/>
  <c r="C293" i="3"/>
  <c r="F293" i="3"/>
  <c r="I205" i="4" l="1"/>
  <c r="K205" i="4" s="1"/>
  <c r="E205" i="4"/>
  <c r="H205" i="4" s="1"/>
  <c r="H293" i="3"/>
  <c r="D293" i="3"/>
  <c r="E293" i="3" s="1"/>
  <c r="F206" i="4" l="1"/>
  <c r="C206" i="4"/>
  <c r="C294" i="3"/>
  <c r="F294" i="3"/>
  <c r="D206" i="4" l="1"/>
  <c r="H294" i="3"/>
  <c r="D294" i="3"/>
  <c r="E294" i="3" s="1"/>
  <c r="I206" i="4" l="1"/>
  <c r="K206" i="4" s="1"/>
  <c r="E206" i="4"/>
  <c r="H206" i="4" s="1"/>
  <c r="C295" i="3"/>
  <c r="F295" i="3"/>
  <c r="C207" i="4" l="1"/>
  <c r="F207" i="4"/>
  <c r="H295" i="3"/>
  <c r="D295" i="3"/>
  <c r="E295" i="3" s="1"/>
  <c r="D207" i="4" l="1"/>
  <c r="C296" i="3"/>
  <c r="F296" i="3"/>
  <c r="I207" i="4" l="1"/>
  <c r="K207" i="4" s="1"/>
  <c r="E207" i="4"/>
  <c r="H207" i="4" s="1"/>
  <c r="H296" i="3"/>
  <c r="D296" i="3"/>
  <c r="E296" i="3" s="1"/>
  <c r="F208" i="4" l="1"/>
  <c r="C208" i="4"/>
  <c r="C297" i="3"/>
  <c r="F297" i="3"/>
  <c r="D208" i="4" l="1"/>
  <c r="H297" i="3"/>
  <c r="D297" i="3"/>
  <c r="E297" i="3" s="1"/>
  <c r="I208" i="4" l="1"/>
  <c r="K208" i="4" s="1"/>
  <c r="E208" i="4"/>
  <c r="H208" i="4" s="1"/>
  <c r="C298" i="3"/>
  <c r="F298" i="3"/>
  <c r="C209" i="4" l="1"/>
  <c r="F209" i="4"/>
  <c r="H298" i="3"/>
  <c r="D298" i="3"/>
  <c r="E298" i="3" s="1"/>
  <c r="D209" i="4" l="1"/>
  <c r="C299" i="3"/>
  <c r="F299" i="3"/>
  <c r="I209" i="4" l="1"/>
  <c r="K209" i="4" s="1"/>
  <c r="E209" i="4"/>
  <c r="H209" i="4" s="1"/>
  <c r="H299" i="3"/>
  <c r="D299" i="3"/>
  <c r="E299" i="3" s="1"/>
  <c r="F210" i="4" l="1"/>
  <c r="C210" i="4"/>
  <c r="C300" i="3"/>
  <c r="F300" i="3"/>
  <c r="D210" i="4" l="1"/>
  <c r="H300" i="3"/>
  <c r="D300" i="3"/>
  <c r="E300" i="3" s="1"/>
  <c r="I210" i="4" l="1"/>
  <c r="K210" i="4" s="1"/>
  <c r="E210" i="4"/>
  <c r="H210" i="4" s="1"/>
  <c r="C301" i="3"/>
  <c r="F301" i="3"/>
  <c r="C211" i="4" l="1"/>
  <c r="F211" i="4"/>
  <c r="H301" i="3"/>
  <c r="D301" i="3"/>
  <c r="E301" i="3" s="1"/>
  <c r="D211" i="4" l="1"/>
  <c r="C302" i="3"/>
  <c r="F302" i="3"/>
  <c r="I211" i="4" l="1"/>
  <c r="K211" i="4" s="1"/>
  <c r="E211" i="4"/>
  <c r="H211" i="4" s="1"/>
  <c r="H302" i="3"/>
  <c r="D302" i="3"/>
  <c r="E302" i="3" s="1"/>
  <c r="F212" i="4" l="1"/>
  <c r="C212" i="4"/>
  <c r="C303" i="3"/>
  <c r="F303" i="3"/>
  <c r="D212" i="4" l="1"/>
  <c r="H303" i="3"/>
  <c r="D303" i="3"/>
  <c r="E303" i="3" s="1"/>
  <c r="I212" i="4" l="1"/>
  <c r="K212" i="4" s="1"/>
  <c r="E212" i="4"/>
  <c r="H212" i="4" s="1"/>
  <c r="C304" i="3"/>
  <c r="F304" i="3"/>
  <c r="C213" i="4" l="1"/>
  <c r="F213" i="4"/>
  <c r="H304" i="3"/>
  <c r="D304" i="3"/>
  <c r="E304" i="3" s="1"/>
  <c r="D213" i="4" l="1"/>
  <c r="C305" i="3"/>
  <c r="F305" i="3"/>
  <c r="I213" i="4" l="1"/>
  <c r="K213" i="4" s="1"/>
  <c r="E213" i="4"/>
  <c r="H213" i="4" s="1"/>
  <c r="H305" i="3"/>
  <c r="D305" i="3"/>
  <c r="E305" i="3" s="1"/>
  <c r="F214" i="4" l="1"/>
  <c r="C214" i="4"/>
  <c r="C306" i="3"/>
  <c r="F306" i="3"/>
  <c r="D214" i="4" l="1"/>
  <c r="H306" i="3"/>
  <c r="D306" i="3"/>
  <c r="E306" i="3" s="1"/>
  <c r="I214" i="4" l="1"/>
  <c r="K214" i="4" s="1"/>
  <c r="E214" i="4"/>
  <c r="H214" i="4" s="1"/>
  <c r="C307" i="3"/>
  <c r="F307" i="3"/>
  <c r="C215" i="4" l="1"/>
  <c r="F215" i="4"/>
  <c r="H307" i="3"/>
  <c r="D307" i="3"/>
  <c r="E307" i="3" s="1"/>
  <c r="D215" i="4" l="1"/>
  <c r="C308" i="3"/>
  <c r="F308" i="3"/>
  <c r="I215" i="4" l="1"/>
  <c r="K215" i="4" s="1"/>
  <c r="E215" i="4"/>
  <c r="H215" i="4" s="1"/>
  <c r="H308" i="3"/>
  <c r="D308" i="3"/>
  <c r="E308" i="3" s="1"/>
  <c r="F216" i="4" l="1"/>
  <c r="C216" i="4"/>
  <c r="C309" i="3"/>
  <c r="F309" i="3"/>
  <c r="D216" i="4" l="1"/>
  <c r="H309" i="3"/>
  <c r="D309" i="3"/>
  <c r="E309" i="3" s="1"/>
  <c r="I216" i="4" l="1"/>
  <c r="K216" i="4" s="1"/>
  <c r="E216" i="4"/>
  <c r="H216" i="4" s="1"/>
  <c r="C310" i="3"/>
  <c r="F310" i="3"/>
  <c r="C217" i="4" l="1"/>
  <c r="F217" i="4"/>
  <c r="H310" i="3"/>
  <c r="D310" i="3"/>
  <c r="E310" i="3" s="1"/>
  <c r="D217" i="4" l="1"/>
  <c r="C311" i="3"/>
  <c r="F311" i="3"/>
  <c r="I217" i="4" l="1"/>
  <c r="K217" i="4" s="1"/>
  <c r="E217" i="4"/>
  <c r="H217" i="4" s="1"/>
  <c r="H311" i="3"/>
  <c r="D311" i="3"/>
  <c r="E311" i="3" s="1"/>
  <c r="F218" i="4" l="1"/>
  <c r="C218" i="4"/>
  <c r="C312" i="3"/>
  <c r="F312" i="3"/>
  <c r="D218" i="4" l="1"/>
  <c r="H312" i="3"/>
  <c r="D312" i="3"/>
  <c r="E312" i="3" s="1"/>
  <c r="I218" i="4" l="1"/>
  <c r="K218" i="4" s="1"/>
  <c r="E218" i="4"/>
  <c r="H218" i="4" s="1"/>
  <c r="C313" i="3"/>
  <c r="F313" i="3"/>
  <c r="C219" i="4" l="1"/>
  <c r="F219" i="4"/>
  <c r="H313" i="3"/>
  <c r="D313" i="3"/>
  <c r="E313" i="3" s="1"/>
  <c r="D219" i="4" l="1"/>
  <c r="C314" i="3"/>
  <c r="F314" i="3"/>
  <c r="I219" i="4" l="1"/>
  <c r="K219" i="4" s="1"/>
  <c r="E219" i="4"/>
  <c r="H219" i="4" s="1"/>
  <c r="H314" i="3"/>
  <c r="D314" i="3"/>
  <c r="E314" i="3" s="1"/>
  <c r="F220" i="4" l="1"/>
  <c r="C220" i="4"/>
  <c r="C315" i="3"/>
  <c r="F315" i="3"/>
  <c r="D220" i="4" l="1"/>
  <c r="H315" i="3"/>
  <c r="D315" i="3"/>
  <c r="E315" i="3" s="1"/>
  <c r="I220" i="4" l="1"/>
  <c r="K220" i="4" s="1"/>
  <c r="E220" i="4"/>
  <c r="H220" i="4" s="1"/>
  <c r="C316" i="3"/>
  <c r="F316" i="3"/>
  <c r="C221" i="4" l="1"/>
  <c r="F221" i="4"/>
  <c r="H316" i="3"/>
  <c r="D316" i="3"/>
  <c r="E316" i="3" s="1"/>
  <c r="D221" i="4" l="1"/>
  <c r="C317" i="3"/>
  <c r="F317" i="3"/>
  <c r="I221" i="4" l="1"/>
  <c r="K221" i="4" s="1"/>
  <c r="E221" i="4"/>
  <c r="H221" i="4" s="1"/>
  <c r="H317" i="3"/>
  <c r="D317" i="3"/>
  <c r="E317" i="3" s="1"/>
  <c r="F222" i="4" l="1"/>
  <c r="C222" i="4"/>
  <c r="C318" i="3"/>
  <c r="F318" i="3"/>
  <c r="D222" i="4" l="1"/>
  <c r="H318" i="3"/>
  <c r="D318" i="3"/>
  <c r="E318" i="3" s="1"/>
  <c r="I222" i="4" l="1"/>
  <c r="K222" i="4" s="1"/>
  <c r="E222" i="4"/>
  <c r="H222" i="4" s="1"/>
  <c r="C319" i="3"/>
  <c r="F319" i="3"/>
  <c r="C223" i="4" l="1"/>
  <c r="F223" i="4"/>
  <c r="H319" i="3"/>
  <c r="D319" i="3"/>
  <c r="E319" i="3" s="1"/>
  <c r="D223" i="4" l="1"/>
  <c r="C320" i="3"/>
  <c r="F320" i="3"/>
  <c r="I223" i="4" l="1"/>
  <c r="K223" i="4" s="1"/>
  <c r="E223" i="4"/>
  <c r="H223" i="4" s="1"/>
  <c r="H320" i="3"/>
  <c r="D320" i="3"/>
  <c r="E320" i="3" s="1"/>
  <c r="F224" i="4" l="1"/>
  <c r="C224" i="4"/>
  <c r="D224" i="4" l="1"/>
  <c r="I224" i="4" l="1"/>
  <c r="K224" i="4" s="1"/>
  <c r="E224" i="4"/>
  <c r="H224" i="4" s="1"/>
  <c r="C225" i="4" l="1"/>
  <c r="F225" i="4"/>
  <c r="D225" i="4" l="1"/>
  <c r="I225" i="4" l="1"/>
  <c r="K225" i="4" s="1"/>
  <c r="E225" i="4"/>
  <c r="H225" i="4" s="1"/>
  <c r="F226" i="4" l="1"/>
  <c r="C226" i="4"/>
  <c r="D226" i="4" l="1"/>
  <c r="I226" i="4" l="1"/>
  <c r="K226" i="4" s="1"/>
  <c r="E226" i="4"/>
  <c r="H226" i="4" s="1"/>
  <c r="C227" i="4" l="1"/>
  <c r="F227" i="4"/>
  <c r="D227" i="4" l="1"/>
  <c r="I227" i="4" l="1"/>
  <c r="K227" i="4" s="1"/>
  <c r="E227" i="4"/>
  <c r="H227" i="4" s="1"/>
  <c r="C228" i="4" l="1"/>
  <c r="F228" i="4"/>
  <c r="D228" i="4" l="1"/>
  <c r="I228" i="4" l="1"/>
  <c r="K228" i="4" s="1"/>
  <c r="E228" i="4"/>
  <c r="H228" i="4" s="1"/>
  <c r="F229" i="4" l="1"/>
  <c r="C229" i="4"/>
  <c r="D229" i="4" l="1"/>
  <c r="I229" i="4" l="1"/>
  <c r="K229" i="4" s="1"/>
  <c r="E229" i="4"/>
  <c r="H229" i="4" s="1"/>
  <c r="C230" i="4" l="1"/>
  <c r="F230" i="4"/>
  <c r="D230" i="4" l="1"/>
  <c r="I230" i="4" l="1"/>
  <c r="K230" i="4" s="1"/>
  <c r="E230" i="4"/>
  <c r="H230" i="4" s="1"/>
  <c r="F231" i="4" l="1"/>
  <c r="C231" i="4"/>
  <c r="D231" i="4" l="1"/>
  <c r="I231" i="4" l="1"/>
  <c r="K231" i="4" s="1"/>
  <c r="E231" i="4"/>
  <c r="H231" i="4" s="1"/>
  <c r="C232" i="4" l="1"/>
  <c r="F232" i="4"/>
  <c r="D232" i="4" l="1"/>
  <c r="I232" i="4" l="1"/>
  <c r="K232" i="4" s="1"/>
  <c r="E232" i="4"/>
  <c r="H232" i="4" s="1"/>
  <c r="F233" i="4" l="1"/>
  <c r="C233" i="4"/>
  <c r="D233" i="4" l="1"/>
  <c r="I233" i="4" l="1"/>
  <c r="K233" i="4" s="1"/>
  <c r="E233" i="4"/>
  <c r="H233" i="4" s="1"/>
  <c r="C234" i="4" l="1"/>
  <c r="F234" i="4"/>
  <c r="D234" i="4" l="1"/>
  <c r="I234" i="4" l="1"/>
  <c r="K234" i="4" s="1"/>
  <c r="E234" i="4"/>
  <c r="H234" i="4" s="1"/>
  <c r="F235" i="4" l="1"/>
  <c r="C235" i="4"/>
  <c r="D235" i="4" l="1"/>
  <c r="I235" i="4" l="1"/>
  <c r="K235" i="4" s="1"/>
  <c r="E235" i="4"/>
  <c r="H235" i="4" s="1"/>
  <c r="C236" i="4" l="1"/>
  <c r="F236" i="4"/>
  <c r="D236" i="4" l="1"/>
  <c r="I236" i="4" l="1"/>
  <c r="K236" i="4" s="1"/>
  <c r="E236" i="4"/>
  <c r="H236" i="4" s="1"/>
  <c r="F237" i="4" l="1"/>
  <c r="C237" i="4"/>
  <c r="D237" i="4" l="1"/>
  <c r="I237" i="4" l="1"/>
  <c r="K237" i="4" s="1"/>
  <c r="E237" i="4"/>
  <c r="H237" i="4" s="1"/>
  <c r="C238" i="4" l="1"/>
  <c r="F238" i="4"/>
  <c r="D238" i="4" l="1"/>
  <c r="I238" i="4" l="1"/>
  <c r="K238" i="4" s="1"/>
  <c r="E238" i="4"/>
  <c r="H238" i="4" s="1"/>
  <c r="F239" i="4" l="1"/>
  <c r="C239" i="4"/>
  <c r="D239" i="4" l="1"/>
  <c r="I239" i="4" l="1"/>
  <c r="K239" i="4" s="1"/>
  <c r="E239" i="4"/>
  <c r="H239" i="4" s="1"/>
  <c r="C240" i="4" l="1"/>
  <c r="F240" i="4"/>
  <c r="D240" i="4" l="1"/>
  <c r="I240" i="4" l="1"/>
  <c r="K240" i="4" s="1"/>
  <c r="E240" i="4"/>
  <c r="H240" i="4" s="1"/>
  <c r="F241" i="4" l="1"/>
  <c r="C241" i="4"/>
  <c r="D241" i="4" l="1"/>
  <c r="I241" i="4" l="1"/>
  <c r="K241" i="4" s="1"/>
  <c r="E241" i="4"/>
  <c r="H241" i="4" s="1"/>
  <c r="C242" i="4" l="1"/>
  <c r="F242" i="4"/>
  <c r="D242" i="4" l="1"/>
  <c r="I242" i="4" l="1"/>
  <c r="K242" i="4" s="1"/>
  <c r="E242" i="4"/>
  <c r="H242" i="4" s="1"/>
  <c r="F243" i="4" l="1"/>
  <c r="C243" i="4"/>
  <c r="D243" i="4" l="1"/>
  <c r="I243" i="4" l="1"/>
  <c r="K243" i="4" s="1"/>
  <c r="E243" i="4"/>
  <c r="H243" i="4" s="1"/>
  <c r="C244" i="4" l="1"/>
  <c r="F244" i="4"/>
  <c r="D244" i="4" l="1"/>
  <c r="I244" i="4" l="1"/>
  <c r="K244" i="4" s="1"/>
  <c r="E244" i="4"/>
  <c r="H244" i="4" s="1"/>
  <c r="F245" i="4" l="1"/>
  <c r="C245" i="4"/>
  <c r="D245" i="4" l="1"/>
  <c r="I245" i="4" l="1"/>
  <c r="K245" i="4" s="1"/>
  <c r="E245" i="4"/>
  <c r="H245" i="4" s="1"/>
  <c r="C246" i="4" l="1"/>
  <c r="F246" i="4"/>
  <c r="D246" i="4" l="1"/>
  <c r="I246" i="4" l="1"/>
  <c r="K246" i="4" s="1"/>
  <c r="E246" i="4"/>
  <c r="H246" i="4" s="1"/>
  <c r="F247" i="4" l="1"/>
  <c r="C247" i="4"/>
  <c r="D247" i="4" l="1"/>
  <c r="I247" i="4" l="1"/>
  <c r="K247" i="4" s="1"/>
  <c r="E247" i="4"/>
  <c r="H247" i="4" s="1"/>
  <c r="C248" i="4" l="1"/>
  <c r="F248" i="4"/>
  <c r="D248" i="4" l="1"/>
  <c r="I248" i="4" l="1"/>
  <c r="K248" i="4" s="1"/>
  <c r="E248" i="4"/>
  <c r="H248" i="4" s="1"/>
  <c r="F249" i="4" l="1"/>
  <c r="C249" i="4"/>
  <c r="D249" i="4" l="1"/>
  <c r="I249" i="4" l="1"/>
  <c r="K249" i="4" s="1"/>
  <c r="E249" i="4"/>
  <c r="H249" i="4" s="1"/>
  <c r="C250" i="4" l="1"/>
  <c r="F250" i="4"/>
  <c r="D250" i="4" l="1"/>
  <c r="I250" i="4" l="1"/>
  <c r="K250" i="4" s="1"/>
  <c r="E250" i="4"/>
  <c r="H250" i="4" s="1"/>
  <c r="F251" i="4" l="1"/>
  <c r="C251" i="4"/>
  <c r="D251" i="4" l="1"/>
  <c r="I251" i="4" l="1"/>
  <c r="K251" i="4" s="1"/>
  <c r="E251" i="4"/>
  <c r="H251" i="4" s="1"/>
  <c r="C252" i="4" l="1"/>
  <c r="F252" i="4"/>
  <c r="D252" i="4" l="1"/>
  <c r="I252" i="4" l="1"/>
  <c r="K252" i="4" s="1"/>
  <c r="E252" i="4"/>
  <c r="H252" i="4" s="1"/>
  <c r="F253" i="4" l="1"/>
  <c r="C253" i="4"/>
  <c r="D253" i="4" l="1"/>
  <c r="I253" i="4" l="1"/>
  <c r="K253" i="4" s="1"/>
  <c r="E253" i="4"/>
  <c r="H253" i="4" s="1"/>
  <c r="C254" i="4" l="1"/>
  <c r="F254" i="4"/>
  <c r="D254" i="4" l="1"/>
  <c r="I254" i="4" l="1"/>
  <c r="K254" i="4" s="1"/>
  <c r="E254" i="4"/>
  <c r="H254" i="4" s="1"/>
  <c r="F255" i="4" l="1"/>
  <c r="C255" i="4"/>
  <c r="D255" i="4" l="1"/>
  <c r="I255" i="4" l="1"/>
  <c r="K255" i="4" s="1"/>
  <c r="E255" i="4"/>
  <c r="H255" i="4" s="1"/>
  <c r="C256" i="4" l="1"/>
  <c r="F256" i="4"/>
  <c r="D256" i="4" l="1"/>
  <c r="I256" i="4" l="1"/>
  <c r="K256" i="4" s="1"/>
  <c r="E256" i="4"/>
  <c r="H256" i="4" s="1"/>
  <c r="F257" i="4" l="1"/>
  <c r="C257" i="4"/>
  <c r="D257" i="4" l="1"/>
  <c r="I257" i="4" l="1"/>
  <c r="K257" i="4" s="1"/>
  <c r="E257" i="4"/>
  <c r="H257" i="4" s="1"/>
  <c r="C258" i="4" l="1"/>
  <c r="F258" i="4"/>
  <c r="D258" i="4" l="1"/>
  <c r="I258" i="4" l="1"/>
  <c r="K258" i="4" s="1"/>
  <c r="E258" i="4"/>
  <c r="H258" i="4" s="1"/>
  <c r="F259" i="4" l="1"/>
  <c r="C259" i="4"/>
  <c r="D259" i="4" l="1"/>
  <c r="I259" i="4" l="1"/>
  <c r="K259" i="4" s="1"/>
  <c r="E259" i="4"/>
  <c r="H259" i="4" s="1"/>
  <c r="C260" i="4" l="1"/>
  <c r="F260" i="4"/>
  <c r="D260" i="4" l="1"/>
  <c r="I260" i="4" l="1"/>
  <c r="K260" i="4" s="1"/>
  <c r="E260" i="4"/>
  <c r="H260" i="4" s="1"/>
  <c r="F261" i="4" l="1"/>
  <c r="C261" i="4"/>
  <c r="D261" i="4" l="1"/>
  <c r="I261" i="4" l="1"/>
  <c r="K261" i="4" s="1"/>
  <c r="E261" i="4"/>
  <c r="H261" i="4" s="1"/>
  <c r="C262" i="4" l="1"/>
  <c r="F262" i="4"/>
  <c r="D262" i="4" l="1"/>
  <c r="I262" i="4" l="1"/>
  <c r="K262" i="4" s="1"/>
  <c r="E262" i="4"/>
  <c r="H262" i="4" s="1"/>
  <c r="F263" i="4" l="1"/>
  <c r="C263" i="4"/>
  <c r="D263" i="4" l="1"/>
  <c r="I263" i="4" l="1"/>
  <c r="K263" i="4" s="1"/>
  <c r="E263" i="4"/>
  <c r="H263" i="4" s="1"/>
  <c r="C264" i="4" l="1"/>
  <c r="F264" i="4"/>
  <c r="D264" i="4" l="1"/>
  <c r="I264" i="4" l="1"/>
  <c r="K264" i="4" s="1"/>
  <c r="E264" i="4"/>
  <c r="H264" i="4" s="1"/>
  <c r="F265" i="4" l="1"/>
  <c r="C265" i="4"/>
  <c r="D265" i="4" l="1"/>
  <c r="I265" i="4" l="1"/>
  <c r="K265" i="4" s="1"/>
  <c r="E265" i="4"/>
  <c r="H265" i="4" s="1"/>
  <c r="C266" i="4" l="1"/>
  <c r="F266" i="4"/>
  <c r="D266" i="4" l="1"/>
  <c r="I266" i="4" l="1"/>
  <c r="K266" i="4" s="1"/>
  <c r="E266" i="4"/>
  <c r="H266" i="4" s="1"/>
  <c r="F267" i="4" l="1"/>
  <c r="C267" i="4"/>
  <c r="D267" i="4" l="1"/>
  <c r="I267" i="4" l="1"/>
  <c r="K267" i="4" s="1"/>
  <c r="E267" i="4"/>
  <c r="H267" i="4" s="1"/>
  <c r="C268" i="4" l="1"/>
  <c r="F268" i="4"/>
  <c r="D268" i="4" l="1"/>
  <c r="I268" i="4" l="1"/>
  <c r="K268" i="4" s="1"/>
  <c r="E268" i="4"/>
  <c r="H268" i="4" s="1"/>
  <c r="F269" i="4" l="1"/>
  <c r="C269" i="4"/>
  <c r="D269" i="4" l="1"/>
  <c r="I269" i="4" l="1"/>
  <c r="K269" i="4" s="1"/>
  <c r="E269" i="4"/>
  <c r="H269" i="4" s="1"/>
  <c r="C270" i="4" l="1"/>
  <c r="F270" i="4"/>
  <c r="D270" i="4" l="1"/>
  <c r="I270" i="4" l="1"/>
  <c r="K270" i="4" s="1"/>
  <c r="E270" i="4"/>
  <c r="H270" i="4" s="1"/>
  <c r="F271" i="4" l="1"/>
  <c r="C271" i="4"/>
  <c r="D271" i="4" l="1"/>
  <c r="I271" i="4" l="1"/>
  <c r="K271" i="4" s="1"/>
  <c r="E271" i="4"/>
  <c r="H271" i="4" s="1"/>
  <c r="C272" i="4" l="1"/>
  <c r="F272" i="4"/>
  <c r="D272" i="4" l="1"/>
  <c r="I272" i="4" l="1"/>
  <c r="K272" i="4" s="1"/>
  <c r="E272" i="4"/>
  <c r="H272" i="4" s="1"/>
  <c r="F273" i="4" l="1"/>
  <c r="C273" i="4"/>
  <c r="D273" i="4" l="1"/>
  <c r="I273" i="4" l="1"/>
  <c r="K273" i="4" s="1"/>
  <c r="E273" i="4"/>
  <c r="H273" i="4" s="1"/>
  <c r="C274" i="4" l="1"/>
  <c r="F274" i="4"/>
  <c r="D274" i="4" l="1"/>
  <c r="I274" i="4" l="1"/>
  <c r="K274" i="4" s="1"/>
  <c r="E274" i="4"/>
  <c r="H274" i="4" s="1"/>
  <c r="F275" i="4" l="1"/>
  <c r="C275" i="4"/>
  <c r="D275" i="4" l="1"/>
  <c r="I275" i="4" l="1"/>
  <c r="K275" i="4" s="1"/>
  <c r="E275" i="4"/>
  <c r="H275" i="4" s="1"/>
  <c r="C276" i="4" l="1"/>
  <c r="F276" i="4"/>
  <c r="D276" i="4" l="1"/>
  <c r="I276" i="4" l="1"/>
  <c r="K276" i="4" s="1"/>
  <c r="E276" i="4"/>
  <c r="H276" i="4" s="1"/>
  <c r="F277" i="4" l="1"/>
  <c r="C277" i="4"/>
  <c r="D277" i="4" l="1"/>
  <c r="I277" i="4" l="1"/>
  <c r="K277" i="4" s="1"/>
  <c r="E277" i="4"/>
  <c r="H277" i="4" s="1"/>
  <c r="C278" i="4" l="1"/>
  <c r="F278" i="4"/>
  <c r="D278" i="4" l="1"/>
  <c r="I278" i="4" l="1"/>
  <c r="K278" i="4" s="1"/>
  <c r="E278" i="4"/>
  <c r="H278" i="4" s="1"/>
  <c r="F279" i="4" l="1"/>
  <c r="C279" i="4"/>
  <c r="D279" i="4" l="1"/>
  <c r="I279" i="4" l="1"/>
  <c r="K279" i="4" s="1"/>
  <c r="E279" i="4"/>
  <c r="H279" i="4" s="1"/>
  <c r="C280" i="4" l="1"/>
  <c r="F280" i="4"/>
  <c r="D280" i="4" l="1"/>
  <c r="I280" i="4" l="1"/>
  <c r="K280" i="4" s="1"/>
  <c r="E280" i="4"/>
  <c r="H280" i="4" s="1"/>
  <c r="F281" i="4" l="1"/>
  <c r="C281" i="4"/>
  <c r="D281" i="4" l="1"/>
  <c r="I281" i="4" l="1"/>
  <c r="K281" i="4" s="1"/>
  <c r="E281" i="4"/>
  <c r="H281" i="4" s="1"/>
  <c r="C282" i="4" l="1"/>
  <c r="F282" i="4"/>
  <c r="D282" i="4" l="1"/>
  <c r="I282" i="4" l="1"/>
  <c r="K282" i="4" s="1"/>
  <c r="E282" i="4"/>
  <c r="H282" i="4" s="1"/>
  <c r="F283" i="4" l="1"/>
  <c r="C283" i="4"/>
  <c r="D283" i="4" l="1"/>
  <c r="I283" i="4" l="1"/>
  <c r="K283" i="4" s="1"/>
  <c r="E283" i="4"/>
  <c r="H283" i="4" s="1"/>
  <c r="C284" i="4" l="1"/>
  <c r="F284" i="4"/>
  <c r="D284" i="4" l="1"/>
  <c r="I284" i="4" l="1"/>
  <c r="K284" i="4" s="1"/>
  <c r="E284" i="4"/>
  <c r="H284" i="4" s="1"/>
  <c r="F285" i="4" l="1"/>
  <c r="C285" i="4"/>
  <c r="D285" i="4" l="1"/>
  <c r="I285" i="4" l="1"/>
  <c r="K285" i="4" s="1"/>
  <c r="E285" i="4"/>
  <c r="H285" i="4" s="1"/>
  <c r="C286" i="4" l="1"/>
  <c r="F286" i="4"/>
  <c r="D286" i="4" l="1"/>
  <c r="I286" i="4" l="1"/>
  <c r="K286" i="4" s="1"/>
  <c r="E286" i="4"/>
  <c r="H286" i="4" s="1"/>
  <c r="F287" i="4" l="1"/>
  <c r="C287" i="4"/>
  <c r="D287" i="4" l="1"/>
  <c r="I287" i="4" l="1"/>
  <c r="K287" i="4" s="1"/>
  <c r="E287" i="4"/>
  <c r="H287" i="4" s="1"/>
  <c r="C288" i="4" l="1"/>
  <c r="F288" i="4"/>
  <c r="D288" i="4" l="1"/>
  <c r="I288" i="4" l="1"/>
  <c r="K288" i="4" s="1"/>
  <c r="E288" i="4"/>
  <c r="H288" i="4" s="1"/>
  <c r="F289" i="4" l="1"/>
  <c r="C289" i="4"/>
  <c r="D289" i="4" l="1"/>
  <c r="I289" i="4" l="1"/>
  <c r="K289" i="4" s="1"/>
  <c r="E289" i="4"/>
  <c r="H289" i="4" s="1"/>
  <c r="C290" i="4" l="1"/>
  <c r="F290" i="4"/>
  <c r="D290" i="4" l="1"/>
  <c r="I290" i="4" l="1"/>
  <c r="K290" i="4" s="1"/>
  <c r="E290" i="4"/>
  <c r="H290" i="4" s="1"/>
  <c r="F291" i="4" l="1"/>
  <c r="C291" i="4"/>
  <c r="D291" i="4" l="1"/>
  <c r="I291" i="4" l="1"/>
  <c r="K291" i="4" s="1"/>
  <c r="E291" i="4"/>
  <c r="H291" i="4" s="1"/>
  <c r="C292" i="4" l="1"/>
  <c r="F292" i="4"/>
  <c r="D292" i="4" l="1"/>
  <c r="I292" i="4" l="1"/>
  <c r="K292" i="4" s="1"/>
  <c r="E292" i="4"/>
  <c r="H292" i="4" s="1"/>
  <c r="F293" i="4" l="1"/>
  <c r="C293" i="4"/>
  <c r="D293" i="4" l="1"/>
  <c r="I293" i="4" l="1"/>
  <c r="K293" i="4" s="1"/>
  <c r="E293" i="4"/>
  <c r="H293" i="4" s="1"/>
  <c r="C294" i="4" l="1"/>
  <c r="F294" i="4"/>
  <c r="D294" i="4" l="1"/>
  <c r="I294" i="4" l="1"/>
  <c r="K294" i="4" s="1"/>
  <c r="E294" i="4"/>
  <c r="H294" i="4" s="1"/>
  <c r="F295" i="4" l="1"/>
  <c r="C295" i="4"/>
  <c r="D295" i="4" l="1"/>
  <c r="I295" i="4" l="1"/>
  <c r="K295" i="4" s="1"/>
  <c r="E295" i="4"/>
  <c r="H295" i="4" s="1"/>
  <c r="C296" i="4" l="1"/>
  <c r="F296" i="4"/>
  <c r="D296" i="4" l="1"/>
  <c r="I296" i="4" l="1"/>
  <c r="K296" i="4" s="1"/>
  <c r="E296" i="4"/>
  <c r="H296" i="4" s="1"/>
  <c r="F297" i="4" l="1"/>
  <c r="C297" i="4"/>
  <c r="D297" i="4" l="1"/>
  <c r="I297" i="4" l="1"/>
  <c r="K297" i="4" s="1"/>
  <c r="E297" i="4"/>
  <c r="H297" i="4" s="1"/>
  <c r="C298" i="4" l="1"/>
  <c r="F298" i="4"/>
  <c r="D298" i="4" l="1"/>
  <c r="I298" i="4" l="1"/>
  <c r="K298" i="4" s="1"/>
  <c r="E298" i="4"/>
  <c r="H298" i="4" s="1"/>
  <c r="F299" i="4" l="1"/>
  <c r="C299" i="4"/>
  <c r="D299" i="4" l="1"/>
  <c r="I299" i="4" l="1"/>
  <c r="K299" i="4" s="1"/>
  <c r="E299" i="4"/>
  <c r="H299" i="4" s="1"/>
  <c r="C300" i="4" l="1"/>
  <c r="F300" i="4"/>
  <c r="D300" i="4" l="1"/>
  <c r="I300" i="4" l="1"/>
  <c r="K300" i="4" s="1"/>
  <c r="E300" i="4"/>
  <c r="H300" i="4" s="1"/>
  <c r="F301" i="4" l="1"/>
  <c r="C301" i="4"/>
  <c r="D301" i="4" l="1"/>
  <c r="I301" i="4" l="1"/>
  <c r="K301" i="4" s="1"/>
  <c r="E301" i="4"/>
  <c r="H301" i="4" s="1"/>
  <c r="C302" i="4" l="1"/>
  <c r="F302" i="4"/>
  <c r="D302" i="4" l="1"/>
  <c r="I302" i="4" l="1"/>
  <c r="K302" i="4" s="1"/>
  <c r="E302" i="4"/>
  <c r="H302" i="4" s="1"/>
  <c r="F303" i="4" l="1"/>
  <c r="C303" i="4"/>
  <c r="D303" i="4" l="1"/>
  <c r="I303" i="4" l="1"/>
  <c r="K303" i="4" s="1"/>
  <c r="E303" i="4"/>
  <c r="H303" i="4" s="1"/>
  <c r="C304" i="4" l="1"/>
  <c r="F304" i="4"/>
  <c r="D304" i="4" l="1"/>
  <c r="I304" i="4" l="1"/>
  <c r="K304" i="4" s="1"/>
  <c r="E304" i="4"/>
  <c r="H304" i="4" s="1"/>
  <c r="F305" i="4" l="1"/>
  <c r="C305" i="4"/>
  <c r="D305" i="4" l="1"/>
  <c r="I305" i="4" l="1"/>
  <c r="K305" i="4" s="1"/>
  <c r="E305" i="4"/>
  <c r="H305" i="4" s="1"/>
  <c r="C306" i="4" l="1"/>
  <c r="F306" i="4"/>
  <c r="D306" i="4" l="1"/>
  <c r="I306" i="4" l="1"/>
  <c r="K306" i="4" s="1"/>
  <c r="E306" i="4"/>
  <c r="H306" i="4" s="1"/>
  <c r="F307" i="4" l="1"/>
  <c r="C307" i="4"/>
  <c r="D307" i="4" l="1"/>
  <c r="I307" i="4" l="1"/>
  <c r="K307" i="4" s="1"/>
  <c r="E307" i="4"/>
  <c r="H307" i="4" s="1"/>
  <c r="C308" i="4" l="1"/>
  <c r="F308" i="4"/>
  <c r="D308" i="4" l="1"/>
  <c r="I308" i="4" l="1"/>
  <c r="K308" i="4" s="1"/>
  <c r="E308" i="4"/>
  <c r="H308" i="4" s="1"/>
  <c r="F309" i="4" l="1"/>
  <c r="C309" i="4"/>
  <c r="D309" i="4" l="1"/>
  <c r="I309" i="4" l="1"/>
  <c r="K309" i="4" s="1"/>
  <c r="E309" i="4"/>
  <c r="H309" i="4" s="1"/>
  <c r="C310" i="4" l="1"/>
  <c r="F310" i="4"/>
  <c r="D310" i="4" l="1"/>
  <c r="I310" i="4" l="1"/>
  <c r="K310" i="4" s="1"/>
  <c r="E310" i="4"/>
  <c r="H310" i="4" s="1"/>
  <c r="F311" i="4" l="1"/>
  <c r="C311" i="4"/>
  <c r="D311" i="4" l="1"/>
  <c r="I311" i="4" l="1"/>
  <c r="K311" i="4" s="1"/>
  <c r="E311" i="4"/>
  <c r="H311" i="4" s="1"/>
  <c r="C312" i="4" l="1"/>
  <c r="F312" i="4"/>
  <c r="D312" i="4" l="1"/>
  <c r="I312" i="4" l="1"/>
  <c r="K312" i="4" s="1"/>
  <c r="E312" i="4"/>
  <c r="H312" i="4" s="1"/>
  <c r="F313" i="4" l="1"/>
  <c r="C313" i="4"/>
  <c r="D313" i="4" l="1"/>
  <c r="I313" i="4" l="1"/>
  <c r="K313" i="4" s="1"/>
  <c r="E313" i="4"/>
  <c r="H313" i="4" s="1"/>
  <c r="C314" i="4" l="1"/>
  <c r="F314" i="4"/>
  <c r="D314" i="4" l="1"/>
  <c r="I314" i="4" l="1"/>
  <c r="K314" i="4" s="1"/>
  <c r="E314" i="4"/>
  <c r="H314" i="4" s="1"/>
  <c r="F315" i="4" l="1"/>
  <c r="C315" i="4"/>
  <c r="D315" i="4" l="1"/>
  <c r="I315" i="4" l="1"/>
  <c r="K315" i="4" s="1"/>
  <c r="E315" i="4"/>
  <c r="H315" i="4" s="1"/>
  <c r="C316" i="4" l="1"/>
  <c r="F316" i="4"/>
  <c r="D316" i="4" l="1"/>
  <c r="I316" i="4" l="1"/>
  <c r="K316" i="4" s="1"/>
  <c r="E316" i="4"/>
  <c r="H316" i="4" s="1"/>
  <c r="F317" i="4" l="1"/>
  <c r="C317" i="4"/>
  <c r="D317" i="4" l="1"/>
  <c r="I317" i="4" l="1"/>
  <c r="K317" i="4" s="1"/>
  <c r="E317" i="4"/>
  <c r="H317" i="4" s="1"/>
  <c r="C318" i="4" l="1"/>
  <c r="F318" i="4"/>
  <c r="D318" i="4" l="1"/>
  <c r="I318" i="4" l="1"/>
  <c r="K318" i="4" s="1"/>
  <c r="E318" i="4"/>
  <c r="H318" i="4" s="1"/>
  <c r="F319" i="4" l="1"/>
  <c r="C319" i="4"/>
  <c r="D319" i="4" l="1"/>
  <c r="I319" i="4" l="1"/>
  <c r="K319" i="4" s="1"/>
  <c r="E319" i="4"/>
  <c r="H319" i="4" s="1"/>
  <c r="C320" i="4" l="1"/>
  <c r="F320" i="4"/>
  <c r="D320" i="4" l="1"/>
  <c r="I320" i="4" l="1"/>
  <c r="E320" i="4"/>
  <c r="H320" i="4" s="1"/>
  <c r="K320" i="4" l="1"/>
  <c r="I11" i="4"/>
  <c r="I4" i="4"/>
  <c r="I5" i="4"/>
  <c r="I7" i="4" l="1"/>
  <c r="I6" i="4"/>
  <c r="M11" i="4"/>
  <c r="M5" i="4"/>
  <c r="M4" i="4"/>
  <c r="M7" i="4" l="1"/>
  <c r="M6" i="4"/>
</calcChain>
</file>

<file path=xl/comments1.xml><?xml version="1.0" encoding="utf-8"?>
<comments xmlns="http://schemas.openxmlformats.org/spreadsheetml/2006/main">
  <authors>
    <author>ConferenceRoom</author>
  </authors>
  <commentList>
    <comment ref="G10" authorId="0" shapeId="0">
      <text>
        <r>
          <rPr>
            <b/>
            <sz val="8"/>
            <color indexed="81"/>
            <rFont val="Tahoma"/>
            <family val="2"/>
          </rPr>
          <t>Use of Data Validation</t>
        </r>
      </text>
    </comment>
    <comment ref="D21" authorId="0" shapeId="0">
      <text>
        <r>
          <rPr>
            <b/>
            <sz val="8"/>
            <color indexed="81"/>
            <rFont val="Tahoma"/>
            <family val="2"/>
          </rPr>
          <t xml:space="preserve">Had to use a second IF(AND()) construct here to eliminate circular loops. </t>
        </r>
      </text>
    </comment>
  </commentList>
</comments>
</file>

<file path=xl/comments2.xml><?xml version="1.0" encoding="utf-8"?>
<comments xmlns="http://schemas.openxmlformats.org/spreadsheetml/2006/main">
  <authors>
    <author>ConferenceRoom</author>
  </authors>
  <commentList>
    <comment ref="H44" authorId="0" shapeId="0">
      <text>
        <r>
          <rPr>
            <b/>
            <sz val="8"/>
            <color indexed="81"/>
            <rFont val="Tahoma"/>
            <family val="2"/>
          </rPr>
          <t>We added in a few IF statements to deal with zero balances.</t>
        </r>
        <r>
          <rPr>
            <sz val="8"/>
            <color indexed="81"/>
            <rFont val="Tahoma"/>
            <family val="2"/>
          </rPr>
          <t xml:space="preserve">
</t>
        </r>
      </text>
    </comment>
  </commentList>
</comments>
</file>

<file path=xl/comments3.xml><?xml version="1.0" encoding="utf-8"?>
<comments xmlns="http://schemas.openxmlformats.org/spreadsheetml/2006/main">
  <authors>
    <author>ConferenceRoom</author>
  </authors>
  <commentList>
    <comment ref="I11" authorId="0" shapeId="0">
      <text>
        <r>
          <rPr>
            <b/>
            <sz val="8"/>
            <color indexed="81"/>
            <rFont val="Tahoma"/>
            <family val="2"/>
          </rPr>
          <t xml:space="preserve">This is what this loan is worth to you if you have a targeted rate that is different than the interest rate on the note. </t>
        </r>
        <r>
          <rPr>
            <sz val="8"/>
            <color indexed="81"/>
            <rFont val="Tahoma"/>
            <family val="2"/>
          </rPr>
          <t xml:space="preserve">
</t>
        </r>
      </text>
    </comment>
  </commentList>
</comments>
</file>

<file path=xl/comments4.xml><?xml version="1.0" encoding="utf-8"?>
<comments xmlns="http://schemas.openxmlformats.org/spreadsheetml/2006/main">
  <authors>
    <author>ConferenceRoom</author>
  </authors>
  <commentList>
    <comment ref="G5" authorId="0" shapeId="0">
      <text>
        <r>
          <rPr>
            <b/>
            <sz val="8"/>
            <color indexed="81"/>
            <rFont val="Tahoma"/>
            <family val="2"/>
          </rPr>
          <t>What interest rate do you really have? - "30/360" versus "360 actual". With the advent of the CMBS market, Wall Street lenders started a new way of calculating interest due. Not surprisingly, it is a way to make a deal sound better than it really is. The Wall Streeters claim that it is really a derivative of the way the bond market already works and so they are trying to price deals according to the expectation of the bond buyers of CMBS issues. The good old fashioned way to calculate interest (used by most non Wall Street lenders) is based on a "30/360" basis. In other words, it is assumed that each month has 30 days and therefore each year 360 days. This allowed our trusty HP-12c to calculate the payment schedule to amortize loans exactly by dividing the annual interest by twelve to get the monthly interest amount. However, on a "360 Actual", (sometimes called Actual 360), the stated annual interest rate is really a stated rate for 360 days. The rate charged is based on the actual number of days in the year. The result is that the lender gets 5 additional days of interest (6 on leap years). For example, if the stated contract rate is 7.50% on a 30/360 basis, the actual interest charged over the 365 day year is .625% (7.5%/12) per month on the outstanding principal each month or a daily rate of .020833% (7.5%/360) on the outstanding principal for 360 days. If interest is collected on a 360 actual basis then the daily rate is also .020833% on the outstanding principal for 365 days. That relates to an actual rate of 7.604% or 10 bps higher than the stated rate. Payments are usually calculated based on a 30/360 basis for a 360 actual loan. This results in the same payment plan as a 30/360 loan but the loan will not amortize over the stated amortization period because more of the payment is devoted to interest.</t>
        </r>
      </text>
    </comment>
    <comment ref="I15" authorId="0" shapeId="0">
      <text>
        <r>
          <rPr>
            <b/>
            <sz val="8"/>
            <color indexed="81"/>
            <rFont val="Tahoma"/>
            <family val="2"/>
          </rPr>
          <t>Bond way.</t>
        </r>
      </text>
    </comment>
    <comment ref="J15" authorId="0" shapeId="0">
      <text>
        <r>
          <rPr>
            <b/>
            <sz val="8"/>
            <color indexed="81"/>
            <rFont val="Tahoma"/>
            <family val="2"/>
          </rPr>
          <t>Traditional way.</t>
        </r>
      </text>
    </comment>
  </commentList>
</comments>
</file>

<file path=xl/sharedStrings.xml><?xml version="1.0" encoding="utf-8"?>
<sst xmlns="http://schemas.openxmlformats.org/spreadsheetml/2006/main" count="116" uniqueCount="46">
  <si>
    <t>Loan Principal</t>
  </si>
  <si>
    <t>Annual Interest Rate</t>
  </si>
  <si>
    <t>Interest Rate (Monthly)</t>
  </si>
  <si>
    <t>Copyright 2015 Joshua Kahr</t>
  </si>
  <si>
    <t>Amortization Period (Years)</t>
  </si>
  <si>
    <t>Amortization Period (Months)</t>
  </si>
  <si>
    <t>Year</t>
  </si>
  <si>
    <t>Month</t>
  </si>
  <si>
    <t>BOP Balance</t>
  </si>
  <si>
    <t>PMT</t>
  </si>
  <si>
    <t>Principal Payment</t>
  </si>
  <si>
    <t>Interest Payment</t>
  </si>
  <si>
    <t>EOP Balance</t>
  </si>
  <si>
    <t>Interest Only</t>
  </si>
  <si>
    <t>How Long?</t>
  </si>
  <si>
    <t>Prepayment?</t>
  </si>
  <si>
    <t>When?</t>
  </si>
  <si>
    <t>Mortgage Constant</t>
  </si>
  <si>
    <t>Prepayment</t>
  </si>
  <si>
    <t>Valuation (before Fees)</t>
  </si>
  <si>
    <t>Valuation (after Fees)</t>
  </si>
  <si>
    <t>Net Cash Flow</t>
  </si>
  <si>
    <t>Monthly IRR</t>
  </si>
  <si>
    <t>Monthly IRR x 12</t>
  </si>
  <si>
    <t>Monthly IRR, Compounded Annually</t>
  </si>
  <si>
    <t>Discount Rate</t>
  </si>
  <si>
    <t>Discount Rate/12</t>
  </si>
  <si>
    <t>Entry Fees</t>
  </si>
  <si>
    <t>NPV</t>
  </si>
  <si>
    <t>Exit Fees</t>
  </si>
  <si>
    <t>CF to Lender</t>
  </si>
  <si>
    <t>Entry and Exit Fees</t>
  </si>
  <si>
    <t>CF to Lender after Fees</t>
  </si>
  <si>
    <t>First Payment Date</t>
  </si>
  <si>
    <t>Actual Days</t>
  </si>
  <si>
    <t>30360 Days</t>
  </si>
  <si>
    <t>A360 Prin. Pmt</t>
  </si>
  <si>
    <t>30360 Prin. Pmt</t>
  </si>
  <si>
    <t>A360 Int. Payment</t>
  </si>
  <si>
    <t>30360 Int. Payment</t>
  </si>
  <si>
    <t>A360 EOP</t>
  </si>
  <si>
    <t>30360 EOP</t>
  </si>
  <si>
    <t>xx</t>
  </si>
  <si>
    <t>TOTALS:</t>
  </si>
  <si>
    <t>Extra 5 days of interest, 6 on leap years</t>
  </si>
  <si>
    <t xml:space="preserve">This workbook contains examples of amortization schedules that have interest only periods and prepayment. It also shows the difference between 30/360 and Actual 360 methods of calculating interest.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</si>
</sst>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
    <numFmt numFmtId="166" formatCode="0.0%"/>
  </numFmts>
  <fonts count="8" x14ac:knownFonts="1">
    <font>
      <sz val="11"/>
      <color theme="1"/>
      <name val="Calibri"/>
      <family val="2"/>
      <scheme val="minor"/>
    </font>
    <font>
      <sz val="11"/>
      <color theme="1"/>
      <name val="Calibri"/>
      <family val="2"/>
      <scheme val="minor"/>
    </font>
    <font>
      <sz val="10"/>
      <name val="Times New Roman"/>
      <family val="1"/>
    </font>
    <font>
      <sz val="10"/>
      <name val="Arial"/>
      <family val="2"/>
    </font>
    <font>
      <b/>
      <sz val="10"/>
      <name val="Times New Roman"/>
      <family val="1"/>
    </font>
    <font>
      <b/>
      <sz val="10"/>
      <name val="Arial"/>
      <family val="2"/>
    </font>
    <font>
      <b/>
      <sz val="8"/>
      <color indexed="81"/>
      <name val="Tahoma"/>
      <family val="2"/>
    </font>
    <font>
      <sz val="8"/>
      <color indexed="81"/>
      <name val="Tahoma"/>
      <family val="2"/>
    </font>
  </fonts>
  <fills count="5">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41"/>
        <bgColor indexed="64"/>
      </patternFill>
    </fill>
  </fills>
  <borders count="1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2">
    <xf numFmtId="0" fontId="0" fillId="0" borderId="0" xfId="0"/>
    <xf numFmtId="0" fontId="2" fillId="0" borderId="0" xfId="0" applyFont="1" applyBorder="1"/>
    <xf numFmtId="0" fontId="2" fillId="0" borderId="0" xfId="0" applyFont="1"/>
    <xf numFmtId="43" fontId="2" fillId="0" borderId="0" xfId="1" applyFont="1"/>
    <xf numFmtId="0" fontId="2" fillId="0" borderId="1" xfId="0" applyFont="1" applyFill="1" applyBorder="1"/>
    <xf numFmtId="164" fontId="2" fillId="0" borderId="2" xfId="1" applyNumberFormat="1" applyFont="1" applyFill="1" applyBorder="1"/>
    <xf numFmtId="43" fontId="2" fillId="0" borderId="3" xfId="1" applyFont="1" applyFill="1" applyBorder="1"/>
    <xf numFmtId="165" fontId="2" fillId="0" borderId="0" xfId="0" applyNumberFormat="1" applyFont="1" applyAlignment="1">
      <alignment horizontal="center"/>
    </xf>
    <xf numFmtId="0" fontId="2" fillId="0" borderId="4" xfId="0" applyFont="1" applyFill="1" applyBorder="1"/>
    <xf numFmtId="166" fontId="2" fillId="0" borderId="0" xfId="3" applyNumberFormat="1" applyFont="1" applyFill="1" applyBorder="1"/>
    <xf numFmtId="43" fontId="2" fillId="0" borderId="5" xfId="1" applyFont="1" applyFill="1" applyBorder="1"/>
    <xf numFmtId="0" fontId="2" fillId="0" borderId="0" xfId="0" applyFont="1" applyAlignment="1">
      <alignment horizontal="left"/>
    </xf>
    <xf numFmtId="10" fontId="2" fillId="0" borderId="0" xfId="3" applyNumberFormat="1" applyFont="1" applyFill="1" applyBorder="1"/>
    <xf numFmtId="10" fontId="2" fillId="0" borderId="5" xfId="3" applyNumberFormat="1" applyFont="1" applyFill="1" applyBorder="1"/>
    <xf numFmtId="165" fontId="2" fillId="0" borderId="0" xfId="0" applyNumberFormat="1" applyFont="1" applyAlignment="1">
      <alignment horizontal="left"/>
    </xf>
    <xf numFmtId="164" fontId="2" fillId="0" borderId="0" xfId="1" applyNumberFormat="1" applyFont="1" applyFill="1" applyBorder="1"/>
    <xf numFmtId="0" fontId="2" fillId="0" borderId="6" xfId="0" applyFont="1" applyFill="1" applyBorder="1"/>
    <xf numFmtId="164" fontId="2" fillId="0" borderId="7" xfId="0" applyNumberFormat="1" applyFont="1" applyFill="1" applyBorder="1"/>
    <xf numFmtId="43" fontId="2" fillId="0" borderId="8" xfId="1" applyFont="1" applyFill="1" applyBorder="1"/>
    <xf numFmtId="0" fontId="2" fillId="0" borderId="0" xfId="0" applyFont="1" applyFill="1" applyBorder="1"/>
    <xf numFmtId="0" fontId="2" fillId="0" borderId="0" xfId="0" applyFont="1" applyFill="1" applyBorder="1" applyAlignment="1">
      <alignment horizontal="left"/>
    </xf>
    <xf numFmtId="43" fontId="2" fillId="0" borderId="0" xfId="1" applyFont="1" applyFill="1" applyBorder="1"/>
    <xf numFmtId="0" fontId="2" fillId="0" borderId="0" xfId="0" applyFont="1" applyFill="1"/>
    <xf numFmtId="165" fontId="2" fillId="0" borderId="0" xfId="0" applyNumberFormat="1" applyFont="1" applyFill="1" applyAlignment="1">
      <alignment horizontal="center"/>
    </xf>
    <xf numFmtId="0" fontId="4" fillId="0" borderId="9" xfId="0" applyFont="1" applyBorder="1" applyAlignment="1">
      <alignment horizontal="center"/>
    </xf>
    <xf numFmtId="43" fontId="4" fillId="0" borderId="9" xfId="1" applyFont="1" applyBorder="1" applyAlignment="1">
      <alignment horizontal="center"/>
    </xf>
    <xf numFmtId="165" fontId="4" fillId="0" borderId="9" xfId="0" applyNumberFormat="1" applyFont="1" applyBorder="1" applyAlignment="1">
      <alignment horizontal="center"/>
    </xf>
    <xf numFmtId="0" fontId="4" fillId="0" borderId="0" xfId="0" applyFont="1" applyBorder="1" applyAlignment="1">
      <alignment horizontal="center"/>
    </xf>
    <xf numFmtId="0" fontId="5" fillId="0" borderId="0" xfId="0" applyFont="1" applyBorder="1" applyAlignment="1">
      <alignment horizontal="center"/>
    </xf>
    <xf numFmtId="0" fontId="3" fillId="0" borderId="0" xfId="1" applyNumberFormat="1" applyFont="1" applyBorder="1" applyAlignment="1"/>
    <xf numFmtId="4" fontId="3" fillId="0" borderId="0" xfId="0" applyNumberFormat="1" applyFont="1"/>
    <xf numFmtId="4" fontId="3" fillId="0" borderId="0" xfId="1" applyNumberFormat="1" applyFont="1" applyBorder="1" applyAlignment="1">
      <alignment horizontal="center"/>
    </xf>
    <xf numFmtId="4" fontId="3" fillId="0" borderId="0" xfId="0" applyNumberFormat="1" applyFont="1" applyBorder="1" applyAlignment="1">
      <alignment horizontal="center"/>
    </xf>
    <xf numFmtId="164" fontId="3" fillId="0" borderId="0" xfId="1" applyNumberFormat="1" applyFont="1" applyBorder="1"/>
    <xf numFmtId="0" fontId="3" fillId="0" borderId="0" xfId="1" applyNumberFormat="1" applyFont="1" applyFill="1"/>
    <xf numFmtId="4" fontId="3" fillId="0" borderId="0" xfId="0" applyNumberFormat="1" applyFont="1" applyFill="1"/>
    <xf numFmtId="4" fontId="3" fillId="0" borderId="0" xfId="2" applyNumberFormat="1" applyFont="1" applyFill="1" applyAlignment="1">
      <alignment horizontal="center"/>
    </xf>
    <xf numFmtId="6" fontId="2" fillId="0" borderId="0" xfId="2" applyNumberFormat="1" applyFont="1" applyFill="1" applyBorder="1"/>
    <xf numFmtId="0" fontId="3" fillId="0" borderId="0" xfId="0" applyFont="1" applyFill="1"/>
    <xf numFmtId="0" fontId="3" fillId="0" borderId="0" xfId="1" applyNumberFormat="1" applyFont="1" applyFill="1" applyBorder="1"/>
    <xf numFmtId="164" fontId="3" fillId="0" borderId="0" xfId="0" applyNumberFormat="1" applyFont="1" applyBorder="1"/>
    <xf numFmtId="44" fontId="2" fillId="0" borderId="0" xfId="2" applyFont="1" applyFill="1" applyBorder="1"/>
    <xf numFmtId="164" fontId="2" fillId="0" borderId="0" xfId="1" applyNumberFormat="1" applyFont="1"/>
    <xf numFmtId="4" fontId="2" fillId="0" borderId="0" xfId="2" applyNumberFormat="1" applyFont="1" applyAlignment="1">
      <alignment horizontal="center"/>
    </xf>
    <xf numFmtId="4" fontId="2" fillId="0" borderId="0" xfId="2" applyNumberFormat="1" applyFont="1" applyBorder="1"/>
    <xf numFmtId="44" fontId="2" fillId="0" borderId="0" xfId="2" applyFont="1" applyBorder="1"/>
    <xf numFmtId="4" fontId="0" fillId="0" borderId="0" xfId="0" applyNumberFormat="1"/>
    <xf numFmtId="4" fontId="2" fillId="0" borderId="0" xfId="1" applyNumberFormat="1" applyFont="1" applyAlignment="1">
      <alignment horizontal="center"/>
    </xf>
    <xf numFmtId="4" fontId="2" fillId="0" borderId="0" xfId="1" applyNumberFormat="1" applyFont="1" applyBorder="1"/>
    <xf numFmtId="4" fontId="2" fillId="0" borderId="0" xfId="0" applyNumberFormat="1" applyFont="1"/>
    <xf numFmtId="4" fontId="2" fillId="0" borderId="0" xfId="0" applyNumberFormat="1" applyFont="1" applyAlignment="1">
      <alignment horizontal="center"/>
    </xf>
    <xf numFmtId="4" fontId="2" fillId="0" borderId="0" xfId="0" applyNumberFormat="1" applyFont="1" applyBorder="1"/>
    <xf numFmtId="4" fontId="2" fillId="0" borderId="0" xfId="1" applyNumberFormat="1" applyFont="1"/>
    <xf numFmtId="3" fontId="2" fillId="0" borderId="0" xfId="0" applyNumberFormat="1" applyFont="1" applyAlignment="1">
      <alignment horizontal="left"/>
    </xf>
    <xf numFmtId="0" fontId="5" fillId="0" borderId="0" xfId="0" applyFont="1"/>
    <xf numFmtId="10" fontId="2" fillId="0" borderId="0" xfId="0" applyNumberFormat="1" applyFont="1" applyAlignment="1">
      <alignment horizontal="left"/>
    </xf>
    <xf numFmtId="10" fontId="2" fillId="0" borderId="0" xfId="0" applyNumberFormat="1" applyFont="1" applyFill="1" applyBorder="1"/>
    <xf numFmtId="0" fontId="5" fillId="0" borderId="9" xfId="0" applyFont="1" applyBorder="1" applyAlignment="1">
      <alignment horizontal="center"/>
    </xf>
    <xf numFmtId="43" fontId="5" fillId="0" borderId="9" xfId="1" applyFont="1" applyBorder="1" applyAlignment="1">
      <alignment horizontal="center"/>
    </xf>
    <xf numFmtId="4" fontId="5" fillId="0" borderId="9" xfId="0" applyNumberFormat="1" applyFont="1" applyBorder="1" applyAlignment="1">
      <alignment horizontal="center"/>
    </xf>
    <xf numFmtId="165" fontId="5" fillId="0" borderId="9" xfId="0" applyNumberFormat="1" applyFont="1" applyBorder="1" applyAlignment="1">
      <alignment horizontal="center"/>
    </xf>
    <xf numFmtId="0" fontId="3" fillId="0" borderId="0" xfId="0" applyFont="1"/>
    <xf numFmtId="4" fontId="0" fillId="0" borderId="0" xfId="0" applyNumberFormat="1" applyAlignment="1"/>
    <xf numFmtId="10" fontId="0" fillId="0" borderId="0" xfId="0" applyNumberFormat="1"/>
    <xf numFmtId="9" fontId="0" fillId="0" borderId="0" xfId="0" applyNumberFormat="1"/>
    <xf numFmtId="8" fontId="0" fillId="0" borderId="0" xfId="0" applyNumberFormat="1"/>
    <xf numFmtId="10" fontId="0" fillId="0" borderId="0" xfId="3" applyNumberFormat="1" applyFont="1"/>
    <xf numFmtId="0" fontId="5" fillId="0" borderId="9" xfId="0" applyFont="1" applyBorder="1" applyAlignment="1">
      <alignment horizontal="center" wrapText="1"/>
    </xf>
    <xf numFmtId="43" fontId="5" fillId="0" borderId="9" xfId="1" applyFont="1" applyBorder="1" applyAlignment="1">
      <alignment horizontal="center" wrapText="1"/>
    </xf>
    <xf numFmtId="4" fontId="5" fillId="0" borderId="9" xfId="0" applyNumberFormat="1" applyFont="1" applyBorder="1" applyAlignment="1">
      <alignment horizontal="center" wrapText="1"/>
    </xf>
    <xf numFmtId="165" fontId="5" fillId="0" borderId="9" xfId="0" applyNumberFormat="1" applyFont="1" applyBorder="1" applyAlignment="1">
      <alignment horizontal="center" wrapText="1"/>
    </xf>
    <xf numFmtId="0" fontId="5" fillId="0" borderId="0" xfId="0" applyFont="1" applyAlignment="1">
      <alignment horizontal="center" wrapText="1"/>
    </xf>
    <xf numFmtId="164" fontId="2" fillId="0" borderId="0" xfId="0" applyNumberFormat="1" applyFont="1" applyFill="1" applyBorder="1"/>
    <xf numFmtId="0" fontId="2" fillId="0" borderId="5" xfId="0" applyFont="1" applyFill="1" applyBorder="1"/>
    <xf numFmtId="0" fontId="2" fillId="0" borderId="7" xfId="0" applyFont="1" applyFill="1" applyBorder="1" applyAlignment="1">
      <alignment horizontal="left"/>
    </xf>
    <xf numFmtId="14" fontId="2" fillId="0" borderId="7" xfId="0" applyNumberFormat="1" applyFont="1" applyFill="1" applyBorder="1"/>
    <xf numFmtId="0" fontId="4" fillId="2" borderId="9" xfId="0" applyFont="1" applyFill="1" applyBorder="1" applyAlignment="1">
      <alignment horizontal="center"/>
    </xf>
    <xf numFmtId="0" fontId="4" fillId="3" borderId="9" xfId="0" applyFont="1" applyFill="1" applyBorder="1" applyAlignment="1">
      <alignment horizontal="center"/>
    </xf>
    <xf numFmtId="165" fontId="4" fillId="2" borderId="9" xfId="0" applyNumberFormat="1" applyFont="1" applyFill="1" applyBorder="1" applyAlignment="1">
      <alignment horizontal="center"/>
    </xf>
    <xf numFmtId="165" fontId="4" fillId="3" borderId="9" xfId="0" applyNumberFormat="1" applyFont="1" applyFill="1" applyBorder="1" applyAlignment="1">
      <alignment horizontal="center"/>
    </xf>
    <xf numFmtId="14" fontId="3" fillId="0" borderId="0" xfId="1" applyNumberFormat="1" applyFont="1" applyFill="1"/>
    <xf numFmtId="0" fontId="3" fillId="2" borderId="0" xfId="0" applyFont="1" applyFill="1"/>
    <xf numFmtId="4" fontId="0" fillId="3" borderId="0" xfId="0" applyNumberFormat="1" applyFill="1"/>
    <xf numFmtId="4" fontId="3" fillId="2" borderId="0" xfId="0" applyNumberFormat="1" applyFont="1" applyFill="1" applyBorder="1" applyAlignment="1">
      <alignment horizontal="center"/>
    </xf>
    <xf numFmtId="4" fontId="3" fillId="3" borderId="0" xfId="0" applyNumberFormat="1" applyFont="1" applyFill="1" applyBorder="1" applyAlignment="1">
      <alignment horizontal="center"/>
    </xf>
    <xf numFmtId="0" fontId="3" fillId="3" borderId="0" xfId="0" applyFont="1" applyFill="1"/>
    <xf numFmtId="4" fontId="3" fillId="2" borderId="0" xfId="2" applyNumberFormat="1" applyFont="1" applyFill="1" applyAlignment="1">
      <alignment horizontal="center"/>
    </xf>
    <xf numFmtId="4" fontId="3" fillId="3" borderId="0" xfId="2" applyNumberFormat="1" applyFont="1" applyFill="1" applyAlignment="1">
      <alignment horizontal="center"/>
    </xf>
    <xf numFmtId="0" fontId="2" fillId="4" borderId="0" xfId="0" applyFont="1" applyFill="1" applyBorder="1"/>
    <xf numFmtId="0" fontId="2" fillId="3" borderId="0" xfId="0" applyFont="1" applyFill="1" applyBorder="1"/>
    <xf numFmtId="4" fontId="2" fillId="4" borderId="0" xfId="2" applyNumberFormat="1" applyFont="1" applyFill="1" applyBorder="1"/>
    <xf numFmtId="4" fontId="2" fillId="3" borderId="0" xfId="2" applyNumberFormat="1" applyFont="1" applyFill="1" applyBorder="1"/>
  </cellXfs>
  <cellStyles count="4">
    <cellStyle name="Comma" xfId="1" builtinId="3"/>
    <cellStyle name="Currency" xfId="2" builtinId="4"/>
    <cellStyle name="Normal" xfId="0" builtinId="0"/>
    <cellStyle name="Percent" xfId="3" builtinId="5"/>
  </cellStyles>
  <dxfs count="2">
    <dxf>
      <font>
        <b val="0"/>
        <i val="0"/>
        <condense val="0"/>
        <extend val="0"/>
        <color indexed="9"/>
      </font>
    </dxf>
    <dxf>
      <font>
        <b val="0"/>
        <i val="0"/>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6</xdr:col>
      <xdr:colOff>685800</xdr:colOff>
      <xdr:row>3</xdr:row>
      <xdr:rowOff>95250</xdr:rowOff>
    </xdr:to>
    <xdr:pic>
      <xdr:nvPicPr>
        <xdr:cNvPr id="3" name="Picture 2" descr="Kahr Real Estate Servic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0150" y="200025"/>
          <a:ext cx="18097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781050</xdr:colOff>
      <xdr:row>3</xdr:row>
      <xdr:rowOff>104775</xdr:rowOff>
    </xdr:to>
    <xdr:pic>
      <xdr:nvPicPr>
        <xdr:cNvPr id="3" name="Picture 2" descr="Kahr Real Estate Servic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18097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781050</xdr:colOff>
      <xdr:row>3</xdr:row>
      <xdr:rowOff>104775</xdr:rowOff>
    </xdr:to>
    <xdr:pic>
      <xdr:nvPicPr>
        <xdr:cNvPr id="3" name="Picture 2" descr="Kahr Real Estate Servic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18097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781050</xdr:colOff>
      <xdr:row>3</xdr:row>
      <xdr:rowOff>104775</xdr:rowOff>
    </xdr:to>
    <xdr:pic>
      <xdr:nvPicPr>
        <xdr:cNvPr id="3" name="Picture 2" descr="Kahr Real Estate Servic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18097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2</xdr:col>
      <xdr:colOff>247650</xdr:colOff>
      <xdr:row>10</xdr:row>
      <xdr:rowOff>104775</xdr:rowOff>
    </xdr:to>
    <xdr:pic>
      <xdr:nvPicPr>
        <xdr:cNvPr id="3" name="Picture 2" descr="Kahr Real Estate Servic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62100"/>
          <a:ext cx="18097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3"/>
  <sheetViews>
    <sheetView tabSelected="1" workbookViewId="0">
      <selection activeCell="I10" sqref="I10"/>
    </sheetView>
  </sheetViews>
  <sheetFormatPr defaultRowHeight="15" x14ac:dyDescent="0.25"/>
  <cols>
    <col min="2" max="2" width="15.42578125" customWidth="1"/>
    <col min="3" max="6" width="16.85546875" style="46" customWidth="1"/>
    <col min="7" max="7" width="13.140625" style="46" customWidth="1"/>
    <col min="258" max="258" width="15.42578125" customWidth="1"/>
    <col min="259" max="262" width="16.85546875" customWidth="1"/>
    <col min="263" max="263" width="13.140625" customWidth="1"/>
    <col min="514" max="514" width="15.42578125" customWidth="1"/>
    <col min="515" max="518" width="16.85546875" customWidth="1"/>
    <col min="519" max="519" width="13.140625" customWidth="1"/>
    <col min="770" max="770" width="15.42578125" customWidth="1"/>
    <col min="771" max="774" width="16.85546875" customWidth="1"/>
    <col min="775" max="775" width="13.140625" customWidth="1"/>
    <col min="1026" max="1026" width="15.42578125" customWidth="1"/>
    <col min="1027" max="1030" width="16.85546875" customWidth="1"/>
    <col min="1031" max="1031" width="13.140625" customWidth="1"/>
    <col min="1282" max="1282" width="15.42578125" customWidth="1"/>
    <col min="1283" max="1286" width="16.85546875" customWidth="1"/>
    <col min="1287" max="1287" width="13.140625" customWidth="1"/>
    <col min="1538" max="1538" width="15.42578125" customWidth="1"/>
    <col min="1539" max="1542" width="16.85546875" customWidth="1"/>
    <col min="1543" max="1543" width="13.140625" customWidth="1"/>
    <col min="1794" max="1794" width="15.42578125" customWidth="1"/>
    <col min="1795" max="1798" width="16.85546875" customWidth="1"/>
    <col min="1799" max="1799" width="13.140625" customWidth="1"/>
    <col min="2050" max="2050" width="15.42578125" customWidth="1"/>
    <col min="2051" max="2054" width="16.85546875" customWidth="1"/>
    <col min="2055" max="2055" width="13.140625" customWidth="1"/>
    <col min="2306" max="2306" width="15.42578125" customWidth="1"/>
    <col min="2307" max="2310" width="16.85546875" customWidth="1"/>
    <col min="2311" max="2311" width="13.140625" customWidth="1"/>
    <col min="2562" max="2562" width="15.42578125" customWidth="1"/>
    <col min="2563" max="2566" width="16.85546875" customWidth="1"/>
    <col min="2567" max="2567" width="13.140625" customWidth="1"/>
    <col min="2818" max="2818" width="15.42578125" customWidth="1"/>
    <col min="2819" max="2822" width="16.85546875" customWidth="1"/>
    <col min="2823" max="2823" width="13.140625" customWidth="1"/>
    <col min="3074" max="3074" width="15.42578125" customWidth="1"/>
    <col min="3075" max="3078" width="16.85546875" customWidth="1"/>
    <col min="3079" max="3079" width="13.140625" customWidth="1"/>
    <col min="3330" max="3330" width="15.42578125" customWidth="1"/>
    <col min="3331" max="3334" width="16.85546875" customWidth="1"/>
    <col min="3335" max="3335" width="13.140625" customWidth="1"/>
    <col min="3586" max="3586" width="15.42578125" customWidth="1"/>
    <col min="3587" max="3590" width="16.85546875" customWidth="1"/>
    <col min="3591" max="3591" width="13.140625" customWidth="1"/>
    <col min="3842" max="3842" width="15.42578125" customWidth="1"/>
    <col min="3843" max="3846" width="16.85546875" customWidth="1"/>
    <col min="3847" max="3847" width="13.140625" customWidth="1"/>
    <col min="4098" max="4098" width="15.42578125" customWidth="1"/>
    <col min="4099" max="4102" width="16.85546875" customWidth="1"/>
    <col min="4103" max="4103" width="13.140625" customWidth="1"/>
    <col min="4354" max="4354" width="15.42578125" customWidth="1"/>
    <col min="4355" max="4358" width="16.85546875" customWidth="1"/>
    <col min="4359" max="4359" width="13.140625" customWidth="1"/>
    <col min="4610" max="4610" width="15.42578125" customWidth="1"/>
    <col min="4611" max="4614" width="16.85546875" customWidth="1"/>
    <col min="4615" max="4615" width="13.140625" customWidth="1"/>
    <col min="4866" max="4866" width="15.42578125" customWidth="1"/>
    <col min="4867" max="4870" width="16.85546875" customWidth="1"/>
    <col min="4871" max="4871" width="13.140625" customWidth="1"/>
    <col min="5122" max="5122" width="15.42578125" customWidth="1"/>
    <col min="5123" max="5126" width="16.85546875" customWidth="1"/>
    <col min="5127" max="5127" width="13.140625" customWidth="1"/>
    <col min="5378" max="5378" width="15.42578125" customWidth="1"/>
    <col min="5379" max="5382" width="16.85546875" customWidth="1"/>
    <col min="5383" max="5383" width="13.140625" customWidth="1"/>
    <col min="5634" max="5634" width="15.42578125" customWidth="1"/>
    <col min="5635" max="5638" width="16.85546875" customWidth="1"/>
    <col min="5639" max="5639" width="13.140625" customWidth="1"/>
    <col min="5890" max="5890" width="15.42578125" customWidth="1"/>
    <col min="5891" max="5894" width="16.85546875" customWidth="1"/>
    <col min="5895" max="5895" width="13.140625" customWidth="1"/>
    <col min="6146" max="6146" width="15.42578125" customWidth="1"/>
    <col min="6147" max="6150" width="16.85546875" customWidth="1"/>
    <col min="6151" max="6151" width="13.140625" customWidth="1"/>
    <col min="6402" max="6402" width="15.42578125" customWidth="1"/>
    <col min="6403" max="6406" width="16.85546875" customWidth="1"/>
    <col min="6407" max="6407" width="13.140625" customWidth="1"/>
    <col min="6658" max="6658" width="15.42578125" customWidth="1"/>
    <col min="6659" max="6662" width="16.85546875" customWidth="1"/>
    <col min="6663" max="6663" width="13.140625" customWidth="1"/>
    <col min="6914" max="6914" width="15.42578125" customWidth="1"/>
    <col min="6915" max="6918" width="16.85546875" customWidth="1"/>
    <col min="6919" max="6919" width="13.140625" customWidth="1"/>
    <col min="7170" max="7170" width="15.42578125" customWidth="1"/>
    <col min="7171" max="7174" width="16.85546875" customWidth="1"/>
    <col min="7175" max="7175" width="13.140625" customWidth="1"/>
    <col min="7426" max="7426" width="15.42578125" customWidth="1"/>
    <col min="7427" max="7430" width="16.85546875" customWidth="1"/>
    <col min="7431" max="7431" width="13.140625" customWidth="1"/>
    <col min="7682" max="7682" width="15.42578125" customWidth="1"/>
    <col min="7683" max="7686" width="16.85546875" customWidth="1"/>
    <col min="7687" max="7687" width="13.140625" customWidth="1"/>
    <col min="7938" max="7938" width="15.42578125" customWidth="1"/>
    <col min="7939" max="7942" width="16.85546875" customWidth="1"/>
    <col min="7943" max="7943" width="13.140625" customWidth="1"/>
    <col min="8194" max="8194" width="15.42578125" customWidth="1"/>
    <col min="8195" max="8198" width="16.85546875" customWidth="1"/>
    <col min="8199" max="8199" width="13.140625" customWidth="1"/>
    <col min="8450" max="8450" width="15.42578125" customWidth="1"/>
    <col min="8451" max="8454" width="16.85546875" customWidth="1"/>
    <col min="8455" max="8455" width="13.140625" customWidth="1"/>
    <col min="8706" max="8706" width="15.42578125" customWidth="1"/>
    <col min="8707" max="8710" width="16.85546875" customWidth="1"/>
    <col min="8711" max="8711" width="13.140625" customWidth="1"/>
    <col min="8962" max="8962" width="15.42578125" customWidth="1"/>
    <col min="8963" max="8966" width="16.85546875" customWidth="1"/>
    <col min="8967" max="8967" width="13.140625" customWidth="1"/>
    <col min="9218" max="9218" width="15.42578125" customWidth="1"/>
    <col min="9219" max="9222" width="16.85546875" customWidth="1"/>
    <col min="9223" max="9223" width="13.140625" customWidth="1"/>
    <col min="9474" max="9474" width="15.42578125" customWidth="1"/>
    <col min="9475" max="9478" width="16.85546875" customWidth="1"/>
    <col min="9479" max="9479" width="13.140625" customWidth="1"/>
    <col min="9730" max="9730" width="15.42578125" customWidth="1"/>
    <col min="9731" max="9734" width="16.85546875" customWidth="1"/>
    <col min="9735" max="9735" width="13.140625" customWidth="1"/>
    <col min="9986" max="9986" width="15.42578125" customWidth="1"/>
    <col min="9987" max="9990" width="16.85546875" customWidth="1"/>
    <col min="9991" max="9991" width="13.140625" customWidth="1"/>
    <col min="10242" max="10242" width="15.42578125" customWidth="1"/>
    <col min="10243" max="10246" width="16.85546875" customWidth="1"/>
    <col min="10247" max="10247" width="13.140625" customWidth="1"/>
    <col min="10498" max="10498" width="15.42578125" customWidth="1"/>
    <col min="10499" max="10502" width="16.85546875" customWidth="1"/>
    <col min="10503" max="10503" width="13.140625" customWidth="1"/>
    <col min="10754" max="10754" width="15.42578125" customWidth="1"/>
    <col min="10755" max="10758" width="16.85546875" customWidth="1"/>
    <col min="10759" max="10759" width="13.140625" customWidth="1"/>
    <col min="11010" max="11010" width="15.42578125" customWidth="1"/>
    <col min="11011" max="11014" width="16.85546875" customWidth="1"/>
    <col min="11015" max="11015" width="13.140625" customWidth="1"/>
    <col min="11266" max="11266" width="15.42578125" customWidth="1"/>
    <col min="11267" max="11270" width="16.85546875" customWidth="1"/>
    <col min="11271" max="11271" width="13.140625" customWidth="1"/>
    <col min="11522" max="11522" width="15.42578125" customWidth="1"/>
    <col min="11523" max="11526" width="16.85546875" customWidth="1"/>
    <col min="11527" max="11527" width="13.140625" customWidth="1"/>
    <col min="11778" max="11778" width="15.42578125" customWidth="1"/>
    <col min="11779" max="11782" width="16.85546875" customWidth="1"/>
    <col min="11783" max="11783" width="13.140625" customWidth="1"/>
    <col min="12034" max="12034" width="15.42578125" customWidth="1"/>
    <col min="12035" max="12038" width="16.85546875" customWidth="1"/>
    <col min="12039" max="12039" width="13.140625" customWidth="1"/>
    <col min="12290" max="12290" width="15.42578125" customWidth="1"/>
    <col min="12291" max="12294" width="16.85546875" customWidth="1"/>
    <col min="12295" max="12295" width="13.140625" customWidth="1"/>
    <col min="12546" max="12546" width="15.42578125" customWidth="1"/>
    <col min="12547" max="12550" width="16.85546875" customWidth="1"/>
    <col min="12551" max="12551" width="13.140625" customWidth="1"/>
    <col min="12802" max="12802" width="15.42578125" customWidth="1"/>
    <col min="12803" max="12806" width="16.85546875" customWidth="1"/>
    <col min="12807" max="12807" width="13.140625" customWidth="1"/>
    <col min="13058" max="13058" width="15.42578125" customWidth="1"/>
    <col min="13059" max="13062" width="16.85546875" customWidth="1"/>
    <col min="13063" max="13063" width="13.140625" customWidth="1"/>
    <col min="13314" max="13314" width="15.42578125" customWidth="1"/>
    <col min="13315" max="13318" width="16.85546875" customWidth="1"/>
    <col min="13319" max="13319" width="13.140625" customWidth="1"/>
    <col min="13570" max="13570" width="15.42578125" customWidth="1"/>
    <col min="13571" max="13574" width="16.85546875" customWidth="1"/>
    <col min="13575" max="13575" width="13.140625" customWidth="1"/>
    <col min="13826" max="13826" width="15.42578125" customWidth="1"/>
    <col min="13827" max="13830" width="16.85546875" customWidth="1"/>
    <col min="13831" max="13831" width="13.140625" customWidth="1"/>
    <col min="14082" max="14082" width="15.42578125" customWidth="1"/>
    <col min="14083" max="14086" width="16.85546875" customWidth="1"/>
    <col min="14087" max="14087" width="13.140625" customWidth="1"/>
    <col min="14338" max="14338" width="15.42578125" customWidth="1"/>
    <col min="14339" max="14342" width="16.85546875" customWidth="1"/>
    <col min="14343" max="14343" width="13.140625" customWidth="1"/>
    <col min="14594" max="14594" width="15.42578125" customWidth="1"/>
    <col min="14595" max="14598" width="16.85546875" customWidth="1"/>
    <col min="14599" max="14599" width="13.140625" customWidth="1"/>
    <col min="14850" max="14850" width="15.42578125" customWidth="1"/>
    <col min="14851" max="14854" width="16.85546875" customWidth="1"/>
    <col min="14855" max="14855" width="13.140625" customWidth="1"/>
    <col min="15106" max="15106" width="15.42578125" customWidth="1"/>
    <col min="15107" max="15110" width="16.85546875" customWidth="1"/>
    <col min="15111" max="15111" width="13.140625" customWidth="1"/>
    <col min="15362" max="15362" width="15.42578125" customWidth="1"/>
    <col min="15363" max="15366" width="16.85546875" customWidth="1"/>
    <col min="15367" max="15367" width="13.140625" customWidth="1"/>
    <col min="15618" max="15618" width="15.42578125" customWidth="1"/>
    <col min="15619" max="15622" width="16.85546875" customWidth="1"/>
    <col min="15623" max="15623" width="13.140625" customWidth="1"/>
    <col min="15874" max="15874" width="15.42578125" customWidth="1"/>
    <col min="15875" max="15878" width="16.85546875" customWidth="1"/>
    <col min="15879" max="15879" width="13.140625" customWidth="1"/>
    <col min="16130" max="16130" width="15.42578125" customWidth="1"/>
    <col min="16131" max="16134" width="16.85546875" customWidth="1"/>
    <col min="16135" max="16135" width="13.140625" customWidth="1"/>
  </cols>
  <sheetData>
    <row r="1" spans="1:8" ht="15.75" thickBot="1" x14ac:dyDescent="0.3">
      <c r="A1" s="1"/>
      <c r="B1" s="2"/>
      <c r="C1" s="2"/>
      <c r="D1" s="3"/>
      <c r="E1" s="2"/>
      <c r="F1"/>
      <c r="G1" s="1"/>
      <c r="H1" s="1"/>
    </row>
    <row r="2" spans="1:8" ht="15.75" thickTop="1" x14ac:dyDescent="0.25">
      <c r="A2" s="1"/>
      <c r="B2" s="4" t="s">
        <v>0</v>
      </c>
      <c r="C2" s="5">
        <v>1000000</v>
      </c>
      <c r="D2" s="6"/>
      <c r="E2" s="2"/>
      <c r="F2" s="7"/>
      <c r="G2" s="1"/>
      <c r="H2" s="1"/>
    </row>
    <row r="3" spans="1:8" x14ac:dyDescent="0.25">
      <c r="A3" s="1"/>
      <c r="B3" s="8" t="s">
        <v>1</v>
      </c>
      <c r="C3" s="9">
        <v>0.06</v>
      </c>
      <c r="D3" s="10"/>
      <c r="E3" s="2"/>
      <c r="F3" s="11"/>
      <c r="G3" s="1"/>
      <c r="H3" s="1"/>
    </row>
    <row r="4" spans="1:8" x14ac:dyDescent="0.25">
      <c r="A4" s="1"/>
      <c r="B4" s="8" t="s">
        <v>2</v>
      </c>
      <c r="C4" s="12">
        <f>C3/12</f>
        <v>5.0000000000000001E-3</v>
      </c>
      <c r="D4" s="13">
        <f>(1+C3)^(1/12)-1</f>
        <v>4.8675505653430484E-3</v>
      </c>
      <c r="E4" s="2"/>
      <c r="G4" s="1"/>
      <c r="H4" s="1"/>
    </row>
    <row r="5" spans="1:8" x14ac:dyDescent="0.25">
      <c r="A5" s="1"/>
      <c r="B5" s="8" t="s">
        <v>4</v>
      </c>
      <c r="C5" s="15">
        <v>25</v>
      </c>
      <c r="D5" s="13"/>
      <c r="E5" s="2"/>
      <c r="F5" s="14" t="s">
        <v>3</v>
      </c>
      <c r="G5" s="1"/>
      <c r="H5" s="1"/>
    </row>
    <row r="6" spans="1:8" ht="15.75" thickBot="1" x14ac:dyDescent="0.3">
      <c r="A6" s="1"/>
      <c r="B6" s="16" t="s">
        <v>5</v>
      </c>
      <c r="C6" s="17">
        <f>C5*12</f>
        <v>300</v>
      </c>
      <c r="D6" s="18"/>
      <c r="E6" s="2"/>
      <c r="F6" s="7"/>
      <c r="G6" s="1"/>
      <c r="H6" s="1"/>
    </row>
    <row r="7" spans="1:8" ht="15.75" thickTop="1" x14ac:dyDescent="0.25">
      <c r="A7" s="19"/>
      <c r="B7" s="20"/>
      <c r="C7" s="19"/>
      <c r="D7" s="21"/>
      <c r="E7" s="22"/>
      <c r="F7" s="23"/>
      <c r="G7" s="19"/>
      <c r="H7" s="19"/>
    </row>
    <row r="8" spans="1:8" x14ac:dyDescent="0.25">
      <c r="A8" s="19"/>
      <c r="B8" s="19"/>
      <c r="C8" s="19"/>
      <c r="D8" s="21"/>
      <c r="E8" s="22"/>
      <c r="F8" s="23"/>
      <c r="G8" s="19"/>
      <c r="H8" s="19"/>
    </row>
    <row r="9" spans="1:8" x14ac:dyDescent="0.25">
      <c r="A9" s="19"/>
      <c r="B9" s="19" t="s">
        <v>45</v>
      </c>
      <c r="C9" s="19"/>
      <c r="D9" s="21"/>
      <c r="E9" s="22"/>
      <c r="F9" s="23"/>
      <c r="G9" s="19"/>
      <c r="H9" s="19"/>
    </row>
    <row r="10" spans="1:8" x14ac:dyDescent="0.25">
      <c r="A10" s="19"/>
      <c r="B10" s="19"/>
      <c r="C10" s="19"/>
      <c r="D10" s="21"/>
      <c r="E10" s="22"/>
      <c r="F10" s="23"/>
      <c r="G10" s="19"/>
      <c r="H10" s="19"/>
    </row>
    <row r="11" spans="1:8" x14ac:dyDescent="0.25">
      <c r="A11" s="19"/>
      <c r="B11" s="19"/>
      <c r="C11" s="19"/>
      <c r="D11" s="21"/>
      <c r="E11" s="22"/>
      <c r="F11" s="23"/>
      <c r="G11" s="19"/>
      <c r="H11" s="19"/>
    </row>
    <row r="12" spans="1:8" x14ac:dyDescent="0.25">
      <c r="A12" s="19"/>
      <c r="B12" s="19"/>
      <c r="C12" s="19"/>
      <c r="D12" s="21"/>
      <c r="E12" s="22"/>
      <c r="F12" s="23"/>
      <c r="G12" s="19"/>
      <c r="H12" s="19"/>
    </row>
    <row r="13" spans="1:8" x14ac:dyDescent="0.25">
      <c r="A13" s="1"/>
      <c r="B13" s="2"/>
      <c r="C13" s="2"/>
      <c r="D13" s="3"/>
      <c r="E13" s="2"/>
      <c r="F13" s="7"/>
      <c r="G13" s="1"/>
      <c r="H13" s="1"/>
    </row>
    <row r="14" spans="1:8" x14ac:dyDescent="0.25">
      <c r="A14" s="1"/>
      <c r="B14" s="2"/>
      <c r="C14" s="2"/>
      <c r="D14" s="3"/>
      <c r="E14" s="2"/>
      <c r="F14" s="7"/>
      <c r="G14" s="1"/>
      <c r="H14" s="1"/>
    </row>
    <row r="15" spans="1:8" ht="15.75" thickBot="1" x14ac:dyDescent="0.3">
      <c r="A15" s="24" t="s">
        <v>6</v>
      </c>
      <c r="B15" s="24" t="s">
        <v>7</v>
      </c>
      <c r="C15" s="24" t="s">
        <v>8</v>
      </c>
      <c r="D15" s="25" t="s">
        <v>9</v>
      </c>
      <c r="E15" s="24" t="s">
        <v>10</v>
      </c>
      <c r="F15" s="24" t="s">
        <v>11</v>
      </c>
      <c r="G15" s="26" t="s">
        <v>12</v>
      </c>
      <c r="H15" s="27"/>
    </row>
    <row r="16" spans="1:8" x14ac:dyDescent="0.25">
      <c r="A16" s="28"/>
      <c r="B16" s="29">
        <v>0</v>
      </c>
      <c r="C16" s="30"/>
      <c r="D16" s="31"/>
      <c r="E16" s="32"/>
      <c r="F16" s="32"/>
      <c r="G16" s="32">
        <f>C2</f>
        <v>1000000</v>
      </c>
      <c r="H16" s="27"/>
    </row>
    <row r="17" spans="1:8" s="38" customFormat="1" ht="12.75" x14ac:dyDescent="0.2">
      <c r="A17" s="33">
        <v>1</v>
      </c>
      <c r="B17" s="34">
        <v>1</v>
      </c>
      <c r="C17" s="35">
        <f>G16</f>
        <v>1000000</v>
      </c>
      <c r="D17" s="36">
        <f>PMT($C$4,$C$6,$C$2)</f>
        <v>-6443.0140148550854</v>
      </c>
      <c r="E17" s="36">
        <f>D17-F17</f>
        <v>-1443.0140148550854</v>
      </c>
      <c r="F17" s="36">
        <f>-G16*$C$4</f>
        <v>-5000</v>
      </c>
      <c r="G17" s="36">
        <f>C17+E17</f>
        <v>998556.98598514497</v>
      </c>
      <c r="H17" s="37"/>
    </row>
    <row r="18" spans="1:8" s="38" customFormat="1" ht="12.75" x14ac:dyDescent="0.2">
      <c r="A18" s="33">
        <v>1</v>
      </c>
      <c r="B18" s="34">
        <f t="shared" ref="B18:B81" si="0">+B17+1</f>
        <v>2</v>
      </c>
      <c r="C18" s="35">
        <f t="shared" ref="C18:C81" si="1">G17</f>
        <v>998556.98598514497</v>
      </c>
      <c r="D18" s="36">
        <f t="shared" ref="D18:D81" si="2">PMT($C$4,$C$6,$C$2)</f>
        <v>-6443.0140148550854</v>
      </c>
      <c r="E18" s="36">
        <f t="shared" ref="E18:E81" si="3">D18-F18</f>
        <v>-1450.2290849293604</v>
      </c>
      <c r="F18" s="36">
        <f t="shared" ref="F18:F81" si="4">-G17*$C$4</f>
        <v>-4992.784929925725</v>
      </c>
      <c r="G18" s="36">
        <f t="shared" ref="G18:G81" si="5">C18+E18</f>
        <v>997106.75690021564</v>
      </c>
      <c r="H18" s="37"/>
    </row>
    <row r="19" spans="1:8" s="38" customFormat="1" ht="12.75" x14ac:dyDescent="0.2">
      <c r="A19" s="33">
        <v>1</v>
      </c>
      <c r="B19" s="34">
        <f t="shared" si="0"/>
        <v>3</v>
      </c>
      <c r="C19" s="35">
        <f t="shared" si="1"/>
        <v>997106.75690021564</v>
      </c>
      <c r="D19" s="36">
        <f t="shared" si="2"/>
        <v>-6443.0140148550854</v>
      </c>
      <c r="E19" s="36">
        <f t="shared" si="3"/>
        <v>-1457.4802303540073</v>
      </c>
      <c r="F19" s="36">
        <f t="shared" si="4"/>
        <v>-4985.5337845010781</v>
      </c>
      <c r="G19" s="36">
        <f t="shared" si="5"/>
        <v>995649.27666986163</v>
      </c>
      <c r="H19" s="37"/>
    </row>
    <row r="20" spans="1:8" s="38" customFormat="1" ht="12.75" x14ac:dyDescent="0.2">
      <c r="A20" s="33">
        <v>1</v>
      </c>
      <c r="B20" s="34">
        <f t="shared" si="0"/>
        <v>4</v>
      </c>
      <c r="C20" s="35">
        <f t="shared" si="1"/>
        <v>995649.27666986163</v>
      </c>
      <c r="D20" s="36">
        <f t="shared" si="2"/>
        <v>-6443.0140148550854</v>
      </c>
      <c r="E20" s="36">
        <f t="shared" si="3"/>
        <v>-1464.767631505777</v>
      </c>
      <c r="F20" s="36">
        <f t="shared" si="4"/>
        <v>-4978.2463833493084</v>
      </c>
      <c r="G20" s="36">
        <f t="shared" si="5"/>
        <v>994184.5090383559</v>
      </c>
      <c r="H20" s="37"/>
    </row>
    <row r="21" spans="1:8" s="38" customFormat="1" ht="12.75" x14ac:dyDescent="0.2">
      <c r="A21" s="33">
        <v>1</v>
      </c>
      <c r="B21" s="34">
        <f t="shared" si="0"/>
        <v>5</v>
      </c>
      <c r="C21" s="35">
        <f t="shared" si="1"/>
        <v>994184.5090383559</v>
      </c>
      <c r="D21" s="36">
        <f t="shared" si="2"/>
        <v>-6443.0140148550854</v>
      </c>
      <c r="E21" s="36">
        <f t="shared" si="3"/>
        <v>-1472.0914696633054</v>
      </c>
      <c r="F21" s="36">
        <f t="shared" si="4"/>
        <v>-4970.92254519178</v>
      </c>
      <c r="G21" s="36">
        <f t="shared" si="5"/>
        <v>992712.41756869259</v>
      </c>
      <c r="H21" s="37"/>
    </row>
    <row r="22" spans="1:8" s="38" customFormat="1" ht="12.75" x14ac:dyDescent="0.2">
      <c r="A22" s="33">
        <v>1</v>
      </c>
      <c r="B22" s="39">
        <f t="shared" si="0"/>
        <v>6</v>
      </c>
      <c r="C22" s="35">
        <f t="shared" si="1"/>
        <v>992712.41756869259</v>
      </c>
      <c r="D22" s="36">
        <f t="shared" si="2"/>
        <v>-6443.0140148550854</v>
      </c>
      <c r="E22" s="36">
        <f t="shared" si="3"/>
        <v>-1479.4519270116225</v>
      </c>
      <c r="F22" s="36">
        <f t="shared" si="4"/>
        <v>-4963.5620878434629</v>
      </c>
      <c r="G22" s="36">
        <f t="shared" si="5"/>
        <v>991232.96564168099</v>
      </c>
      <c r="H22" s="37"/>
    </row>
    <row r="23" spans="1:8" s="38" customFormat="1" ht="12.75" x14ac:dyDescent="0.2">
      <c r="A23" s="33">
        <v>1</v>
      </c>
      <c r="B23" s="39">
        <f t="shared" si="0"/>
        <v>7</v>
      </c>
      <c r="C23" s="35">
        <f t="shared" si="1"/>
        <v>991232.96564168099</v>
      </c>
      <c r="D23" s="36">
        <f t="shared" si="2"/>
        <v>-6443.0140148550854</v>
      </c>
      <c r="E23" s="36">
        <f t="shared" si="3"/>
        <v>-1486.8491866466802</v>
      </c>
      <c r="F23" s="36">
        <f t="shared" si="4"/>
        <v>-4956.1648282084052</v>
      </c>
      <c r="G23" s="36">
        <f t="shared" si="5"/>
        <v>989746.11645503435</v>
      </c>
      <c r="H23" s="37"/>
    </row>
    <row r="24" spans="1:8" s="38" customFormat="1" ht="12.75" x14ac:dyDescent="0.2">
      <c r="A24" s="33">
        <v>1</v>
      </c>
      <c r="B24" s="39">
        <f t="shared" si="0"/>
        <v>8</v>
      </c>
      <c r="C24" s="35">
        <f t="shared" si="1"/>
        <v>989746.11645503435</v>
      </c>
      <c r="D24" s="36">
        <f t="shared" si="2"/>
        <v>-6443.0140148550854</v>
      </c>
      <c r="E24" s="36">
        <f t="shared" si="3"/>
        <v>-1494.2834325799131</v>
      </c>
      <c r="F24" s="36">
        <f t="shared" si="4"/>
        <v>-4948.7305822751723</v>
      </c>
      <c r="G24" s="36">
        <f t="shared" si="5"/>
        <v>988251.8330224544</v>
      </c>
      <c r="H24" s="37"/>
    </row>
    <row r="25" spans="1:8" s="38" customFormat="1" ht="12.75" x14ac:dyDescent="0.2">
      <c r="A25" s="33">
        <v>1</v>
      </c>
      <c r="B25" s="39">
        <f t="shared" si="0"/>
        <v>9</v>
      </c>
      <c r="C25" s="35">
        <f t="shared" si="1"/>
        <v>988251.8330224544</v>
      </c>
      <c r="D25" s="36">
        <f t="shared" si="2"/>
        <v>-6443.0140148550854</v>
      </c>
      <c r="E25" s="36">
        <f t="shared" si="3"/>
        <v>-1501.7548497428133</v>
      </c>
      <c r="F25" s="36">
        <f t="shared" si="4"/>
        <v>-4941.2591651122721</v>
      </c>
      <c r="G25" s="36">
        <f t="shared" si="5"/>
        <v>986750.07817271154</v>
      </c>
      <c r="H25" s="37"/>
    </row>
    <row r="26" spans="1:8" s="38" customFormat="1" ht="12.75" x14ac:dyDescent="0.2">
      <c r="A26" s="33">
        <v>1</v>
      </c>
      <c r="B26" s="39">
        <f t="shared" si="0"/>
        <v>10</v>
      </c>
      <c r="C26" s="35">
        <f t="shared" si="1"/>
        <v>986750.07817271154</v>
      </c>
      <c r="D26" s="36">
        <f t="shared" si="2"/>
        <v>-6443.0140148550854</v>
      </c>
      <c r="E26" s="36">
        <f t="shared" si="3"/>
        <v>-1509.2636239915273</v>
      </c>
      <c r="F26" s="36">
        <f t="shared" si="4"/>
        <v>-4933.7503908635581</v>
      </c>
      <c r="G26" s="36">
        <f t="shared" si="5"/>
        <v>985240.81454872002</v>
      </c>
      <c r="H26" s="37"/>
    </row>
    <row r="27" spans="1:8" s="38" customFormat="1" ht="12.75" x14ac:dyDescent="0.2">
      <c r="A27" s="33">
        <v>1</v>
      </c>
      <c r="B27" s="39">
        <f t="shared" si="0"/>
        <v>11</v>
      </c>
      <c r="C27" s="35">
        <f t="shared" si="1"/>
        <v>985240.81454872002</v>
      </c>
      <c r="D27" s="36">
        <f t="shared" si="2"/>
        <v>-6443.0140148550854</v>
      </c>
      <c r="E27" s="36">
        <f t="shared" si="3"/>
        <v>-1516.8099421114848</v>
      </c>
      <c r="F27" s="36">
        <f t="shared" si="4"/>
        <v>-4926.2040727436006</v>
      </c>
      <c r="G27" s="36">
        <f t="shared" si="5"/>
        <v>983724.00460660853</v>
      </c>
      <c r="H27" s="37"/>
    </row>
    <row r="28" spans="1:8" s="38" customFormat="1" ht="12.75" x14ac:dyDescent="0.2">
      <c r="A28" s="33">
        <v>1</v>
      </c>
      <c r="B28" s="39">
        <f t="shared" si="0"/>
        <v>12</v>
      </c>
      <c r="C28" s="35">
        <f>G27</f>
        <v>983724.00460660853</v>
      </c>
      <c r="D28" s="36">
        <f t="shared" si="2"/>
        <v>-6443.0140148550854</v>
      </c>
      <c r="E28" s="36">
        <f t="shared" si="3"/>
        <v>-1524.3939918220431</v>
      </c>
      <c r="F28" s="36">
        <f t="shared" si="4"/>
        <v>-4918.6200230330423</v>
      </c>
      <c r="G28" s="36">
        <f t="shared" si="5"/>
        <v>982199.61061478651</v>
      </c>
      <c r="H28" s="37"/>
    </row>
    <row r="29" spans="1:8" s="38" customFormat="1" ht="12.75" x14ac:dyDescent="0.2">
      <c r="A29" s="40">
        <f>A17+1</f>
        <v>2</v>
      </c>
      <c r="B29" s="39">
        <f t="shared" si="0"/>
        <v>13</v>
      </c>
      <c r="C29" s="35">
        <f t="shared" si="1"/>
        <v>982199.61061478651</v>
      </c>
      <c r="D29" s="36">
        <f t="shared" si="2"/>
        <v>-6443.0140148550854</v>
      </c>
      <c r="E29" s="36">
        <f t="shared" si="3"/>
        <v>-1532.0159617811523</v>
      </c>
      <c r="F29" s="36">
        <f t="shared" si="4"/>
        <v>-4910.9980530739331</v>
      </c>
      <c r="G29" s="36">
        <f t="shared" si="5"/>
        <v>980667.59465300536</v>
      </c>
      <c r="H29" s="37"/>
    </row>
    <row r="30" spans="1:8" s="38" customFormat="1" ht="12.75" x14ac:dyDescent="0.2">
      <c r="A30" s="40">
        <f>A29</f>
        <v>2</v>
      </c>
      <c r="B30" s="39">
        <f t="shared" si="0"/>
        <v>14</v>
      </c>
      <c r="C30" s="35">
        <f t="shared" si="1"/>
        <v>980667.59465300536</v>
      </c>
      <c r="D30" s="36">
        <f t="shared" si="2"/>
        <v>-6443.0140148550854</v>
      </c>
      <c r="E30" s="36">
        <f t="shared" si="3"/>
        <v>-1539.676041590058</v>
      </c>
      <c r="F30" s="36">
        <f t="shared" si="4"/>
        <v>-4903.3379732650274</v>
      </c>
      <c r="G30" s="36">
        <f t="shared" si="5"/>
        <v>979127.91861141531</v>
      </c>
      <c r="H30" s="37"/>
    </row>
    <row r="31" spans="1:8" s="38" customFormat="1" ht="12.75" x14ac:dyDescent="0.2">
      <c r="A31" s="40">
        <f t="shared" ref="A31:A40" si="6">A30</f>
        <v>2</v>
      </c>
      <c r="B31" s="39">
        <f t="shared" si="0"/>
        <v>15</v>
      </c>
      <c r="C31" s="35">
        <f t="shared" si="1"/>
        <v>979127.91861141531</v>
      </c>
      <c r="D31" s="36">
        <f t="shared" si="2"/>
        <v>-6443.0140148550854</v>
      </c>
      <c r="E31" s="36">
        <f t="shared" si="3"/>
        <v>-1547.3744217980084</v>
      </c>
      <c r="F31" s="36">
        <f t="shared" si="4"/>
        <v>-4895.639593057077</v>
      </c>
      <c r="G31" s="36">
        <f t="shared" si="5"/>
        <v>977580.54418961727</v>
      </c>
      <c r="H31" s="37"/>
    </row>
    <row r="32" spans="1:8" s="38" customFormat="1" ht="12.75" x14ac:dyDescent="0.2">
      <c r="A32" s="40">
        <f t="shared" si="6"/>
        <v>2</v>
      </c>
      <c r="B32" s="39">
        <f t="shared" si="0"/>
        <v>16</v>
      </c>
      <c r="C32" s="35">
        <f t="shared" si="1"/>
        <v>977580.54418961727</v>
      </c>
      <c r="D32" s="36">
        <f t="shared" si="2"/>
        <v>-6443.0140148550854</v>
      </c>
      <c r="E32" s="36">
        <f t="shared" si="3"/>
        <v>-1555.111293906999</v>
      </c>
      <c r="F32" s="36">
        <f t="shared" si="4"/>
        <v>-4887.9027209480864</v>
      </c>
      <c r="G32" s="36">
        <f t="shared" si="5"/>
        <v>976025.43289571023</v>
      </c>
      <c r="H32" s="37"/>
    </row>
    <row r="33" spans="1:8" s="38" customFormat="1" ht="12.75" x14ac:dyDescent="0.2">
      <c r="A33" s="40">
        <f t="shared" si="6"/>
        <v>2</v>
      </c>
      <c r="B33" s="39">
        <f t="shared" si="0"/>
        <v>17</v>
      </c>
      <c r="C33" s="35">
        <f t="shared" si="1"/>
        <v>976025.43289571023</v>
      </c>
      <c r="D33" s="36">
        <f t="shared" si="2"/>
        <v>-6443.0140148550854</v>
      </c>
      <c r="E33" s="36">
        <f t="shared" si="3"/>
        <v>-1562.8868503765343</v>
      </c>
      <c r="F33" s="36">
        <f t="shared" si="4"/>
        <v>-4880.1271644785511</v>
      </c>
      <c r="G33" s="36">
        <f t="shared" si="5"/>
        <v>974462.54604533373</v>
      </c>
      <c r="H33" s="37"/>
    </row>
    <row r="34" spans="1:8" s="38" customFormat="1" ht="12.75" x14ac:dyDescent="0.2">
      <c r="A34" s="40">
        <f t="shared" si="6"/>
        <v>2</v>
      </c>
      <c r="B34" s="39">
        <f t="shared" si="0"/>
        <v>18</v>
      </c>
      <c r="C34" s="35">
        <f t="shared" si="1"/>
        <v>974462.54604533373</v>
      </c>
      <c r="D34" s="36">
        <f t="shared" si="2"/>
        <v>-6443.0140148550854</v>
      </c>
      <c r="E34" s="36">
        <f t="shared" si="3"/>
        <v>-1570.7012846284169</v>
      </c>
      <c r="F34" s="36">
        <f t="shared" si="4"/>
        <v>-4872.3127302266685</v>
      </c>
      <c r="G34" s="36">
        <f t="shared" si="5"/>
        <v>972891.84476070537</v>
      </c>
      <c r="H34" s="37"/>
    </row>
    <row r="35" spans="1:8" s="38" customFormat="1" ht="12.75" x14ac:dyDescent="0.2">
      <c r="A35" s="40">
        <f t="shared" si="6"/>
        <v>2</v>
      </c>
      <c r="B35" s="39">
        <f t="shared" si="0"/>
        <v>19</v>
      </c>
      <c r="C35" s="35">
        <f t="shared" si="1"/>
        <v>972891.84476070537</v>
      </c>
      <c r="D35" s="36">
        <f t="shared" si="2"/>
        <v>-6443.0140148550854</v>
      </c>
      <c r="E35" s="36">
        <f t="shared" si="3"/>
        <v>-1578.5547910515588</v>
      </c>
      <c r="F35" s="36">
        <f t="shared" si="4"/>
        <v>-4864.4592238035266</v>
      </c>
      <c r="G35" s="36">
        <f t="shared" si="5"/>
        <v>971313.28996965382</v>
      </c>
      <c r="H35" s="37"/>
    </row>
    <row r="36" spans="1:8" s="38" customFormat="1" ht="12.75" x14ac:dyDescent="0.2">
      <c r="A36" s="40">
        <f t="shared" si="6"/>
        <v>2</v>
      </c>
      <c r="B36" s="39">
        <f t="shared" si="0"/>
        <v>20</v>
      </c>
      <c r="C36" s="35">
        <f t="shared" si="1"/>
        <v>971313.28996965382</v>
      </c>
      <c r="D36" s="36">
        <f t="shared" si="2"/>
        <v>-6443.0140148550854</v>
      </c>
      <c r="E36" s="36">
        <f t="shared" si="3"/>
        <v>-1586.4475650068161</v>
      </c>
      <c r="F36" s="36">
        <f t="shared" si="4"/>
        <v>-4856.5664498482693</v>
      </c>
      <c r="G36" s="36">
        <f t="shared" si="5"/>
        <v>969726.84240464703</v>
      </c>
      <c r="H36" s="37"/>
    </row>
    <row r="37" spans="1:8" s="38" customFormat="1" ht="12.75" x14ac:dyDescent="0.2">
      <c r="A37" s="40">
        <f t="shared" si="6"/>
        <v>2</v>
      </c>
      <c r="B37" s="39">
        <f t="shared" si="0"/>
        <v>21</v>
      </c>
      <c r="C37" s="35">
        <f t="shared" si="1"/>
        <v>969726.84240464703</v>
      </c>
      <c r="D37" s="36">
        <f t="shared" si="2"/>
        <v>-6443.0140148550854</v>
      </c>
      <c r="E37" s="36">
        <f t="shared" si="3"/>
        <v>-1594.3798028318497</v>
      </c>
      <c r="F37" s="36">
        <f t="shared" si="4"/>
        <v>-4848.6342120232357</v>
      </c>
      <c r="G37" s="36">
        <f t="shared" si="5"/>
        <v>968132.46260181523</v>
      </c>
      <c r="H37" s="37"/>
    </row>
    <row r="38" spans="1:8" s="38" customFormat="1" ht="12.75" x14ac:dyDescent="0.2">
      <c r="A38" s="40">
        <f t="shared" si="6"/>
        <v>2</v>
      </c>
      <c r="B38" s="39">
        <f t="shared" si="0"/>
        <v>22</v>
      </c>
      <c r="C38" s="35">
        <f t="shared" si="1"/>
        <v>968132.46260181523</v>
      </c>
      <c r="D38" s="36">
        <f t="shared" si="2"/>
        <v>-6443.0140148550854</v>
      </c>
      <c r="E38" s="36">
        <f t="shared" si="3"/>
        <v>-1602.3517018460088</v>
      </c>
      <c r="F38" s="36">
        <f t="shared" si="4"/>
        <v>-4840.6623130090766</v>
      </c>
      <c r="G38" s="36">
        <f t="shared" si="5"/>
        <v>966530.11089996924</v>
      </c>
      <c r="H38" s="37"/>
    </row>
    <row r="39" spans="1:8" s="38" customFormat="1" ht="12.75" x14ac:dyDescent="0.2">
      <c r="A39" s="40">
        <f t="shared" si="6"/>
        <v>2</v>
      </c>
      <c r="B39" s="39">
        <f t="shared" si="0"/>
        <v>23</v>
      </c>
      <c r="C39" s="35">
        <f t="shared" si="1"/>
        <v>966530.11089996924</v>
      </c>
      <c r="D39" s="36">
        <f t="shared" si="2"/>
        <v>-6443.0140148550854</v>
      </c>
      <c r="E39" s="36">
        <f t="shared" si="3"/>
        <v>-1610.3634603552391</v>
      </c>
      <c r="F39" s="36">
        <f t="shared" si="4"/>
        <v>-4832.6505544998463</v>
      </c>
      <c r="G39" s="36">
        <f t="shared" si="5"/>
        <v>964919.74743961403</v>
      </c>
      <c r="H39" s="37"/>
    </row>
    <row r="40" spans="1:8" s="38" customFormat="1" ht="12.75" x14ac:dyDescent="0.2">
      <c r="A40" s="40">
        <f t="shared" si="6"/>
        <v>2</v>
      </c>
      <c r="B40" s="39">
        <f t="shared" si="0"/>
        <v>24</v>
      </c>
      <c r="C40" s="35">
        <f t="shared" si="1"/>
        <v>964919.74743961403</v>
      </c>
      <c r="D40" s="36">
        <f t="shared" si="2"/>
        <v>-6443.0140148550854</v>
      </c>
      <c r="E40" s="36">
        <f t="shared" si="3"/>
        <v>-1618.4152776570154</v>
      </c>
      <c r="F40" s="36">
        <f t="shared" si="4"/>
        <v>-4824.59873719807</v>
      </c>
      <c r="G40" s="36">
        <f t="shared" si="5"/>
        <v>963301.33216195705</v>
      </c>
      <c r="H40" s="37"/>
    </row>
    <row r="41" spans="1:8" s="38" customFormat="1" ht="12.75" x14ac:dyDescent="0.2">
      <c r="A41" s="40">
        <f>A29+1</f>
        <v>3</v>
      </c>
      <c r="B41" s="39">
        <f t="shared" si="0"/>
        <v>25</v>
      </c>
      <c r="C41" s="35">
        <f t="shared" si="1"/>
        <v>963301.33216195705</v>
      </c>
      <c r="D41" s="36">
        <f t="shared" si="2"/>
        <v>-6443.0140148550854</v>
      </c>
      <c r="E41" s="36">
        <f t="shared" si="3"/>
        <v>-1626.5073540453004</v>
      </c>
      <c r="F41" s="36">
        <f t="shared" si="4"/>
        <v>-4816.506660809785</v>
      </c>
      <c r="G41" s="36">
        <f t="shared" si="5"/>
        <v>961674.82480791176</v>
      </c>
      <c r="H41" s="37"/>
    </row>
    <row r="42" spans="1:8" s="38" customFormat="1" ht="12.75" x14ac:dyDescent="0.2">
      <c r="A42" s="40">
        <f t="shared" ref="A42:A105" si="7">A41</f>
        <v>3</v>
      </c>
      <c r="B42" s="39">
        <f t="shared" si="0"/>
        <v>26</v>
      </c>
      <c r="C42" s="35">
        <f t="shared" si="1"/>
        <v>961674.82480791176</v>
      </c>
      <c r="D42" s="36">
        <f t="shared" si="2"/>
        <v>-6443.0140148550854</v>
      </c>
      <c r="E42" s="36">
        <f t="shared" si="3"/>
        <v>-1634.6398908155261</v>
      </c>
      <c r="F42" s="36">
        <f t="shared" si="4"/>
        <v>-4808.3741240395593</v>
      </c>
      <c r="G42" s="36">
        <f t="shared" si="5"/>
        <v>960040.18491709628</v>
      </c>
      <c r="H42" s="37"/>
    </row>
    <row r="43" spans="1:8" s="38" customFormat="1" ht="12.75" x14ac:dyDescent="0.2">
      <c r="A43" s="40">
        <f t="shared" si="7"/>
        <v>3</v>
      </c>
      <c r="B43" s="39">
        <f t="shared" si="0"/>
        <v>27</v>
      </c>
      <c r="C43" s="35">
        <f t="shared" si="1"/>
        <v>960040.18491709628</v>
      </c>
      <c r="D43" s="36">
        <f t="shared" si="2"/>
        <v>-6443.0140148550854</v>
      </c>
      <c r="E43" s="36">
        <f t="shared" si="3"/>
        <v>-1642.8130902696039</v>
      </c>
      <c r="F43" s="36">
        <f t="shared" si="4"/>
        <v>-4800.2009245854815</v>
      </c>
      <c r="G43" s="36">
        <f t="shared" si="5"/>
        <v>958397.37182682671</v>
      </c>
      <c r="H43" s="37"/>
    </row>
    <row r="44" spans="1:8" s="38" customFormat="1" ht="12.75" x14ac:dyDescent="0.2">
      <c r="A44" s="40">
        <f t="shared" si="7"/>
        <v>3</v>
      </c>
      <c r="B44" s="39">
        <f t="shared" si="0"/>
        <v>28</v>
      </c>
      <c r="C44" s="35">
        <f t="shared" si="1"/>
        <v>958397.37182682671</v>
      </c>
      <c r="D44" s="36">
        <f t="shared" si="2"/>
        <v>-6443.0140148550854</v>
      </c>
      <c r="E44" s="36">
        <f t="shared" si="3"/>
        <v>-1651.0271557209517</v>
      </c>
      <c r="F44" s="36">
        <f t="shared" si="4"/>
        <v>-4791.9868591341337</v>
      </c>
      <c r="G44" s="36">
        <f t="shared" si="5"/>
        <v>956746.34467110573</v>
      </c>
      <c r="H44" s="37"/>
    </row>
    <row r="45" spans="1:8" s="38" customFormat="1" ht="12.75" x14ac:dyDescent="0.2">
      <c r="A45" s="40">
        <f t="shared" si="7"/>
        <v>3</v>
      </c>
      <c r="B45" s="39">
        <f t="shared" si="0"/>
        <v>29</v>
      </c>
      <c r="C45" s="35">
        <f t="shared" si="1"/>
        <v>956746.34467110573</v>
      </c>
      <c r="D45" s="36">
        <f t="shared" si="2"/>
        <v>-6443.0140148550854</v>
      </c>
      <c r="E45" s="36">
        <f t="shared" si="3"/>
        <v>-1659.2822914995568</v>
      </c>
      <c r="F45" s="36">
        <f t="shared" si="4"/>
        <v>-4783.7317233555286</v>
      </c>
      <c r="G45" s="36">
        <f t="shared" si="5"/>
        <v>955087.06237960618</v>
      </c>
      <c r="H45" s="37"/>
    </row>
    <row r="46" spans="1:8" s="38" customFormat="1" ht="12.75" x14ac:dyDescent="0.2">
      <c r="A46" s="40">
        <f t="shared" si="7"/>
        <v>3</v>
      </c>
      <c r="B46" s="39">
        <f t="shared" si="0"/>
        <v>30</v>
      </c>
      <c r="C46" s="35">
        <f t="shared" si="1"/>
        <v>955087.06237960618</v>
      </c>
      <c r="D46" s="36">
        <f t="shared" si="2"/>
        <v>-6443.0140148550854</v>
      </c>
      <c r="E46" s="36">
        <f t="shared" si="3"/>
        <v>-1667.5787029570547</v>
      </c>
      <c r="F46" s="36">
        <f t="shared" si="4"/>
        <v>-4775.4353118980307</v>
      </c>
      <c r="G46" s="36">
        <f t="shared" si="5"/>
        <v>953419.48367664916</v>
      </c>
      <c r="H46" s="37"/>
    </row>
    <row r="47" spans="1:8" s="38" customFormat="1" ht="12.75" x14ac:dyDescent="0.2">
      <c r="A47" s="40">
        <f t="shared" si="7"/>
        <v>3</v>
      </c>
      <c r="B47" s="39">
        <f t="shared" si="0"/>
        <v>31</v>
      </c>
      <c r="C47" s="35">
        <f t="shared" si="1"/>
        <v>953419.48367664916</v>
      </c>
      <c r="D47" s="36">
        <f t="shared" si="2"/>
        <v>-6443.0140148550854</v>
      </c>
      <c r="E47" s="36">
        <f t="shared" si="3"/>
        <v>-1675.9165964718395</v>
      </c>
      <c r="F47" s="36">
        <f t="shared" si="4"/>
        <v>-4767.0974183832459</v>
      </c>
      <c r="G47" s="36">
        <f t="shared" si="5"/>
        <v>951743.56708017737</v>
      </c>
      <c r="H47" s="37"/>
    </row>
    <row r="48" spans="1:8" s="38" customFormat="1" ht="12.75" x14ac:dyDescent="0.2">
      <c r="A48" s="40">
        <f t="shared" si="7"/>
        <v>3</v>
      </c>
      <c r="B48" s="39">
        <f t="shared" si="0"/>
        <v>32</v>
      </c>
      <c r="C48" s="35">
        <f t="shared" si="1"/>
        <v>951743.56708017737</v>
      </c>
      <c r="D48" s="36">
        <f t="shared" si="2"/>
        <v>-6443.0140148550854</v>
      </c>
      <c r="E48" s="36">
        <f t="shared" si="3"/>
        <v>-1684.2961794541989</v>
      </c>
      <c r="F48" s="36">
        <f t="shared" si="4"/>
        <v>-4758.7178354008865</v>
      </c>
      <c r="G48" s="36">
        <f t="shared" si="5"/>
        <v>950059.27090072318</v>
      </c>
      <c r="H48" s="37"/>
    </row>
    <row r="49" spans="1:8" s="38" customFormat="1" ht="12.75" x14ac:dyDescent="0.2">
      <c r="A49" s="40">
        <f t="shared" si="7"/>
        <v>3</v>
      </c>
      <c r="B49" s="39">
        <f t="shared" si="0"/>
        <v>33</v>
      </c>
      <c r="C49" s="35">
        <f t="shared" si="1"/>
        <v>950059.27090072318</v>
      </c>
      <c r="D49" s="36">
        <f t="shared" si="2"/>
        <v>-6443.0140148550854</v>
      </c>
      <c r="E49" s="36">
        <f t="shared" si="3"/>
        <v>-1692.717660351469</v>
      </c>
      <c r="F49" s="36">
        <f t="shared" si="4"/>
        <v>-4750.2963545036164</v>
      </c>
      <c r="G49" s="36">
        <f t="shared" si="5"/>
        <v>948366.55324037175</v>
      </c>
      <c r="H49" s="37"/>
    </row>
    <row r="50" spans="1:8" s="38" customFormat="1" ht="12.75" x14ac:dyDescent="0.2">
      <c r="A50" s="40">
        <f t="shared" si="7"/>
        <v>3</v>
      </c>
      <c r="B50" s="39">
        <f t="shared" si="0"/>
        <v>34</v>
      </c>
      <c r="C50" s="35">
        <f t="shared" si="1"/>
        <v>948366.55324037175</v>
      </c>
      <c r="D50" s="36">
        <f t="shared" si="2"/>
        <v>-6443.0140148550854</v>
      </c>
      <c r="E50" s="36">
        <f t="shared" si="3"/>
        <v>-1701.1812486532262</v>
      </c>
      <c r="F50" s="36">
        <f t="shared" si="4"/>
        <v>-4741.8327662018592</v>
      </c>
      <c r="G50" s="36">
        <f t="shared" si="5"/>
        <v>946665.37199171854</v>
      </c>
      <c r="H50" s="37"/>
    </row>
    <row r="51" spans="1:8" s="38" customFormat="1" ht="12.75" x14ac:dyDescent="0.2">
      <c r="A51" s="40">
        <f t="shared" si="7"/>
        <v>3</v>
      </c>
      <c r="B51" s="39">
        <f t="shared" si="0"/>
        <v>35</v>
      </c>
      <c r="C51" s="35">
        <f t="shared" si="1"/>
        <v>946665.37199171854</v>
      </c>
      <c r="D51" s="36">
        <f t="shared" si="2"/>
        <v>-6443.0140148550854</v>
      </c>
      <c r="E51" s="36">
        <f t="shared" si="3"/>
        <v>-1709.6871548964928</v>
      </c>
      <c r="F51" s="36">
        <f t="shared" si="4"/>
        <v>-4733.3268599585926</v>
      </c>
      <c r="G51" s="36">
        <f t="shared" si="5"/>
        <v>944955.6848368221</v>
      </c>
      <c r="H51" s="37"/>
    </row>
    <row r="52" spans="1:8" s="38" customFormat="1" ht="12.75" x14ac:dyDescent="0.2">
      <c r="A52" s="40">
        <f t="shared" si="7"/>
        <v>3</v>
      </c>
      <c r="B52" s="39">
        <f t="shared" si="0"/>
        <v>36</v>
      </c>
      <c r="C52" s="35">
        <f t="shared" si="1"/>
        <v>944955.6848368221</v>
      </c>
      <c r="D52" s="36">
        <f t="shared" si="2"/>
        <v>-6443.0140148550854</v>
      </c>
      <c r="E52" s="36">
        <f t="shared" si="3"/>
        <v>-1718.2355906709745</v>
      </c>
      <c r="F52" s="36">
        <f t="shared" si="4"/>
        <v>-4724.7784241841109</v>
      </c>
      <c r="G52" s="36">
        <f t="shared" si="5"/>
        <v>943237.44924615114</v>
      </c>
      <c r="H52" s="37"/>
    </row>
    <row r="53" spans="1:8" s="38" customFormat="1" ht="12.75" x14ac:dyDescent="0.2">
      <c r="A53" s="40">
        <f>A41+1</f>
        <v>4</v>
      </c>
      <c r="B53" s="39">
        <f t="shared" si="0"/>
        <v>37</v>
      </c>
      <c r="C53" s="35">
        <f t="shared" si="1"/>
        <v>943237.44924615114</v>
      </c>
      <c r="D53" s="36">
        <f t="shared" si="2"/>
        <v>-6443.0140148550854</v>
      </c>
      <c r="E53" s="36">
        <f t="shared" si="3"/>
        <v>-1726.8267686243298</v>
      </c>
      <c r="F53" s="36">
        <f t="shared" si="4"/>
        <v>-4716.1872462307556</v>
      </c>
      <c r="G53" s="36">
        <f t="shared" si="5"/>
        <v>941510.62247752678</v>
      </c>
      <c r="H53" s="37"/>
    </row>
    <row r="54" spans="1:8" s="38" customFormat="1" ht="12.75" x14ac:dyDescent="0.2">
      <c r="A54" s="40">
        <f>A53</f>
        <v>4</v>
      </c>
      <c r="B54" s="39">
        <f t="shared" si="0"/>
        <v>38</v>
      </c>
      <c r="C54" s="35">
        <f t="shared" si="1"/>
        <v>941510.62247752678</v>
      </c>
      <c r="D54" s="36">
        <f t="shared" si="2"/>
        <v>-6443.0140148550854</v>
      </c>
      <c r="E54" s="36">
        <f t="shared" si="3"/>
        <v>-1735.460902467451</v>
      </c>
      <c r="F54" s="36">
        <f t="shared" si="4"/>
        <v>-4707.5531123876344</v>
      </c>
      <c r="G54" s="36">
        <f t="shared" si="5"/>
        <v>939775.16157505929</v>
      </c>
      <c r="H54" s="37"/>
    </row>
    <row r="55" spans="1:8" s="38" customFormat="1" ht="12.75" x14ac:dyDescent="0.2">
      <c r="A55" s="40">
        <f t="shared" si="7"/>
        <v>4</v>
      </c>
      <c r="B55" s="39">
        <f t="shared" si="0"/>
        <v>39</v>
      </c>
      <c r="C55" s="35">
        <f t="shared" si="1"/>
        <v>939775.16157505929</v>
      </c>
      <c r="D55" s="36">
        <f t="shared" si="2"/>
        <v>-6443.0140148550854</v>
      </c>
      <c r="E55" s="36">
        <f t="shared" si="3"/>
        <v>-1744.1382069797892</v>
      </c>
      <c r="F55" s="36">
        <f t="shared" si="4"/>
        <v>-4698.8758078752962</v>
      </c>
      <c r="G55" s="36">
        <f t="shared" si="5"/>
        <v>938031.02336807945</v>
      </c>
      <c r="H55" s="37"/>
    </row>
    <row r="56" spans="1:8" s="38" customFormat="1" ht="12.75" x14ac:dyDescent="0.2">
      <c r="A56" s="40">
        <f t="shared" si="7"/>
        <v>4</v>
      </c>
      <c r="B56" s="39">
        <f t="shared" si="0"/>
        <v>40</v>
      </c>
      <c r="C56" s="35">
        <f t="shared" si="1"/>
        <v>938031.02336807945</v>
      </c>
      <c r="D56" s="36">
        <f t="shared" si="2"/>
        <v>-6443.0140148550854</v>
      </c>
      <c r="E56" s="36">
        <f t="shared" si="3"/>
        <v>-1752.8588980146878</v>
      </c>
      <c r="F56" s="36">
        <f t="shared" si="4"/>
        <v>-4690.1551168403976</v>
      </c>
      <c r="G56" s="36">
        <f t="shared" si="5"/>
        <v>936278.1644700648</v>
      </c>
      <c r="H56" s="37"/>
    </row>
    <row r="57" spans="1:8" s="38" customFormat="1" ht="12.75" x14ac:dyDescent="0.2">
      <c r="A57" s="40">
        <f t="shared" si="7"/>
        <v>4</v>
      </c>
      <c r="B57" s="39">
        <f t="shared" si="0"/>
        <v>41</v>
      </c>
      <c r="C57" s="35">
        <f t="shared" si="1"/>
        <v>936278.1644700648</v>
      </c>
      <c r="D57" s="36">
        <f t="shared" si="2"/>
        <v>-6443.0140148550854</v>
      </c>
      <c r="E57" s="36">
        <f t="shared" si="3"/>
        <v>-1761.6231925047614</v>
      </c>
      <c r="F57" s="36">
        <f t="shared" si="4"/>
        <v>-4681.390822350324</v>
      </c>
      <c r="G57" s="36">
        <f t="shared" si="5"/>
        <v>934516.54127756006</v>
      </c>
      <c r="H57" s="37"/>
    </row>
    <row r="58" spans="1:8" s="38" customFormat="1" ht="12.75" x14ac:dyDescent="0.2">
      <c r="A58" s="40">
        <f t="shared" si="7"/>
        <v>4</v>
      </c>
      <c r="B58" s="39">
        <f t="shared" si="0"/>
        <v>42</v>
      </c>
      <c r="C58" s="35">
        <f t="shared" si="1"/>
        <v>934516.54127756006</v>
      </c>
      <c r="D58" s="36">
        <f t="shared" si="2"/>
        <v>-6443.0140148550854</v>
      </c>
      <c r="E58" s="36">
        <f t="shared" si="3"/>
        <v>-1770.4313084672849</v>
      </c>
      <c r="F58" s="36">
        <f t="shared" si="4"/>
        <v>-4672.5827063878005</v>
      </c>
      <c r="G58" s="36">
        <f t="shared" si="5"/>
        <v>932746.10996909277</v>
      </c>
      <c r="H58" s="37"/>
    </row>
    <row r="59" spans="1:8" s="38" customFormat="1" ht="12.75" x14ac:dyDescent="0.2">
      <c r="A59" s="40">
        <f t="shared" si="7"/>
        <v>4</v>
      </c>
      <c r="B59" s="39">
        <f t="shared" si="0"/>
        <v>43</v>
      </c>
      <c r="C59" s="35">
        <f t="shared" si="1"/>
        <v>932746.10996909277</v>
      </c>
      <c r="D59" s="36">
        <f t="shared" si="2"/>
        <v>-6443.0140148550854</v>
      </c>
      <c r="E59" s="36">
        <f t="shared" si="3"/>
        <v>-1779.2834650096211</v>
      </c>
      <c r="F59" s="36">
        <f t="shared" si="4"/>
        <v>-4663.7305498454643</v>
      </c>
      <c r="G59" s="36">
        <f t="shared" si="5"/>
        <v>930966.82650408312</v>
      </c>
      <c r="H59" s="37"/>
    </row>
    <row r="60" spans="1:8" s="38" customFormat="1" ht="12.75" x14ac:dyDescent="0.2">
      <c r="A60" s="40">
        <f t="shared" si="7"/>
        <v>4</v>
      </c>
      <c r="B60" s="39">
        <f t="shared" si="0"/>
        <v>44</v>
      </c>
      <c r="C60" s="35">
        <f t="shared" si="1"/>
        <v>930966.82650408312</v>
      </c>
      <c r="D60" s="36">
        <f t="shared" si="2"/>
        <v>-6443.0140148550854</v>
      </c>
      <c r="E60" s="36">
        <f t="shared" si="3"/>
        <v>-1788.1798823346699</v>
      </c>
      <c r="F60" s="36">
        <f t="shared" si="4"/>
        <v>-4654.8341325204156</v>
      </c>
      <c r="G60" s="36">
        <f t="shared" si="5"/>
        <v>929178.64662174846</v>
      </c>
      <c r="H60" s="37"/>
    </row>
    <row r="61" spans="1:8" s="38" customFormat="1" ht="12.75" x14ac:dyDescent="0.2">
      <c r="A61" s="40">
        <f t="shared" si="7"/>
        <v>4</v>
      </c>
      <c r="B61" s="39">
        <f t="shared" si="0"/>
        <v>45</v>
      </c>
      <c r="C61" s="35">
        <f t="shared" si="1"/>
        <v>929178.64662174846</v>
      </c>
      <c r="D61" s="36">
        <f t="shared" si="2"/>
        <v>-6443.0140148550854</v>
      </c>
      <c r="E61" s="36">
        <f t="shared" si="3"/>
        <v>-1797.1207817463428</v>
      </c>
      <c r="F61" s="36">
        <f t="shared" si="4"/>
        <v>-4645.8932331087426</v>
      </c>
      <c r="G61" s="36">
        <f t="shared" si="5"/>
        <v>927381.52584000211</v>
      </c>
      <c r="H61" s="37"/>
    </row>
    <row r="62" spans="1:8" s="38" customFormat="1" ht="12.75" x14ac:dyDescent="0.2">
      <c r="A62" s="40">
        <f t="shared" si="7"/>
        <v>4</v>
      </c>
      <c r="B62" s="39">
        <f t="shared" si="0"/>
        <v>46</v>
      </c>
      <c r="C62" s="35">
        <f t="shared" si="1"/>
        <v>927381.52584000211</v>
      </c>
      <c r="D62" s="36">
        <f t="shared" si="2"/>
        <v>-6443.0140148550854</v>
      </c>
      <c r="E62" s="36">
        <f t="shared" si="3"/>
        <v>-1806.1063856550745</v>
      </c>
      <c r="F62" s="36">
        <f t="shared" si="4"/>
        <v>-4636.9076292000109</v>
      </c>
      <c r="G62" s="36">
        <f t="shared" si="5"/>
        <v>925575.41945434699</v>
      </c>
      <c r="H62" s="37"/>
    </row>
    <row r="63" spans="1:8" s="38" customFormat="1" ht="12.75" x14ac:dyDescent="0.2">
      <c r="A63" s="40">
        <f t="shared" si="7"/>
        <v>4</v>
      </c>
      <c r="B63" s="39">
        <f t="shared" si="0"/>
        <v>47</v>
      </c>
      <c r="C63" s="35">
        <f t="shared" si="1"/>
        <v>925575.41945434699</v>
      </c>
      <c r="D63" s="36">
        <f t="shared" si="2"/>
        <v>-6443.0140148550854</v>
      </c>
      <c r="E63" s="36">
        <f t="shared" si="3"/>
        <v>-1815.1369175833506</v>
      </c>
      <c r="F63" s="36">
        <f t="shared" si="4"/>
        <v>-4627.8770972717348</v>
      </c>
      <c r="G63" s="36">
        <f t="shared" si="5"/>
        <v>923760.2825367637</v>
      </c>
      <c r="H63" s="37"/>
    </row>
    <row r="64" spans="1:8" s="38" customFormat="1" ht="12.75" x14ac:dyDescent="0.2">
      <c r="A64" s="40">
        <f t="shared" si="7"/>
        <v>4</v>
      </c>
      <c r="B64" s="39">
        <f t="shared" si="0"/>
        <v>48</v>
      </c>
      <c r="C64" s="35">
        <f t="shared" si="1"/>
        <v>923760.2825367637</v>
      </c>
      <c r="D64" s="36">
        <f t="shared" si="2"/>
        <v>-6443.0140148550854</v>
      </c>
      <c r="E64" s="36">
        <f t="shared" si="3"/>
        <v>-1824.2126021712666</v>
      </c>
      <c r="F64" s="36">
        <f t="shared" si="4"/>
        <v>-4618.8014126838189</v>
      </c>
      <c r="G64" s="36">
        <f t="shared" si="5"/>
        <v>921936.06993459247</v>
      </c>
      <c r="H64" s="37"/>
    </row>
    <row r="65" spans="1:8" s="38" customFormat="1" ht="12.75" x14ac:dyDescent="0.2">
      <c r="A65" s="40">
        <f>A53+1</f>
        <v>5</v>
      </c>
      <c r="B65" s="39">
        <f t="shared" si="0"/>
        <v>49</v>
      </c>
      <c r="C65" s="35">
        <f t="shared" si="1"/>
        <v>921936.06993459247</v>
      </c>
      <c r="D65" s="36">
        <f t="shared" si="2"/>
        <v>-6443.0140148550854</v>
      </c>
      <c r="E65" s="36">
        <f t="shared" si="3"/>
        <v>-1833.3336651821228</v>
      </c>
      <c r="F65" s="36">
        <f t="shared" si="4"/>
        <v>-4609.6803496729626</v>
      </c>
      <c r="G65" s="36">
        <f t="shared" si="5"/>
        <v>920102.73626941035</v>
      </c>
      <c r="H65" s="37"/>
    </row>
    <row r="66" spans="1:8" s="38" customFormat="1" ht="12.75" x14ac:dyDescent="0.2">
      <c r="A66" s="40">
        <f>A65</f>
        <v>5</v>
      </c>
      <c r="B66" s="39">
        <f t="shared" si="0"/>
        <v>50</v>
      </c>
      <c r="C66" s="35">
        <f t="shared" si="1"/>
        <v>920102.73626941035</v>
      </c>
      <c r="D66" s="36">
        <f t="shared" si="2"/>
        <v>-6443.0140148550854</v>
      </c>
      <c r="E66" s="36">
        <f t="shared" si="3"/>
        <v>-1842.5003335080337</v>
      </c>
      <c r="F66" s="36">
        <f t="shared" si="4"/>
        <v>-4600.5136813470517</v>
      </c>
      <c r="G66" s="36">
        <f t="shared" si="5"/>
        <v>918260.23593590234</v>
      </c>
      <c r="H66" s="37"/>
    </row>
    <row r="67" spans="1:8" s="38" customFormat="1" ht="12.75" x14ac:dyDescent="0.2">
      <c r="A67" s="40">
        <f t="shared" si="7"/>
        <v>5</v>
      </c>
      <c r="B67" s="39">
        <f t="shared" si="0"/>
        <v>51</v>
      </c>
      <c r="C67" s="35">
        <f t="shared" si="1"/>
        <v>918260.23593590234</v>
      </c>
      <c r="D67" s="36">
        <f t="shared" si="2"/>
        <v>-6443.0140148550854</v>
      </c>
      <c r="E67" s="36">
        <f t="shared" si="3"/>
        <v>-1851.7128351755737</v>
      </c>
      <c r="F67" s="36">
        <f t="shared" si="4"/>
        <v>-4591.3011796795117</v>
      </c>
      <c r="G67" s="36">
        <f t="shared" si="5"/>
        <v>916408.52310072677</v>
      </c>
      <c r="H67" s="37"/>
    </row>
    <row r="68" spans="1:8" s="38" customFormat="1" ht="12.75" x14ac:dyDescent="0.2">
      <c r="A68" s="40">
        <f t="shared" si="7"/>
        <v>5</v>
      </c>
      <c r="B68" s="39">
        <f t="shared" si="0"/>
        <v>52</v>
      </c>
      <c r="C68" s="35">
        <f t="shared" si="1"/>
        <v>916408.52310072677</v>
      </c>
      <c r="D68" s="36">
        <f t="shared" si="2"/>
        <v>-6443.0140148550854</v>
      </c>
      <c r="E68" s="36">
        <f t="shared" si="3"/>
        <v>-1860.9713993514515</v>
      </c>
      <c r="F68" s="36">
        <f t="shared" si="4"/>
        <v>-4582.0426155036339</v>
      </c>
      <c r="G68" s="36">
        <f t="shared" si="5"/>
        <v>914547.55170137528</v>
      </c>
      <c r="H68" s="37"/>
    </row>
    <row r="69" spans="1:8" s="38" customFormat="1" ht="12.75" x14ac:dyDescent="0.2">
      <c r="A69" s="40">
        <f t="shared" si="7"/>
        <v>5</v>
      </c>
      <c r="B69" s="39">
        <f t="shared" si="0"/>
        <v>53</v>
      </c>
      <c r="C69" s="35">
        <f t="shared" si="1"/>
        <v>914547.55170137528</v>
      </c>
      <c r="D69" s="36">
        <f t="shared" si="2"/>
        <v>-6443.0140148550854</v>
      </c>
      <c r="E69" s="36">
        <f t="shared" si="3"/>
        <v>-1870.2762563482092</v>
      </c>
      <c r="F69" s="36">
        <f t="shared" si="4"/>
        <v>-4572.7377585068762</v>
      </c>
      <c r="G69" s="36">
        <f t="shared" si="5"/>
        <v>912677.27544502704</v>
      </c>
      <c r="H69" s="37"/>
    </row>
    <row r="70" spans="1:8" s="38" customFormat="1" ht="12.75" x14ac:dyDescent="0.2">
      <c r="A70" s="40">
        <f t="shared" si="7"/>
        <v>5</v>
      </c>
      <c r="B70" s="39">
        <f t="shared" si="0"/>
        <v>54</v>
      </c>
      <c r="C70" s="35">
        <f t="shared" si="1"/>
        <v>912677.27544502704</v>
      </c>
      <c r="D70" s="36">
        <f t="shared" si="2"/>
        <v>-6443.0140148550854</v>
      </c>
      <c r="E70" s="36">
        <f t="shared" si="3"/>
        <v>-1879.6276376299502</v>
      </c>
      <c r="F70" s="36">
        <f t="shared" si="4"/>
        <v>-4563.3863772251352</v>
      </c>
      <c r="G70" s="36">
        <f t="shared" si="5"/>
        <v>910797.64780739706</v>
      </c>
      <c r="H70" s="37"/>
    </row>
    <row r="71" spans="1:8" s="38" customFormat="1" ht="12.75" x14ac:dyDescent="0.2">
      <c r="A71" s="40">
        <f t="shared" si="7"/>
        <v>5</v>
      </c>
      <c r="B71" s="39">
        <f t="shared" si="0"/>
        <v>55</v>
      </c>
      <c r="C71" s="35">
        <f t="shared" si="1"/>
        <v>910797.64780739706</v>
      </c>
      <c r="D71" s="36">
        <f t="shared" si="2"/>
        <v>-6443.0140148550854</v>
      </c>
      <c r="E71" s="36">
        <f t="shared" si="3"/>
        <v>-1889.0257758180996</v>
      </c>
      <c r="F71" s="36">
        <f t="shared" si="4"/>
        <v>-4553.9882390369858</v>
      </c>
      <c r="G71" s="36">
        <f t="shared" si="5"/>
        <v>908908.62203157891</v>
      </c>
      <c r="H71" s="37"/>
    </row>
    <row r="72" spans="1:8" s="38" customFormat="1" ht="12.75" x14ac:dyDescent="0.2">
      <c r="A72" s="40">
        <f t="shared" si="7"/>
        <v>5</v>
      </c>
      <c r="B72" s="39">
        <f t="shared" si="0"/>
        <v>56</v>
      </c>
      <c r="C72" s="35">
        <f t="shared" si="1"/>
        <v>908908.62203157891</v>
      </c>
      <c r="D72" s="36">
        <f t="shared" si="2"/>
        <v>-6443.0140148550854</v>
      </c>
      <c r="E72" s="36">
        <f t="shared" si="3"/>
        <v>-1898.4709046971911</v>
      </c>
      <c r="F72" s="36">
        <f t="shared" si="4"/>
        <v>-4544.5431101578943</v>
      </c>
      <c r="G72" s="36">
        <f t="shared" si="5"/>
        <v>907010.15112688171</v>
      </c>
      <c r="H72" s="37"/>
    </row>
    <row r="73" spans="1:8" s="38" customFormat="1" ht="12.75" x14ac:dyDescent="0.2">
      <c r="A73" s="40">
        <f t="shared" si="7"/>
        <v>5</v>
      </c>
      <c r="B73" s="39">
        <f t="shared" si="0"/>
        <v>57</v>
      </c>
      <c r="C73" s="35">
        <f t="shared" si="1"/>
        <v>907010.15112688171</v>
      </c>
      <c r="D73" s="36">
        <f t="shared" si="2"/>
        <v>-6443.0140148550854</v>
      </c>
      <c r="E73" s="36">
        <f t="shared" si="3"/>
        <v>-1907.9632592206772</v>
      </c>
      <c r="F73" s="36">
        <f t="shared" si="4"/>
        <v>-4535.0507556344082</v>
      </c>
      <c r="G73" s="36">
        <f t="shared" si="5"/>
        <v>905102.18786766101</v>
      </c>
      <c r="H73" s="37"/>
    </row>
    <row r="74" spans="1:8" s="38" customFormat="1" ht="12.75" x14ac:dyDescent="0.2">
      <c r="A74" s="40">
        <f t="shared" si="7"/>
        <v>5</v>
      </c>
      <c r="B74" s="39">
        <f t="shared" si="0"/>
        <v>58</v>
      </c>
      <c r="C74" s="35">
        <f t="shared" si="1"/>
        <v>905102.18786766101</v>
      </c>
      <c r="D74" s="36">
        <f t="shared" si="2"/>
        <v>-6443.0140148550854</v>
      </c>
      <c r="E74" s="36">
        <f t="shared" si="3"/>
        <v>-1917.50307551678</v>
      </c>
      <c r="F74" s="36">
        <f t="shared" si="4"/>
        <v>-4525.5109393383054</v>
      </c>
      <c r="G74" s="36">
        <f t="shared" si="5"/>
        <v>903184.68479214422</v>
      </c>
      <c r="H74" s="37"/>
    </row>
    <row r="75" spans="1:8" s="38" customFormat="1" ht="12.75" x14ac:dyDescent="0.2">
      <c r="A75" s="40">
        <f t="shared" si="7"/>
        <v>5</v>
      </c>
      <c r="B75" s="39">
        <f t="shared" si="0"/>
        <v>59</v>
      </c>
      <c r="C75" s="35">
        <f t="shared" si="1"/>
        <v>903184.68479214422</v>
      </c>
      <c r="D75" s="36">
        <f t="shared" si="2"/>
        <v>-6443.0140148550854</v>
      </c>
      <c r="E75" s="36">
        <f t="shared" si="3"/>
        <v>-1927.0905908943641</v>
      </c>
      <c r="F75" s="36">
        <f t="shared" si="4"/>
        <v>-4515.9234239607213</v>
      </c>
      <c r="G75" s="36">
        <f t="shared" si="5"/>
        <v>901257.59420124989</v>
      </c>
      <c r="H75" s="37"/>
    </row>
    <row r="76" spans="1:8" s="38" customFormat="1" ht="12.75" x14ac:dyDescent="0.2">
      <c r="A76" s="40">
        <f t="shared" si="7"/>
        <v>5</v>
      </c>
      <c r="B76" s="39">
        <f t="shared" si="0"/>
        <v>60</v>
      </c>
      <c r="C76" s="35">
        <f t="shared" si="1"/>
        <v>901257.59420124989</v>
      </c>
      <c r="D76" s="36">
        <f t="shared" si="2"/>
        <v>-6443.0140148550854</v>
      </c>
      <c r="E76" s="36">
        <f t="shared" si="3"/>
        <v>-1936.7260438488356</v>
      </c>
      <c r="F76" s="36">
        <f t="shared" si="4"/>
        <v>-4506.2879710062498</v>
      </c>
      <c r="G76" s="36">
        <f t="shared" si="5"/>
        <v>899320.8681574011</v>
      </c>
      <c r="H76" s="37"/>
    </row>
    <row r="77" spans="1:8" s="38" customFormat="1" ht="12.75" x14ac:dyDescent="0.2">
      <c r="A77" s="40">
        <f>A65+1</f>
        <v>6</v>
      </c>
      <c r="B77" s="39">
        <f t="shared" si="0"/>
        <v>61</v>
      </c>
      <c r="C77" s="35">
        <f t="shared" si="1"/>
        <v>899320.8681574011</v>
      </c>
      <c r="D77" s="36">
        <f t="shared" si="2"/>
        <v>-6443.0140148550854</v>
      </c>
      <c r="E77" s="36">
        <f t="shared" si="3"/>
        <v>-1946.4096740680798</v>
      </c>
      <c r="F77" s="36">
        <f t="shared" si="4"/>
        <v>-4496.6043407870056</v>
      </c>
      <c r="G77" s="36">
        <f t="shared" si="5"/>
        <v>897374.458483333</v>
      </c>
      <c r="H77" s="37"/>
    </row>
    <row r="78" spans="1:8" s="38" customFormat="1" ht="12.75" x14ac:dyDescent="0.2">
      <c r="A78" s="40">
        <f>A77</f>
        <v>6</v>
      </c>
      <c r="B78" s="39">
        <f t="shared" si="0"/>
        <v>62</v>
      </c>
      <c r="C78" s="35">
        <f t="shared" si="1"/>
        <v>897374.458483333</v>
      </c>
      <c r="D78" s="36">
        <f t="shared" si="2"/>
        <v>-6443.0140148550854</v>
      </c>
      <c r="E78" s="36">
        <f t="shared" si="3"/>
        <v>-1956.1417224384204</v>
      </c>
      <c r="F78" s="36">
        <f t="shared" si="4"/>
        <v>-4486.872292416665</v>
      </c>
      <c r="G78" s="36">
        <f t="shared" si="5"/>
        <v>895418.31676089461</v>
      </c>
      <c r="H78" s="37"/>
    </row>
    <row r="79" spans="1:8" s="38" customFormat="1" ht="12.75" x14ac:dyDescent="0.2">
      <c r="A79" s="40">
        <f t="shared" si="7"/>
        <v>6</v>
      </c>
      <c r="B79" s="39">
        <f t="shared" si="0"/>
        <v>63</v>
      </c>
      <c r="C79" s="35">
        <f t="shared" si="1"/>
        <v>895418.31676089461</v>
      </c>
      <c r="D79" s="36">
        <f t="shared" si="2"/>
        <v>-6443.0140148550854</v>
      </c>
      <c r="E79" s="36">
        <f t="shared" si="3"/>
        <v>-1965.9224310506124</v>
      </c>
      <c r="F79" s="36">
        <f t="shared" si="4"/>
        <v>-4477.091583804473</v>
      </c>
      <c r="G79" s="36">
        <f t="shared" si="5"/>
        <v>893452.39432984404</v>
      </c>
      <c r="H79" s="37"/>
    </row>
    <row r="80" spans="1:8" s="38" customFormat="1" ht="12.75" x14ac:dyDescent="0.2">
      <c r="A80" s="40">
        <f t="shared" si="7"/>
        <v>6</v>
      </c>
      <c r="B80" s="39">
        <f t="shared" si="0"/>
        <v>64</v>
      </c>
      <c r="C80" s="35">
        <f t="shared" si="1"/>
        <v>893452.39432984404</v>
      </c>
      <c r="D80" s="36">
        <f t="shared" si="2"/>
        <v>-6443.0140148550854</v>
      </c>
      <c r="E80" s="36">
        <f t="shared" si="3"/>
        <v>-1975.7520432058654</v>
      </c>
      <c r="F80" s="36">
        <f t="shared" si="4"/>
        <v>-4467.26197164922</v>
      </c>
      <c r="G80" s="36">
        <f t="shared" si="5"/>
        <v>891476.64228663815</v>
      </c>
      <c r="H80" s="37"/>
    </row>
    <row r="81" spans="1:8" s="38" customFormat="1" ht="12.75" x14ac:dyDescent="0.2">
      <c r="A81" s="40">
        <f t="shared" si="7"/>
        <v>6</v>
      </c>
      <c r="B81" s="39">
        <f t="shared" si="0"/>
        <v>65</v>
      </c>
      <c r="C81" s="35">
        <f t="shared" si="1"/>
        <v>891476.64228663815</v>
      </c>
      <c r="D81" s="36">
        <f t="shared" si="2"/>
        <v>-6443.0140148550854</v>
      </c>
      <c r="E81" s="36">
        <f t="shared" si="3"/>
        <v>-1985.6308034218946</v>
      </c>
      <c r="F81" s="36">
        <f t="shared" si="4"/>
        <v>-4457.3832114331908</v>
      </c>
      <c r="G81" s="36">
        <f t="shared" si="5"/>
        <v>889491.01148321631</v>
      </c>
      <c r="H81" s="37"/>
    </row>
    <row r="82" spans="1:8" s="38" customFormat="1" ht="12.75" x14ac:dyDescent="0.2">
      <c r="A82" s="40">
        <f t="shared" si="7"/>
        <v>6</v>
      </c>
      <c r="B82" s="39">
        <f t="shared" ref="B82:B145" si="8">+B81+1</f>
        <v>66</v>
      </c>
      <c r="C82" s="35">
        <f t="shared" ref="C82:C145" si="9">G81</f>
        <v>889491.01148321631</v>
      </c>
      <c r="D82" s="36">
        <f t="shared" ref="D82:D145" si="10">PMT($C$4,$C$6,$C$2)</f>
        <v>-6443.0140148550854</v>
      </c>
      <c r="E82" s="36">
        <f t="shared" ref="E82:E145" si="11">D82-F82</f>
        <v>-1995.5589574390042</v>
      </c>
      <c r="F82" s="36">
        <f t="shared" ref="F82:F145" si="12">-G81*$C$4</f>
        <v>-4447.4550574160812</v>
      </c>
      <c r="G82" s="36">
        <f t="shared" ref="G82:G145" si="13">C82+E82</f>
        <v>887495.45252577728</v>
      </c>
      <c r="H82" s="37"/>
    </row>
    <row r="83" spans="1:8" s="38" customFormat="1" ht="12.75" x14ac:dyDescent="0.2">
      <c r="A83" s="40">
        <f t="shared" si="7"/>
        <v>6</v>
      </c>
      <c r="B83" s="39">
        <f t="shared" si="8"/>
        <v>67</v>
      </c>
      <c r="C83" s="35">
        <f t="shared" si="9"/>
        <v>887495.45252577728</v>
      </c>
      <c r="D83" s="36">
        <f t="shared" si="10"/>
        <v>-6443.0140148550854</v>
      </c>
      <c r="E83" s="36">
        <f t="shared" si="11"/>
        <v>-2005.5367522261986</v>
      </c>
      <c r="F83" s="36">
        <f t="shared" si="12"/>
        <v>-4437.4772626288868</v>
      </c>
      <c r="G83" s="36">
        <f t="shared" si="13"/>
        <v>885489.9157735511</v>
      </c>
      <c r="H83" s="37"/>
    </row>
    <row r="84" spans="1:8" s="38" customFormat="1" ht="12.75" x14ac:dyDescent="0.2">
      <c r="A84" s="40">
        <f t="shared" si="7"/>
        <v>6</v>
      </c>
      <c r="B84" s="39">
        <f t="shared" si="8"/>
        <v>68</v>
      </c>
      <c r="C84" s="35">
        <f t="shared" si="9"/>
        <v>885489.9157735511</v>
      </c>
      <c r="D84" s="36">
        <f t="shared" si="10"/>
        <v>-6443.0140148550854</v>
      </c>
      <c r="E84" s="36">
        <f t="shared" si="11"/>
        <v>-2015.5644359873295</v>
      </c>
      <c r="F84" s="36">
        <f t="shared" si="12"/>
        <v>-4427.4495788677559</v>
      </c>
      <c r="G84" s="36">
        <f t="shared" si="13"/>
        <v>883474.35133756371</v>
      </c>
      <c r="H84" s="37"/>
    </row>
    <row r="85" spans="1:8" s="38" customFormat="1" ht="12.75" x14ac:dyDescent="0.2">
      <c r="A85" s="40">
        <f t="shared" si="7"/>
        <v>6</v>
      </c>
      <c r="B85" s="39">
        <f t="shared" si="8"/>
        <v>69</v>
      </c>
      <c r="C85" s="35">
        <f t="shared" si="9"/>
        <v>883474.35133756371</v>
      </c>
      <c r="D85" s="36">
        <f t="shared" si="10"/>
        <v>-6443.0140148550854</v>
      </c>
      <c r="E85" s="36">
        <f t="shared" si="11"/>
        <v>-2025.6422581672668</v>
      </c>
      <c r="F85" s="36">
        <f t="shared" si="12"/>
        <v>-4417.3717566878186</v>
      </c>
      <c r="G85" s="36">
        <f t="shared" si="13"/>
        <v>881448.70907939645</v>
      </c>
      <c r="H85" s="37"/>
    </row>
    <row r="86" spans="1:8" s="38" customFormat="1" ht="12.75" x14ac:dyDescent="0.2">
      <c r="A86" s="40">
        <f t="shared" si="7"/>
        <v>6</v>
      </c>
      <c r="B86" s="39">
        <f t="shared" si="8"/>
        <v>70</v>
      </c>
      <c r="C86" s="35">
        <f t="shared" si="9"/>
        <v>881448.70907939645</v>
      </c>
      <c r="D86" s="36">
        <f t="shared" si="10"/>
        <v>-6443.0140148550854</v>
      </c>
      <c r="E86" s="36">
        <f t="shared" si="11"/>
        <v>-2035.7704694581034</v>
      </c>
      <c r="F86" s="36">
        <f t="shared" si="12"/>
        <v>-4407.243545396982</v>
      </c>
      <c r="G86" s="36">
        <f t="shared" si="13"/>
        <v>879412.93860993837</v>
      </c>
      <c r="H86" s="37"/>
    </row>
    <row r="87" spans="1:8" s="38" customFormat="1" ht="12.75" x14ac:dyDescent="0.2">
      <c r="A87" s="40">
        <f t="shared" si="7"/>
        <v>6</v>
      </c>
      <c r="B87" s="39">
        <f t="shared" si="8"/>
        <v>71</v>
      </c>
      <c r="C87" s="35">
        <f t="shared" si="9"/>
        <v>879412.93860993837</v>
      </c>
      <c r="D87" s="36">
        <f t="shared" si="10"/>
        <v>-6443.0140148550854</v>
      </c>
      <c r="E87" s="36">
        <f t="shared" si="11"/>
        <v>-2045.9493218053931</v>
      </c>
      <c r="F87" s="36">
        <f t="shared" si="12"/>
        <v>-4397.0646930496923</v>
      </c>
      <c r="G87" s="36">
        <f t="shared" si="13"/>
        <v>877366.98928813299</v>
      </c>
      <c r="H87" s="37"/>
    </row>
    <row r="88" spans="1:8" s="38" customFormat="1" ht="12.75" x14ac:dyDescent="0.2">
      <c r="A88" s="40">
        <f t="shared" si="7"/>
        <v>6</v>
      </c>
      <c r="B88" s="39">
        <f t="shared" si="8"/>
        <v>72</v>
      </c>
      <c r="C88" s="35">
        <f t="shared" si="9"/>
        <v>877366.98928813299</v>
      </c>
      <c r="D88" s="36">
        <f t="shared" si="10"/>
        <v>-6443.0140148550854</v>
      </c>
      <c r="E88" s="36">
        <f t="shared" si="11"/>
        <v>-2056.1790684144207</v>
      </c>
      <c r="F88" s="36">
        <f t="shared" si="12"/>
        <v>-4386.8349464406647</v>
      </c>
      <c r="G88" s="36">
        <f t="shared" si="13"/>
        <v>875310.81021971861</v>
      </c>
      <c r="H88" s="37"/>
    </row>
    <row r="89" spans="1:8" s="38" customFormat="1" ht="12.75" x14ac:dyDescent="0.2">
      <c r="A89" s="40">
        <f>A77+1</f>
        <v>7</v>
      </c>
      <c r="B89" s="39">
        <f t="shared" si="8"/>
        <v>73</v>
      </c>
      <c r="C89" s="35">
        <f t="shared" si="9"/>
        <v>875310.81021971861</v>
      </c>
      <c r="D89" s="36">
        <f t="shared" si="10"/>
        <v>-6443.0140148550854</v>
      </c>
      <c r="E89" s="36">
        <f t="shared" si="11"/>
        <v>-2066.4599637564925</v>
      </c>
      <c r="F89" s="36">
        <f t="shared" si="12"/>
        <v>-4376.5540510985929</v>
      </c>
      <c r="G89" s="36">
        <f t="shared" si="13"/>
        <v>873244.35025596211</v>
      </c>
      <c r="H89" s="37"/>
    </row>
    <row r="90" spans="1:8" s="38" customFormat="1" ht="12.75" x14ac:dyDescent="0.2">
      <c r="A90" s="40">
        <f>A89</f>
        <v>7</v>
      </c>
      <c r="B90" s="39">
        <f t="shared" si="8"/>
        <v>74</v>
      </c>
      <c r="C90" s="35">
        <f t="shared" si="9"/>
        <v>873244.35025596211</v>
      </c>
      <c r="D90" s="36">
        <f t="shared" si="10"/>
        <v>-6443.0140148550854</v>
      </c>
      <c r="E90" s="36">
        <f t="shared" si="11"/>
        <v>-2076.7922635752748</v>
      </c>
      <c r="F90" s="36">
        <f t="shared" si="12"/>
        <v>-4366.2217512798106</v>
      </c>
      <c r="G90" s="36">
        <f t="shared" si="13"/>
        <v>871167.55799238686</v>
      </c>
      <c r="H90" s="37"/>
    </row>
    <row r="91" spans="1:8" s="38" customFormat="1" ht="12.75" x14ac:dyDescent="0.2">
      <c r="A91" s="40">
        <f t="shared" si="7"/>
        <v>7</v>
      </c>
      <c r="B91" s="39">
        <f t="shared" si="8"/>
        <v>75</v>
      </c>
      <c r="C91" s="35">
        <f t="shared" si="9"/>
        <v>871167.55799238686</v>
      </c>
      <c r="D91" s="36">
        <f t="shared" si="10"/>
        <v>-6443.0140148550854</v>
      </c>
      <c r="E91" s="36">
        <f t="shared" si="11"/>
        <v>-2087.1762248931509</v>
      </c>
      <c r="F91" s="36">
        <f t="shared" si="12"/>
        <v>-4355.8377899619345</v>
      </c>
      <c r="G91" s="36">
        <f t="shared" si="13"/>
        <v>869080.38176749367</v>
      </c>
      <c r="H91" s="37"/>
    </row>
    <row r="92" spans="1:8" s="38" customFormat="1" ht="12.75" x14ac:dyDescent="0.2">
      <c r="A92" s="40">
        <f t="shared" si="7"/>
        <v>7</v>
      </c>
      <c r="B92" s="39">
        <f t="shared" si="8"/>
        <v>76</v>
      </c>
      <c r="C92" s="35">
        <f t="shared" si="9"/>
        <v>869080.38176749367</v>
      </c>
      <c r="D92" s="36">
        <f t="shared" si="10"/>
        <v>-6443.0140148550854</v>
      </c>
      <c r="E92" s="36">
        <f t="shared" si="11"/>
        <v>-2097.6121060176174</v>
      </c>
      <c r="F92" s="36">
        <f t="shared" si="12"/>
        <v>-4345.401908837468</v>
      </c>
      <c r="G92" s="36">
        <f t="shared" si="13"/>
        <v>866982.76966147602</v>
      </c>
      <c r="H92" s="37"/>
    </row>
    <row r="93" spans="1:8" s="38" customFormat="1" ht="12.75" x14ac:dyDescent="0.2">
      <c r="A93" s="40">
        <f t="shared" si="7"/>
        <v>7</v>
      </c>
      <c r="B93" s="39">
        <f t="shared" si="8"/>
        <v>77</v>
      </c>
      <c r="C93" s="35">
        <f t="shared" si="9"/>
        <v>866982.76966147602</v>
      </c>
      <c r="D93" s="36">
        <f t="shared" si="10"/>
        <v>-6443.0140148550854</v>
      </c>
      <c r="E93" s="36">
        <f t="shared" si="11"/>
        <v>-2108.1001665477052</v>
      </c>
      <c r="F93" s="36">
        <f t="shared" si="12"/>
        <v>-4334.9138483073802</v>
      </c>
      <c r="G93" s="36">
        <f t="shared" si="13"/>
        <v>864874.66949492833</v>
      </c>
      <c r="H93" s="37"/>
    </row>
    <row r="94" spans="1:8" s="38" customFormat="1" ht="12.75" x14ac:dyDescent="0.2">
      <c r="A94" s="40">
        <f t="shared" si="7"/>
        <v>7</v>
      </c>
      <c r="B94" s="39">
        <f t="shared" si="8"/>
        <v>78</v>
      </c>
      <c r="C94" s="35">
        <f t="shared" si="9"/>
        <v>864874.66949492833</v>
      </c>
      <c r="D94" s="36">
        <f t="shared" si="10"/>
        <v>-6443.0140148550854</v>
      </c>
      <c r="E94" s="36">
        <f t="shared" si="11"/>
        <v>-2118.640667380444</v>
      </c>
      <c r="F94" s="36">
        <f t="shared" si="12"/>
        <v>-4324.3733474746414</v>
      </c>
      <c r="G94" s="36">
        <f t="shared" si="13"/>
        <v>862756.02882754791</v>
      </c>
      <c r="H94" s="37"/>
    </row>
    <row r="95" spans="1:8" s="38" customFormat="1" ht="12.75" x14ac:dyDescent="0.2">
      <c r="A95" s="40">
        <f t="shared" si="7"/>
        <v>7</v>
      </c>
      <c r="B95" s="39">
        <f t="shared" si="8"/>
        <v>79</v>
      </c>
      <c r="C95" s="35">
        <f t="shared" si="9"/>
        <v>862756.02882754791</v>
      </c>
      <c r="D95" s="36">
        <f t="shared" si="10"/>
        <v>-6443.0140148550854</v>
      </c>
      <c r="E95" s="36">
        <f t="shared" si="11"/>
        <v>-2129.2338707173458</v>
      </c>
      <c r="F95" s="36">
        <f t="shared" si="12"/>
        <v>-4313.7801441377396</v>
      </c>
      <c r="G95" s="36">
        <f t="shared" si="13"/>
        <v>860626.79495683056</v>
      </c>
      <c r="H95" s="37"/>
    </row>
    <row r="96" spans="1:8" s="38" customFormat="1" ht="12.75" x14ac:dyDescent="0.2">
      <c r="A96" s="40">
        <f t="shared" si="7"/>
        <v>7</v>
      </c>
      <c r="B96" s="39">
        <f t="shared" si="8"/>
        <v>80</v>
      </c>
      <c r="C96" s="35">
        <f t="shared" si="9"/>
        <v>860626.79495683056</v>
      </c>
      <c r="D96" s="36">
        <f t="shared" si="10"/>
        <v>-6443.0140148550854</v>
      </c>
      <c r="E96" s="36">
        <f t="shared" si="11"/>
        <v>-2139.8800400709324</v>
      </c>
      <c r="F96" s="36">
        <f t="shared" si="12"/>
        <v>-4303.133974784153</v>
      </c>
      <c r="G96" s="36">
        <f t="shared" si="13"/>
        <v>858486.91491675959</v>
      </c>
      <c r="H96" s="37"/>
    </row>
    <row r="97" spans="1:8" s="38" customFormat="1" ht="12.75" x14ac:dyDescent="0.2">
      <c r="A97" s="40">
        <f t="shared" si="7"/>
        <v>7</v>
      </c>
      <c r="B97" s="39">
        <f t="shared" si="8"/>
        <v>81</v>
      </c>
      <c r="C97" s="35">
        <f t="shared" si="9"/>
        <v>858486.91491675959</v>
      </c>
      <c r="D97" s="36">
        <f t="shared" si="10"/>
        <v>-6443.0140148550854</v>
      </c>
      <c r="E97" s="36">
        <f t="shared" si="11"/>
        <v>-2150.5794402712872</v>
      </c>
      <c r="F97" s="36">
        <f t="shared" si="12"/>
        <v>-4292.4345745837982</v>
      </c>
      <c r="G97" s="36">
        <f t="shared" si="13"/>
        <v>856336.33547648834</v>
      </c>
      <c r="H97" s="37"/>
    </row>
    <row r="98" spans="1:8" s="38" customFormat="1" ht="12.75" x14ac:dyDescent="0.2">
      <c r="A98" s="40">
        <f t="shared" si="7"/>
        <v>7</v>
      </c>
      <c r="B98" s="39">
        <f t="shared" si="8"/>
        <v>82</v>
      </c>
      <c r="C98" s="35">
        <f t="shared" si="9"/>
        <v>856336.33547648834</v>
      </c>
      <c r="D98" s="36">
        <f t="shared" si="10"/>
        <v>-6443.0140148550854</v>
      </c>
      <c r="E98" s="36">
        <f t="shared" si="11"/>
        <v>-2161.3323374726433</v>
      </c>
      <c r="F98" s="36">
        <f t="shared" si="12"/>
        <v>-4281.6816773824421</v>
      </c>
      <c r="G98" s="36">
        <f t="shared" si="13"/>
        <v>854175.00313901575</v>
      </c>
      <c r="H98" s="37"/>
    </row>
    <row r="99" spans="1:8" s="38" customFormat="1" ht="12.75" x14ac:dyDescent="0.2">
      <c r="A99" s="40">
        <f t="shared" si="7"/>
        <v>7</v>
      </c>
      <c r="B99" s="39">
        <f t="shared" si="8"/>
        <v>83</v>
      </c>
      <c r="C99" s="35">
        <f t="shared" si="9"/>
        <v>854175.00313901575</v>
      </c>
      <c r="D99" s="36">
        <f t="shared" si="10"/>
        <v>-6443.0140148550854</v>
      </c>
      <c r="E99" s="36">
        <f t="shared" si="11"/>
        <v>-2172.1389991600063</v>
      </c>
      <c r="F99" s="36">
        <f t="shared" si="12"/>
        <v>-4270.8750156950791</v>
      </c>
      <c r="G99" s="36">
        <f t="shared" si="13"/>
        <v>852002.86413985572</v>
      </c>
      <c r="H99" s="37"/>
    </row>
    <row r="100" spans="1:8" s="38" customFormat="1" ht="12.75" x14ac:dyDescent="0.2">
      <c r="A100" s="40">
        <f t="shared" si="7"/>
        <v>7</v>
      </c>
      <c r="B100" s="39">
        <f t="shared" si="8"/>
        <v>84</v>
      </c>
      <c r="C100" s="35">
        <f t="shared" si="9"/>
        <v>852002.86413985572</v>
      </c>
      <c r="D100" s="36">
        <f t="shared" si="10"/>
        <v>-6443.0140148550854</v>
      </c>
      <c r="E100" s="36">
        <f t="shared" si="11"/>
        <v>-2182.9996941558065</v>
      </c>
      <c r="F100" s="36">
        <f t="shared" si="12"/>
        <v>-4260.0143206992789</v>
      </c>
      <c r="G100" s="36">
        <f t="shared" si="13"/>
        <v>849819.86444569996</v>
      </c>
      <c r="H100" s="37"/>
    </row>
    <row r="101" spans="1:8" s="38" customFormat="1" ht="12.75" x14ac:dyDescent="0.2">
      <c r="A101" s="40">
        <f>A89+1</f>
        <v>8</v>
      </c>
      <c r="B101" s="39">
        <f t="shared" si="8"/>
        <v>85</v>
      </c>
      <c r="C101" s="35">
        <f t="shared" si="9"/>
        <v>849819.86444569996</v>
      </c>
      <c r="D101" s="36">
        <f t="shared" si="10"/>
        <v>-6443.0140148550854</v>
      </c>
      <c r="E101" s="36">
        <f t="shared" si="11"/>
        <v>-2193.9146926265857</v>
      </c>
      <c r="F101" s="36">
        <f t="shared" si="12"/>
        <v>-4249.0993222284997</v>
      </c>
      <c r="G101" s="36">
        <f t="shared" si="13"/>
        <v>847625.94975307339</v>
      </c>
      <c r="H101" s="37"/>
    </row>
    <row r="102" spans="1:8" s="38" customFormat="1" ht="12.75" x14ac:dyDescent="0.2">
      <c r="A102" s="40">
        <f>A101</f>
        <v>8</v>
      </c>
      <c r="B102" s="39">
        <f t="shared" si="8"/>
        <v>86</v>
      </c>
      <c r="C102" s="35">
        <f t="shared" si="9"/>
        <v>847625.94975307339</v>
      </c>
      <c r="D102" s="36">
        <f t="shared" si="10"/>
        <v>-6443.0140148550854</v>
      </c>
      <c r="E102" s="36">
        <f t="shared" si="11"/>
        <v>-2204.884266089718</v>
      </c>
      <c r="F102" s="36">
        <f t="shared" si="12"/>
        <v>-4238.1297487653674</v>
      </c>
      <c r="G102" s="36">
        <f t="shared" si="13"/>
        <v>845421.06548698363</v>
      </c>
      <c r="H102" s="37"/>
    </row>
    <row r="103" spans="1:8" s="38" customFormat="1" ht="12.75" x14ac:dyDescent="0.2">
      <c r="A103" s="40">
        <f t="shared" si="7"/>
        <v>8</v>
      </c>
      <c r="B103" s="39">
        <f t="shared" si="8"/>
        <v>87</v>
      </c>
      <c r="C103" s="35">
        <f t="shared" si="9"/>
        <v>845421.06548698363</v>
      </c>
      <c r="D103" s="36">
        <f t="shared" si="10"/>
        <v>-6443.0140148550854</v>
      </c>
      <c r="E103" s="36">
        <f t="shared" si="11"/>
        <v>-2215.9086874201676</v>
      </c>
      <c r="F103" s="36">
        <f t="shared" si="12"/>
        <v>-4227.1053274349179</v>
      </c>
      <c r="G103" s="36">
        <f t="shared" si="13"/>
        <v>843205.15679956344</v>
      </c>
      <c r="H103" s="37"/>
    </row>
    <row r="104" spans="1:8" s="38" customFormat="1" ht="12.75" x14ac:dyDescent="0.2">
      <c r="A104" s="40">
        <f t="shared" si="7"/>
        <v>8</v>
      </c>
      <c r="B104" s="39">
        <f t="shared" si="8"/>
        <v>88</v>
      </c>
      <c r="C104" s="35">
        <f t="shared" si="9"/>
        <v>843205.15679956344</v>
      </c>
      <c r="D104" s="36">
        <f t="shared" si="10"/>
        <v>-6443.0140148550854</v>
      </c>
      <c r="E104" s="36">
        <f t="shared" si="11"/>
        <v>-2226.9882308572678</v>
      </c>
      <c r="F104" s="36">
        <f t="shared" si="12"/>
        <v>-4216.0257839978176</v>
      </c>
      <c r="G104" s="36">
        <f t="shared" si="13"/>
        <v>840978.16856870614</v>
      </c>
      <c r="H104" s="37"/>
    </row>
    <row r="105" spans="1:8" s="38" customFormat="1" ht="12.75" x14ac:dyDescent="0.2">
      <c r="A105" s="40">
        <f t="shared" si="7"/>
        <v>8</v>
      </c>
      <c r="B105" s="39">
        <f t="shared" si="8"/>
        <v>89</v>
      </c>
      <c r="C105" s="35">
        <f t="shared" si="9"/>
        <v>840978.16856870614</v>
      </c>
      <c r="D105" s="36">
        <f t="shared" si="10"/>
        <v>-6443.0140148550854</v>
      </c>
      <c r="E105" s="36">
        <f t="shared" si="11"/>
        <v>-2238.1231720115547</v>
      </c>
      <c r="F105" s="36">
        <f t="shared" si="12"/>
        <v>-4204.8908428435307</v>
      </c>
      <c r="G105" s="36">
        <f t="shared" si="13"/>
        <v>838740.04539669456</v>
      </c>
      <c r="H105" s="37"/>
    </row>
    <row r="106" spans="1:8" s="38" customFormat="1" ht="12.75" x14ac:dyDescent="0.2">
      <c r="A106" s="40">
        <f t="shared" ref="A106:A169" si="14">A105</f>
        <v>8</v>
      </c>
      <c r="B106" s="39">
        <f t="shared" si="8"/>
        <v>90</v>
      </c>
      <c r="C106" s="35">
        <f t="shared" si="9"/>
        <v>838740.04539669456</v>
      </c>
      <c r="D106" s="36">
        <f t="shared" si="10"/>
        <v>-6443.0140148550854</v>
      </c>
      <c r="E106" s="36">
        <f t="shared" si="11"/>
        <v>-2249.3137878716125</v>
      </c>
      <c r="F106" s="36">
        <f t="shared" si="12"/>
        <v>-4193.7002269834729</v>
      </c>
      <c r="G106" s="36">
        <f t="shared" si="13"/>
        <v>836490.73160882294</v>
      </c>
      <c r="H106" s="37"/>
    </row>
    <row r="107" spans="1:8" s="38" customFormat="1" ht="12.75" x14ac:dyDescent="0.2">
      <c r="A107" s="40">
        <f t="shared" si="14"/>
        <v>8</v>
      </c>
      <c r="B107" s="39">
        <f t="shared" si="8"/>
        <v>91</v>
      </c>
      <c r="C107" s="35">
        <f t="shared" si="9"/>
        <v>836490.73160882294</v>
      </c>
      <c r="D107" s="36">
        <f t="shared" si="10"/>
        <v>-6443.0140148550854</v>
      </c>
      <c r="E107" s="36">
        <f t="shared" si="11"/>
        <v>-2260.5603568109709</v>
      </c>
      <c r="F107" s="36">
        <f t="shared" si="12"/>
        <v>-4182.4536580441145</v>
      </c>
      <c r="G107" s="36">
        <f t="shared" si="13"/>
        <v>834230.17125201202</v>
      </c>
      <c r="H107" s="37"/>
    </row>
    <row r="108" spans="1:8" s="38" customFormat="1" ht="12.75" x14ac:dyDescent="0.2">
      <c r="A108" s="40">
        <f t="shared" si="14"/>
        <v>8</v>
      </c>
      <c r="B108" s="39">
        <f t="shared" si="8"/>
        <v>92</v>
      </c>
      <c r="C108" s="35">
        <f t="shared" si="9"/>
        <v>834230.17125201202</v>
      </c>
      <c r="D108" s="36">
        <f t="shared" si="10"/>
        <v>-6443.0140148550854</v>
      </c>
      <c r="E108" s="36">
        <f t="shared" si="11"/>
        <v>-2271.8631585950252</v>
      </c>
      <c r="F108" s="36">
        <f t="shared" si="12"/>
        <v>-4171.1508562600602</v>
      </c>
      <c r="G108" s="36">
        <f t="shared" si="13"/>
        <v>831958.30809341697</v>
      </c>
      <c r="H108" s="37"/>
    </row>
    <row r="109" spans="1:8" s="38" customFormat="1" ht="12.75" x14ac:dyDescent="0.2">
      <c r="A109" s="40">
        <f t="shared" si="14"/>
        <v>8</v>
      </c>
      <c r="B109" s="39">
        <f t="shared" si="8"/>
        <v>93</v>
      </c>
      <c r="C109" s="35">
        <f t="shared" si="9"/>
        <v>831958.30809341697</v>
      </c>
      <c r="D109" s="36">
        <f t="shared" si="10"/>
        <v>-6443.0140148550854</v>
      </c>
      <c r="E109" s="36">
        <f t="shared" si="11"/>
        <v>-2283.2224743880006</v>
      </c>
      <c r="F109" s="36">
        <f t="shared" si="12"/>
        <v>-4159.7915404670848</v>
      </c>
      <c r="G109" s="36">
        <f t="shared" si="13"/>
        <v>829675.08561902901</v>
      </c>
      <c r="H109" s="37"/>
    </row>
    <row r="110" spans="1:8" s="38" customFormat="1" ht="12.75" x14ac:dyDescent="0.2">
      <c r="A110" s="40">
        <f t="shared" si="14"/>
        <v>8</v>
      </c>
      <c r="B110" s="39">
        <f t="shared" si="8"/>
        <v>94</v>
      </c>
      <c r="C110" s="35">
        <f t="shared" si="9"/>
        <v>829675.08561902901</v>
      </c>
      <c r="D110" s="36">
        <f t="shared" si="10"/>
        <v>-6443.0140148550854</v>
      </c>
      <c r="E110" s="36">
        <f t="shared" si="11"/>
        <v>-2294.6385867599402</v>
      </c>
      <c r="F110" s="36">
        <f t="shared" si="12"/>
        <v>-4148.3754280951453</v>
      </c>
      <c r="G110" s="36">
        <f t="shared" si="13"/>
        <v>827380.44703226909</v>
      </c>
      <c r="H110" s="37"/>
    </row>
    <row r="111" spans="1:8" s="38" customFormat="1" ht="12.75" x14ac:dyDescent="0.2">
      <c r="A111" s="40">
        <f t="shared" si="14"/>
        <v>8</v>
      </c>
      <c r="B111" s="39">
        <f t="shared" si="8"/>
        <v>95</v>
      </c>
      <c r="C111" s="35">
        <f t="shared" si="9"/>
        <v>827380.44703226909</v>
      </c>
      <c r="D111" s="36">
        <f t="shared" si="10"/>
        <v>-6443.0140148550854</v>
      </c>
      <c r="E111" s="36">
        <f t="shared" si="11"/>
        <v>-2306.1117796937397</v>
      </c>
      <c r="F111" s="36">
        <f t="shared" si="12"/>
        <v>-4136.9022351613457</v>
      </c>
      <c r="G111" s="36">
        <f t="shared" si="13"/>
        <v>825074.33525257534</v>
      </c>
      <c r="H111" s="37"/>
    </row>
    <row r="112" spans="1:8" s="38" customFormat="1" ht="12.75" x14ac:dyDescent="0.2">
      <c r="A112" s="40">
        <f t="shared" si="14"/>
        <v>8</v>
      </c>
      <c r="B112" s="39">
        <f t="shared" si="8"/>
        <v>96</v>
      </c>
      <c r="C112" s="35">
        <f t="shared" si="9"/>
        <v>825074.33525257534</v>
      </c>
      <c r="D112" s="36">
        <f t="shared" si="10"/>
        <v>-6443.0140148550854</v>
      </c>
      <c r="E112" s="36">
        <f t="shared" si="11"/>
        <v>-2317.6423385922089</v>
      </c>
      <c r="F112" s="36">
        <f t="shared" si="12"/>
        <v>-4125.3716762628765</v>
      </c>
      <c r="G112" s="36">
        <f t="shared" si="13"/>
        <v>822756.69291398313</v>
      </c>
      <c r="H112" s="37"/>
    </row>
    <row r="113" spans="1:8" s="38" customFormat="1" ht="12.75" x14ac:dyDescent="0.2">
      <c r="A113" s="40">
        <f>A101+1</f>
        <v>9</v>
      </c>
      <c r="B113" s="39">
        <f t="shared" si="8"/>
        <v>97</v>
      </c>
      <c r="C113" s="35">
        <f t="shared" si="9"/>
        <v>822756.69291398313</v>
      </c>
      <c r="D113" s="36">
        <f t="shared" si="10"/>
        <v>-6443.0140148550854</v>
      </c>
      <c r="E113" s="36">
        <f t="shared" si="11"/>
        <v>-2329.2305502851696</v>
      </c>
      <c r="F113" s="36">
        <f t="shared" si="12"/>
        <v>-4113.7834645699159</v>
      </c>
      <c r="G113" s="36">
        <f t="shared" si="13"/>
        <v>820427.46236369794</v>
      </c>
      <c r="H113" s="37"/>
    </row>
    <row r="114" spans="1:8" s="38" customFormat="1" ht="12.75" x14ac:dyDescent="0.2">
      <c r="A114" s="40">
        <f>A113</f>
        <v>9</v>
      </c>
      <c r="B114" s="39">
        <f t="shared" si="8"/>
        <v>98</v>
      </c>
      <c r="C114" s="35">
        <f t="shared" si="9"/>
        <v>820427.46236369794</v>
      </c>
      <c r="D114" s="36">
        <f t="shared" si="10"/>
        <v>-6443.0140148550854</v>
      </c>
      <c r="E114" s="36">
        <f t="shared" si="11"/>
        <v>-2340.8767030365952</v>
      </c>
      <c r="F114" s="36">
        <f t="shared" si="12"/>
        <v>-4102.1373118184902</v>
      </c>
      <c r="G114" s="36">
        <f t="shared" si="13"/>
        <v>818086.58566066134</v>
      </c>
      <c r="H114" s="37"/>
    </row>
    <row r="115" spans="1:8" s="38" customFormat="1" ht="12.75" x14ac:dyDescent="0.2">
      <c r="A115" s="40">
        <f t="shared" si="14"/>
        <v>9</v>
      </c>
      <c r="B115" s="39">
        <f t="shared" si="8"/>
        <v>99</v>
      </c>
      <c r="C115" s="35">
        <f t="shared" si="9"/>
        <v>818086.58566066134</v>
      </c>
      <c r="D115" s="36">
        <f t="shared" si="10"/>
        <v>-6443.0140148550854</v>
      </c>
      <c r="E115" s="36">
        <f t="shared" si="11"/>
        <v>-2352.5810865517788</v>
      </c>
      <c r="F115" s="36">
        <f t="shared" si="12"/>
        <v>-4090.4329283033067</v>
      </c>
      <c r="G115" s="36">
        <f t="shared" si="13"/>
        <v>815734.00457410957</v>
      </c>
      <c r="H115" s="37"/>
    </row>
    <row r="116" spans="1:8" s="38" customFormat="1" ht="12.75" x14ac:dyDescent="0.2">
      <c r="A116" s="40">
        <f t="shared" si="14"/>
        <v>9</v>
      </c>
      <c r="B116" s="39">
        <f t="shared" si="8"/>
        <v>100</v>
      </c>
      <c r="C116" s="35">
        <f t="shared" si="9"/>
        <v>815734.00457410957</v>
      </c>
      <c r="D116" s="36">
        <f t="shared" si="10"/>
        <v>-6443.0140148550854</v>
      </c>
      <c r="E116" s="36">
        <f t="shared" si="11"/>
        <v>-2364.3439919845373</v>
      </c>
      <c r="F116" s="36">
        <f t="shared" si="12"/>
        <v>-4078.6700228705481</v>
      </c>
      <c r="G116" s="36">
        <f t="shared" si="13"/>
        <v>813369.66058212507</v>
      </c>
      <c r="H116" s="37"/>
    </row>
    <row r="117" spans="1:8" s="38" customFormat="1" ht="12.75" x14ac:dyDescent="0.2">
      <c r="A117" s="40">
        <f t="shared" si="14"/>
        <v>9</v>
      </c>
      <c r="B117" s="39">
        <f t="shared" si="8"/>
        <v>101</v>
      </c>
      <c r="C117" s="35">
        <f t="shared" si="9"/>
        <v>813369.66058212507</v>
      </c>
      <c r="D117" s="36">
        <f t="shared" si="10"/>
        <v>-6443.0140148550854</v>
      </c>
      <c r="E117" s="36">
        <f t="shared" si="11"/>
        <v>-2376.1657119444599</v>
      </c>
      <c r="F117" s="36">
        <f t="shared" si="12"/>
        <v>-4066.8483029106255</v>
      </c>
      <c r="G117" s="36">
        <f t="shared" si="13"/>
        <v>810993.49487018061</v>
      </c>
      <c r="H117" s="37"/>
    </row>
    <row r="118" spans="1:8" s="38" customFormat="1" ht="12.75" x14ac:dyDescent="0.2">
      <c r="A118" s="40">
        <f t="shared" si="14"/>
        <v>9</v>
      </c>
      <c r="B118" s="39">
        <f t="shared" si="8"/>
        <v>102</v>
      </c>
      <c r="C118" s="35">
        <f t="shared" si="9"/>
        <v>810993.49487018061</v>
      </c>
      <c r="D118" s="36">
        <f t="shared" si="10"/>
        <v>-6443.0140148550854</v>
      </c>
      <c r="E118" s="36">
        <f t="shared" si="11"/>
        <v>-2388.0465405041823</v>
      </c>
      <c r="F118" s="36">
        <f t="shared" si="12"/>
        <v>-4054.9674743509031</v>
      </c>
      <c r="G118" s="36">
        <f t="shared" si="13"/>
        <v>808605.44832967641</v>
      </c>
      <c r="H118" s="37"/>
    </row>
    <row r="119" spans="1:8" s="38" customFormat="1" ht="12.75" x14ac:dyDescent="0.2">
      <c r="A119" s="40">
        <f t="shared" si="14"/>
        <v>9</v>
      </c>
      <c r="B119" s="39">
        <f t="shared" si="8"/>
        <v>103</v>
      </c>
      <c r="C119" s="35">
        <f t="shared" si="9"/>
        <v>808605.44832967641</v>
      </c>
      <c r="D119" s="36">
        <f t="shared" si="10"/>
        <v>-6443.0140148550854</v>
      </c>
      <c r="E119" s="36">
        <f t="shared" si="11"/>
        <v>-2399.9867732067032</v>
      </c>
      <c r="F119" s="36">
        <f t="shared" si="12"/>
        <v>-4043.0272416483822</v>
      </c>
      <c r="G119" s="36">
        <f t="shared" si="13"/>
        <v>806205.46155646967</v>
      </c>
      <c r="H119" s="37"/>
    </row>
    <row r="120" spans="1:8" s="38" customFormat="1" ht="12.75" x14ac:dyDescent="0.2">
      <c r="A120" s="40">
        <f t="shared" si="14"/>
        <v>9</v>
      </c>
      <c r="B120" s="39">
        <f t="shared" si="8"/>
        <v>104</v>
      </c>
      <c r="C120" s="35">
        <f t="shared" si="9"/>
        <v>806205.46155646967</v>
      </c>
      <c r="D120" s="36">
        <f t="shared" si="10"/>
        <v>-6443.0140148550854</v>
      </c>
      <c r="E120" s="36">
        <f t="shared" si="11"/>
        <v>-2411.9867070727369</v>
      </c>
      <c r="F120" s="36">
        <f t="shared" si="12"/>
        <v>-4031.0273077823485</v>
      </c>
      <c r="G120" s="36">
        <f t="shared" si="13"/>
        <v>803793.47484939697</v>
      </c>
      <c r="H120" s="37"/>
    </row>
    <row r="121" spans="1:8" s="38" customFormat="1" ht="12.75" x14ac:dyDescent="0.2">
      <c r="A121" s="40">
        <f t="shared" si="14"/>
        <v>9</v>
      </c>
      <c r="B121" s="39">
        <f t="shared" si="8"/>
        <v>105</v>
      </c>
      <c r="C121" s="35">
        <f t="shared" si="9"/>
        <v>803793.47484939697</v>
      </c>
      <c r="D121" s="36">
        <f t="shared" si="10"/>
        <v>-6443.0140148550854</v>
      </c>
      <c r="E121" s="36">
        <f t="shared" si="11"/>
        <v>-2424.0466406081005</v>
      </c>
      <c r="F121" s="36">
        <f t="shared" si="12"/>
        <v>-4018.9673742469849</v>
      </c>
      <c r="G121" s="36">
        <f t="shared" si="13"/>
        <v>801369.42820878886</v>
      </c>
      <c r="H121" s="37"/>
    </row>
    <row r="122" spans="1:8" s="38" customFormat="1" ht="12.75" x14ac:dyDescent="0.2">
      <c r="A122" s="40">
        <f t="shared" si="14"/>
        <v>9</v>
      </c>
      <c r="B122" s="39">
        <f t="shared" si="8"/>
        <v>106</v>
      </c>
      <c r="C122" s="35">
        <f t="shared" si="9"/>
        <v>801369.42820878886</v>
      </c>
      <c r="D122" s="36">
        <f t="shared" si="10"/>
        <v>-6443.0140148550854</v>
      </c>
      <c r="E122" s="36">
        <f t="shared" si="11"/>
        <v>-2436.1668738111412</v>
      </c>
      <c r="F122" s="36">
        <f t="shared" si="12"/>
        <v>-4006.8471410439442</v>
      </c>
      <c r="G122" s="36">
        <f t="shared" si="13"/>
        <v>798933.26133497769</v>
      </c>
      <c r="H122" s="37"/>
    </row>
    <row r="123" spans="1:8" s="38" customFormat="1" ht="12.75" x14ac:dyDescent="0.2">
      <c r="A123" s="40">
        <f t="shared" si="14"/>
        <v>9</v>
      </c>
      <c r="B123" s="39">
        <f t="shared" si="8"/>
        <v>107</v>
      </c>
      <c r="C123" s="35">
        <f t="shared" si="9"/>
        <v>798933.26133497769</v>
      </c>
      <c r="D123" s="36">
        <f t="shared" si="10"/>
        <v>-6443.0140148550854</v>
      </c>
      <c r="E123" s="36">
        <f t="shared" si="11"/>
        <v>-2448.3477081801971</v>
      </c>
      <c r="F123" s="36">
        <f t="shared" si="12"/>
        <v>-3994.6663066748883</v>
      </c>
      <c r="G123" s="36">
        <f t="shared" si="13"/>
        <v>796484.9136267975</v>
      </c>
      <c r="H123" s="37"/>
    </row>
    <row r="124" spans="1:8" s="38" customFormat="1" ht="12.75" x14ac:dyDescent="0.2">
      <c r="A124" s="40">
        <f t="shared" si="14"/>
        <v>9</v>
      </c>
      <c r="B124" s="39">
        <f t="shared" si="8"/>
        <v>108</v>
      </c>
      <c r="C124" s="35">
        <f t="shared" si="9"/>
        <v>796484.9136267975</v>
      </c>
      <c r="D124" s="36">
        <f t="shared" si="10"/>
        <v>-6443.0140148550854</v>
      </c>
      <c r="E124" s="36">
        <f t="shared" si="11"/>
        <v>-2460.5894467210978</v>
      </c>
      <c r="F124" s="36">
        <f t="shared" si="12"/>
        <v>-3982.4245681339876</v>
      </c>
      <c r="G124" s="36">
        <f t="shared" si="13"/>
        <v>794024.32418007636</v>
      </c>
      <c r="H124" s="37"/>
    </row>
    <row r="125" spans="1:8" s="38" customFormat="1" ht="12.75" x14ac:dyDescent="0.2">
      <c r="A125" s="40">
        <f>A113+1</f>
        <v>10</v>
      </c>
      <c r="B125" s="39">
        <f t="shared" si="8"/>
        <v>109</v>
      </c>
      <c r="C125" s="35">
        <f t="shared" si="9"/>
        <v>794024.32418007636</v>
      </c>
      <c r="D125" s="36">
        <f t="shared" si="10"/>
        <v>-6443.0140148550854</v>
      </c>
      <c r="E125" s="36">
        <f t="shared" si="11"/>
        <v>-2472.8923939547035</v>
      </c>
      <c r="F125" s="36">
        <f t="shared" si="12"/>
        <v>-3970.1216209003819</v>
      </c>
      <c r="G125" s="36">
        <f t="shared" si="13"/>
        <v>791551.43178612168</v>
      </c>
      <c r="H125" s="37"/>
    </row>
    <row r="126" spans="1:8" s="38" customFormat="1" ht="12.75" x14ac:dyDescent="0.2">
      <c r="A126" s="40">
        <f>A125</f>
        <v>10</v>
      </c>
      <c r="B126" s="39">
        <f t="shared" si="8"/>
        <v>110</v>
      </c>
      <c r="C126" s="35">
        <f t="shared" si="9"/>
        <v>791551.43178612168</v>
      </c>
      <c r="D126" s="36">
        <f t="shared" si="10"/>
        <v>-6443.0140148550854</v>
      </c>
      <c r="E126" s="36">
        <f t="shared" si="11"/>
        <v>-2485.2568559244769</v>
      </c>
      <c r="F126" s="36">
        <f t="shared" si="12"/>
        <v>-3957.7571589306085</v>
      </c>
      <c r="G126" s="36">
        <f t="shared" si="13"/>
        <v>789066.17493019719</v>
      </c>
      <c r="H126" s="37"/>
    </row>
    <row r="127" spans="1:8" s="38" customFormat="1" ht="12.75" x14ac:dyDescent="0.2">
      <c r="A127" s="40">
        <f t="shared" si="14"/>
        <v>10</v>
      </c>
      <c r="B127" s="39">
        <f t="shared" si="8"/>
        <v>111</v>
      </c>
      <c r="C127" s="35">
        <f t="shared" si="9"/>
        <v>789066.17493019719</v>
      </c>
      <c r="D127" s="36">
        <f t="shared" si="10"/>
        <v>-6443.0140148550854</v>
      </c>
      <c r="E127" s="36">
        <f t="shared" si="11"/>
        <v>-2497.6831402040993</v>
      </c>
      <c r="F127" s="36">
        <f t="shared" si="12"/>
        <v>-3945.3308746509861</v>
      </c>
      <c r="G127" s="36">
        <f t="shared" si="13"/>
        <v>786568.49178999313</v>
      </c>
      <c r="H127" s="37"/>
    </row>
    <row r="128" spans="1:8" s="38" customFormat="1" ht="12.75" x14ac:dyDescent="0.2">
      <c r="A128" s="40">
        <f t="shared" si="14"/>
        <v>10</v>
      </c>
      <c r="B128" s="39">
        <f t="shared" si="8"/>
        <v>112</v>
      </c>
      <c r="C128" s="35">
        <f t="shared" si="9"/>
        <v>786568.49178999313</v>
      </c>
      <c r="D128" s="36">
        <f t="shared" si="10"/>
        <v>-6443.0140148550854</v>
      </c>
      <c r="E128" s="36">
        <f t="shared" si="11"/>
        <v>-2510.1715559051195</v>
      </c>
      <c r="F128" s="36">
        <f t="shared" si="12"/>
        <v>-3932.8424589499659</v>
      </c>
      <c r="G128" s="36">
        <f t="shared" si="13"/>
        <v>784058.32023408799</v>
      </c>
      <c r="H128" s="37"/>
    </row>
    <row r="129" spans="1:8" s="38" customFormat="1" ht="12.75" x14ac:dyDescent="0.2">
      <c r="A129" s="40">
        <f t="shared" si="14"/>
        <v>10</v>
      </c>
      <c r="B129" s="39">
        <f t="shared" si="8"/>
        <v>113</v>
      </c>
      <c r="C129" s="35">
        <f t="shared" si="9"/>
        <v>784058.32023408799</v>
      </c>
      <c r="D129" s="36">
        <f t="shared" si="10"/>
        <v>-6443.0140148550854</v>
      </c>
      <c r="E129" s="36">
        <f t="shared" si="11"/>
        <v>-2522.7224136846453</v>
      </c>
      <c r="F129" s="36">
        <f t="shared" si="12"/>
        <v>-3920.2916011704401</v>
      </c>
      <c r="G129" s="36">
        <f t="shared" si="13"/>
        <v>781535.5978204034</v>
      </c>
      <c r="H129" s="37"/>
    </row>
    <row r="130" spans="1:8" s="38" customFormat="1" ht="12.75" x14ac:dyDescent="0.2">
      <c r="A130" s="40">
        <f t="shared" si="14"/>
        <v>10</v>
      </c>
      <c r="B130" s="39">
        <f t="shared" si="8"/>
        <v>114</v>
      </c>
      <c r="C130" s="35">
        <f t="shared" si="9"/>
        <v>781535.5978204034</v>
      </c>
      <c r="D130" s="36">
        <f t="shared" si="10"/>
        <v>-6443.0140148550854</v>
      </c>
      <c r="E130" s="36">
        <f t="shared" si="11"/>
        <v>-2535.3360257530685</v>
      </c>
      <c r="F130" s="36">
        <f t="shared" si="12"/>
        <v>-3907.6779891020169</v>
      </c>
      <c r="G130" s="36">
        <f t="shared" si="13"/>
        <v>779000.26179465035</v>
      </c>
      <c r="H130" s="37"/>
    </row>
    <row r="131" spans="1:8" s="38" customFormat="1" ht="12.75" x14ac:dyDescent="0.2">
      <c r="A131" s="40">
        <f t="shared" si="14"/>
        <v>10</v>
      </c>
      <c r="B131" s="39">
        <f t="shared" si="8"/>
        <v>115</v>
      </c>
      <c r="C131" s="35">
        <f t="shared" si="9"/>
        <v>779000.26179465035</v>
      </c>
      <c r="D131" s="36">
        <f t="shared" si="10"/>
        <v>-6443.0140148550854</v>
      </c>
      <c r="E131" s="36">
        <f t="shared" si="11"/>
        <v>-2548.0127058818334</v>
      </c>
      <c r="F131" s="36">
        <f t="shared" si="12"/>
        <v>-3895.001308973252</v>
      </c>
      <c r="G131" s="36">
        <f t="shared" si="13"/>
        <v>776452.2490887685</v>
      </c>
      <c r="H131" s="37"/>
    </row>
    <row r="132" spans="1:8" s="38" customFormat="1" ht="12.75" x14ac:dyDescent="0.2">
      <c r="A132" s="40">
        <f t="shared" si="14"/>
        <v>10</v>
      </c>
      <c r="B132" s="39">
        <f t="shared" si="8"/>
        <v>116</v>
      </c>
      <c r="C132" s="35">
        <f t="shared" si="9"/>
        <v>776452.2490887685</v>
      </c>
      <c r="D132" s="36">
        <f t="shared" si="10"/>
        <v>-6443.0140148550854</v>
      </c>
      <c r="E132" s="36">
        <f t="shared" si="11"/>
        <v>-2560.7527694112428</v>
      </c>
      <c r="F132" s="36">
        <f t="shared" si="12"/>
        <v>-3882.2612454438427</v>
      </c>
      <c r="G132" s="36">
        <f t="shared" si="13"/>
        <v>773891.49631935731</v>
      </c>
      <c r="H132" s="37"/>
    </row>
    <row r="133" spans="1:8" s="38" customFormat="1" ht="12.75" x14ac:dyDescent="0.2">
      <c r="A133" s="40">
        <f t="shared" si="14"/>
        <v>10</v>
      </c>
      <c r="B133" s="39">
        <f t="shared" si="8"/>
        <v>117</v>
      </c>
      <c r="C133" s="35">
        <f t="shared" si="9"/>
        <v>773891.49631935731</v>
      </c>
      <c r="D133" s="36">
        <f t="shared" si="10"/>
        <v>-6443.0140148550854</v>
      </c>
      <c r="E133" s="36">
        <f t="shared" si="11"/>
        <v>-2573.5565332582987</v>
      </c>
      <c r="F133" s="36">
        <f t="shared" si="12"/>
        <v>-3869.4574815967867</v>
      </c>
      <c r="G133" s="36">
        <f t="shared" si="13"/>
        <v>771317.93978609901</v>
      </c>
      <c r="H133" s="37"/>
    </row>
    <row r="134" spans="1:8" s="38" customFormat="1" ht="12.75" x14ac:dyDescent="0.2">
      <c r="A134" s="40">
        <f t="shared" si="14"/>
        <v>10</v>
      </c>
      <c r="B134" s="39">
        <f t="shared" si="8"/>
        <v>118</v>
      </c>
      <c r="C134" s="35">
        <f t="shared" si="9"/>
        <v>771317.93978609901</v>
      </c>
      <c r="D134" s="36">
        <f t="shared" si="10"/>
        <v>-6443.0140148550854</v>
      </c>
      <c r="E134" s="36">
        <f t="shared" si="11"/>
        <v>-2586.4243159245902</v>
      </c>
      <c r="F134" s="36">
        <f t="shared" si="12"/>
        <v>-3856.5896989304952</v>
      </c>
      <c r="G134" s="36">
        <f t="shared" si="13"/>
        <v>768731.51547017437</v>
      </c>
      <c r="H134" s="37"/>
    </row>
    <row r="135" spans="1:8" s="38" customFormat="1" ht="12.75" x14ac:dyDescent="0.2">
      <c r="A135" s="40">
        <f t="shared" si="14"/>
        <v>10</v>
      </c>
      <c r="B135" s="39">
        <f t="shared" si="8"/>
        <v>119</v>
      </c>
      <c r="C135" s="35">
        <f t="shared" si="9"/>
        <v>768731.51547017437</v>
      </c>
      <c r="D135" s="36">
        <f t="shared" si="10"/>
        <v>-6443.0140148550854</v>
      </c>
      <c r="E135" s="36">
        <f t="shared" si="11"/>
        <v>-2599.3564375042133</v>
      </c>
      <c r="F135" s="36">
        <f t="shared" si="12"/>
        <v>-3843.6575773508721</v>
      </c>
      <c r="G135" s="36">
        <f t="shared" si="13"/>
        <v>766132.1590326702</v>
      </c>
      <c r="H135" s="37"/>
    </row>
    <row r="136" spans="1:8" s="38" customFormat="1" ht="12.75" x14ac:dyDescent="0.2">
      <c r="A136" s="40">
        <f t="shared" si="14"/>
        <v>10</v>
      </c>
      <c r="B136" s="39">
        <f t="shared" si="8"/>
        <v>120</v>
      </c>
      <c r="C136" s="35">
        <f t="shared" si="9"/>
        <v>766132.1590326702</v>
      </c>
      <c r="D136" s="36">
        <f t="shared" si="10"/>
        <v>-6443.0140148550854</v>
      </c>
      <c r="E136" s="36">
        <f t="shared" si="11"/>
        <v>-2612.3532196917345</v>
      </c>
      <c r="F136" s="36">
        <f t="shared" si="12"/>
        <v>-3830.6607951633509</v>
      </c>
      <c r="G136" s="36">
        <f t="shared" si="13"/>
        <v>763519.80581297842</v>
      </c>
      <c r="H136" s="37"/>
    </row>
    <row r="137" spans="1:8" s="38" customFormat="1" ht="12.75" x14ac:dyDescent="0.2">
      <c r="A137" s="40">
        <f>A125+1</f>
        <v>11</v>
      </c>
      <c r="B137" s="39">
        <f t="shared" si="8"/>
        <v>121</v>
      </c>
      <c r="C137" s="35">
        <f t="shared" si="9"/>
        <v>763519.80581297842</v>
      </c>
      <c r="D137" s="36">
        <f t="shared" si="10"/>
        <v>-6443.0140148550854</v>
      </c>
      <c r="E137" s="36">
        <f t="shared" si="11"/>
        <v>-2625.4149857901934</v>
      </c>
      <c r="F137" s="36">
        <f t="shared" si="12"/>
        <v>-3817.599029064892</v>
      </c>
      <c r="G137" s="36">
        <f t="shared" si="13"/>
        <v>760894.39082718827</v>
      </c>
      <c r="H137" s="37"/>
    </row>
    <row r="138" spans="1:8" s="38" customFormat="1" ht="12.75" x14ac:dyDescent="0.2">
      <c r="A138" s="40">
        <f>A137</f>
        <v>11</v>
      </c>
      <c r="B138" s="39">
        <f t="shared" si="8"/>
        <v>122</v>
      </c>
      <c r="C138" s="35">
        <f t="shared" si="9"/>
        <v>760894.39082718827</v>
      </c>
      <c r="D138" s="36">
        <f t="shared" si="10"/>
        <v>-6443.0140148550854</v>
      </c>
      <c r="E138" s="36">
        <f t="shared" si="11"/>
        <v>-2638.542060719144</v>
      </c>
      <c r="F138" s="36">
        <f t="shared" si="12"/>
        <v>-3804.4719541359414</v>
      </c>
      <c r="G138" s="36">
        <f t="shared" si="13"/>
        <v>758255.84876646916</v>
      </c>
      <c r="H138" s="37"/>
    </row>
    <row r="139" spans="1:8" s="38" customFormat="1" ht="12.75" x14ac:dyDescent="0.2">
      <c r="A139" s="40">
        <f t="shared" si="14"/>
        <v>11</v>
      </c>
      <c r="B139" s="39">
        <f t="shared" si="8"/>
        <v>123</v>
      </c>
      <c r="C139" s="35">
        <f t="shared" si="9"/>
        <v>758255.84876646916</v>
      </c>
      <c r="D139" s="36">
        <f t="shared" si="10"/>
        <v>-6443.0140148550854</v>
      </c>
      <c r="E139" s="36">
        <f t="shared" si="11"/>
        <v>-2651.7347710227396</v>
      </c>
      <c r="F139" s="36">
        <f t="shared" si="12"/>
        <v>-3791.2792438323459</v>
      </c>
      <c r="G139" s="36">
        <f t="shared" si="13"/>
        <v>755604.11399544647</v>
      </c>
      <c r="H139" s="37"/>
    </row>
    <row r="140" spans="1:8" s="38" customFormat="1" ht="12.75" x14ac:dyDescent="0.2">
      <c r="A140" s="40">
        <f t="shared" si="14"/>
        <v>11</v>
      </c>
      <c r="B140" s="39">
        <f t="shared" si="8"/>
        <v>124</v>
      </c>
      <c r="C140" s="35">
        <f t="shared" si="9"/>
        <v>755604.11399544647</v>
      </c>
      <c r="D140" s="36">
        <f t="shared" si="10"/>
        <v>-6443.0140148550854</v>
      </c>
      <c r="E140" s="36">
        <f t="shared" si="11"/>
        <v>-2664.9934448778531</v>
      </c>
      <c r="F140" s="36">
        <f t="shared" si="12"/>
        <v>-3778.0205699772323</v>
      </c>
      <c r="G140" s="36">
        <f t="shared" si="13"/>
        <v>752939.12055056856</v>
      </c>
      <c r="H140" s="37"/>
    </row>
    <row r="141" spans="1:8" s="38" customFormat="1" ht="12.75" x14ac:dyDescent="0.2">
      <c r="A141" s="40">
        <f t="shared" si="14"/>
        <v>11</v>
      </c>
      <c r="B141" s="39">
        <f t="shared" si="8"/>
        <v>125</v>
      </c>
      <c r="C141" s="35">
        <f t="shared" si="9"/>
        <v>752939.12055056856</v>
      </c>
      <c r="D141" s="36">
        <f t="shared" si="10"/>
        <v>-6443.0140148550854</v>
      </c>
      <c r="E141" s="36">
        <f t="shared" si="11"/>
        <v>-2678.3184121022423</v>
      </c>
      <c r="F141" s="36">
        <f t="shared" si="12"/>
        <v>-3764.6956027528431</v>
      </c>
      <c r="G141" s="36">
        <f t="shared" si="13"/>
        <v>750260.80213846627</v>
      </c>
      <c r="H141" s="37"/>
    </row>
    <row r="142" spans="1:8" s="38" customFormat="1" ht="12.75" x14ac:dyDescent="0.2">
      <c r="A142" s="40">
        <f t="shared" si="14"/>
        <v>11</v>
      </c>
      <c r="B142" s="39">
        <f t="shared" si="8"/>
        <v>126</v>
      </c>
      <c r="C142" s="35">
        <f t="shared" si="9"/>
        <v>750260.80213846627</v>
      </c>
      <c r="D142" s="36">
        <f t="shared" si="10"/>
        <v>-6443.0140148550854</v>
      </c>
      <c r="E142" s="36">
        <f t="shared" si="11"/>
        <v>-2691.7100041627541</v>
      </c>
      <c r="F142" s="36">
        <f t="shared" si="12"/>
        <v>-3751.3040106923313</v>
      </c>
      <c r="G142" s="36">
        <f t="shared" si="13"/>
        <v>747569.09213430353</v>
      </c>
      <c r="H142" s="37"/>
    </row>
    <row r="143" spans="1:8" s="38" customFormat="1" ht="12.75" x14ac:dyDescent="0.2">
      <c r="A143" s="40">
        <f t="shared" si="14"/>
        <v>11</v>
      </c>
      <c r="B143" s="39">
        <f t="shared" si="8"/>
        <v>127</v>
      </c>
      <c r="C143" s="35">
        <f t="shared" si="9"/>
        <v>747569.09213430353</v>
      </c>
      <c r="D143" s="36">
        <f t="shared" si="10"/>
        <v>-6443.0140148550854</v>
      </c>
      <c r="E143" s="36">
        <f t="shared" si="11"/>
        <v>-2705.1685541835677</v>
      </c>
      <c r="F143" s="36">
        <f t="shared" si="12"/>
        <v>-3737.8454606715177</v>
      </c>
      <c r="G143" s="36">
        <f t="shared" si="13"/>
        <v>744863.92358011997</v>
      </c>
      <c r="H143" s="37"/>
    </row>
    <row r="144" spans="1:8" s="38" customFormat="1" ht="12.75" x14ac:dyDescent="0.2">
      <c r="A144" s="40">
        <f t="shared" si="14"/>
        <v>11</v>
      </c>
      <c r="B144" s="39">
        <f t="shared" si="8"/>
        <v>128</v>
      </c>
      <c r="C144" s="35">
        <f t="shared" si="9"/>
        <v>744863.92358011997</v>
      </c>
      <c r="D144" s="36">
        <f t="shared" si="10"/>
        <v>-6443.0140148550854</v>
      </c>
      <c r="E144" s="36">
        <f t="shared" si="11"/>
        <v>-2718.6943969544855</v>
      </c>
      <c r="F144" s="36">
        <f t="shared" si="12"/>
        <v>-3724.3196179006</v>
      </c>
      <c r="G144" s="36">
        <f t="shared" si="13"/>
        <v>742145.22918316547</v>
      </c>
      <c r="H144" s="37"/>
    </row>
    <row r="145" spans="1:8" s="38" customFormat="1" ht="12.75" x14ac:dyDescent="0.2">
      <c r="A145" s="40">
        <f t="shared" si="14"/>
        <v>11</v>
      </c>
      <c r="B145" s="39">
        <f t="shared" si="8"/>
        <v>129</v>
      </c>
      <c r="C145" s="35">
        <f t="shared" si="9"/>
        <v>742145.22918316547</v>
      </c>
      <c r="D145" s="36">
        <f t="shared" si="10"/>
        <v>-6443.0140148550854</v>
      </c>
      <c r="E145" s="36">
        <f t="shared" si="11"/>
        <v>-2732.2878689392578</v>
      </c>
      <c r="F145" s="36">
        <f t="shared" si="12"/>
        <v>-3710.7261459158276</v>
      </c>
      <c r="G145" s="36">
        <f t="shared" si="13"/>
        <v>739412.94131422625</v>
      </c>
      <c r="H145" s="37"/>
    </row>
    <row r="146" spans="1:8" s="38" customFormat="1" ht="12.75" x14ac:dyDescent="0.2">
      <c r="A146" s="40">
        <f t="shared" si="14"/>
        <v>11</v>
      </c>
      <c r="B146" s="39">
        <f t="shared" ref="B146:B209" si="15">+B145+1</f>
        <v>130</v>
      </c>
      <c r="C146" s="35">
        <f t="shared" ref="C146:C209" si="16">G145</f>
        <v>739412.94131422625</v>
      </c>
      <c r="D146" s="36">
        <f t="shared" ref="D146:D209" si="17">PMT($C$4,$C$6,$C$2)</f>
        <v>-6443.0140148550854</v>
      </c>
      <c r="E146" s="36">
        <f t="shared" ref="E146:E209" si="18">D146-F146</f>
        <v>-2745.949308283954</v>
      </c>
      <c r="F146" s="36">
        <f t="shared" ref="F146:F209" si="19">-G145*$C$4</f>
        <v>-3697.0647065711314</v>
      </c>
      <c r="G146" s="36">
        <f t="shared" ref="G146:G209" si="20">C146+E146</f>
        <v>736666.99200594227</v>
      </c>
      <c r="H146" s="37"/>
    </row>
    <row r="147" spans="1:8" s="38" customFormat="1" ht="12.75" x14ac:dyDescent="0.2">
      <c r="A147" s="40">
        <f t="shared" si="14"/>
        <v>11</v>
      </c>
      <c r="B147" s="39">
        <f t="shared" si="15"/>
        <v>131</v>
      </c>
      <c r="C147" s="35">
        <f t="shared" si="16"/>
        <v>736666.99200594227</v>
      </c>
      <c r="D147" s="36">
        <f t="shared" si="17"/>
        <v>-6443.0140148550854</v>
      </c>
      <c r="E147" s="36">
        <f t="shared" si="18"/>
        <v>-2759.6790548253739</v>
      </c>
      <c r="F147" s="36">
        <f t="shared" si="19"/>
        <v>-3683.3349600297115</v>
      </c>
      <c r="G147" s="36">
        <f t="shared" si="20"/>
        <v>733907.31295111694</v>
      </c>
      <c r="H147" s="37"/>
    </row>
    <row r="148" spans="1:8" s="38" customFormat="1" ht="12.75" x14ac:dyDescent="0.2">
      <c r="A148" s="40">
        <f t="shared" si="14"/>
        <v>11</v>
      </c>
      <c r="B148" s="39">
        <f t="shared" si="15"/>
        <v>132</v>
      </c>
      <c r="C148" s="35">
        <f t="shared" si="16"/>
        <v>733907.31295111694</v>
      </c>
      <c r="D148" s="36">
        <f t="shared" si="17"/>
        <v>-6443.0140148550854</v>
      </c>
      <c r="E148" s="36">
        <f t="shared" si="18"/>
        <v>-2773.4774500995009</v>
      </c>
      <c r="F148" s="36">
        <f t="shared" si="19"/>
        <v>-3669.5365647555845</v>
      </c>
      <c r="G148" s="36">
        <f t="shared" si="20"/>
        <v>731133.8355010174</v>
      </c>
      <c r="H148" s="37"/>
    </row>
    <row r="149" spans="1:8" s="38" customFormat="1" ht="12.75" x14ac:dyDescent="0.2">
      <c r="A149" s="40">
        <f>A137+1</f>
        <v>12</v>
      </c>
      <c r="B149" s="39">
        <f t="shared" si="15"/>
        <v>133</v>
      </c>
      <c r="C149" s="35">
        <f t="shared" si="16"/>
        <v>731133.8355010174</v>
      </c>
      <c r="D149" s="36">
        <f t="shared" si="17"/>
        <v>-6443.0140148550854</v>
      </c>
      <c r="E149" s="36">
        <f t="shared" si="18"/>
        <v>-2787.3448373499982</v>
      </c>
      <c r="F149" s="36">
        <f t="shared" si="19"/>
        <v>-3655.6691775050872</v>
      </c>
      <c r="G149" s="36">
        <f t="shared" si="20"/>
        <v>728346.49066366744</v>
      </c>
      <c r="H149" s="37"/>
    </row>
    <row r="150" spans="1:8" s="38" customFormat="1" ht="12.75" x14ac:dyDescent="0.2">
      <c r="A150" s="40">
        <f>A149</f>
        <v>12</v>
      </c>
      <c r="B150" s="39">
        <f t="shared" si="15"/>
        <v>134</v>
      </c>
      <c r="C150" s="35">
        <f t="shared" si="16"/>
        <v>728346.49066366744</v>
      </c>
      <c r="D150" s="36">
        <f t="shared" si="17"/>
        <v>-6443.0140148550854</v>
      </c>
      <c r="E150" s="36">
        <f t="shared" si="18"/>
        <v>-2801.2815615367481</v>
      </c>
      <c r="F150" s="36">
        <f t="shared" si="19"/>
        <v>-3641.7324533183373</v>
      </c>
      <c r="G150" s="36">
        <f t="shared" si="20"/>
        <v>725545.20910213073</v>
      </c>
      <c r="H150" s="37"/>
    </row>
    <row r="151" spans="1:8" s="38" customFormat="1" ht="12.75" x14ac:dyDescent="0.2">
      <c r="A151" s="40">
        <f t="shared" si="14"/>
        <v>12</v>
      </c>
      <c r="B151" s="39">
        <f t="shared" si="15"/>
        <v>135</v>
      </c>
      <c r="C151" s="35">
        <f t="shared" si="16"/>
        <v>725545.20910213073</v>
      </c>
      <c r="D151" s="36">
        <f t="shared" si="17"/>
        <v>-6443.0140148550854</v>
      </c>
      <c r="E151" s="36">
        <f t="shared" si="18"/>
        <v>-2815.2879693444315</v>
      </c>
      <c r="F151" s="36">
        <f t="shared" si="19"/>
        <v>-3627.7260455106539</v>
      </c>
      <c r="G151" s="36">
        <f t="shared" si="20"/>
        <v>722729.92113278632</v>
      </c>
      <c r="H151" s="37"/>
    </row>
    <row r="152" spans="1:8" s="38" customFormat="1" ht="12.75" x14ac:dyDescent="0.2">
      <c r="A152" s="40">
        <f t="shared" si="14"/>
        <v>12</v>
      </c>
      <c r="B152" s="39">
        <f t="shared" si="15"/>
        <v>136</v>
      </c>
      <c r="C152" s="35">
        <f t="shared" si="16"/>
        <v>722729.92113278632</v>
      </c>
      <c r="D152" s="36">
        <f t="shared" si="17"/>
        <v>-6443.0140148550854</v>
      </c>
      <c r="E152" s="36">
        <f t="shared" si="18"/>
        <v>-2829.3644091911538</v>
      </c>
      <c r="F152" s="36">
        <f t="shared" si="19"/>
        <v>-3613.6496056639317</v>
      </c>
      <c r="G152" s="36">
        <f t="shared" si="20"/>
        <v>719900.55672359513</v>
      </c>
      <c r="H152" s="37"/>
    </row>
    <row r="153" spans="1:8" s="38" customFormat="1" ht="12.75" x14ac:dyDescent="0.2">
      <c r="A153" s="40">
        <f t="shared" si="14"/>
        <v>12</v>
      </c>
      <c r="B153" s="39">
        <f t="shared" si="15"/>
        <v>137</v>
      </c>
      <c r="C153" s="35">
        <f t="shared" si="16"/>
        <v>719900.55672359513</v>
      </c>
      <c r="D153" s="36">
        <f t="shared" si="17"/>
        <v>-6443.0140148550854</v>
      </c>
      <c r="E153" s="36">
        <f t="shared" si="18"/>
        <v>-2843.5112312371098</v>
      </c>
      <c r="F153" s="36">
        <f t="shared" si="19"/>
        <v>-3599.5027836179756</v>
      </c>
      <c r="G153" s="36">
        <f t="shared" si="20"/>
        <v>717057.04549235804</v>
      </c>
      <c r="H153" s="37"/>
    </row>
    <row r="154" spans="1:8" s="38" customFormat="1" ht="12.75" x14ac:dyDescent="0.2">
      <c r="A154" s="40">
        <f t="shared" si="14"/>
        <v>12</v>
      </c>
      <c r="B154" s="39">
        <f t="shared" si="15"/>
        <v>138</v>
      </c>
      <c r="C154" s="35">
        <f t="shared" si="16"/>
        <v>717057.04549235804</v>
      </c>
      <c r="D154" s="36">
        <f t="shared" si="17"/>
        <v>-6443.0140148550854</v>
      </c>
      <c r="E154" s="36">
        <f t="shared" si="18"/>
        <v>-2857.7287873932951</v>
      </c>
      <c r="F154" s="36">
        <f t="shared" si="19"/>
        <v>-3585.2852274617903</v>
      </c>
      <c r="G154" s="36">
        <f t="shared" si="20"/>
        <v>714199.31670496473</v>
      </c>
      <c r="H154" s="37"/>
    </row>
    <row r="155" spans="1:8" s="38" customFormat="1" ht="12.75" x14ac:dyDescent="0.2">
      <c r="A155" s="40">
        <f t="shared" si="14"/>
        <v>12</v>
      </c>
      <c r="B155" s="39">
        <f t="shared" si="15"/>
        <v>139</v>
      </c>
      <c r="C155" s="35">
        <f t="shared" si="16"/>
        <v>714199.31670496473</v>
      </c>
      <c r="D155" s="36">
        <f t="shared" si="17"/>
        <v>-6443.0140148550854</v>
      </c>
      <c r="E155" s="36">
        <f t="shared" si="18"/>
        <v>-2872.0174313302618</v>
      </c>
      <c r="F155" s="36">
        <f t="shared" si="19"/>
        <v>-3570.9965835248236</v>
      </c>
      <c r="G155" s="36">
        <f t="shared" si="20"/>
        <v>711327.29927363445</v>
      </c>
      <c r="H155" s="37"/>
    </row>
    <row r="156" spans="1:8" s="38" customFormat="1" ht="12.75" x14ac:dyDescent="0.2">
      <c r="A156" s="40">
        <f t="shared" si="14"/>
        <v>12</v>
      </c>
      <c r="B156" s="39">
        <f t="shared" si="15"/>
        <v>140</v>
      </c>
      <c r="C156" s="35">
        <f t="shared" si="16"/>
        <v>711327.29927363445</v>
      </c>
      <c r="D156" s="36">
        <f t="shared" si="17"/>
        <v>-6443.0140148550854</v>
      </c>
      <c r="E156" s="36">
        <f t="shared" si="18"/>
        <v>-2886.3775184869132</v>
      </c>
      <c r="F156" s="36">
        <f t="shared" si="19"/>
        <v>-3556.6364963681722</v>
      </c>
      <c r="G156" s="36">
        <f t="shared" si="20"/>
        <v>708440.92175514752</v>
      </c>
      <c r="H156" s="37"/>
    </row>
    <row r="157" spans="1:8" s="38" customFormat="1" ht="12.75" x14ac:dyDescent="0.2">
      <c r="A157" s="40">
        <f t="shared" si="14"/>
        <v>12</v>
      </c>
      <c r="B157" s="39">
        <f t="shared" si="15"/>
        <v>141</v>
      </c>
      <c r="C157" s="35">
        <f t="shared" si="16"/>
        <v>708440.92175514752</v>
      </c>
      <c r="D157" s="36">
        <f t="shared" si="17"/>
        <v>-6443.0140148550854</v>
      </c>
      <c r="E157" s="36">
        <f t="shared" si="18"/>
        <v>-2900.8094060793478</v>
      </c>
      <c r="F157" s="36">
        <f t="shared" si="19"/>
        <v>-3542.2046087757376</v>
      </c>
      <c r="G157" s="36">
        <f t="shared" si="20"/>
        <v>705540.11234906816</v>
      </c>
      <c r="H157" s="37"/>
    </row>
    <row r="158" spans="1:8" s="38" customFormat="1" ht="12.75" x14ac:dyDescent="0.2">
      <c r="A158" s="40">
        <f t="shared" si="14"/>
        <v>12</v>
      </c>
      <c r="B158" s="39">
        <f t="shared" si="15"/>
        <v>142</v>
      </c>
      <c r="C158" s="35">
        <f t="shared" si="16"/>
        <v>705540.11234906816</v>
      </c>
      <c r="D158" s="36">
        <f t="shared" si="17"/>
        <v>-6443.0140148550854</v>
      </c>
      <c r="E158" s="36">
        <f t="shared" si="18"/>
        <v>-2915.3134531097444</v>
      </c>
      <c r="F158" s="36">
        <f t="shared" si="19"/>
        <v>-3527.700561745341</v>
      </c>
      <c r="G158" s="36">
        <f t="shared" si="20"/>
        <v>702624.79889595846</v>
      </c>
      <c r="H158" s="37"/>
    </row>
    <row r="159" spans="1:8" s="38" customFormat="1" ht="12.75" x14ac:dyDescent="0.2">
      <c r="A159" s="40">
        <f t="shared" si="14"/>
        <v>12</v>
      </c>
      <c r="B159" s="39">
        <f t="shared" si="15"/>
        <v>143</v>
      </c>
      <c r="C159" s="35">
        <f t="shared" si="16"/>
        <v>702624.79889595846</v>
      </c>
      <c r="D159" s="36">
        <f t="shared" si="17"/>
        <v>-6443.0140148550854</v>
      </c>
      <c r="E159" s="36">
        <f t="shared" si="18"/>
        <v>-2929.8900203752928</v>
      </c>
      <c r="F159" s="36">
        <f t="shared" si="19"/>
        <v>-3513.1239944797926</v>
      </c>
      <c r="G159" s="36">
        <f t="shared" si="20"/>
        <v>699694.90887558321</v>
      </c>
      <c r="H159" s="37"/>
    </row>
    <row r="160" spans="1:8" s="38" customFormat="1" ht="12.75" x14ac:dyDescent="0.2">
      <c r="A160" s="40">
        <f t="shared" si="14"/>
        <v>12</v>
      </c>
      <c r="B160" s="39">
        <f t="shared" si="15"/>
        <v>144</v>
      </c>
      <c r="C160" s="35">
        <f t="shared" si="16"/>
        <v>699694.90887558321</v>
      </c>
      <c r="D160" s="36">
        <f t="shared" si="17"/>
        <v>-6443.0140148550854</v>
      </c>
      <c r="E160" s="36">
        <f t="shared" si="18"/>
        <v>-2944.5394704771693</v>
      </c>
      <c r="F160" s="36">
        <f t="shared" si="19"/>
        <v>-3498.4745443779161</v>
      </c>
      <c r="G160" s="36">
        <f t="shared" si="20"/>
        <v>696750.36940510606</v>
      </c>
      <c r="H160" s="37"/>
    </row>
    <row r="161" spans="1:8" s="38" customFormat="1" ht="12.75" x14ac:dyDescent="0.2">
      <c r="A161" s="40">
        <f>A149+1</f>
        <v>13</v>
      </c>
      <c r="B161" s="39">
        <f t="shared" si="15"/>
        <v>145</v>
      </c>
      <c r="C161" s="35">
        <f t="shared" si="16"/>
        <v>696750.36940510606</v>
      </c>
      <c r="D161" s="36">
        <f t="shared" si="17"/>
        <v>-6443.0140148550854</v>
      </c>
      <c r="E161" s="36">
        <f t="shared" si="18"/>
        <v>-2959.262167829555</v>
      </c>
      <c r="F161" s="36">
        <f t="shared" si="19"/>
        <v>-3483.7518470255304</v>
      </c>
      <c r="G161" s="36">
        <f t="shared" si="20"/>
        <v>693791.1072372765</v>
      </c>
      <c r="H161" s="37"/>
    </row>
    <row r="162" spans="1:8" s="38" customFormat="1" ht="12.75" x14ac:dyDescent="0.2">
      <c r="A162" s="40">
        <f>A161</f>
        <v>13</v>
      </c>
      <c r="B162" s="39">
        <f t="shared" si="15"/>
        <v>146</v>
      </c>
      <c r="C162" s="35">
        <f t="shared" si="16"/>
        <v>693791.1072372765</v>
      </c>
      <c r="D162" s="36">
        <f t="shared" si="17"/>
        <v>-6443.0140148550854</v>
      </c>
      <c r="E162" s="36">
        <f t="shared" si="18"/>
        <v>-2974.0584786687027</v>
      </c>
      <c r="F162" s="36">
        <f t="shared" si="19"/>
        <v>-3468.9555361863827</v>
      </c>
      <c r="G162" s="36">
        <f t="shared" si="20"/>
        <v>690817.04875860782</v>
      </c>
      <c r="H162" s="37"/>
    </row>
    <row r="163" spans="1:8" s="38" customFormat="1" ht="12.75" x14ac:dyDescent="0.2">
      <c r="A163" s="40">
        <f t="shared" si="14"/>
        <v>13</v>
      </c>
      <c r="B163" s="39">
        <f t="shared" si="15"/>
        <v>147</v>
      </c>
      <c r="C163" s="35">
        <f t="shared" si="16"/>
        <v>690817.04875860782</v>
      </c>
      <c r="D163" s="36">
        <f t="shared" si="17"/>
        <v>-6443.0140148550854</v>
      </c>
      <c r="E163" s="36">
        <f t="shared" si="18"/>
        <v>-2988.9287710620461</v>
      </c>
      <c r="F163" s="36">
        <f t="shared" si="19"/>
        <v>-3454.0852437930394</v>
      </c>
      <c r="G163" s="36">
        <f t="shared" si="20"/>
        <v>687828.11998754577</v>
      </c>
      <c r="H163" s="37"/>
    </row>
    <row r="164" spans="1:8" s="38" customFormat="1" ht="12.75" x14ac:dyDescent="0.2">
      <c r="A164" s="40">
        <f t="shared" si="14"/>
        <v>13</v>
      </c>
      <c r="B164" s="39">
        <f t="shared" si="15"/>
        <v>148</v>
      </c>
      <c r="C164" s="35">
        <f t="shared" si="16"/>
        <v>687828.11998754577</v>
      </c>
      <c r="D164" s="36">
        <f t="shared" si="17"/>
        <v>-6443.0140148550854</v>
      </c>
      <c r="E164" s="36">
        <f t="shared" si="18"/>
        <v>-3003.8734149173565</v>
      </c>
      <c r="F164" s="36">
        <f t="shared" si="19"/>
        <v>-3439.1405999377289</v>
      </c>
      <c r="G164" s="36">
        <f t="shared" si="20"/>
        <v>684824.24657262838</v>
      </c>
      <c r="H164" s="37"/>
    </row>
    <row r="165" spans="1:8" s="38" customFormat="1" ht="12.75" x14ac:dyDescent="0.2">
      <c r="A165" s="40">
        <f t="shared" si="14"/>
        <v>13</v>
      </c>
      <c r="B165" s="39">
        <f t="shared" si="15"/>
        <v>149</v>
      </c>
      <c r="C165" s="35">
        <f t="shared" si="16"/>
        <v>684824.24657262838</v>
      </c>
      <c r="D165" s="36">
        <f t="shared" si="17"/>
        <v>-6443.0140148550854</v>
      </c>
      <c r="E165" s="36">
        <f t="shared" si="18"/>
        <v>-3018.8927819919436</v>
      </c>
      <c r="F165" s="36">
        <f t="shared" si="19"/>
        <v>-3424.1212328631418</v>
      </c>
      <c r="G165" s="36">
        <f t="shared" si="20"/>
        <v>681805.35379063641</v>
      </c>
      <c r="H165" s="37"/>
    </row>
    <row r="166" spans="1:8" s="38" customFormat="1" ht="12.75" x14ac:dyDescent="0.2">
      <c r="A166" s="40">
        <f t="shared" si="14"/>
        <v>13</v>
      </c>
      <c r="B166" s="39">
        <f t="shared" si="15"/>
        <v>150</v>
      </c>
      <c r="C166" s="35">
        <f t="shared" si="16"/>
        <v>681805.35379063641</v>
      </c>
      <c r="D166" s="36">
        <f t="shared" si="17"/>
        <v>-6443.0140148550854</v>
      </c>
      <c r="E166" s="36">
        <f t="shared" si="18"/>
        <v>-3033.9872459019034</v>
      </c>
      <c r="F166" s="36">
        <f t="shared" si="19"/>
        <v>-3409.026768953182</v>
      </c>
      <c r="G166" s="36">
        <f t="shared" si="20"/>
        <v>678771.36654473445</v>
      </c>
      <c r="H166" s="37"/>
    </row>
    <row r="167" spans="1:8" s="38" customFormat="1" ht="12.75" x14ac:dyDescent="0.2">
      <c r="A167" s="40">
        <f t="shared" si="14"/>
        <v>13</v>
      </c>
      <c r="B167" s="39">
        <f t="shared" si="15"/>
        <v>151</v>
      </c>
      <c r="C167" s="35">
        <f t="shared" si="16"/>
        <v>678771.36654473445</v>
      </c>
      <c r="D167" s="36">
        <f t="shared" si="17"/>
        <v>-6443.0140148550854</v>
      </c>
      <c r="E167" s="36">
        <f t="shared" si="18"/>
        <v>-3049.1571821314133</v>
      </c>
      <c r="F167" s="36">
        <f t="shared" si="19"/>
        <v>-3393.8568327236721</v>
      </c>
      <c r="G167" s="36">
        <f t="shared" si="20"/>
        <v>675722.20936260303</v>
      </c>
      <c r="H167" s="37"/>
    </row>
    <row r="168" spans="1:8" s="38" customFormat="1" ht="12.75" x14ac:dyDescent="0.2">
      <c r="A168" s="40">
        <f t="shared" si="14"/>
        <v>13</v>
      </c>
      <c r="B168" s="39">
        <f t="shared" si="15"/>
        <v>152</v>
      </c>
      <c r="C168" s="35">
        <f t="shared" si="16"/>
        <v>675722.20936260303</v>
      </c>
      <c r="D168" s="36">
        <f t="shared" si="17"/>
        <v>-6443.0140148550854</v>
      </c>
      <c r="E168" s="36">
        <f t="shared" si="18"/>
        <v>-3064.4029680420704</v>
      </c>
      <c r="F168" s="36">
        <f t="shared" si="19"/>
        <v>-3378.611046813015</v>
      </c>
      <c r="G168" s="36">
        <f t="shared" si="20"/>
        <v>672657.80639456096</v>
      </c>
      <c r="H168" s="37"/>
    </row>
    <row r="169" spans="1:8" s="38" customFormat="1" ht="12.75" x14ac:dyDescent="0.2">
      <c r="A169" s="40">
        <f t="shared" si="14"/>
        <v>13</v>
      </c>
      <c r="B169" s="39">
        <f t="shared" si="15"/>
        <v>153</v>
      </c>
      <c r="C169" s="35">
        <f t="shared" si="16"/>
        <v>672657.80639456096</v>
      </c>
      <c r="D169" s="36">
        <f t="shared" si="17"/>
        <v>-6443.0140148550854</v>
      </c>
      <c r="E169" s="36">
        <f t="shared" si="18"/>
        <v>-3079.7249828822805</v>
      </c>
      <c r="F169" s="36">
        <f t="shared" si="19"/>
        <v>-3363.2890319728049</v>
      </c>
      <c r="G169" s="36">
        <f t="shared" si="20"/>
        <v>669578.08141167869</v>
      </c>
      <c r="H169" s="37"/>
    </row>
    <row r="170" spans="1:8" s="38" customFormat="1" ht="12.75" x14ac:dyDescent="0.2">
      <c r="A170" s="40">
        <f t="shared" ref="A170:A232" si="21">A169</f>
        <v>13</v>
      </c>
      <c r="B170" s="39">
        <f t="shared" si="15"/>
        <v>154</v>
      </c>
      <c r="C170" s="35">
        <f t="shared" si="16"/>
        <v>669578.08141167869</v>
      </c>
      <c r="D170" s="36">
        <f t="shared" si="17"/>
        <v>-6443.0140148550854</v>
      </c>
      <c r="E170" s="36">
        <f t="shared" si="18"/>
        <v>-3095.1236077966919</v>
      </c>
      <c r="F170" s="36">
        <f t="shared" si="19"/>
        <v>-3347.8904070583935</v>
      </c>
      <c r="G170" s="36">
        <f t="shared" si="20"/>
        <v>666482.95780388196</v>
      </c>
      <c r="H170" s="37"/>
    </row>
    <row r="171" spans="1:8" s="38" customFormat="1" ht="12.75" x14ac:dyDescent="0.2">
      <c r="A171" s="40">
        <f t="shared" si="21"/>
        <v>13</v>
      </c>
      <c r="B171" s="39">
        <f t="shared" si="15"/>
        <v>155</v>
      </c>
      <c r="C171" s="35">
        <f t="shared" si="16"/>
        <v>666482.95780388196</v>
      </c>
      <c r="D171" s="36">
        <f t="shared" si="17"/>
        <v>-6443.0140148550854</v>
      </c>
      <c r="E171" s="36">
        <f t="shared" si="18"/>
        <v>-3110.5992258356755</v>
      </c>
      <c r="F171" s="36">
        <f t="shared" si="19"/>
        <v>-3332.4147890194099</v>
      </c>
      <c r="G171" s="36">
        <f t="shared" si="20"/>
        <v>663372.35857804632</v>
      </c>
      <c r="H171" s="37"/>
    </row>
    <row r="172" spans="1:8" s="38" customFormat="1" ht="12.75" x14ac:dyDescent="0.2">
      <c r="A172" s="40">
        <f t="shared" si="21"/>
        <v>13</v>
      </c>
      <c r="B172" s="39">
        <f t="shared" si="15"/>
        <v>156</v>
      </c>
      <c r="C172" s="35">
        <f t="shared" si="16"/>
        <v>663372.35857804632</v>
      </c>
      <c r="D172" s="36">
        <f t="shared" si="17"/>
        <v>-6443.0140148550854</v>
      </c>
      <c r="E172" s="36">
        <f t="shared" si="18"/>
        <v>-3126.1522219648537</v>
      </c>
      <c r="F172" s="36">
        <f t="shared" si="19"/>
        <v>-3316.8617928902318</v>
      </c>
      <c r="G172" s="36">
        <f t="shared" si="20"/>
        <v>660246.20635608141</v>
      </c>
      <c r="H172" s="37"/>
    </row>
    <row r="173" spans="1:8" s="38" customFormat="1" ht="12.75" x14ac:dyDescent="0.2">
      <c r="A173" s="40">
        <f>A161+1</f>
        <v>14</v>
      </c>
      <c r="B173" s="39">
        <f t="shared" si="15"/>
        <v>157</v>
      </c>
      <c r="C173" s="35">
        <f t="shared" si="16"/>
        <v>660246.20635608141</v>
      </c>
      <c r="D173" s="36">
        <f t="shared" si="17"/>
        <v>-6443.0140148550854</v>
      </c>
      <c r="E173" s="36">
        <f t="shared" si="18"/>
        <v>-3141.7829830746782</v>
      </c>
      <c r="F173" s="36">
        <f t="shared" si="19"/>
        <v>-3301.2310317804072</v>
      </c>
      <c r="G173" s="36">
        <f t="shared" si="20"/>
        <v>657104.42337300675</v>
      </c>
      <c r="H173" s="37"/>
    </row>
    <row r="174" spans="1:8" s="38" customFormat="1" ht="12.75" x14ac:dyDescent="0.2">
      <c r="A174" s="40">
        <f>A173</f>
        <v>14</v>
      </c>
      <c r="B174" s="39">
        <f t="shared" si="15"/>
        <v>158</v>
      </c>
      <c r="C174" s="35">
        <f t="shared" si="16"/>
        <v>657104.42337300675</v>
      </c>
      <c r="D174" s="36">
        <f t="shared" si="17"/>
        <v>-6443.0140148550854</v>
      </c>
      <c r="E174" s="36">
        <f t="shared" si="18"/>
        <v>-3157.4918979900517</v>
      </c>
      <c r="F174" s="36">
        <f t="shared" si="19"/>
        <v>-3285.5221168650337</v>
      </c>
      <c r="G174" s="36">
        <f t="shared" si="20"/>
        <v>653946.93147501675</v>
      </c>
      <c r="H174" s="37"/>
    </row>
    <row r="175" spans="1:8" s="38" customFormat="1" ht="12.75" x14ac:dyDescent="0.2">
      <c r="A175" s="40">
        <f t="shared" si="21"/>
        <v>14</v>
      </c>
      <c r="B175" s="39">
        <f t="shared" si="15"/>
        <v>159</v>
      </c>
      <c r="C175" s="35">
        <f t="shared" si="16"/>
        <v>653946.93147501675</v>
      </c>
      <c r="D175" s="36">
        <f t="shared" si="17"/>
        <v>-6443.0140148550854</v>
      </c>
      <c r="E175" s="36">
        <f t="shared" si="18"/>
        <v>-3173.2793574800016</v>
      </c>
      <c r="F175" s="36">
        <f t="shared" si="19"/>
        <v>-3269.7346573750838</v>
      </c>
      <c r="G175" s="36">
        <f t="shared" si="20"/>
        <v>650773.65211753675</v>
      </c>
      <c r="H175" s="37"/>
    </row>
    <row r="176" spans="1:8" s="38" customFormat="1" ht="12.75" x14ac:dyDescent="0.2">
      <c r="A176" s="40">
        <f t="shared" si="21"/>
        <v>14</v>
      </c>
      <c r="B176" s="39">
        <f t="shared" si="15"/>
        <v>160</v>
      </c>
      <c r="C176" s="35">
        <f t="shared" si="16"/>
        <v>650773.65211753675</v>
      </c>
      <c r="D176" s="36">
        <f t="shared" si="17"/>
        <v>-6443.0140148550854</v>
      </c>
      <c r="E176" s="36">
        <f t="shared" si="18"/>
        <v>-3189.1457542674016</v>
      </c>
      <c r="F176" s="36">
        <f t="shared" si="19"/>
        <v>-3253.8682605876838</v>
      </c>
      <c r="G176" s="36">
        <f t="shared" si="20"/>
        <v>647584.50636326941</v>
      </c>
      <c r="H176" s="37"/>
    </row>
    <row r="177" spans="1:8" s="38" customFormat="1" ht="12.75" x14ac:dyDescent="0.2">
      <c r="A177" s="40">
        <f t="shared" si="21"/>
        <v>14</v>
      </c>
      <c r="B177" s="39">
        <f t="shared" si="15"/>
        <v>161</v>
      </c>
      <c r="C177" s="35">
        <f t="shared" si="16"/>
        <v>647584.50636326941</v>
      </c>
      <c r="D177" s="36">
        <f t="shared" si="17"/>
        <v>-6443.0140148550854</v>
      </c>
      <c r="E177" s="36">
        <f t="shared" si="18"/>
        <v>-3205.0914830387383</v>
      </c>
      <c r="F177" s="36">
        <f t="shared" si="19"/>
        <v>-3237.9225318163471</v>
      </c>
      <c r="G177" s="36">
        <f t="shared" si="20"/>
        <v>644379.41488023067</v>
      </c>
      <c r="H177" s="37"/>
    </row>
    <row r="178" spans="1:8" s="38" customFormat="1" ht="12.75" x14ac:dyDescent="0.2">
      <c r="A178" s="40">
        <f t="shared" si="21"/>
        <v>14</v>
      </c>
      <c r="B178" s="39">
        <f t="shared" si="15"/>
        <v>162</v>
      </c>
      <c r="C178" s="35">
        <f t="shared" si="16"/>
        <v>644379.41488023067</v>
      </c>
      <c r="D178" s="36">
        <f t="shared" si="17"/>
        <v>-6443.0140148550854</v>
      </c>
      <c r="E178" s="36">
        <f t="shared" si="18"/>
        <v>-3221.1169404539319</v>
      </c>
      <c r="F178" s="36">
        <f t="shared" si="19"/>
        <v>-3221.8970744011535</v>
      </c>
      <c r="G178" s="36">
        <f t="shared" si="20"/>
        <v>641158.29793977679</v>
      </c>
      <c r="H178" s="37"/>
    </row>
    <row r="179" spans="1:8" s="38" customFormat="1" ht="12.75" x14ac:dyDescent="0.2">
      <c r="A179" s="40">
        <f t="shared" si="21"/>
        <v>14</v>
      </c>
      <c r="B179" s="39">
        <f t="shared" si="15"/>
        <v>163</v>
      </c>
      <c r="C179" s="35">
        <f t="shared" si="16"/>
        <v>641158.29793977679</v>
      </c>
      <c r="D179" s="36">
        <f t="shared" si="17"/>
        <v>-6443.0140148550854</v>
      </c>
      <c r="E179" s="36">
        <f t="shared" si="18"/>
        <v>-3237.2225251562013</v>
      </c>
      <c r="F179" s="36">
        <f t="shared" si="19"/>
        <v>-3205.7914896988841</v>
      </c>
      <c r="G179" s="36">
        <f t="shared" si="20"/>
        <v>637921.07541462057</v>
      </c>
      <c r="H179" s="37"/>
    </row>
    <row r="180" spans="1:8" s="38" customFormat="1" ht="12.75" x14ac:dyDescent="0.2">
      <c r="A180" s="40">
        <f t="shared" si="21"/>
        <v>14</v>
      </c>
      <c r="B180" s="39">
        <f t="shared" si="15"/>
        <v>164</v>
      </c>
      <c r="C180" s="35">
        <f t="shared" si="16"/>
        <v>637921.07541462057</v>
      </c>
      <c r="D180" s="36">
        <f t="shared" si="17"/>
        <v>-6443.0140148550854</v>
      </c>
      <c r="E180" s="36">
        <f t="shared" si="18"/>
        <v>-3253.4086377819826</v>
      </c>
      <c r="F180" s="36">
        <f t="shared" si="19"/>
        <v>-3189.6053770731028</v>
      </c>
      <c r="G180" s="36">
        <f t="shared" si="20"/>
        <v>634667.6667768386</v>
      </c>
      <c r="H180" s="37"/>
    </row>
    <row r="181" spans="1:8" s="38" customFormat="1" ht="12.75" x14ac:dyDescent="0.2">
      <c r="A181" s="40">
        <f t="shared" si="21"/>
        <v>14</v>
      </c>
      <c r="B181" s="39">
        <f t="shared" si="15"/>
        <v>165</v>
      </c>
      <c r="C181" s="35">
        <f t="shared" si="16"/>
        <v>634667.6667768386</v>
      </c>
      <c r="D181" s="36">
        <f t="shared" si="17"/>
        <v>-6443.0140148550854</v>
      </c>
      <c r="E181" s="36">
        <f t="shared" si="18"/>
        <v>-3269.6756809708922</v>
      </c>
      <c r="F181" s="36">
        <f t="shared" si="19"/>
        <v>-3173.3383338841932</v>
      </c>
      <c r="G181" s="36">
        <f t="shared" si="20"/>
        <v>631397.99109586771</v>
      </c>
      <c r="H181" s="37"/>
    </row>
    <row r="182" spans="1:8" s="38" customFormat="1" ht="12.75" x14ac:dyDescent="0.2">
      <c r="A182" s="40">
        <f t="shared" si="21"/>
        <v>14</v>
      </c>
      <c r="B182" s="39">
        <f t="shared" si="15"/>
        <v>166</v>
      </c>
      <c r="C182" s="35">
        <f t="shared" si="16"/>
        <v>631397.99109586771</v>
      </c>
      <c r="D182" s="36">
        <f t="shared" si="17"/>
        <v>-6443.0140148550854</v>
      </c>
      <c r="E182" s="36">
        <f t="shared" si="18"/>
        <v>-3286.0240593757467</v>
      </c>
      <c r="F182" s="36">
        <f t="shared" si="19"/>
        <v>-3156.9899554793387</v>
      </c>
      <c r="G182" s="36">
        <f t="shared" si="20"/>
        <v>628111.96703649196</v>
      </c>
      <c r="H182" s="37"/>
    </row>
    <row r="183" spans="1:8" s="38" customFormat="1" ht="12.75" x14ac:dyDescent="0.2">
      <c r="A183" s="40">
        <f t="shared" si="21"/>
        <v>14</v>
      </c>
      <c r="B183" s="39">
        <f t="shared" si="15"/>
        <v>167</v>
      </c>
      <c r="C183" s="35">
        <f t="shared" si="16"/>
        <v>628111.96703649196</v>
      </c>
      <c r="D183" s="36">
        <f t="shared" si="17"/>
        <v>-6443.0140148550854</v>
      </c>
      <c r="E183" s="36">
        <f t="shared" si="18"/>
        <v>-3302.4541796726257</v>
      </c>
      <c r="F183" s="36">
        <f t="shared" si="19"/>
        <v>-3140.5598351824597</v>
      </c>
      <c r="G183" s="36">
        <f t="shared" si="20"/>
        <v>624809.51285681932</v>
      </c>
      <c r="H183" s="37"/>
    </row>
    <row r="184" spans="1:8" s="38" customFormat="1" ht="12.75" x14ac:dyDescent="0.2">
      <c r="A184" s="40">
        <f t="shared" si="21"/>
        <v>14</v>
      </c>
      <c r="B184" s="39">
        <f t="shared" si="15"/>
        <v>168</v>
      </c>
      <c r="C184" s="35">
        <f t="shared" si="16"/>
        <v>624809.51285681932</v>
      </c>
      <c r="D184" s="36">
        <f t="shared" si="17"/>
        <v>-6443.0140148550854</v>
      </c>
      <c r="E184" s="36">
        <f t="shared" si="18"/>
        <v>-3318.9664505709889</v>
      </c>
      <c r="F184" s="36">
        <f t="shared" si="19"/>
        <v>-3124.0475642840966</v>
      </c>
      <c r="G184" s="36">
        <f t="shared" si="20"/>
        <v>621490.54640624835</v>
      </c>
      <c r="H184" s="37"/>
    </row>
    <row r="185" spans="1:8" s="38" customFormat="1" ht="12.75" x14ac:dyDescent="0.2">
      <c r="A185" s="40">
        <f>A173+1</f>
        <v>15</v>
      </c>
      <c r="B185" s="39">
        <f t="shared" si="15"/>
        <v>169</v>
      </c>
      <c r="C185" s="35">
        <f t="shared" si="16"/>
        <v>621490.54640624835</v>
      </c>
      <c r="D185" s="36">
        <f t="shared" si="17"/>
        <v>-6443.0140148550854</v>
      </c>
      <c r="E185" s="36">
        <f t="shared" si="18"/>
        <v>-3335.5612828238436</v>
      </c>
      <c r="F185" s="36">
        <f t="shared" si="19"/>
        <v>-3107.4527320312418</v>
      </c>
      <c r="G185" s="36">
        <f t="shared" si="20"/>
        <v>618154.98512342456</v>
      </c>
      <c r="H185" s="37"/>
    </row>
    <row r="186" spans="1:8" s="38" customFormat="1" ht="12.75" x14ac:dyDescent="0.2">
      <c r="A186" s="40">
        <f>A185</f>
        <v>15</v>
      </c>
      <c r="B186" s="39">
        <f t="shared" si="15"/>
        <v>170</v>
      </c>
      <c r="C186" s="35">
        <f t="shared" si="16"/>
        <v>618154.98512342456</v>
      </c>
      <c r="D186" s="36">
        <f t="shared" si="17"/>
        <v>-6443.0140148550854</v>
      </c>
      <c r="E186" s="36">
        <f t="shared" si="18"/>
        <v>-3352.2390892379626</v>
      </c>
      <c r="F186" s="36">
        <f t="shared" si="19"/>
        <v>-3090.7749256171228</v>
      </c>
      <c r="G186" s="36">
        <f t="shared" si="20"/>
        <v>614802.74603418657</v>
      </c>
      <c r="H186" s="37"/>
    </row>
    <row r="187" spans="1:8" s="38" customFormat="1" ht="12.75" x14ac:dyDescent="0.2">
      <c r="A187" s="40">
        <f t="shared" si="21"/>
        <v>15</v>
      </c>
      <c r="B187" s="39">
        <f t="shared" si="15"/>
        <v>171</v>
      </c>
      <c r="C187" s="35">
        <f t="shared" si="16"/>
        <v>614802.74603418657</v>
      </c>
      <c r="D187" s="36">
        <f t="shared" si="17"/>
        <v>-6443.0140148550854</v>
      </c>
      <c r="E187" s="36">
        <f t="shared" si="18"/>
        <v>-3369.0002846841526</v>
      </c>
      <c r="F187" s="36">
        <f t="shared" si="19"/>
        <v>-3074.0137301709328</v>
      </c>
      <c r="G187" s="36">
        <f t="shared" si="20"/>
        <v>611433.74574950244</v>
      </c>
      <c r="H187" s="37"/>
    </row>
    <row r="188" spans="1:8" s="38" customFormat="1" ht="12.75" x14ac:dyDescent="0.2">
      <c r="A188" s="40">
        <f t="shared" si="21"/>
        <v>15</v>
      </c>
      <c r="B188" s="39">
        <f t="shared" si="15"/>
        <v>172</v>
      </c>
      <c r="C188" s="35">
        <f t="shared" si="16"/>
        <v>611433.74574950244</v>
      </c>
      <c r="D188" s="36">
        <f t="shared" si="17"/>
        <v>-6443.0140148550854</v>
      </c>
      <c r="E188" s="36">
        <f t="shared" si="18"/>
        <v>-3385.845286107573</v>
      </c>
      <c r="F188" s="36">
        <f t="shared" si="19"/>
        <v>-3057.1687287475124</v>
      </c>
      <c r="G188" s="36">
        <f t="shared" si="20"/>
        <v>608047.90046339482</v>
      </c>
      <c r="H188" s="37"/>
    </row>
    <row r="189" spans="1:8" s="38" customFormat="1" ht="12.75" x14ac:dyDescent="0.2">
      <c r="A189" s="40">
        <f t="shared" si="21"/>
        <v>15</v>
      </c>
      <c r="B189" s="39">
        <f t="shared" si="15"/>
        <v>173</v>
      </c>
      <c r="C189" s="35">
        <f t="shared" si="16"/>
        <v>608047.90046339482</v>
      </c>
      <c r="D189" s="36">
        <f t="shared" si="17"/>
        <v>-6443.0140148550854</v>
      </c>
      <c r="E189" s="36">
        <f t="shared" si="18"/>
        <v>-3402.7745125381111</v>
      </c>
      <c r="F189" s="36">
        <f t="shared" si="19"/>
        <v>-3040.2395023169743</v>
      </c>
      <c r="G189" s="36">
        <f t="shared" si="20"/>
        <v>604645.12595085672</v>
      </c>
      <c r="H189" s="37"/>
    </row>
    <row r="190" spans="1:8" s="38" customFormat="1" ht="12.75" x14ac:dyDescent="0.2">
      <c r="A190" s="40">
        <f t="shared" si="21"/>
        <v>15</v>
      </c>
      <c r="B190" s="39">
        <f t="shared" si="15"/>
        <v>174</v>
      </c>
      <c r="C190" s="35">
        <f t="shared" si="16"/>
        <v>604645.12595085672</v>
      </c>
      <c r="D190" s="36">
        <f t="shared" si="17"/>
        <v>-6443.0140148550854</v>
      </c>
      <c r="E190" s="36">
        <f t="shared" si="18"/>
        <v>-3419.7883851008019</v>
      </c>
      <c r="F190" s="36">
        <f t="shared" si="19"/>
        <v>-3023.2256297542835</v>
      </c>
      <c r="G190" s="36">
        <f t="shared" si="20"/>
        <v>601225.33756575594</v>
      </c>
      <c r="H190" s="37"/>
    </row>
    <row r="191" spans="1:8" s="38" customFormat="1" ht="12.75" x14ac:dyDescent="0.2">
      <c r="A191" s="40">
        <f t="shared" si="21"/>
        <v>15</v>
      </c>
      <c r="B191" s="39">
        <f t="shared" si="15"/>
        <v>175</v>
      </c>
      <c r="C191" s="35">
        <f t="shared" si="16"/>
        <v>601225.33756575594</v>
      </c>
      <c r="D191" s="36">
        <f t="shared" si="17"/>
        <v>-6443.0140148550854</v>
      </c>
      <c r="E191" s="36">
        <f t="shared" si="18"/>
        <v>-3436.8873270263057</v>
      </c>
      <c r="F191" s="36">
        <f t="shared" si="19"/>
        <v>-3006.1266878287797</v>
      </c>
      <c r="G191" s="36">
        <f t="shared" si="20"/>
        <v>597788.45023872959</v>
      </c>
      <c r="H191" s="37"/>
    </row>
    <row r="192" spans="1:8" s="38" customFormat="1" ht="12.75" x14ac:dyDescent="0.2">
      <c r="A192" s="40">
        <f t="shared" si="21"/>
        <v>15</v>
      </c>
      <c r="B192" s="39">
        <f t="shared" si="15"/>
        <v>176</v>
      </c>
      <c r="C192" s="35">
        <f t="shared" si="16"/>
        <v>597788.45023872959</v>
      </c>
      <c r="D192" s="36">
        <f t="shared" si="17"/>
        <v>-6443.0140148550854</v>
      </c>
      <c r="E192" s="36">
        <f t="shared" si="18"/>
        <v>-3454.0717636614372</v>
      </c>
      <c r="F192" s="36">
        <f t="shared" si="19"/>
        <v>-2988.9422511936482</v>
      </c>
      <c r="G192" s="36">
        <f t="shared" si="20"/>
        <v>594334.37847506814</v>
      </c>
      <c r="H192" s="37"/>
    </row>
    <row r="193" spans="1:8" s="38" customFormat="1" ht="12.75" x14ac:dyDescent="0.2">
      <c r="A193" s="40">
        <f t="shared" si="21"/>
        <v>15</v>
      </c>
      <c r="B193" s="39">
        <f t="shared" si="15"/>
        <v>177</v>
      </c>
      <c r="C193" s="35">
        <f t="shared" si="16"/>
        <v>594334.37847506814</v>
      </c>
      <c r="D193" s="36">
        <f t="shared" si="17"/>
        <v>-6443.0140148550854</v>
      </c>
      <c r="E193" s="36">
        <f t="shared" si="18"/>
        <v>-3471.3421224797448</v>
      </c>
      <c r="F193" s="36">
        <f t="shared" si="19"/>
        <v>-2971.6718923753406</v>
      </c>
      <c r="G193" s="36">
        <f t="shared" si="20"/>
        <v>590863.03635258845</v>
      </c>
      <c r="H193" s="37"/>
    </row>
    <row r="194" spans="1:8" s="38" customFormat="1" ht="12.75" x14ac:dyDescent="0.2">
      <c r="A194" s="40">
        <f t="shared" si="21"/>
        <v>15</v>
      </c>
      <c r="B194" s="39">
        <f t="shared" si="15"/>
        <v>178</v>
      </c>
      <c r="C194" s="35">
        <f t="shared" si="16"/>
        <v>590863.03635258845</v>
      </c>
      <c r="D194" s="36">
        <f t="shared" si="17"/>
        <v>-6443.0140148550854</v>
      </c>
      <c r="E194" s="36">
        <f t="shared" si="18"/>
        <v>-3488.6988330921431</v>
      </c>
      <c r="F194" s="36">
        <f t="shared" si="19"/>
        <v>-2954.3151817629423</v>
      </c>
      <c r="G194" s="36">
        <f t="shared" si="20"/>
        <v>587374.33751949633</v>
      </c>
      <c r="H194" s="37"/>
    </row>
    <row r="195" spans="1:8" s="38" customFormat="1" ht="12.75" x14ac:dyDescent="0.2">
      <c r="A195" s="40">
        <f t="shared" si="21"/>
        <v>15</v>
      </c>
      <c r="B195" s="39">
        <f t="shared" si="15"/>
        <v>179</v>
      </c>
      <c r="C195" s="35">
        <f t="shared" si="16"/>
        <v>587374.33751949633</v>
      </c>
      <c r="D195" s="36">
        <f t="shared" si="17"/>
        <v>-6443.0140148550854</v>
      </c>
      <c r="E195" s="36">
        <f t="shared" si="18"/>
        <v>-3506.1423272576035</v>
      </c>
      <c r="F195" s="36">
        <f t="shared" si="19"/>
        <v>-2936.8716875974819</v>
      </c>
      <c r="G195" s="36">
        <f t="shared" si="20"/>
        <v>583868.19519223878</v>
      </c>
      <c r="H195" s="37"/>
    </row>
    <row r="196" spans="1:8" s="38" customFormat="1" ht="12.75" x14ac:dyDescent="0.2">
      <c r="A196" s="40">
        <f t="shared" si="21"/>
        <v>15</v>
      </c>
      <c r="B196" s="39">
        <f t="shared" si="15"/>
        <v>180</v>
      </c>
      <c r="C196" s="35">
        <f t="shared" si="16"/>
        <v>583868.19519223878</v>
      </c>
      <c r="D196" s="36">
        <f t="shared" si="17"/>
        <v>-6443.0140148550854</v>
      </c>
      <c r="E196" s="36">
        <f t="shared" si="18"/>
        <v>-3523.6730388938913</v>
      </c>
      <c r="F196" s="36">
        <f t="shared" si="19"/>
        <v>-2919.3409759611941</v>
      </c>
      <c r="G196" s="36">
        <f t="shared" si="20"/>
        <v>580344.52215334494</v>
      </c>
      <c r="H196" s="37"/>
    </row>
    <row r="197" spans="1:8" s="38" customFormat="1" ht="12.75" x14ac:dyDescent="0.2">
      <c r="A197" s="40">
        <f>A185+1</f>
        <v>16</v>
      </c>
      <c r="B197" s="39">
        <f t="shared" si="15"/>
        <v>181</v>
      </c>
      <c r="C197" s="35">
        <f t="shared" si="16"/>
        <v>580344.52215334494</v>
      </c>
      <c r="D197" s="36">
        <f t="shared" si="17"/>
        <v>-6443.0140148550854</v>
      </c>
      <c r="E197" s="36">
        <f t="shared" si="18"/>
        <v>-3541.2914040883607</v>
      </c>
      <c r="F197" s="36">
        <f t="shared" si="19"/>
        <v>-2901.7226107667248</v>
      </c>
      <c r="G197" s="36">
        <f t="shared" si="20"/>
        <v>576803.23074925656</v>
      </c>
      <c r="H197" s="37"/>
    </row>
    <row r="198" spans="1:8" s="38" customFormat="1" ht="12.75" x14ac:dyDescent="0.2">
      <c r="A198" s="40">
        <f>A197</f>
        <v>16</v>
      </c>
      <c r="B198" s="39">
        <f t="shared" si="15"/>
        <v>182</v>
      </c>
      <c r="C198" s="35">
        <f t="shared" si="16"/>
        <v>576803.23074925656</v>
      </c>
      <c r="D198" s="36">
        <f t="shared" si="17"/>
        <v>-6443.0140148550854</v>
      </c>
      <c r="E198" s="36">
        <f t="shared" si="18"/>
        <v>-3558.9978611088027</v>
      </c>
      <c r="F198" s="36">
        <f t="shared" si="19"/>
        <v>-2884.0161537462827</v>
      </c>
      <c r="G198" s="36">
        <f t="shared" si="20"/>
        <v>573244.2328881477</v>
      </c>
      <c r="H198" s="37"/>
    </row>
    <row r="199" spans="1:8" s="38" customFormat="1" ht="12.75" x14ac:dyDescent="0.2">
      <c r="A199" s="40">
        <f t="shared" si="21"/>
        <v>16</v>
      </c>
      <c r="B199" s="39">
        <f t="shared" si="15"/>
        <v>183</v>
      </c>
      <c r="C199" s="35">
        <f t="shared" si="16"/>
        <v>573244.2328881477</v>
      </c>
      <c r="D199" s="36">
        <f t="shared" si="17"/>
        <v>-6443.0140148550854</v>
      </c>
      <c r="E199" s="36">
        <f t="shared" si="18"/>
        <v>-3576.792850414347</v>
      </c>
      <c r="F199" s="36">
        <f t="shared" si="19"/>
        <v>-2866.2211644407384</v>
      </c>
      <c r="G199" s="36">
        <f t="shared" si="20"/>
        <v>569667.44003773341</v>
      </c>
      <c r="H199" s="37"/>
    </row>
    <row r="200" spans="1:8" s="38" customFormat="1" ht="12.75" x14ac:dyDescent="0.2">
      <c r="A200" s="40">
        <f t="shared" si="21"/>
        <v>16</v>
      </c>
      <c r="B200" s="39">
        <f t="shared" si="15"/>
        <v>184</v>
      </c>
      <c r="C200" s="35">
        <f t="shared" si="16"/>
        <v>569667.44003773341</v>
      </c>
      <c r="D200" s="36">
        <f t="shared" si="17"/>
        <v>-6443.0140148550854</v>
      </c>
      <c r="E200" s="36">
        <f t="shared" si="18"/>
        <v>-3594.6768146664185</v>
      </c>
      <c r="F200" s="36">
        <f t="shared" si="19"/>
        <v>-2848.3372001886669</v>
      </c>
      <c r="G200" s="36">
        <f t="shared" si="20"/>
        <v>566072.76322306704</v>
      </c>
      <c r="H200" s="37"/>
    </row>
    <row r="201" spans="1:8" s="38" customFormat="1" ht="12.75" x14ac:dyDescent="0.2">
      <c r="A201" s="40">
        <f t="shared" si="21"/>
        <v>16</v>
      </c>
      <c r="B201" s="39">
        <f t="shared" si="15"/>
        <v>185</v>
      </c>
      <c r="C201" s="35">
        <f t="shared" si="16"/>
        <v>566072.76322306704</v>
      </c>
      <c r="D201" s="36">
        <f t="shared" si="17"/>
        <v>-6443.0140148550854</v>
      </c>
      <c r="E201" s="36">
        <f t="shared" si="18"/>
        <v>-3612.6501987397501</v>
      </c>
      <c r="F201" s="36">
        <f t="shared" si="19"/>
        <v>-2830.3638161153353</v>
      </c>
      <c r="G201" s="36">
        <f t="shared" si="20"/>
        <v>562460.11302432732</v>
      </c>
      <c r="H201" s="37"/>
    </row>
    <row r="202" spans="1:8" s="38" customFormat="1" ht="12.75" x14ac:dyDescent="0.2">
      <c r="A202" s="40">
        <f t="shared" si="21"/>
        <v>16</v>
      </c>
      <c r="B202" s="39">
        <f t="shared" si="15"/>
        <v>186</v>
      </c>
      <c r="C202" s="35">
        <f t="shared" si="16"/>
        <v>562460.11302432732</v>
      </c>
      <c r="D202" s="36">
        <f t="shared" si="17"/>
        <v>-6443.0140148550854</v>
      </c>
      <c r="E202" s="36">
        <f t="shared" si="18"/>
        <v>-3630.7134497334487</v>
      </c>
      <c r="F202" s="36">
        <f t="shared" si="19"/>
        <v>-2812.3005651216367</v>
      </c>
      <c r="G202" s="36">
        <f t="shared" si="20"/>
        <v>558829.39957459387</v>
      </c>
      <c r="H202" s="37"/>
    </row>
    <row r="203" spans="1:8" s="38" customFormat="1" ht="12.75" x14ac:dyDescent="0.2">
      <c r="A203" s="40">
        <f t="shared" si="21"/>
        <v>16</v>
      </c>
      <c r="B203" s="39">
        <f t="shared" si="15"/>
        <v>187</v>
      </c>
      <c r="C203" s="35">
        <f t="shared" si="16"/>
        <v>558829.39957459387</v>
      </c>
      <c r="D203" s="36">
        <f t="shared" si="17"/>
        <v>-6443.0140148550854</v>
      </c>
      <c r="E203" s="36">
        <f t="shared" si="18"/>
        <v>-3648.8670169821162</v>
      </c>
      <c r="F203" s="36">
        <f t="shared" si="19"/>
        <v>-2794.1469978729692</v>
      </c>
      <c r="G203" s="36">
        <f t="shared" si="20"/>
        <v>555180.5325576117</v>
      </c>
      <c r="H203" s="37"/>
    </row>
    <row r="204" spans="1:8" s="38" customFormat="1" ht="12.75" x14ac:dyDescent="0.2">
      <c r="A204" s="40">
        <f t="shared" si="21"/>
        <v>16</v>
      </c>
      <c r="B204" s="39">
        <f t="shared" si="15"/>
        <v>188</v>
      </c>
      <c r="C204" s="35">
        <f t="shared" si="16"/>
        <v>555180.5325576117</v>
      </c>
      <c r="D204" s="36">
        <f t="shared" si="17"/>
        <v>-6443.0140148550854</v>
      </c>
      <c r="E204" s="36">
        <f t="shared" si="18"/>
        <v>-3667.1113520670269</v>
      </c>
      <c r="F204" s="36">
        <f t="shared" si="19"/>
        <v>-2775.9026627880585</v>
      </c>
      <c r="G204" s="36">
        <f t="shared" si="20"/>
        <v>551513.42120554473</v>
      </c>
      <c r="H204" s="37"/>
    </row>
    <row r="205" spans="1:8" s="38" customFormat="1" ht="12.75" x14ac:dyDescent="0.2">
      <c r="A205" s="40">
        <f t="shared" si="21"/>
        <v>16</v>
      </c>
      <c r="B205" s="39">
        <f t="shared" si="15"/>
        <v>189</v>
      </c>
      <c r="C205" s="35">
        <f t="shared" si="16"/>
        <v>551513.42120554473</v>
      </c>
      <c r="D205" s="36">
        <f t="shared" si="17"/>
        <v>-6443.0140148550854</v>
      </c>
      <c r="E205" s="36">
        <f t="shared" si="18"/>
        <v>-3685.4469088273618</v>
      </c>
      <c r="F205" s="36">
        <f t="shared" si="19"/>
        <v>-2757.5671060277236</v>
      </c>
      <c r="G205" s="36">
        <f t="shared" si="20"/>
        <v>547827.97429671732</v>
      </c>
      <c r="H205" s="37"/>
    </row>
    <row r="206" spans="1:8" s="38" customFormat="1" ht="12.75" x14ac:dyDescent="0.2">
      <c r="A206" s="40">
        <f t="shared" si="21"/>
        <v>16</v>
      </c>
      <c r="B206" s="39">
        <f t="shared" si="15"/>
        <v>190</v>
      </c>
      <c r="C206" s="35">
        <f t="shared" si="16"/>
        <v>547827.97429671732</v>
      </c>
      <c r="D206" s="36">
        <f t="shared" si="17"/>
        <v>-6443.0140148550854</v>
      </c>
      <c r="E206" s="36">
        <f t="shared" si="18"/>
        <v>-3703.8741433714986</v>
      </c>
      <c r="F206" s="36">
        <f t="shared" si="19"/>
        <v>-2739.1398714835868</v>
      </c>
      <c r="G206" s="36">
        <f t="shared" si="20"/>
        <v>544124.10015334585</v>
      </c>
      <c r="H206" s="37"/>
    </row>
    <row r="207" spans="1:8" s="38" customFormat="1" ht="12.75" x14ac:dyDescent="0.2">
      <c r="A207" s="40">
        <f t="shared" si="21"/>
        <v>16</v>
      </c>
      <c r="B207" s="39">
        <f t="shared" si="15"/>
        <v>191</v>
      </c>
      <c r="C207" s="35">
        <f t="shared" si="16"/>
        <v>544124.10015334585</v>
      </c>
      <c r="D207" s="36">
        <f t="shared" si="17"/>
        <v>-6443.0140148550854</v>
      </c>
      <c r="E207" s="36">
        <f t="shared" si="18"/>
        <v>-3722.3935140883559</v>
      </c>
      <c r="F207" s="36">
        <f t="shared" si="19"/>
        <v>-2720.6205007667295</v>
      </c>
      <c r="G207" s="36">
        <f t="shared" si="20"/>
        <v>540401.70663925749</v>
      </c>
      <c r="H207" s="37"/>
    </row>
    <row r="208" spans="1:8" s="38" customFormat="1" ht="12.75" x14ac:dyDescent="0.2">
      <c r="A208" s="40">
        <f t="shared" si="21"/>
        <v>16</v>
      </c>
      <c r="B208" s="39">
        <f t="shared" si="15"/>
        <v>192</v>
      </c>
      <c r="C208" s="35">
        <f t="shared" si="16"/>
        <v>540401.70663925749</v>
      </c>
      <c r="D208" s="36">
        <f t="shared" si="17"/>
        <v>-6443.0140148550854</v>
      </c>
      <c r="E208" s="36">
        <f t="shared" si="18"/>
        <v>-3741.0054816587981</v>
      </c>
      <c r="F208" s="36">
        <f t="shared" si="19"/>
        <v>-2702.0085331962873</v>
      </c>
      <c r="G208" s="36">
        <f t="shared" si="20"/>
        <v>536660.70115759864</v>
      </c>
      <c r="H208" s="37"/>
    </row>
    <row r="209" spans="1:8" s="38" customFormat="1" ht="12.75" x14ac:dyDescent="0.2">
      <c r="A209" s="40">
        <f>A197+1</f>
        <v>17</v>
      </c>
      <c r="B209" s="39">
        <f t="shared" si="15"/>
        <v>193</v>
      </c>
      <c r="C209" s="35">
        <f t="shared" si="16"/>
        <v>536660.70115759864</v>
      </c>
      <c r="D209" s="36">
        <f t="shared" si="17"/>
        <v>-6443.0140148550854</v>
      </c>
      <c r="E209" s="36">
        <f t="shared" si="18"/>
        <v>-3759.7105090670921</v>
      </c>
      <c r="F209" s="36">
        <f t="shared" si="19"/>
        <v>-2683.3035057879933</v>
      </c>
      <c r="G209" s="36">
        <f t="shared" si="20"/>
        <v>532900.99064853159</v>
      </c>
      <c r="H209" s="37"/>
    </row>
    <row r="210" spans="1:8" s="38" customFormat="1" ht="12.75" x14ac:dyDescent="0.2">
      <c r="A210" s="40">
        <f>A209</f>
        <v>17</v>
      </c>
      <c r="B210" s="39">
        <f t="shared" ref="B210:B273" si="22">+B209+1</f>
        <v>194</v>
      </c>
      <c r="C210" s="35">
        <f t="shared" ref="C210:C273" si="23">G209</f>
        <v>532900.99064853159</v>
      </c>
      <c r="D210" s="36">
        <f t="shared" ref="D210:D273" si="24">PMT($C$4,$C$6,$C$2)</f>
        <v>-6443.0140148550854</v>
      </c>
      <c r="E210" s="36">
        <f t="shared" ref="E210:E273" si="25">D210-F210</f>
        <v>-3778.5090616124276</v>
      </c>
      <c r="F210" s="36">
        <f t="shared" ref="F210:F273" si="26">-G209*$C$4</f>
        <v>-2664.5049532426578</v>
      </c>
      <c r="G210" s="36">
        <f t="shared" ref="G210:G273" si="27">C210+E210</f>
        <v>529122.48158691917</v>
      </c>
      <c r="H210" s="37"/>
    </row>
    <row r="211" spans="1:8" s="38" customFormat="1" ht="12.75" x14ac:dyDescent="0.2">
      <c r="A211" s="40">
        <f t="shared" si="21"/>
        <v>17</v>
      </c>
      <c r="B211" s="39">
        <f t="shared" si="22"/>
        <v>195</v>
      </c>
      <c r="C211" s="35">
        <f t="shared" si="23"/>
        <v>529122.48158691917</v>
      </c>
      <c r="D211" s="36">
        <f t="shared" si="24"/>
        <v>-6443.0140148550854</v>
      </c>
      <c r="E211" s="36">
        <f t="shared" si="25"/>
        <v>-3797.4016069204895</v>
      </c>
      <c r="F211" s="36">
        <f t="shared" si="26"/>
        <v>-2645.6124079345959</v>
      </c>
      <c r="G211" s="36">
        <f t="shared" si="27"/>
        <v>525325.07997999864</v>
      </c>
      <c r="H211" s="37"/>
    </row>
    <row r="212" spans="1:8" s="38" customFormat="1" ht="12.75" x14ac:dyDescent="0.2">
      <c r="A212" s="40">
        <f t="shared" si="21"/>
        <v>17</v>
      </c>
      <c r="B212" s="39">
        <f t="shared" si="22"/>
        <v>196</v>
      </c>
      <c r="C212" s="35">
        <f t="shared" si="23"/>
        <v>525325.07997999864</v>
      </c>
      <c r="D212" s="36">
        <f t="shared" si="24"/>
        <v>-6443.0140148550854</v>
      </c>
      <c r="E212" s="36">
        <f t="shared" si="25"/>
        <v>-3816.3886149550922</v>
      </c>
      <c r="F212" s="36">
        <f t="shared" si="26"/>
        <v>-2626.6253998999932</v>
      </c>
      <c r="G212" s="36">
        <f t="shared" si="27"/>
        <v>521508.69136504357</v>
      </c>
      <c r="H212" s="37"/>
    </row>
    <row r="213" spans="1:8" s="38" customFormat="1" ht="12.75" x14ac:dyDescent="0.2">
      <c r="A213" s="40">
        <f t="shared" si="21"/>
        <v>17</v>
      </c>
      <c r="B213" s="39">
        <f t="shared" si="22"/>
        <v>197</v>
      </c>
      <c r="C213" s="35">
        <f t="shared" si="23"/>
        <v>521508.69136504357</v>
      </c>
      <c r="D213" s="36">
        <f t="shared" si="24"/>
        <v>-6443.0140148550854</v>
      </c>
      <c r="E213" s="36">
        <f t="shared" si="25"/>
        <v>-3835.4705580298673</v>
      </c>
      <c r="F213" s="36">
        <f t="shared" si="26"/>
        <v>-2607.5434568252181</v>
      </c>
      <c r="G213" s="36">
        <f t="shared" si="27"/>
        <v>517673.22080701368</v>
      </c>
      <c r="H213" s="37"/>
    </row>
    <row r="214" spans="1:8" s="38" customFormat="1" ht="12.75" x14ac:dyDescent="0.2">
      <c r="A214" s="40">
        <f t="shared" si="21"/>
        <v>17</v>
      </c>
      <c r="B214" s="39">
        <f t="shared" si="22"/>
        <v>198</v>
      </c>
      <c r="C214" s="35">
        <f t="shared" si="23"/>
        <v>517673.22080701368</v>
      </c>
      <c r="D214" s="36">
        <f t="shared" si="24"/>
        <v>-6443.0140148550854</v>
      </c>
      <c r="E214" s="36">
        <f t="shared" si="25"/>
        <v>-3854.6479108200169</v>
      </c>
      <c r="F214" s="36">
        <f t="shared" si="26"/>
        <v>-2588.3661040350685</v>
      </c>
      <c r="G214" s="36">
        <f t="shared" si="27"/>
        <v>513818.57289619365</v>
      </c>
      <c r="H214" s="37"/>
    </row>
    <row r="215" spans="1:8" s="38" customFormat="1" ht="12.75" x14ac:dyDescent="0.2">
      <c r="A215" s="40">
        <f t="shared" si="21"/>
        <v>17</v>
      </c>
      <c r="B215" s="39">
        <f t="shared" si="22"/>
        <v>199</v>
      </c>
      <c r="C215" s="35">
        <f t="shared" si="23"/>
        <v>513818.57289619365</v>
      </c>
      <c r="D215" s="36">
        <f t="shared" si="24"/>
        <v>-6443.0140148550854</v>
      </c>
      <c r="E215" s="36">
        <f t="shared" si="25"/>
        <v>-3873.9211503741171</v>
      </c>
      <c r="F215" s="36">
        <f t="shared" si="26"/>
        <v>-2569.0928644809683</v>
      </c>
      <c r="G215" s="36">
        <f t="shared" si="27"/>
        <v>509944.65174581954</v>
      </c>
      <c r="H215" s="37"/>
    </row>
    <row r="216" spans="1:8" s="38" customFormat="1" ht="12.75" x14ac:dyDescent="0.2">
      <c r="A216" s="40">
        <f t="shared" si="21"/>
        <v>17</v>
      </c>
      <c r="B216" s="39">
        <f t="shared" si="22"/>
        <v>200</v>
      </c>
      <c r="C216" s="35">
        <f t="shared" si="23"/>
        <v>509944.65174581954</v>
      </c>
      <c r="D216" s="36">
        <f t="shared" si="24"/>
        <v>-6443.0140148550854</v>
      </c>
      <c r="E216" s="36">
        <f t="shared" si="25"/>
        <v>-3893.2907561259876</v>
      </c>
      <c r="F216" s="36">
        <f t="shared" si="26"/>
        <v>-2549.7232587290978</v>
      </c>
      <c r="G216" s="36">
        <f t="shared" si="27"/>
        <v>506051.36098969355</v>
      </c>
      <c r="H216" s="37"/>
    </row>
    <row r="217" spans="1:8" s="38" customFormat="1" ht="12.75" x14ac:dyDescent="0.2">
      <c r="A217" s="40">
        <f t="shared" si="21"/>
        <v>17</v>
      </c>
      <c r="B217" s="39">
        <f t="shared" si="22"/>
        <v>201</v>
      </c>
      <c r="C217" s="35">
        <f t="shared" si="23"/>
        <v>506051.36098969355</v>
      </c>
      <c r="D217" s="36">
        <f t="shared" si="24"/>
        <v>-6443.0140148550854</v>
      </c>
      <c r="E217" s="36">
        <f t="shared" si="25"/>
        <v>-3912.7572099066174</v>
      </c>
      <c r="F217" s="36">
        <f t="shared" si="26"/>
        <v>-2530.256804948468</v>
      </c>
      <c r="G217" s="36">
        <f t="shared" si="27"/>
        <v>502138.60377978691</v>
      </c>
      <c r="H217" s="37"/>
    </row>
    <row r="218" spans="1:8" s="38" customFormat="1" ht="12.75" x14ac:dyDescent="0.2">
      <c r="A218" s="40">
        <f t="shared" si="21"/>
        <v>17</v>
      </c>
      <c r="B218" s="39">
        <f t="shared" si="22"/>
        <v>202</v>
      </c>
      <c r="C218" s="35">
        <f t="shared" si="23"/>
        <v>502138.60377978691</v>
      </c>
      <c r="D218" s="36">
        <f t="shared" si="24"/>
        <v>-6443.0140148550854</v>
      </c>
      <c r="E218" s="36">
        <f t="shared" si="25"/>
        <v>-3932.3209959561509</v>
      </c>
      <c r="F218" s="36">
        <f t="shared" si="26"/>
        <v>-2510.6930188989345</v>
      </c>
      <c r="G218" s="36">
        <f t="shared" si="27"/>
        <v>498206.28278383077</v>
      </c>
      <c r="H218" s="37"/>
    </row>
    <row r="219" spans="1:8" s="38" customFormat="1" ht="12.75" x14ac:dyDescent="0.2">
      <c r="A219" s="40">
        <f t="shared" si="21"/>
        <v>17</v>
      </c>
      <c r="B219" s="39">
        <f t="shared" si="22"/>
        <v>203</v>
      </c>
      <c r="C219" s="35">
        <f t="shared" si="23"/>
        <v>498206.28278383077</v>
      </c>
      <c r="D219" s="36">
        <f t="shared" si="24"/>
        <v>-6443.0140148550854</v>
      </c>
      <c r="E219" s="36">
        <f t="shared" si="25"/>
        <v>-3951.9826009359317</v>
      </c>
      <c r="F219" s="36">
        <f t="shared" si="26"/>
        <v>-2491.0314139191537</v>
      </c>
      <c r="G219" s="36">
        <f t="shared" si="27"/>
        <v>494254.30018289486</v>
      </c>
      <c r="H219" s="37"/>
    </row>
    <row r="220" spans="1:8" s="38" customFormat="1" ht="12.75" x14ac:dyDescent="0.2">
      <c r="A220" s="40">
        <f t="shared" si="21"/>
        <v>17</v>
      </c>
      <c r="B220" s="39">
        <f t="shared" si="22"/>
        <v>204</v>
      </c>
      <c r="C220" s="35">
        <f t="shared" si="23"/>
        <v>494254.30018289486</v>
      </c>
      <c r="D220" s="36">
        <f t="shared" si="24"/>
        <v>-6443.0140148550854</v>
      </c>
      <c r="E220" s="36">
        <f t="shared" si="25"/>
        <v>-3971.7425139406109</v>
      </c>
      <c r="F220" s="36">
        <f t="shared" si="26"/>
        <v>-2471.2715009144745</v>
      </c>
      <c r="G220" s="36">
        <f t="shared" si="27"/>
        <v>490282.55766895425</v>
      </c>
      <c r="H220" s="37"/>
    </row>
    <row r="221" spans="1:8" s="38" customFormat="1" ht="12.75" x14ac:dyDescent="0.2">
      <c r="A221" s="40">
        <f>A209+1</f>
        <v>18</v>
      </c>
      <c r="B221" s="39">
        <f t="shared" si="22"/>
        <v>205</v>
      </c>
      <c r="C221" s="35">
        <f t="shared" si="23"/>
        <v>490282.55766895425</v>
      </c>
      <c r="D221" s="36">
        <f t="shared" si="24"/>
        <v>-6443.0140148550854</v>
      </c>
      <c r="E221" s="36">
        <f t="shared" si="25"/>
        <v>-3991.6012265103141</v>
      </c>
      <c r="F221" s="36">
        <f t="shared" si="26"/>
        <v>-2451.4127883447713</v>
      </c>
      <c r="G221" s="36">
        <f t="shared" si="27"/>
        <v>486290.95644244394</v>
      </c>
      <c r="H221" s="37"/>
    </row>
    <row r="222" spans="1:8" s="38" customFormat="1" ht="12.75" x14ac:dyDescent="0.2">
      <c r="A222" s="40">
        <f>A221</f>
        <v>18</v>
      </c>
      <c r="B222" s="39">
        <f t="shared" si="22"/>
        <v>206</v>
      </c>
      <c r="C222" s="35">
        <f t="shared" si="23"/>
        <v>486290.95644244394</v>
      </c>
      <c r="D222" s="36">
        <f t="shared" si="24"/>
        <v>-6443.0140148550854</v>
      </c>
      <c r="E222" s="36">
        <f t="shared" si="25"/>
        <v>-4011.5592326428655</v>
      </c>
      <c r="F222" s="36">
        <f t="shared" si="26"/>
        <v>-2431.4547822122199</v>
      </c>
      <c r="G222" s="36">
        <f t="shared" si="27"/>
        <v>482279.39720980107</v>
      </c>
      <c r="H222" s="37"/>
    </row>
    <row r="223" spans="1:8" s="38" customFormat="1" ht="12.75" x14ac:dyDescent="0.2">
      <c r="A223" s="40">
        <f t="shared" si="21"/>
        <v>18</v>
      </c>
      <c r="B223" s="39">
        <f t="shared" si="22"/>
        <v>207</v>
      </c>
      <c r="C223" s="35">
        <f t="shared" si="23"/>
        <v>482279.39720980107</v>
      </c>
      <c r="D223" s="36">
        <f t="shared" si="24"/>
        <v>-6443.0140148550854</v>
      </c>
      <c r="E223" s="36">
        <f t="shared" si="25"/>
        <v>-4031.6170288060798</v>
      </c>
      <c r="F223" s="36">
        <f t="shared" si="26"/>
        <v>-2411.3969860490056</v>
      </c>
      <c r="G223" s="36">
        <f t="shared" si="27"/>
        <v>478247.780180995</v>
      </c>
      <c r="H223" s="37"/>
    </row>
    <row r="224" spans="1:8" s="38" customFormat="1" ht="12.75" x14ac:dyDescent="0.2">
      <c r="A224" s="40">
        <f t="shared" si="21"/>
        <v>18</v>
      </c>
      <c r="B224" s="39">
        <f t="shared" si="22"/>
        <v>208</v>
      </c>
      <c r="C224" s="35">
        <f t="shared" si="23"/>
        <v>478247.780180995</v>
      </c>
      <c r="D224" s="36">
        <f t="shared" si="24"/>
        <v>-6443.0140148550854</v>
      </c>
      <c r="E224" s="36">
        <f t="shared" si="25"/>
        <v>-4051.7751139501102</v>
      </c>
      <c r="F224" s="36">
        <f t="shared" si="26"/>
        <v>-2391.2389009049753</v>
      </c>
      <c r="G224" s="36">
        <f t="shared" si="27"/>
        <v>474196.00506704487</v>
      </c>
      <c r="H224" s="37"/>
    </row>
    <row r="225" spans="1:8" s="38" customFormat="1" ht="12.75" x14ac:dyDescent="0.2">
      <c r="A225" s="40">
        <f t="shared" si="21"/>
        <v>18</v>
      </c>
      <c r="B225" s="39">
        <f t="shared" si="22"/>
        <v>209</v>
      </c>
      <c r="C225" s="35">
        <f t="shared" si="23"/>
        <v>474196.00506704487</v>
      </c>
      <c r="D225" s="36">
        <f t="shared" si="24"/>
        <v>-6443.0140148550854</v>
      </c>
      <c r="E225" s="36">
        <f t="shared" si="25"/>
        <v>-4072.0339895198608</v>
      </c>
      <c r="F225" s="36">
        <f t="shared" si="26"/>
        <v>-2370.9800253352246</v>
      </c>
      <c r="G225" s="36">
        <f t="shared" si="27"/>
        <v>470123.971077525</v>
      </c>
      <c r="H225" s="37"/>
    </row>
    <row r="226" spans="1:8" s="38" customFormat="1" ht="12.75" x14ac:dyDescent="0.2">
      <c r="A226" s="40">
        <f t="shared" si="21"/>
        <v>18</v>
      </c>
      <c r="B226" s="39">
        <f t="shared" si="22"/>
        <v>210</v>
      </c>
      <c r="C226" s="35">
        <f t="shared" si="23"/>
        <v>470123.971077525</v>
      </c>
      <c r="D226" s="36">
        <f t="shared" si="24"/>
        <v>-6443.0140148550854</v>
      </c>
      <c r="E226" s="36">
        <f t="shared" si="25"/>
        <v>-4092.3941594674602</v>
      </c>
      <c r="F226" s="36">
        <f t="shared" si="26"/>
        <v>-2350.6198553876252</v>
      </c>
      <c r="G226" s="36">
        <f t="shared" si="27"/>
        <v>466031.57691805752</v>
      </c>
      <c r="H226" s="37"/>
    </row>
    <row r="227" spans="1:8" s="38" customFormat="1" ht="12.75" x14ac:dyDescent="0.2">
      <c r="A227" s="40">
        <f t="shared" si="21"/>
        <v>18</v>
      </c>
      <c r="B227" s="39">
        <f t="shared" si="22"/>
        <v>211</v>
      </c>
      <c r="C227" s="35">
        <f t="shared" si="23"/>
        <v>466031.57691805752</v>
      </c>
      <c r="D227" s="36">
        <f t="shared" si="24"/>
        <v>-6443.0140148550854</v>
      </c>
      <c r="E227" s="36">
        <f t="shared" si="25"/>
        <v>-4112.8561302647977</v>
      </c>
      <c r="F227" s="36">
        <f t="shared" si="26"/>
        <v>-2330.1578845902877</v>
      </c>
      <c r="G227" s="36">
        <f t="shared" si="27"/>
        <v>461918.7207877927</v>
      </c>
      <c r="H227" s="37"/>
    </row>
    <row r="228" spans="1:8" s="38" customFormat="1" ht="12.75" x14ac:dyDescent="0.2">
      <c r="A228" s="40">
        <f t="shared" si="21"/>
        <v>18</v>
      </c>
      <c r="B228" s="39">
        <f t="shared" si="22"/>
        <v>212</v>
      </c>
      <c r="C228" s="35">
        <f t="shared" si="23"/>
        <v>461918.7207877927</v>
      </c>
      <c r="D228" s="36">
        <f t="shared" si="24"/>
        <v>-6443.0140148550854</v>
      </c>
      <c r="E228" s="36">
        <f t="shared" si="25"/>
        <v>-4133.4204109161219</v>
      </c>
      <c r="F228" s="36">
        <f t="shared" si="26"/>
        <v>-2309.5936039389635</v>
      </c>
      <c r="G228" s="36">
        <f t="shared" si="27"/>
        <v>457785.30037687661</v>
      </c>
      <c r="H228" s="37"/>
    </row>
    <row r="229" spans="1:8" s="38" customFormat="1" ht="12.75" x14ac:dyDescent="0.2">
      <c r="A229" s="40">
        <f t="shared" si="21"/>
        <v>18</v>
      </c>
      <c r="B229" s="39">
        <f t="shared" si="22"/>
        <v>213</v>
      </c>
      <c r="C229" s="35">
        <f t="shared" si="23"/>
        <v>457785.30037687661</v>
      </c>
      <c r="D229" s="36">
        <f t="shared" si="24"/>
        <v>-6443.0140148550854</v>
      </c>
      <c r="E229" s="36">
        <f t="shared" si="25"/>
        <v>-4154.0875129707019</v>
      </c>
      <c r="F229" s="36">
        <f t="shared" si="26"/>
        <v>-2288.926501884383</v>
      </c>
      <c r="G229" s="36">
        <f t="shared" si="27"/>
        <v>453631.21286390588</v>
      </c>
      <c r="H229" s="37"/>
    </row>
    <row r="230" spans="1:8" s="38" customFormat="1" ht="12.75" x14ac:dyDescent="0.2">
      <c r="A230" s="40">
        <f t="shared" si="21"/>
        <v>18</v>
      </c>
      <c r="B230" s="39">
        <f t="shared" si="22"/>
        <v>214</v>
      </c>
      <c r="C230" s="35">
        <f t="shared" si="23"/>
        <v>453631.21286390588</v>
      </c>
      <c r="D230" s="36">
        <f t="shared" si="24"/>
        <v>-6443.0140148550854</v>
      </c>
      <c r="E230" s="36">
        <f t="shared" si="25"/>
        <v>-4174.8579505355556</v>
      </c>
      <c r="F230" s="36">
        <f t="shared" si="26"/>
        <v>-2268.1560643195294</v>
      </c>
      <c r="G230" s="36">
        <f t="shared" si="27"/>
        <v>449456.35491337033</v>
      </c>
      <c r="H230" s="37"/>
    </row>
    <row r="231" spans="1:8" s="38" customFormat="1" ht="12.75" x14ac:dyDescent="0.2">
      <c r="A231" s="40">
        <f t="shared" si="21"/>
        <v>18</v>
      </c>
      <c r="B231" s="39">
        <f t="shared" si="22"/>
        <v>215</v>
      </c>
      <c r="C231" s="35">
        <f t="shared" si="23"/>
        <v>449456.35491337033</v>
      </c>
      <c r="D231" s="36">
        <f t="shared" si="24"/>
        <v>-6443.0140148550854</v>
      </c>
      <c r="E231" s="36">
        <f t="shared" si="25"/>
        <v>-4195.7322402882337</v>
      </c>
      <c r="F231" s="36">
        <f t="shared" si="26"/>
        <v>-2247.2817745668517</v>
      </c>
      <c r="G231" s="36">
        <f t="shared" si="27"/>
        <v>445260.62267308211</v>
      </c>
      <c r="H231" s="37"/>
    </row>
    <row r="232" spans="1:8" s="38" customFormat="1" ht="12.75" x14ac:dyDescent="0.2">
      <c r="A232" s="40">
        <f t="shared" si="21"/>
        <v>18</v>
      </c>
      <c r="B232" s="39">
        <f t="shared" si="22"/>
        <v>216</v>
      </c>
      <c r="C232" s="35">
        <f t="shared" si="23"/>
        <v>445260.62267308211</v>
      </c>
      <c r="D232" s="36">
        <f t="shared" si="24"/>
        <v>-6443.0140148550854</v>
      </c>
      <c r="E232" s="36">
        <f t="shared" si="25"/>
        <v>-4216.7109014896741</v>
      </c>
      <c r="F232" s="36">
        <f t="shared" si="26"/>
        <v>-2226.3031133654108</v>
      </c>
      <c r="G232" s="36">
        <f t="shared" si="27"/>
        <v>441043.91177159245</v>
      </c>
      <c r="H232" s="37"/>
    </row>
    <row r="233" spans="1:8" s="38" customFormat="1" ht="12.75" x14ac:dyDescent="0.2">
      <c r="A233" s="40">
        <f>A221+1</f>
        <v>19</v>
      </c>
      <c r="B233" s="39">
        <f t="shared" si="22"/>
        <v>217</v>
      </c>
      <c r="C233" s="35">
        <f t="shared" si="23"/>
        <v>441043.91177159245</v>
      </c>
      <c r="D233" s="36">
        <f t="shared" si="24"/>
        <v>-6443.0140148550854</v>
      </c>
      <c r="E233" s="36">
        <f t="shared" si="25"/>
        <v>-4237.7944559971229</v>
      </c>
      <c r="F233" s="36">
        <f t="shared" si="26"/>
        <v>-2205.2195588579625</v>
      </c>
      <c r="G233" s="36">
        <f t="shared" si="27"/>
        <v>436806.11731559533</v>
      </c>
      <c r="H233" s="37"/>
    </row>
    <row r="234" spans="1:8" s="38" customFormat="1" ht="12.75" x14ac:dyDescent="0.2">
      <c r="A234" s="40">
        <f t="shared" ref="A234:A297" si="28">A233</f>
        <v>19</v>
      </c>
      <c r="B234" s="39">
        <f t="shared" si="22"/>
        <v>218</v>
      </c>
      <c r="C234" s="35">
        <f t="shared" si="23"/>
        <v>436806.11731559533</v>
      </c>
      <c r="D234" s="36">
        <f t="shared" si="24"/>
        <v>-6443.0140148550854</v>
      </c>
      <c r="E234" s="36">
        <f t="shared" si="25"/>
        <v>-4258.9834282771089</v>
      </c>
      <c r="F234" s="36">
        <f t="shared" si="26"/>
        <v>-2184.0305865779765</v>
      </c>
      <c r="G234" s="36">
        <f t="shared" si="27"/>
        <v>432547.1338873182</v>
      </c>
      <c r="H234" s="37"/>
    </row>
    <row r="235" spans="1:8" s="38" customFormat="1" ht="12.75" x14ac:dyDescent="0.2">
      <c r="A235" s="40">
        <f t="shared" si="28"/>
        <v>19</v>
      </c>
      <c r="B235" s="39">
        <f t="shared" si="22"/>
        <v>219</v>
      </c>
      <c r="C235" s="35">
        <f t="shared" si="23"/>
        <v>432547.1338873182</v>
      </c>
      <c r="D235" s="36">
        <f t="shared" si="24"/>
        <v>-6443.0140148550854</v>
      </c>
      <c r="E235" s="36">
        <f t="shared" si="25"/>
        <v>-4280.2783454184946</v>
      </c>
      <c r="F235" s="36">
        <f t="shared" si="26"/>
        <v>-2162.7356694365908</v>
      </c>
      <c r="G235" s="36">
        <f t="shared" si="27"/>
        <v>428266.85554189968</v>
      </c>
      <c r="H235" s="37"/>
    </row>
    <row r="236" spans="1:8" s="38" customFormat="1" ht="12.75" x14ac:dyDescent="0.2">
      <c r="A236" s="40">
        <f t="shared" si="28"/>
        <v>19</v>
      </c>
      <c r="B236" s="39">
        <f t="shared" si="22"/>
        <v>220</v>
      </c>
      <c r="C236" s="35">
        <f t="shared" si="23"/>
        <v>428266.85554189968</v>
      </c>
      <c r="D236" s="36">
        <f t="shared" si="24"/>
        <v>-6443.0140148550854</v>
      </c>
      <c r="E236" s="36">
        <f t="shared" si="25"/>
        <v>-4301.6797371455868</v>
      </c>
      <c r="F236" s="36">
        <f t="shared" si="26"/>
        <v>-2141.3342777094986</v>
      </c>
      <c r="G236" s="36">
        <f t="shared" si="27"/>
        <v>423965.17580475408</v>
      </c>
      <c r="H236" s="37"/>
    </row>
    <row r="237" spans="1:8" s="38" customFormat="1" ht="12.75" x14ac:dyDescent="0.2">
      <c r="A237" s="40">
        <f t="shared" si="28"/>
        <v>19</v>
      </c>
      <c r="B237" s="39">
        <f t="shared" si="22"/>
        <v>221</v>
      </c>
      <c r="C237" s="35">
        <f t="shared" si="23"/>
        <v>423965.17580475408</v>
      </c>
      <c r="D237" s="36">
        <f t="shared" si="24"/>
        <v>-6443.0140148550854</v>
      </c>
      <c r="E237" s="36">
        <f t="shared" si="25"/>
        <v>-4323.1881358313149</v>
      </c>
      <c r="F237" s="36">
        <f t="shared" si="26"/>
        <v>-2119.8258790237705</v>
      </c>
      <c r="G237" s="36">
        <f t="shared" si="27"/>
        <v>419641.98766892275</v>
      </c>
      <c r="H237" s="37"/>
    </row>
    <row r="238" spans="1:8" s="38" customFormat="1" ht="12.75" x14ac:dyDescent="0.2">
      <c r="A238" s="40">
        <f t="shared" si="28"/>
        <v>19</v>
      </c>
      <c r="B238" s="39">
        <f t="shared" si="22"/>
        <v>222</v>
      </c>
      <c r="C238" s="35">
        <f t="shared" si="23"/>
        <v>419641.98766892275</v>
      </c>
      <c r="D238" s="36">
        <f t="shared" si="24"/>
        <v>-6443.0140148550854</v>
      </c>
      <c r="E238" s="36">
        <f t="shared" si="25"/>
        <v>-4344.8040765104715</v>
      </c>
      <c r="F238" s="36">
        <f t="shared" si="26"/>
        <v>-2098.2099383446139</v>
      </c>
      <c r="G238" s="36">
        <f t="shared" si="27"/>
        <v>415297.18359241227</v>
      </c>
      <c r="H238" s="37"/>
    </row>
    <row r="239" spans="1:8" s="38" customFormat="1" ht="12.75" x14ac:dyDescent="0.2">
      <c r="A239" s="40">
        <f t="shared" si="28"/>
        <v>19</v>
      </c>
      <c r="B239" s="39">
        <f t="shared" si="22"/>
        <v>223</v>
      </c>
      <c r="C239" s="35">
        <f t="shared" si="23"/>
        <v>415297.18359241227</v>
      </c>
      <c r="D239" s="36">
        <f t="shared" si="24"/>
        <v>-6443.0140148550854</v>
      </c>
      <c r="E239" s="36">
        <f t="shared" si="25"/>
        <v>-4366.5280968930238</v>
      </c>
      <c r="F239" s="36">
        <f t="shared" si="26"/>
        <v>-2076.4859179620612</v>
      </c>
      <c r="G239" s="36">
        <f t="shared" si="27"/>
        <v>410930.65549551923</v>
      </c>
      <c r="H239" s="37"/>
    </row>
    <row r="240" spans="1:8" s="38" customFormat="1" ht="12.75" x14ac:dyDescent="0.2">
      <c r="A240" s="40">
        <f t="shared" si="28"/>
        <v>19</v>
      </c>
      <c r="B240" s="39">
        <f t="shared" si="22"/>
        <v>224</v>
      </c>
      <c r="C240" s="35">
        <f t="shared" si="23"/>
        <v>410930.65549551923</v>
      </c>
      <c r="D240" s="36">
        <f t="shared" si="24"/>
        <v>-6443.0140148550854</v>
      </c>
      <c r="E240" s="36">
        <f t="shared" si="25"/>
        <v>-4388.3607373774894</v>
      </c>
      <c r="F240" s="36">
        <f t="shared" si="26"/>
        <v>-2054.653277477596</v>
      </c>
      <c r="G240" s="36">
        <f t="shared" si="27"/>
        <v>406542.29475814174</v>
      </c>
      <c r="H240" s="37"/>
    </row>
    <row r="241" spans="1:8" s="38" customFormat="1" ht="12.75" x14ac:dyDescent="0.2">
      <c r="A241" s="40">
        <f t="shared" si="28"/>
        <v>19</v>
      </c>
      <c r="B241" s="39">
        <f t="shared" si="22"/>
        <v>225</v>
      </c>
      <c r="C241" s="35">
        <f t="shared" si="23"/>
        <v>406542.29475814174</v>
      </c>
      <c r="D241" s="36">
        <f t="shared" si="24"/>
        <v>-6443.0140148550854</v>
      </c>
      <c r="E241" s="36">
        <f t="shared" si="25"/>
        <v>-4410.3025410643768</v>
      </c>
      <c r="F241" s="36">
        <f t="shared" si="26"/>
        <v>-2032.7114737907089</v>
      </c>
      <c r="G241" s="36">
        <f t="shared" si="27"/>
        <v>402131.99221707735</v>
      </c>
      <c r="H241" s="37"/>
    </row>
    <row r="242" spans="1:8" s="38" customFormat="1" ht="12.75" x14ac:dyDescent="0.2">
      <c r="A242" s="40">
        <f t="shared" si="28"/>
        <v>19</v>
      </c>
      <c r="B242" s="39">
        <f t="shared" si="22"/>
        <v>226</v>
      </c>
      <c r="C242" s="35">
        <f t="shared" si="23"/>
        <v>402131.99221707735</v>
      </c>
      <c r="D242" s="36">
        <f t="shared" si="24"/>
        <v>-6443.0140148550854</v>
      </c>
      <c r="E242" s="36">
        <f t="shared" si="25"/>
        <v>-4432.354053769699</v>
      </c>
      <c r="F242" s="36">
        <f t="shared" si="26"/>
        <v>-2010.6599610853868</v>
      </c>
      <c r="G242" s="36">
        <f t="shared" si="27"/>
        <v>397699.63816330762</v>
      </c>
      <c r="H242" s="37"/>
    </row>
    <row r="243" spans="1:8" s="38" customFormat="1" ht="12.75" x14ac:dyDescent="0.2">
      <c r="A243" s="40">
        <f t="shared" si="28"/>
        <v>19</v>
      </c>
      <c r="B243" s="39">
        <f t="shared" si="22"/>
        <v>227</v>
      </c>
      <c r="C243" s="35">
        <f t="shared" si="23"/>
        <v>397699.63816330762</v>
      </c>
      <c r="D243" s="36">
        <f t="shared" si="24"/>
        <v>-6443.0140148550854</v>
      </c>
      <c r="E243" s="36">
        <f t="shared" si="25"/>
        <v>-4454.5158240385472</v>
      </c>
      <c r="F243" s="36">
        <f t="shared" si="26"/>
        <v>-1988.4981908165382</v>
      </c>
      <c r="G243" s="36">
        <f t="shared" si="27"/>
        <v>393245.12233926909</v>
      </c>
      <c r="H243" s="37"/>
    </row>
    <row r="244" spans="1:8" s="38" customFormat="1" ht="12.75" x14ac:dyDescent="0.2">
      <c r="A244" s="40">
        <f t="shared" si="28"/>
        <v>19</v>
      </c>
      <c r="B244" s="39">
        <f t="shared" si="22"/>
        <v>228</v>
      </c>
      <c r="C244" s="35">
        <f t="shared" si="23"/>
        <v>393245.12233926909</v>
      </c>
      <c r="D244" s="36">
        <f t="shared" si="24"/>
        <v>-6443.0140148550854</v>
      </c>
      <c r="E244" s="36">
        <f t="shared" si="25"/>
        <v>-4476.78840315874</v>
      </c>
      <c r="F244" s="36">
        <f t="shared" si="26"/>
        <v>-1966.2256116963454</v>
      </c>
      <c r="G244" s="36">
        <f t="shared" si="27"/>
        <v>388768.33393611037</v>
      </c>
      <c r="H244" s="37"/>
    </row>
    <row r="245" spans="1:8" s="38" customFormat="1" ht="12.75" x14ac:dyDescent="0.2">
      <c r="A245" s="40">
        <f>A233+1</f>
        <v>20</v>
      </c>
      <c r="B245" s="39">
        <f t="shared" si="22"/>
        <v>229</v>
      </c>
      <c r="C245" s="35">
        <f t="shared" si="23"/>
        <v>388768.33393611037</v>
      </c>
      <c r="D245" s="36">
        <f t="shared" si="24"/>
        <v>-6443.0140148550854</v>
      </c>
      <c r="E245" s="36">
        <f t="shared" si="25"/>
        <v>-4499.1723451745338</v>
      </c>
      <c r="F245" s="36">
        <f t="shared" si="26"/>
        <v>-1943.8416696805518</v>
      </c>
      <c r="G245" s="36">
        <f t="shared" si="27"/>
        <v>384269.16159093584</v>
      </c>
      <c r="H245" s="37"/>
    </row>
    <row r="246" spans="1:8" s="38" customFormat="1" ht="12.75" x14ac:dyDescent="0.2">
      <c r="A246" s="40">
        <f>A245</f>
        <v>20</v>
      </c>
      <c r="B246" s="39">
        <f t="shared" si="22"/>
        <v>230</v>
      </c>
      <c r="C246" s="35">
        <f t="shared" si="23"/>
        <v>384269.16159093584</v>
      </c>
      <c r="D246" s="36">
        <f t="shared" si="24"/>
        <v>-6443.0140148550854</v>
      </c>
      <c r="E246" s="36">
        <f t="shared" si="25"/>
        <v>-4521.6682069004064</v>
      </c>
      <c r="F246" s="36">
        <f t="shared" si="26"/>
        <v>-1921.3458079546792</v>
      </c>
      <c r="G246" s="36">
        <f t="shared" si="27"/>
        <v>379747.49338403542</v>
      </c>
      <c r="H246" s="37"/>
    </row>
    <row r="247" spans="1:8" s="38" customFormat="1" ht="12.75" x14ac:dyDescent="0.2">
      <c r="A247" s="40">
        <f t="shared" si="28"/>
        <v>20</v>
      </c>
      <c r="B247" s="39">
        <f t="shared" si="22"/>
        <v>231</v>
      </c>
      <c r="C247" s="35">
        <f t="shared" si="23"/>
        <v>379747.49338403542</v>
      </c>
      <c r="D247" s="36">
        <f t="shared" si="24"/>
        <v>-6443.0140148550854</v>
      </c>
      <c r="E247" s="36">
        <f t="shared" si="25"/>
        <v>-4544.2765479349082</v>
      </c>
      <c r="F247" s="36">
        <f t="shared" si="26"/>
        <v>-1898.7374669201772</v>
      </c>
      <c r="G247" s="36">
        <f t="shared" si="27"/>
        <v>375203.2168361005</v>
      </c>
      <c r="H247" s="41"/>
    </row>
    <row r="248" spans="1:8" s="38" customFormat="1" ht="12.75" x14ac:dyDescent="0.2">
      <c r="A248" s="40">
        <f t="shared" si="28"/>
        <v>20</v>
      </c>
      <c r="B248" s="39">
        <f t="shared" si="22"/>
        <v>232</v>
      </c>
      <c r="C248" s="35">
        <f t="shared" si="23"/>
        <v>375203.2168361005</v>
      </c>
      <c r="D248" s="36">
        <f t="shared" si="24"/>
        <v>-6443.0140148550854</v>
      </c>
      <c r="E248" s="36">
        <f t="shared" si="25"/>
        <v>-4566.9979306745827</v>
      </c>
      <c r="F248" s="36">
        <f t="shared" si="26"/>
        <v>-1876.0160841805025</v>
      </c>
      <c r="G248" s="36">
        <f t="shared" si="27"/>
        <v>370636.21890542592</v>
      </c>
      <c r="H248" s="41"/>
    </row>
    <row r="249" spans="1:8" s="38" customFormat="1" ht="12.75" x14ac:dyDescent="0.2">
      <c r="A249" s="40">
        <f t="shared" si="28"/>
        <v>20</v>
      </c>
      <c r="B249" s="39">
        <f t="shared" si="22"/>
        <v>233</v>
      </c>
      <c r="C249" s="35">
        <f t="shared" si="23"/>
        <v>370636.21890542592</v>
      </c>
      <c r="D249" s="36">
        <f t="shared" si="24"/>
        <v>-6443.0140148550854</v>
      </c>
      <c r="E249" s="36">
        <f t="shared" si="25"/>
        <v>-4589.8329203279554</v>
      </c>
      <c r="F249" s="36">
        <f t="shared" si="26"/>
        <v>-1853.1810945271297</v>
      </c>
      <c r="G249" s="36">
        <f t="shared" si="27"/>
        <v>366046.38598509796</v>
      </c>
      <c r="H249" s="41"/>
    </row>
    <row r="250" spans="1:8" s="38" customFormat="1" ht="12.75" x14ac:dyDescent="0.2">
      <c r="A250" s="40">
        <f t="shared" si="28"/>
        <v>20</v>
      </c>
      <c r="B250" s="39">
        <f t="shared" si="22"/>
        <v>234</v>
      </c>
      <c r="C250" s="35">
        <f t="shared" si="23"/>
        <v>366046.38598509796</v>
      </c>
      <c r="D250" s="36">
        <f t="shared" si="24"/>
        <v>-6443.0140148550854</v>
      </c>
      <c r="E250" s="36">
        <f t="shared" si="25"/>
        <v>-4612.7820849295958</v>
      </c>
      <c r="F250" s="36">
        <f t="shared" si="26"/>
        <v>-1830.2319299254898</v>
      </c>
      <c r="G250" s="36">
        <f t="shared" si="27"/>
        <v>361433.60390016838</v>
      </c>
      <c r="H250" s="41"/>
    </row>
    <row r="251" spans="1:8" s="38" customFormat="1" ht="12.75" x14ac:dyDescent="0.2">
      <c r="A251" s="40">
        <f t="shared" si="28"/>
        <v>20</v>
      </c>
      <c r="B251" s="39">
        <f t="shared" si="22"/>
        <v>235</v>
      </c>
      <c r="C251" s="35">
        <f t="shared" si="23"/>
        <v>361433.60390016838</v>
      </c>
      <c r="D251" s="36">
        <f t="shared" si="24"/>
        <v>-6443.0140148550854</v>
      </c>
      <c r="E251" s="36">
        <f t="shared" si="25"/>
        <v>-4635.8459953542433</v>
      </c>
      <c r="F251" s="36">
        <f t="shared" si="26"/>
        <v>-1807.1680195008419</v>
      </c>
      <c r="G251" s="36">
        <f t="shared" si="27"/>
        <v>356797.75790481415</v>
      </c>
      <c r="H251" s="41"/>
    </row>
    <row r="252" spans="1:8" s="38" customFormat="1" ht="12.75" x14ac:dyDescent="0.2">
      <c r="A252" s="40">
        <f t="shared" si="28"/>
        <v>20</v>
      </c>
      <c r="B252" s="39">
        <f t="shared" si="22"/>
        <v>236</v>
      </c>
      <c r="C252" s="35">
        <f t="shared" si="23"/>
        <v>356797.75790481415</v>
      </c>
      <c r="D252" s="36">
        <f t="shared" si="24"/>
        <v>-6443.0140148550854</v>
      </c>
      <c r="E252" s="36">
        <f t="shared" si="25"/>
        <v>-4659.0252253310146</v>
      </c>
      <c r="F252" s="36">
        <f t="shared" si="26"/>
        <v>-1783.9887895240709</v>
      </c>
      <c r="G252" s="36">
        <f t="shared" si="27"/>
        <v>352138.73267948313</v>
      </c>
      <c r="H252" s="41"/>
    </row>
    <row r="253" spans="1:8" s="38" customFormat="1" ht="12.75" x14ac:dyDescent="0.2">
      <c r="A253" s="40">
        <f t="shared" si="28"/>
        <v>20</v>
      </c>
      <c r="B253" s="39">
        <f t="shared" si="22"/>
        <v>237</v>
      </c>
      <c r="C253" s="35">
        <f t="shared" si="23"/>
        <v>352138.73267948313</v>
      </c>
      <c r="D253" s="36">
        <f t="shared" si="24"/>
        <v>-6443.0140148550854</v>
      </c>
      <c r="E253" s="36">
        <f t="shared" si="25"/>
        <v>-4682.3203514576699</v>
      </c>
      <c r="F253" s="36">
        <f t="shared" si="26"/>
        <v>-1760.6936633974158</v>
      </c>
      <c r="G253" s="36">
        <f t="shared" si="27"/>
        <v>347456.41232802544</v>
      </c>
      <c r="H253" s="41"/>
    </row>
    <row r="254" spans="1:8" s="38" customFormat="1" ht="12.75" x14ac:dyDescent="0.2">
      <c r="A254" s="40">
        <f t="shared" si="28"/>
        <v>20</v>
      </c>
      <c r="B254" s="39">
        <f t="shared" si="22"/>
        <v>238</v>
      </c>
      <c r="C254" s="35">
        <f t="shared" si="23"/>
        <v>347456.41232802544</v>
      </c>
      <c r="D254" s="36">
        <f t="shared" si="24"/>
        <v>-6443.0140148550854</v>
      </c>
      <c r="E254" s="36">
        <f t="shared" si="25"/>
        <v>-4705.7319532149577</v>
      </c>
      <c r="F254" s="36">
        <f t="shared" si="26"/>
        <v>-1737.2820616401273</v>
      </c>
      <c r="G254" s="36">
        <f t="shared" si="27"/>
        <v>342750.68037481047</v>
      </c>
      <c r="H254" s="41"/>
    </row>
    <row r="255" spans="1:8" s="38" customFormat="1" ht="12.75" x14ac:dyDescent="0.2">
      <c r="A255" s="40">
        <f t="shared" si="28"/>
        <v>20</v>
      </c>
      <c r="B255" s="39">
        <f t="shared" si="22"/>
        <v>239</v>
      </c>
      <c r="C255" s="35">
        <f t="shared" si="23"/>
        <v>342750.68037481047</v>
      </c>
      <c r="D255" s="36">
        <f t="shared" si="24"/>
        <v>-6443.0140148550854</v>
      </c>
      <c r="E255" s="36">
        <f t="shared" si="25"/>
        <v>-4729.2606129810329</v>
      </c>
      <c r="F255" s="36">
        <f t="shared" si="26"/>
        <v>-1713.7534018740523</v>
      </c>
      <c r="G255" s="36">
        <f t="shared" si="27"/>
        <v>338021.41976182943</v>
      </c>
      <c r="H255" s="41"/>
    </row>
    <row r="256" spans="1:8" s="38" customFormat="1" ht="12.75" x14ac:dyDescent="0.2">
      <c r="A256" s="40">
        <f t="shared" si="28"/>
        <v>20</v>
      </c>
      <c r="B256" s="39">
        <f t="shared" si="22"/>
        <v>240</v>
      </c>
      <c r="C256" s="35">
        <f t="shared" si="23"/>
        <v>338021.41976182943</v>
      </c>
      <c r="D256" s="36">
        <f t="shared" si="24"/>
        <v>-6443.0140148550854</v>
      </c>
      <c r="E256" s="36">
        <f t="shared" si="25"/>
        <v>-4752.9069160459385</v>
      </c>
      <c r="F256" s="36">
        <f t="shared" si="26"/>
        <v>-1690.1070988091471</v>
      </c>
      <c r="G256" s="36">
        <f t="shared" si="27"/>
        <v>333268.51284578349</v>
      </c>
      <c r="H256" s="41"/>
    </row>
    <row r="257" spans="1:8" s="38" customFormat="1" ht="12.75" x14ac:dyDescent="0.2">
      <c r="A257" s="40">
        <f>A245+1</f>
        <v>21</v>
      </c>
      <c r="B257" s="39">
        <f t="shared" si="22"/>
        <v>241</v>
      </c>
      <c r="C257" s="35">
        <f t="shared" si="23"/>
        <v>333268.51284578349</v>
      </c>
      <c r="D257" s="36">
        <f t="shared" si="24"/>
        <v>-6443.0140148550854</v>
      </c>
      <c r="E257" s="36">
        <f t="shared" si="25"/>
        <v>-4776.6714506261678</v>
      </c>
      <c r="F257" s="36">
        <f t="shared" si="26"/>
        <v>-1666.3425642289176</v>
      </c>
      <c r="G257" s="36">
        <f t="shared" si="27"/>
        <v>328491.84139515733</v>
      </c>
      <c r="H257" s="41"/>
    </row>
    <row r="258" spans="1:8" s="38" customFormat="1" ht="12.75" x14ac:dyDescent="0.2">
      <c r="A258" s="40">
        <f>A257</f>
        <v>21</v>
      </c>
      <c r="B258" s="39">
        <f t="shared" si="22"/>
        <v>242</v>
      </c>
      <c r="C258" s="35">
        <f t="shared" si="23"/>
        <v>328491.84139515733</v>
      </c>
      <c r="D258" s="36">
        <f t="shared" si="24"/>
        <v>-6443.0140148550854</v>
      </c>
      <c r="E258" s="36">
        <f t="shared" si="25"/>
        <v>-4800.554807879299</v>
      </c>
      <c r="F258" s="36">
        <f t="shared" si="26"/>
        <v>-1642.4592069757866</v>
      </c>
      <c r="G258" s="36">
        <f t="shared" si="27"/>
        <v>323691.28658727801</v>
      </c>
      <c r="H258" s="41"/>
    </row>
    <row r="259" spans="1:8" s="38" customFormat="1" ht="12.75" x14ac:dyDescent="0.2">
      <c r="A259" s="40">
        <f t="shared" si="28"/>
        <v>21</v>
      </c>
      <c r="B259" s="39">
        <f t="shared" si="22"/>
        <v>243</v>
      </c>
      <c r="C259" s="35">
        <f t="shared" si="23"/>
        <v>323691.28658727801</v>
      </c>
      <c r="D259" s="36">
        <f t="shared" si="24"/>
        <v>-6443.0140148550854</v>
      </c>
      <c r="E259" s="36">
        <f t="shared" si="25"/>
        <v>-4824.5575819186952</v>
      </c>
      <c r="F259" s="36">
        <f t="shared" si="26"/>
        <v>-1618.45643293639</v>
      </c>
      <c r="G259" s="36">
        <f t="shared" si="27"/>
        <v>318866.72900535929</v>
      </c>
      <c r="H259" s="41"/>
    </row>
    <row r="260" spans="1:8" s="38" customFormat="1" ht="12.75" x14ac:dyDescent="0.2">
      <c r="A260" s="40">
        <f t="shared" si="28"/>
        <v>21</v>
      </c>
      <c r="B260" s="39">
        <f t="shared" si="22"/>
        <v>244</v>
      </c>
      <c r="C260" s="35">
        <f t="shared" si="23"/>
        <v>318866.72900535929</v>
      </c>
      <c r="D260" s="36">
        <f t="shared" si="24"/>
        <v>-6443.0140148550854</v>
      </c>
      <c r="E260" s="36">
        <f t="shared" si="25"/>
        <v>-4848.6803698282893</v>
      </c>
      <c r="F260" s="36">
        <f t="shared" si="26"/>
        <v>-1594.3336450267964</v>
      </c>
      <c r="G260" s="36">
        <f t="shared" si="27"/>
        <v>314018.04863553098</v>
      </c>
      <c r="H260" s="41"/>
    </row>
    <row r="261" spans="1:8" s="38" customFormat="1" ht="12.75" x14ac:dyDescent="0.2">
      <c r="A261" s="40">
        <f t="shared" si="28"/>
        <v>21</v>
      </c>
      <c r="B261" s="39">
        <f t="shared" si="22"/>
        <v>245</v>
      </c>
      <c r="C261" s="35">
        <f t="shared" si="23"/>
        <v>314018.04863553098</v>
      </c>
      <c r="D261" s="36">
        <f t="shared" si="24"/>
        <v>-6443.0140148550854</v>
      </c>
      <c r="E261" s="36">
        <f t="shared" si="25"/>
        <v>-4872.9237716774305</v>
      </c>
      <c r="F261" s="36">
        <f t="shared" si="26"/>
        <v>-1570.0902431776549</v>
      </c>
      <c r="G261" s="36">
        <f t="shared" si="27"/>
        <v>309145.12486385356</v>
      </c>
      <c r="H261" s="41"/>
    </row>
    <row r="262" spans="1:8" s="38" customFormat="1" ht="12.75" x14ac:dyDescent="0.2">
      <c r="A262" s="40">
        <f t="shared" si="28"/>
        <v>21</v>
      </c>
      <c r="B262" s="39">
        <f t="shared" si="22"/>
        <v>246</v>
      </c>
      <c r="C262" s="35">
        <f t="shared" si="23"/>
        <v>309145.12486385356</v>
      </c>
      <c r="D262" s="36">
        <f t="shared" si="24"/>
        <v>-6443.0140148550854</v>
      </c>
      <c r="E262" s="36">
        <f t="shared" si="25"/>
        <v>-4897.2883905358176</v>
      </c>
      <c r="F262" s="36">
        <f t="shared" si="26"/>
        <v>-1545.7256243192678</v>
      </c>
      <c r="G262" s="36">
        <f t="shared" si="27"/>
        <v>304247.83647331776</v>
      </c>
      <c r="H262" s="41"/>
    </row>
    <row r="263" spans="1:8" s="38" customFormat="1" ht="12.75" x14ac:dyDescent="0.2">
      <c r="A263" s="40">
        <f t="shared" si="28"/>
        <v>21</v>
      </c>
      <c r="B263" s="39">
        <f t="shared" si="22"/>
        <v>247</v>
      </c>
      <c r="C263" s="35">
        <f t="shared" si="23"/>
        <v>304247.83647331776</v>
      </c>
      <c r="D263" s="36">
        <f t="shared" si="24"/>
        <v>-6443.0140148550854</v>
      </c>
      <c r="E263" s="36">
        <f t="shared" si="25"/>
        <v>-4921.774832488496</v>
      </c>
      <c r="F263" s="36">
        <f t="shared" si="26"/>
        <v>-1521.2391823665889</v>
      </c>
      <c r="G263" s="36">
        <f t="shared" si="27"/>
        <v>299326.06164082926</v>
      </c>
      <c r="H263" s="41"/>
    </row>
    <row r="264" spans="1:8" s="38" customFormat="1" ht="12.75" x14ac:dyDescent="0.2">
      <c r="A264" s="40">
        <f t="shared" si="28"/>
        <v>21</v>
      </c>
      <c r="B264" s="39">
        <f t="shared" si="22"/>
        <v>248</v>
      </c>
      <c r="C264" s="35">
        <f t="shared" si="23"/>
        <v>299326.06164082926</v>
      </c>
      <c r="D264" s="36">
        <f t="shared" si="24"/>
        <v>-6443.0140148550854</v>
      </c>
      <c r="E264" s="36">
        <f t="shared" si="25"/>
        <v>-4946.3837066509386</v>
      </c>
      <c r="F264" s="36">
        <f t="shared" si="26"/>
        <v>-1496.6303082041463</v>
      </c>
      <c r="G264" s="36">
        <f t="shared" si="27"/>
        <v>294379.67793417833</v>
      </c>
      <c r="H264" s="41"/>
    </row>
    <row r="265" spans="1:8" s="38" customFormat="1" ht="12.75" x14ac:dyDescent="0.2">
      <c r="A265" s="40">
        <f t="shared" si="28"/>
        <v>21</v>
      </c>
      <c r="B265" s="39">
        <f t="shared" si="22"/>
        <v>249</v>
      </c>
      <c r="C265" s="35">
        <f t="shared" si="23"/>
        <v>294379.67793417833</v>
      </c>
      <c r="D265" s="36">
        <f t="shared" si="24"/>
        <v>-6443.0140148550854</v>
      </c>
      <c r="E265" s="36">
        <f t="shared" si="25"/>
        <v>-4971.115625184194</v>
      </c>
      <c r="F265" s="36">
        <f t="shared" si="26"/>
        <v>-1471.8983896708917</v>
      </c>
      <c r="G265" s="36">
        <f t="shared" si="27"/>
        <v>289408.56230899412</v>
      </c>
      <c r="H265" s="41"/>
    </row>
    <row r="266" spans="1:8" s="38" customFormat="1" ht="12.75" x14ac:dyDescent="0.2">
      <c r="A266" s="40">
        <f t="shared" si="28"/>
        <v>21</v>
      </c>
      <c r="B266" s="39">
        <f t="shared" si="22"/>
        <v>250</v>
      </c>
      <c r="C266" s="35">
        <f t="shared" si="23"/>
        <v>289408.56230899412</v>
      </c>
      <c r="D266" s="36">
        <f t="shared" si="24"/>
        <v>-6443.0140148550854</v>
      </c>
      <c r="E266" s="36">
        <f t="shared" si="25"/>
        <v>-4995.971203310115</v>
      </c>
      <c r="F266" s="36">
        <f t="shared" si="26"/>
        <v>-1447.0428115449706</v>
      </c>
      <c r="G266" s="36">
        <f t="shared" si="27"/>
        <v>284412.591105684</v>
      </c>
      <c r="H266" s="41"/>
    </row>
    <row r="267" spans="1:8" s="38" customFormat="1" ht="12.75" x14ac:dyDescent="0.2">
      <c r="A267" s="40">
        <f t="shared" si="28"/>
        <v>21</v>
      </c>
      <c r="B267" s="39">
        <f t="shared" si="22"/>
        <v>251</v>
      </c>
      <c r="C267" s="35">
        <f t="shared" si="23"/>
        <v>284412.591105684</v>
      </c>
      <c r="D267" s="36">
        <f t="shared" si="24"/>
        <v>-6443.0140148550854</v>
      </c>
      <c r="E267" s="36">
        <f t="shared" si="25"/>
        <v>-5020.9510593266659</v>
      </c>
      <c r="F267" s="36">
        <f t="shared" si="26"/>
        <v>-1422.0629555284199</v>
      </c>
      <c r="G267" s="36">
        <f t="shared" si="27"/>
        <v>279391.64004635735</v>
      </c>
      <c r="H267" s="41"/>
    </row>
    <row r="268" spans="1:8" s="38" customFormat="1" ht="12.75" x14ac:dyDescent="0.2">
      <c r="A268" s="40">
        <f t="shared" si="28"/>
        <v>21</v>
      </c>
      <c r="B268" s="39">
        <f t="shared" si="22"/>
        <v>252</v>
      </c>
      <c r="C268" s="35">
        <f t="shared" si="23"/>
        <v>279391.64004635735</v>
      </c>
      <c r="D268" s="36">
        <f t="shared" si="24"/>
        <v>-6443.0140148550854</v>
      </c>
      <c r="E268" s="36">
        <f t="shared" si="25"/>
        <v>-5046.0558146232988</v>
      </c>
      <c r="F268" s="36">
        <f t="shared" si="26"/>
        <v>-1396.9582002317868</v>
      </c>
      <c r="G268" s="36">
        <f t="shared" si="27"/>
        <v>274345.58423173404</v>
      </c>
      <c r="H268" s="41"/>
    </row>
    <row r="269" spans="1:8" s="38" customFormat="1" ht="12.75" x14ac:dyDescent="0.2">
      <c r="A269" s="40">
        <f>A257+1</f>
        <v>22</v>
      </c>
      <c r="B269" s="39">
        <f t="shared" si="22"/>
        <v>253</v>
      </c>
      <c r="C269" s="35">
        <f t="shared" si="23"/>
        <v>274345.58423173404</v>
      </c>
      <c r="D269" s="36">
        <f t="shared" si="24"/>
        <v>-6443.0140148550854</v>
      </c>
      <c r="E269" s="36">
        <f t="shared" si="25"/>
        <v>-5071.2860936964153</v>
      </c>
      <c r="F269" s="36">
        <f t="shared" si="26"/>
        <v>-1371.7279211586701</v>
      </c>
      <c r="G269" s="36">
        <f t="shared" si="27"/>
        <v>269274.29813803761</v>
      </c>
      <c r="H269" s="41"/>
    </row>
    <row r="270" spans="1:8" s="38" customFormat="1" ht="12.75" x14ac:dyDescent="0.2">
      <c r="A270" s="40">
        <f>A269</f>
        <v>22</v>
      </c>
      <c r="B270" s="39">
        <f t="shared" si="22"/>
        <v>254</v>
      </c>
      <c r="C270" s="35">
        <f t="shared" si="23"/>
        <v>269274.29813803761</v>
      </c>
      <c r="D270" s="36">
        <f t="shared" si="24"/>
        <v>-6443.0140148550854</v>
      </c>
      <c r="E270" s="36">
        <f t="shared" si="25"/>
        <v>-5096.6425241648976</v>
      </c>
      <c r="F270" s="36">
        <f t="shared" si="26"/>
        <v>-1346.371490690188</v>
      </c>
      <c r="G270" s="36">
        <f t="shared" si="27"/>
        <v>264177.65561387269</v>
      </c>
      <c r="H270" s="41"/>
    </row>
    <row r="271" spans="1:8" s="38" customFormat="1" ht="12.75" x14ac:dyDescent="0.2">
      <c r="A271" s="40">
        <f t="shared" si="28"/>
        <v>22</v>
      </c>
      <c r="B271" s="39">
        <f t="shared" si="22"/>
        <v>255</v>
      </c>
      <c r="C271" s="35">
        <f t="shared" si="23"/>
        <v>264177.65561387269</v>
      </c>
      <c r="D271" s="36">
        <f t="shared" si="24"/>
        <v>-6443.0140148550854</v>
      </c>
      <c r="E271" s="36">
        <f t="shared" si="25"/>
        <v>-5122.1257367857215</v>
      </c>
      <c r="F271" s="36">
        <f t="shared" si="26"/>
        <v>-1320.8882780693634</v>
      </c>
      <c r="G271" s="36">
        <f t="shared" si="27"/>
        <v>259055.52987708696</v>
      </c>
      <c r="H271" s="41"/>
    </row>
    <row r="272" spans="1:8" s="38" customFormat="1" ht="12.75" x14ac:dyDescent="0.2">
      <c r="A272" s="40">
        <f t="shared" si="28"/>
        <v>22</v>
      </c>
      <c r="B272" s="39">
        <f t="shared" si="22"/>
        <v>256</v>
      </c>
      <c r="C272" s="35">
        <f t="shared" si="23"/>
        <v>259055.52987708696</v>
      </c>
      <c r="D272" s="36">
        <f t="shared" si="24"/>
        <v>-6443.0140148550854</v>
      </c>
      <c r="E272" s="36">
        <f t="shared" si="25"/>
        <v>-5147.736365469651</v>
      </c>
      <c r="F272" s="36">
        <f t="shared" si="26"/>
        <v>-1295.2776493854349</v>
      </c>
      <c r="G272" s="36">
        <f t="shared" si="27"/>
        <v>253907.79351161732</v>
      </c>
      <c r="H272" s="41"/>
    </row>
    <row r="273" spans="1:8" s="38" customFormat="1" ht="12.75" x14ac:dyDescent="0.2">
      <c r="A273" s="40">
        <f t="shared" si="28"/>
        <v>22</v>
      </c>
      <c r="B273" s="39">
        <f t="shared" si="22"/>
        <v>257</v>
      </c>
      <c r="C273" s="35">
        <f t="shared" si="23"/>
        <v>253907.79351161732</v>
      </c>
      <c r="D273" s="36">
        <f t="shared" si="24"/>
        <v>-6443.0140148550854</v>
      </c>
      <c r="E273" s="36">
        <f t="shared" si="25"/>
        <v>-5173.475047296999</v>
      </c>
      <c r="F273" s="36">
        <f t="shared" si="26"/>
        <v>-1269.5389675580866</v>
      </c>
      <c r="G273" s="36">
        <f t="shared" si="27"/>
        <v>248734.31846432033</v>
      </c>
      <c r="H273" s="41"/>
    </row>
    <row r="274" spans="1:8" s="38" customFormat="1" ht="12.75" x14ac:dyDescent="0.2">
      <c r="A274" s="40">
        <f t="shared" si="28"/>
        <v>22</v>
      </c>
      <c r="B274" s="39">
        <f t="shared" ref="B274:B316" si="29">+B273+1</f>
        <v>258</v>
      </c>
      <c r="C274" s="35">
        <f t="shared" ref="C274:C316" si="30">G273</f>
        <v>248734.31846432033</v>
      </c>
      <c r="D274" s="36">
        <f t="shared" ref="D274:D316" si="31">PMT($C$4,$C$6,$C$2)</f>
        <v>-6443.0140148550854</v>
      </c>
      <c r="E274" s="36">
        <f t="shared" ref="E274:E316" si="32">D274-F274</f>
        <v>-5199.3424225334838</v>
      </c>
      <c r="F274" s="36">
        <f t="shared" ref="F274:F316" si="33">-G273*$C$4</f>
        <v>-1243.6715923216016</v>
      </c>
      <c r="G274" s="36">
        <f t="shared" ref="G274:G316" si="34">C274+E274</f>
        <v>243534.97604178684</v>
      </c>
      <c r="H274" s="41"/>
    </row>
    <row r="275" spans="1:8" s="38" customFormat="1" ht="12.75" x14ac:dyDescent="0.2">
      <c r="A275" s="40">
        <f t="shared" si="28"/>
        <v>22</v>
      </c>
      <c r="B275" s="39">
        <f t="shared" si="29"/>
        <v>259</v>
      </c>
      <c r="C275" s="35">
        <f t="shared" si="30"/>
        <v>243534.97604178684</v>
      </c>
      <c r="D275" s="36">
        <f t="shared" si="31"/>
        <v>-6443.0140148550854</v>
      </c>
      <c r="E275" s="36">
        <f t="shared" si="32"/>
        <v>-5225.3391346461513</v>
      </c>
      <c r="F275" s="36">
        <f t="shared" si="33"/>
        <v>-1217.6748802089342</v>
      </c>
      <c r="G275" s="36">
        <f t="shared" si="34"/>
        <v>238309.6369071407</v>
      </c>
      <c r="H275" s="41"/>
    </row>
    <row r="276" spans="1:8" s="38" customFormat="1" ht="12.75" x14ac:dyDescent="0.2">
      <c r="A276" s="40">
        <f t="shared" si="28"/>
        <v>22</v>
      </c>
      <c r="B276" s="39">
        <f t="shared" si="29"/>
        <v>260</v>
      </c>
      <c r="C276" s="35">
        <f t="shared" si="30"/>
        <v>238309.6369071407</v>
      </c>
      <c r="D276" s="36">
        <f t="shared" si="31"/>
        <v>-6443.0140148550854</v>
      </c>
      <c r="E276" s="36">
        <f t="shared" si="32"/>
        <v>-5251.4658303193819</v>
      </c>
      <c r="F276" s="36">
        <f t="shared" si="33"/>
        <v>-1191.5481845357035</v>
      </c>
      <c r="G276" s="36">
        <f t="shared" si="34"/>
        <v>233058.17107682131</v>
      </c>
      <c r="H276" s="41"/>
    </row>
    <row r="277" spans="1:8" s="38" customFormat="1" ht="12.75" x14ac:dyDescent="0.2">
      <c r="A277" s="40">
        <f t="shared" si="28"/>
        <v>22</v>
      </c>
      <c r="B277" s="39">
        <f t="shared" si="29"/>
        <v>261</v>
      </c>
      <c r="C277" s="35">
        <f t="shared" si="30"/>
        <v>233058.17107682131</v>
      </c>
      <c r="D277" s="36">
        <f t="shared" si="31"/>
        <v>-6443.0140148550854</v>
      </c>
      <c r="E277" s="36">
        <f t="shared" si="32"/>
        <v>-5277.7231594709792</v>
      </c>
      <c r="F277" s="36">
        <f t="shared" si="33"/>
        <v>-1165.2908553841066</v>
      </c>
      <c r="G277" s="36">
        <f t="shared" si="34"/>
        <v>227780.44791735034</v>
      </c>
      <c r="H277" s="41"/>
    </row>
    <row r="278" spans="1:8" s="38" customFormat="1" ht="12.75" x14ac:dyDescent="0.2">
      <c r="A278" s="40">
        <f t="shared" si="28"/>
        <v>22</v>
      </c>
      <c r="B278" s="39">
        <f t="shared" si="29"/>
        <v>262</v>
      </c>
      <c r="C278" s="35">
        <f t="shared" si="30"/>
        <v>227780.44791735034</v>
      </c>
      <c r="D278" s="36">
        <f t="shared" si="31"/>
        <v>-6443.0140148550854</v>
      </c>
      <c r="E278" s="36">
        <f t="shared" si="32"/>
        <v>-5304.111775268334</v>
      </c>
      <c r="F278" s="36">
        <f t="shared" si="33"/>
        <v>-1138.9022395867516</v>
      </c>
      <c r="G278" s="36">
        <f t="shared" si="34"/>
        <v>222476.336142082</v>
      </c>
      <c r="H278" s="41"/>
    </row>
    <row r="279" spans="1:8" s="38" customFormat="1" ht="12.75" x14ac:dyDescent="0.2">
      <c r="A279" s="40">
        <f t="shared" si="28"/>
        <v>22</v>
      </c>
      <c r="B279" s="39">
        <f t="shared" si="29"/>
        <v>263</v>
      </c>
      <c r="C279" s="35">
        <f t="shared" si="30"/>
        <v>222476.336142082</v>
      </c>
      <c r="D279" s="36">
        <f t="shared" si="31"/>
        <v>-6443.0140148550854</v>
      </c>
      <c r="E279" s="36">
        <f t="shared" si="32"/>
        <v>-5330.632334144675</v>
      </c>
      <c r="F279" s="36">
        <f t="shared" si="33"/>
        <v>-1112.3816807104101</v>
      </c>
      <c r="G279" s="36">
        <f t="shared" si="34"/>
        <v>217145.70380793733</v>
      </c>
      <c r="H279" s="41"/>
    </row>
    <row r="280" spans="1:8" s="38" customFormat="1" ht="12.75" x14ac:dyDescent="0.2">
      <c r="A280" s="40">
        <f t="shared" si="28"/>
        <v>22</v>
      </c>
      <c r="B280" s="39">
        <f t="shared" si="29"/>
        <v>264</v>
      </c>
      <c r="C280" s="35">
        <f t="shared" si="30"/>
        <v>217145.70380793733</v>
      </c>
      <c r="D280" s="36">
        <f t="shared" si="31"/>
        <v>-6443.0140148550854</v>
      </c>
      <c r="E280" s="36">
        <f t="shared" si="32"/>
        <v>-5357.2854958153985</v>
      </c>
      <c r="F280" s="36">
        <f t="shared" si="33"/>
        <v>-1085.7285190396867</v>
      </c>
      <c r="G280" s="36">
        <f t="shared" si="34"/>
        <v>211788.41831212194</v>
      </c>
      <c r="H280" s="41"/>
    </row>
    <row r="281" spans="1:8" s="38" customFormat="1" ht="12.75" x14ac:dyDescent="0.2">
      <c r="A281" s="40">
        <f>A269+1</f>
        <v>23</v>
      </c>
      <c r="B281" s="39">
        <f t="shared" si="29"/>
        <v>265</v>
      </c>
      <c r="C281" s="35">
        <f t="shared" si="30"/>
        <v>211788.41831212194</v>
      </c>
      <c r="D281" s="36">
        <f t="shared" si="31"/>
        <v>-6443.0140148550854</v>
      </c>
      <c r="E281" s="36">
        <f t="shared" si="32"/>
        <v>-5384.0719232944757</v>
      </c>
      <c r="F281" s="36">
        <f t="shared" si="33"/>
        <v>-1058.9420915606097</v>
      </c>
      <c r="G281" s="36">
        <f t="shared" si="34"/>
        <v>206404.34638882746</v>
      </c>
      <c r="H281" s="41"/>
    </row>
    <row r="282" spans="1:8" s="38" customFormat="1" ht="12.75" x14ac:dyDescent="0.2">
      <c r="A282" s="40">
        <f>A281</f>
        <v>23</v>
      </c>
      <c r="B282" s="39">
        <f t="shared" si="29"/>
        <v>266</v>
      </c>
      <c r="C282" s="35">
        <f t="shared" si="30"/>
        <v>206404.34638882746</v>
      </c>
      <c r="D282" s="36">
        <f t="shared" si="31"/>
        <v>-6443.0140148550854</v>
      </c>
      <c r="E282" s="36">
        <f t="shared" si="32"/>
        <v>-5410.9922829109482</v>
      </c>
      <c r="F282" s="36">
        <f t="shared" si="33"/>
        <v>-1032.0217319441374</v>
      </c>
      <c r="G282" s="36">
        <f t="shared" si="34"/>
        <v>200993.35410591651</v>
      </c>
      <c r="H282" s="41"/>
    </row>
    <row r="283" spans="1:8" s="38" customFormat="1" ht="12.75" x14ac:dyDescent="0.2">
      <c r="A283" s="40">
        <f t="shared" si="28"/>
        <v>23</v>
      </c>
      <c r="B283" s="39">
        <f t="shared" si="29"/>
        <v>267</v>
      </c>
      <c r="C283" s="35">
        <f t="shared" si="30"/>
        <v>200993.35410591651</v>
      </c>
      <c r="D283" s="36">
        <f t="shared" si="31"/>
        <v>-6443.0140148550854</v>
      </c>
      <c r="E283" s="36">
        <f t="shared" si="32"/>
        <v>-5438.047244325503</v>
      </c>
      <c r="F283" s="36">
        <f t="shared" si="33"/>
        <v>-1004.9667705295826</v>
      </c>
      <c r="G283" s="36">
        <f t="shared" si="34"/>
        <v>195555.306861591</v>
      </c>
      <c r="H283" s="41"/>
    </row>
    <row r="284" spans="1:8" s="38" customFormat="1" ht="12.75" x14ac:dyDescent="0.2">
      <c r="A284" s="40">
        <f t="shared" si="28"/>
        <v>23</v>
      </c>
      <c r="B284" s="39">
        <f t="shared" si="29"/>
        <v>268</v>
      </c>
      <c r="C284" s="35">
        <f t="shared" si="30"/>
        <v>195555.306861591</v>
      </c>
      <c r="D284" s="36">
        <f t="shared" si="31"/>
        <v>-6443.0140148550854</v>
      </c>
      <c r="E284" s="36">
        <f t="shared" si="32"/>
        <v>-5465.23748054713</v>
      </c>
      <c r="F284" s="36">
        <f t="shared" si="33"/>
        <v>-977.77653430795499</v>
      </c>
      <c r="G284" s="36">
        <f t="shared" si="34"/>
        <v>190090.06938104387</v>
      </c>
      <c r="H284" s="41"/>
    </row>
    <row r="285" spans="1:8" s="38" customFormat="1" ht="12.75" x14ac:dyDescent="0.2">
      <c r="A285" s="40">
        <f t="shared" si="28"/>
        <v>23</v>
      </c>
      <c r="B285" s="39">
        <f t="shared" si="29"/>
        <v>269</v>
      </c>
      <c r="C285" s="35">
        <f t="shared" si="30"/>
        <v>190090.06938104387</v>
      </c>
      <c r="D285" s="36">
        <f t="shared" si="31"/>
        <v>-6443.0140148550854</v>
      </c>
      <c r="E285" s="36">
        <f t="shared" si="32"/>
        <v>-5492.5636679498657</v>
      </c>
      <c r="F285" s="36">
        <f t="shared" si="33"/>
        <v>-950.45034690521936</v>
      </c>
      <c r="G285" s="36">
        <f t="shared" si="34"/>
        <v>184597.505713094</v>
      </c>
      <c r="H285" s="41"/>
    </row>
    <row r="286" spans="1:8" s="38" customFormat="1" ht="12.75" x14ac:dyDescent="0.2">
      <c r="A286" s="40">
        <f t="shared" si="28"/>
        <v>23</v>
      </c>
      <c r="B286" s="39">
        <f t="shared" si="29"/>
        <v>270</v>
      </c>
      <c r="C286" s="35">
        <f t="shared" si="30"/>
        <v>184597.505713094</v>
      </c>
      <c r="D286" s="36">
        <f t="shared" si="31"/>
        <v>-6443.0140148550854</v>
      </c>
      <c r="E286" s="36">
        <f t="shared" si="32"/>
        <v>-5520.0264862896156</v>
      </c>
      <c r="F286" s="36">
        <f t="shared" si="33"/>
        <v>-922.98752856547003</v>
      </c>
      <c r="G286" s="36">
        <f t="shared" si="34"/>
        <v>179077.47922680437</v>
      </c>
      <c r="H286" s="41"/>
    </row>
    <row r="287" spans="1:8" s="38" customFormat="1" ht="12.75" x14ac:dyDescent="0.2">
      <c r="A287" s="40">
        <f t="shared" si="28"/>
        <v>23</v>
      </c>
      <c r="B287" s="39">
        <f t="shared" si="29"/>
        <v>271</v>
      </c>
      <c r="C287" s="35">
        <f t="shared" si="30"/>
        <v>179077.47922680437</v>
      </c>
      <c r="D287" s="36">
        <f t="shared" si="31"/>
        <v>-6443.0140148550854</v>
      </c>
      <c r="E287" s="36">
        <f t="shared" si="32"/>
        <v>-5547.626618721064</v>
      </c>
      <c r="F287" s="36">
        <f t="shared" si="33"/>
        <v>-895.38739613402186</v>
      </c>
      <c r="G287" s="36">
        <f t="shared" si="34"/>
        <v>173529.85260808331</v>
      </c>
      <c r="H287" s="41"/>
    </row>
    <row r="288" spans="1:8" s="38" customFormat="1" ht="12.75" x14ac:dyDescent="0.2">
      <c r="A288" s="40">
        <f t="shared" si="28"/>
        <v>23</v>
      </c>
      <c r="B288" s="39">
        <f t="shared" si="29"/>
        <v>272</v>
      </c>
      <c r="C288" s="35">
        <f t="shared" si="30"/>
        <v>173529.85260808331</v>
      </c>
      <c r="D288" s="36">
        <f t="shared" si="31"/>
        <v>-6443.0140148550854</v>
      </c>
      <c r="E288" s="36">
        <f t="shared" si="32"/>
        <v>-5575.364751814669</v>
      </c>
      <c r="F288" s="36">
        <f t="shared" si="33"/>
        <v>-867.6492630404166</v>
      </c>
      <c r="G288" s="36">
        <f t="shared" si="34"/>
        <v>167954.48785626865</v>
      </c>
      <c r="H288" s="41"/>
    </row>
    <row r="289" spans="1:8" s="38" customFormat="1" ht="12.75" x14ac:dyDescent="0.2">
      <c r="A289" s="40">
        <f t="shared" si="28"/>
        <v>23</v>
      </c>
      <c r="B289" s="39">
        <f t="shared" si="29"/>
        <v>273</v>
      </c>
      <c r="C289" s="35">
        <f t="shared" si="30"/>
        <v>167954.48785626865</v>
      </c>
      <c r="D289" s="36">
        <f t="shared" si="31"/>
        <v>-6443.0140148550854</v>
      </c>
      <c r="E289" s="36">
        <f t="shared" si="32"/>
        <v>-5603.241575573742</v>
      </c>
      <c r="F289" s="36">
        <f t="shared" si="33"/>
        <v>-839.77243928134328</v>
      </c>
      <c r="G289" s="36">
        <f t="shared" si="34"/>
        <v>162351.2462806949</v>
      </c>
      <c r="H289" s="41"/>
    </row>
    <row r="290" spans="1:8" s="38" customFormat="1" ht="12.75" x14ac:dyDescent="0.2">
      <c r="A290" s="40">
        <f t="shared" si="28"/>
        <v>23</v>
      </c>
      <c r="B290" s="39">
        <f t="shared" si="29"/>
        <v>274</v>
      </c>
      <c r="C290" s="35">
        <f t="shared" si="30"/>
        <v>162351.2462806949</v>
      </c>
      <c r="D290" s="36">
        <f t="shared" si="31"/>
        <v>-6443.0140148550854</v>
      </c>
      <c r="E290" s="36">
        <f t="shared" si="32"/>
        <v>-5631.2577834516105</v>
      </c>
      <c r="F290" s="36">
        <f t="shared" si="33"/>
        <v>-811.75623140347454</v>
      </c>
      <c r="G290" s="36">
        <f t="shared" si="34"/>
        <v>156719.98849724329</v>
      </c>
      <c r="H290" s="41"/>
    </row>
    <row r="291" spans="1:8" s="38" customFormat="1" ht="12.75" x14ac:dyDescent="0.2">
      <c r="A291" s="40">
        <f t="shared" si="28"/>
        <v>23</v>
      </c>
      <c r="B291" s="39">
        <f t="shared" si="29"/>
        <v>275</v>
      </c>
      <c r="C291" s="35">
        <f t="shared" si="30"/>
        <v>156719.98849724329</v>
      </c>
      <c r="D291" s="36">
        <f t="shared" si="31"/>
        <v>-6443.0140148550854</v>
      </c>
      <c r="E291" s="36">
        <f t="shared" si="32"/>
        <v>-5659.4140723688688</v>
      </c>
      <c r="F291" s="36">
        <f t="shared" si="33"/>
        <v>-783.59994248621649</v>
      </c>
      <c r="G291" s="36">
        <f t="shared" si="34"/>
        <v>151060.57442487442</v>
      </c>
      <c r="H291" s="41"/>
    </row>
    <row r="292" spans="1:8" s="38" customFormat="1" ht="12.75" x14ac:dyDescent="0.2">
      <c r="A292" s="40">
        <f t="shared" si="28"/>
        <v>23</v>
      </c>
      <c r="B292" s="39">
        <f t="shared" si="29"/>
        <v>276</v>
      </c>
      <c r="C292" s="35">
        <f t="shared" si="30"/>
        <v>151060.57442487442</v>
      </c>
      <c r="D292" s="36">
        <f t="shared" si="31"/>
        <v>-6443.0140148550854</v>
      </c>
      <c r="E292" s="36">
        <f t="shared" si="32"/>
        <v>-5687.7111427307136</v>
      </c>
      <c r="F292" s="36">
        <f t="shared" si="33"/>
        <v>-755.30287212437213</v>
      </c>
      <c r="G292" s="36">
        <f t="shared" si="34"/>
        <v>145372.86328214369</v>
      </c>
      <c r="H292" s="41"/>
    </row>
    <row r="293" spans="1:8" s="38" customFormat="1" ht="12.75" x14ac:dyDescent="0.2">
      <c r="A293" s="40">
        <f>A281+1</f>
        <v>24</v>
      </c>
      <c r="B293" s="39">
        <f t="shared" si="29"/>
        <v>277</v>
      </c>
      <c r="C293" s="35">
        <f t="shared" si="30"/>
        <v>145372.86328214369</v>
      </c>
      <c r="D293" s="36">
        <f t="shared" si="31"/>
        <v>-6443.0140148550854</v>
      </c>
      <c r="E293" s="36">
        <f t="shared" si="32"/>
        <v>-5716.1496984443665</v>
      </c>
      <c r="F293" s="36">
        <f t="shared" si="33"/>
        <v>-726.86431641071852</v>
      </c>
      <c r="G293" s="36">
        <f t="shared" si="34"/>
        <v>139656.71358369931</v>
      </c>
      <c r="H293" s="41"/>
    </row>
    <row r="294" spans="1:8" s="38" customFormat="1" ht="12.75" x14ac:dyDescent="0.2">
      <c r="A294" s="40">
        <f>A293</f>
        <v>24</v>
      </c>
      <c r="B294" s="39">
        <f t="shared" si="29"/>
        <v>278</v>
      </c>
      <c r="C294" s="35">
        <f t="shared" si="30"/>
        <v>139656.71358369931</v>
      </c>
      <c r="D294" s="36">
        <f t="shared" si="31"/>
        <v>-6443.0140148550854</v>
      </c>
      <c r="E294" s="36">
        <f t="shared" si="32"/>
        <v>-5744.730446936589</v>
      </c>
      <c r="F294" s="36">
        <f t="shared" si="33"/>
        <v>-698.2835679184966</v>
      </c>
      <c r="G294" s="36">
        <f t="shared" si="34"/>
        <v>133911.98313676272</v>
      </c>
      <c r="H294" s="41"/>
    </row>
    <row r="295" spans="1:8" s="38" customFormat="1" ht="12.75" x14ac:dyDescent="0.2">
      <c r="A295" s="40">
        <f t="shared" si="28"/>
        <v>24</v>
      </c>
      <c r="B295" s="39">
        <f t="shared" si="29"/>
        <v>279</v>
      </c>
      <c r="C295" s="35">
        <f t="shared" si="30"/>
        <v>133911.98313676272</v>
      </c>
      <c r="D295" s="36">
        <f t="shared" si="31"/>
        <v>-6443.0140148550854</v>
      </c>
      <c r="E295" s="36">
        <f t="shared" si="32"/>
        <v>-5773.454099171272</v>
      </c>
      <c r="F295" s="36">
        <f t="shared" si="33"/>
        <v>-669.55991568381364</v>
      </c>
      <c r="G295" s="36">
        <f t="shared" si="34"/>
        <v>128138.52903759145</v>
      </c>
      <c r="H295" s="41"/>
    </row>
    <row r="296" spans="1:8" s="38" customFormat="1" ht="12.75" x14ac:dyDescent="0.2">
      <c r="A296" s="40">
        <f t="shared" si="28"/>
        <v>24</v>
      </c>
      <c r="B296" s="39">
        <f t="shared" si="29"/>
        <v>280</v>
      </c>
      <c r="C296" s="35">
        <f t="shared" si="30"/>
        <v>128138.52903759145</v>
      </c>
      <c r="D296" s="36">
        <f t="shared" si="31"/>
        <v>-6443.0140148550854</v>
      </c>
      <c r="E296" s="36">
        <f t="shared" si="32"/>
        <v>-5802.3213696671282</v>
      </c>
      <c r="F296" s="36">
        <f t="shared" si="33"/>
        <v>-640.69264518795728</v>
      </c>
      <c r="G296" s="36">
        <f t="shared" si="34"/>
        <v>122336.20766792432</v>
      </c>
      <c r="H296" s="41"/>
    </row>
    <row r="297" spans="1:8" s="38" customFormat="1" ht="12.75" x14ac:dyDescent="0.2">
      <c r="A297" s="40">
        <f t="shared" si="28"/>
        <v>24</v>
      </c>
      <c r="B297" s="39">
        <f t="shared" si="29"/>
        <v>281</v>
      </c>
      <c r="C297" s="35">
        <f t="shared" si="30"/>
        <v>122336.20766792432</v>
      </c>
      <c r="D297" s="36">
        <f t="shared" si="31"/>
        <v>-6443.0140148550854</v>
      </c>
      <c r="E297" s="36">
        <f t="shared" si="32"/>
        <v>-5831.332976515464</v>
      </c>
      <c r="F297" s="36">
        <f t="shared" si="33"/>
        <v>-611.68103833962164</v>
      </c>
      <c r="G297" s="36">
        <f t="shared" si="34"/>
        <v>116504.87469140886</v>
      </c>
      <c r="H297" s="41"/>
    </row>
    <row r="298" spans="1:8" s="38" customFormat="1" ht="12.75" x14ac:dyDescent="0.2">
      <c r="A298" s="40">
        <f t="shared" ref="A298:A316" si="35">A297</f>
        <v>24</v>
      </c>
      <c r="B298" s="39">
        <f t="shared" si="29"/>
        <v>282</v>
      </c>
      <c r="C298" s="35">
        <f t="shared" si="30"/>
        <v>116504.87469140886</v>
      </c>
      <c r="D298" s="36">
        <f t="shared" si="31"/>
        <v>-6443.0140148550854</v>
      </c>
      <c r="E298" s="36">
        <f t="shared" si="32"/>
        <v>-5860.4896413980414</v>
      </c>
      <c r="F298" s="36">
        <f t="shared" si="33"/>
        <v>-582.52437345704425</v>
      </c>
      <c r="G298" s="36">
        <f t="shared" si="34"/>
        <v>110644.38505001081</v>
      </c>
      <c r="H298" s="41"/>
    </row>
    <row r="299" spans="1:8" s="38" customFormat="1" ht="12.75" x14ac:dyDescent="0.2">
      <c r="A299" s="40">
        <f t="shared" si="35"/>
        <v>24</v>
      </c>
      <c r="B299" s="39">
        <f t="shared" si="29"/>
        <v>283</v>
      </c>
      <c r="C299" s="35">
        <f t="shared" si="30"/>
        <v>110644.38505001081</v>
      </c>
      <c r="D299" s="36">
        <f t="shared" si="31"/>
        <v>-6443.0140148550854</v>
      </c>
      <c r="E299" s="36">
        <f t="shared" si="32"/>
        <v>-5889.7920896050309</v>
      </c>
      <c r="F299" s="36">
        <f t="shared" si="33"/>
        <v>-553.22192525005403</v>
      </c>
      <c r="G299" s="36">
        <f t="shared" si="34"/>
        <v>104754.59296040577</v>
      </c>
      <c r="H299" s="41"/>
    </row>
    <row r="300" spans="1:8" s="38" customFormat="1" ht="12.75" x14ac:dyDescent="0.2">
      <c r="A300" s="40">
        <f t="shared" si="35"/>
        <v>24</v>
      </c>
      <c r="B300" s="39">
        <f t="shared" si="29"/>
        <v>284</v>
      </c>
      <c r="C300" s="35">
        <f t="shared" si="30"/>
        <v>104754.59296040577</v>
      </c>
      <c r="D300" s="36">
        <f t="shared" si="31"/>
        <v>-6443.0140148550854</v>
      </c>
      <c r="E300" s="36">
        <f t="shared" si="32"/>
        <v>-5919.2410500530568</v>
      </c>
      <c r="F300" s="36">
        <f t="shared" si="33"/>
        <v>-523.77296480202892</v>
      </c>
      <c r="G300" s="36">
        <f t="shared" si="34"/>
        <v>98835.351910352721</v>
      </c>
      <c r="H300" s="41"/>
    </row>
    <row r="301" spans="1:8" s="38" customFormat="1" ht="12.75" x14ac:dyDescent="0.2">
      <c r="A301" s="40">
        <f t="shared" si="35"/>
        <v>24</v>
      </c>
      <c r="B301" s="39">
        <f t="shared" si="29"/>
        <v>285</v>
      </c>
      <c r="C301" s="35">
        <f t="shared" si="30"/>
        <v>98835.351910352721</v>
      </c>
      <c r="D301" s="36">
        <f t="shared" si="31"/>
        <v>-6443.0140148550854</v>
      </c>
      <c r="E301" s="36">
        <f t="shared" si="32"/>
        <v>-5948.8372553033214</v>
      </c>
      <c r="F301" s="36">
        <f t="shared" si="33"/>
        <v>-494.17675955176361</v>
      </c>
      <c r="G301" s="36">
        <f t="shared" si="34"/>
        <v>92886.514655049396</v>
      </c>
      <c r="H301" s="41"/>
    </row>
    <row r="302" spans="1:8" s="38" customFormat="1" ht="12.75" x14ac:dyDescent="0.2">
      <c r="A302" s="40">
        <f t="shared" si="35"/>
        <v>24</v>
      </c>
      <c r="B302" s="39">
        <f t="shared" si="29"/>
        <v>286</v>
      </c>
      <c r="C302" s="35">
        <f t="shared" si="30"/>
        <v>92886.514655049396</v>
      </c>
      <c r="D302" s="36">
        <f t="shared" si="31"/>
        <v>-6443.0140148550854</v>
      </c>
      <c r="E302" s="36">
        <f t="shared" si="32"/>
        <v>-5978.5814415798386</v>
      </c>
      <c r="F302" s="36">
        <f t="shared" si="33"/>
        <v>-464.43257327524697</v>
      </c>
      <c r="G302" s="36">
        <f t="shared" si="34"/>
        <v>86907.933213469558</v>
      </c>
      <c r="H302" s="41"/>
    </row>
    <row r="303" spans="1:8" s="38" customFormat="1" ht="12.75" x14ac:dyDescent="0.2">
      <c r="A303" s="40">
        <f t="shared" si="35"/>
        <v>24</v>
      </c>
      <c r="B303" s="39">
        <f t="shared" si="29"/>
        <v>287</v>
      </c>
      <c r="C303" s="35">
        <f t="shared" si="30"/>
        <v>86907.933213469558</v>
      </c>
      <c r="D303" s="36">
        <f t="shared" si="31"/>
        <v>-6443.0140148550854</v>
      </c>
      <c r="E303" s="36">
        <f t="shared" si="32"/>
        <v>-6008.4743487877377</v>
      </c>
      <c r="F303" s="36">
        <f t="shared" si="33"/>
        <v>-434.53966606734781</v>
      </c>
      <c r="G303" s="36">
        <f t="shared" si="34"/>
        <v>80899.458864681816</v>
      </c>
      <c r="H303" s="41"/>
    </row>
    <row r="304" spans="1:8" s="38" customFormat="1" ht="12.75" x14ac:dyDescent="0.2">
      <c r="A304" s="40">
        <f t="shared" si="35"/>
        <v>24</v>
      </c>
      <c r="B304" s="39">
        <f t="shared" si="29"/>
        <v>288</v>
      </c>
      <c r="C304" s="35">
        <f t="shared" si="30"/>
        <v>80899.458864681816</v>
      </c>
      <c r="D304" s="36">
        <f t="shared" si="31"/>
        <v>-6443.0140148550854</v>
      </c>
      <c r="E304" s="36">
        <f t="shared" si="32"/>
        <v>-6038.5167205316766</v>
      </c>
      <c r="F304" s="36">
        <f t="shared" si="33"/>
        <v>-404.49729432340911</v>
      </c>
      <c r="G304" s="36">
        <f t="shared" si="34"/>
        <v>74860.942144150133</v>
      </c>
      <c r="H304" s="41"/>
    </row>
    <row r="305" spans="1:8" s="38" customFormat="1" ht="12.75" x14ac:dyDescent="0.2">
      <c r="A305" s="40">
        <f>A293+1</f>
        <v>25</v>
      </c>
      <c r="B305" s="39">
        <f t="shared" si="29"/>
        <v>289</v>
      </c>
      <c r="C305" s="35">
        <f t="shared" si="30"/>
        <v>74860.942144150133</v>
      </c>
      <c r="D305" s="36">
        <f t="shared" si="31"/>
        <v>-6443.0140148550854</v>
      </c>
      <c r="E305" s="36">
        <f t="shared" si="32"/>
        <v>-6068.7093041343351</v>
      </c>
      <c r="F305" s="36">
        <f t="shared" si="33"/>
        <v>-374.30471072075068</v>
      </c>
      <c r="G305" s="36">
        <f t="shared" si="34"/>
        <v>68792.2328400158</v>
      </c>
      <c r="H305" s="41"/>
    </row>
    <row r="306" spans="1:8" s="38" customFormat="1" ht="12.75" x14ac:dyDescent="0.2">
      <c r="A306" s="40">
        <f>A305</f>
        <v>25</v>
      </c>
      <c r="B306" s="39">
        <f t="shared" si="29"/>
        <v>290</v>
      </c>
      <c r="C306" s="35">
        <f t="shared" si="30"/>
        <v>68792.2328400158</v>
      </c>
      <c r="D306" s="36">
        <f t="shared" si="31"/>
        <v>-6443.0140148550854</v>
      </c>
      <c r="E306" s="36">
        <f t="shared" si="32"/>
        <v>-6099.0528506550063</v>
      </c>
      <c r="F306" s="36">
        <f t="shared" si="33"/>
        <v>-343.961164200079</v>
      </c>
      <c r="G306" s="36">
        <f t="shared" si="34"/>
        <v>62693.179989360797</v>
      </c>
      <c r="H306" s="41"/>
    </row>
    <row r="307" spans="1:8" s="38" customFormat="1" ht="12.75" x14ac:dyDescent="0.2">
      <c r="A307" s="40">
        <f t="shared" si="35"/>
        <v>25</v>
      </c>
      <c r="B307" s="39">
        <f t="shared" si="29"/>
        <v>291</v>
      </c>
      <c r="C307" s="35">
        <f t="shared" si="30"/>
        <v>62693.179989360797</v>
      </c>
      <c r="D307" s="36">
        <f t="shared" si="31"/>
        <v>-6443.0140148550854</v>
      </c>
      <c r="E307" s="36">
        <f t="shared" si="32"/>
        <v>-6129.5481149082816</v>
      </c>
      <c r="F307" s="36">
        <f t="shared" si="33"/>
        <v>-313.46589994680397</v>
      </c>
      <c r="G307" s="36">
        <f t="shared" si="34"/>
        <v>56563.631874452512</v>
      </c>
      <c r="H307" s="41"/>
    </row>
    <row r="308" spans="1:8" s="38" customFormat="1" ht="12.75" x14ac:dyDescent="0.2">
      <c r="A308" s="40">
        <f t="shared" si="35"/>
        <v>25</v>
      </c>
      <c r="B308" s="39">
        <f t="shared" si="29"/>
        <v>292</v>
      </c>
      <c r="C308" s="35">
        <f t="shared" si="30"/>
        <v>56563.631874452512</v>
      </c>
      <c r="D308" s="36">
        <f t="shared" si="31"/>
        <v>-6443.0140148550854</v>
      </c>
      <c r="E308" s="36">
        <f t="shared" si="32"/>
        <v>-6160.1958554828225</v>
      </c>
      <c r="F308" s="36">
        <f t="shared" si="33"/>
        <v>-282.81815937226258</v>
      </c>
      <c r="G308" s="36">
        <f t="shared" si="34"/>
        <v>50403.436018969689</v>
      </c>
      <c r="H308" s="41"/>
    </row>
    <row r="309" spans="1:8" s="38" customFormat="1" ht="12.75" x14ac:dyDescent="0.2">
      <c r="A309" s="40">
        <f t="shared" si="35"/>
        <v>25</v>
      </c>
      <c r="B309" s="39">
        <f t="shared" si="29"/>
        <v>293</v>
      </c>
      <c r="C309" s="35">
        <f t="shared" si="30"/>
        <v>50403.436018969689</v>
      </c>
      <c r="D309" s="36">
        <f t="shared" si="31"/>
        <v>-6443.0140148550854</v>
      </c>
      <c r="E309" s="36">
        <f t="shared" si="32"/>
        <v>-6190.9968347602371</v>
      </c>
      <c r="F309" s="36">
        <f t="shared" si="33"/>
        <v>-252.01718009484844</v>
      </c>
      <c r="G309" s="36">
        <f t="shared" si="34"/>
        <v>44212.439184209448</v>
      </c>
      <c r="H309" s="41"/>
    </row>
    <row r="310" spans="1:8" s="38" customFormat="1" ht="12.75" x14ac:dyDescent="0.2">
      <c r="A310" s="40">
        <f t="shared" si="35"/>
        <v>25</v>
      </c>
      <c r="B310" s="39">
        <f t="shared" si="29"/>
        <v>294</v>
      </c>
      <c r="C310" s="35">
        <f t="shared" si="30"/>
        <v>44212.439184209448</v>
      </c>
      <c r="D310" s="36">
        <f t="shared" si="31"/>
        <v>-6443.0140148550854</v>
      </c>
      <c r="E310" s="36">
        <f t="shared" si="32"/>
        <v>-6221.9518189340379</v>
      </c>
      <c r="F310" s="36">
        <f t="shared" si="33"/>
        <v>-221.06219592104725</v>
      </c>
      <c r="G310" s="36">
        <f t="shared" si="34"/>
        <v>37990.48736527541</v>
      </c>
      <c r="H310" s="41"/>
    </row>
    <row r="311" spans="1:8" s="38" customFormat="1" ht="12.75" x14ac:dyDescent="0.2">
      <c r="A311" s="40">
        <f t="shared" si="35"/>
        <v>25</v>
      </c>
      <c r="B311" s="39">
        <f t="shared" si="29"/>
        <v>295</v>
      </c>
      <c r="C311" s="35">
        <f t="shared" si="30"/>
        <v>37990.48736527541</v>
      </c>
      <c r="D311" s="36">
        <f t="shared" si="31"/>
        <v>-6443.0140148550854</v>
      </c>
      <c r="E311" s="36">
        <f t="shared" si="32"/>
        <v>-6253.061578028708</v>
      </c>
      <c r="F311" s="36">
        <f t="shared" si="33"/>
        <v>-189.95243682637707</v>
      </c>
      <c r="G311" s="36">
        <f t="shared" si="34"/>
        <v>31737.425787246702</v>
      </c>
      <c r="H311" s="41"/>
    </row>
    <row r="312" spans="1:8" s="38" customFormat="1" ht="12.75" x14ac:dyDescent="0.2">
      <c r="A312" s="40">
        <f t="shared" si="35"/>
        <v>25</v>
      </c>
      <c r="B312" s="39">
        <f t="shared" si="29"/>
        <v>296</v>
      </c>
      <c r="C312" s="35">
        <f t="shared" si="30"/>
        <v>31737.425787246702</v>
      </c>
      <c r="D312" s="36">
        <f t="shared" si="31"/>
        <v>-6443.0140148550854</v>
      </c>
      <c r="E312" s="36">
        <f t="shared" si="32"/>
        <v>-6284.326885918852</v>
      </c>
      <c r="F312" s="36">
        <f t="shared" si="33"/>
        <v>-158.68712893623351</v>
      </c>
      <c r="G312" s="36">
        <f t="shared" si="34"/>
        <v>25453.098901327852</v>
      </c>
      <c r="H312" s="41"/>
    </row>
    <row r="313" spans="1:8" s="38" customFormat="1" ht="12.75" x14ac:dyDescent="0.2">
      <c r="A313" s="40">
        <f t="shared" si="35"/>
        <v>25</v>
      </c>
      <c r="B313" s="39">
        <f t="shared" si="29"/>
        <v>297</v>
      </c>
      <c r="C313" s="35">
        <f t="shared" si="30"/>
        <v>25453.098901327852</v>
      </c>
      <c r="D313" s="36">
        <f t="shared" si="31"/>
        <v>-6443.0140148550854</v>
      </c>
      <c r="E313" s="36">
        <f t="shared" si="32"/>
        <v>-6315.7485203484457</v>
      </c>
      <c r="F313" s="36">
        <f t="shared" si="33"/>
        <v>-127.26549450663926</v>
      </c>
      <c r="G313" s="36">
        <f t="shared" si="34"/>
        <v>19137.350380979406</v>
      </c>
      <c r="H313" s="41"/>
    </row>
    <row r="314" spans="1:8" s="38" customFormat="1" ht="12.75" x14ac:dyDescent="0.2">
      <c r="A314" s="40">
        <f t="shared" si="35"/>
        <v>25</v>
      </c>
      <c r="B314" s="39">
        <f t="shared" si="29"/>
        <v>298</v>
      </c>
      <c r="C314" s="35">
        <f t="shared" si="30"/>
        <v>19137.350380979406</v>
      </c>
      <c r="D314" s="36">
        <f t="shared" si="31"/>
        <v>-6443.0140148550854</v>
      </c>
      <c r="E314" s="36">
        <f t="shared" si="32"/>
        <v>-6347.327262950188</v>
      </c>
      <c r="F314" s="36">
        <f t="shared" si="33"/>
        <v>-95.686751904897037</v>
      </c>
      <c r="G314" s="36">
        <f t="shared" si="34"/>
        <v>12790.023118029218</v>
      </c>
      <c r="H314" s="41"/>
    </row>
    <row r="315" spans="1:8" s="38" customFormat="1" ht="12.75" x14ac:dyDescent="0.2">
      <c r="A315" s="40">
        <f t="shared" si="35"/>
        <v>25</v>
      </c>
      <c r="B315" s="39">
        <f t="shared" si="29"/>
        <v>299</v>
      </c>
      <c r="C315" s="35">
        <f t="shared" si="30"/>
        <v>12790.023118029218</v>
      </c>
      <c r="D315" s="36">
        <f t="shared" si="31"/>
        <v>-6443.0140148550854</v>
      </c>
      <c r="E315" s="36">
        <f t="shared" si="32"/>
        <v>-6379.0638992649392</v>
      </c>
      <c r="F315" s="36">
        <f t="shared" si="33"/>
        <v>-63.95011559014609</v>
      </c>
      <c r="G315" s="36">
        <f t="shared" si="34"/>
        <v>6410.9592187642784</v>
      </c>
      <c r="H315" s="41"/>
    </row>
    <row r="316" spans="1:8" s="38" customFormat="1" ht="12.75" x14ac:dyDescent="0.2">
      <c r="A316" s="40">
        <f t="shared" si="35"/>
        <v>25</v>
      </c>
      <c r="B316" s="39">
        <f t="shared" si="29"/>
        <v>300</v>
      </c>
      <c r="C316" s="35">
        <f t="shared" si="30"/>
        <v>6410.9592187642784</v>
      </c>
      <c r="D316" s="36">
        <f t="shared" si="31"/>
        <v>-6443.0140148550854</v>
      </c>
      <c r="E316" s="36">
        <f t="shared" si="32"/>
        <v>-6410.9592187612643</v>
      </c>
      <c r="F316" s="36">
        <f t="shared" si="33"/>
        <v>-32.054796093821395</v>
      </c>
      <c r="G316" s="36">
        <f t="shared" si="34"/>
        <v>3.0140654416754842E-9</v>
      </c>
      <c r="H316" s="41"/>
    </row>
    <row r="317" spans="1:8" x14ac:dyDescent="0.25">
      <c r="A317" s="1"/>
      <c r="B317" s="42"/>
      <c r="C317" s="43"/>
      <c r="D317" s="43"/>
      <c r="E317" s="43"/>
      <c r="F317" s="43"/>
      <c r="G317" s="44"/>
      <c r="H317" s="45"/>
    </row>
    <row r="318" spans="1:8" x14ac:dyDescent="0.25">
      <c r="A318" s="1"/>
      <c r="B318" s="42"/>
      <c r="C318" s="43"/>
      <c r="D318" s="43"/>
      <c r="E318" s="43"/>
      <c r="F318" s="43"/>
      <c r="G318" s="44"/>
      <c r="H318" s="45"/>
    </row>
    <row r="319" spans="1:8" x14ac:dyDescent="0.25">
      <c r="E319" s="43"/>
      <c r="F319" s="43"/>
      <c r="G319" s="44"/>
      <c r="H319" s="45"/>
    </row>
    <row r="320" spans="1:8" x14ac:dyDescent="0.25">
      <c r="E320" s="43"/>
      <c r="F320" s="47"/>
      <c r="G320" s="48"/>
      <c r="H320" s="45"/>
    </row>
    <row r="321" spans="1:8" x14ac:dyDescent="0.25">
      <c r="E321" s="49"/>
      <c r="F321" s="43"/>
      <c r="G321" s="44"/>
      <c r="H321" s="45"/>
    </row>
    <row r="322" spans="1:8" x14ac:dyDescent="0.25">
      <c r="E322" s="43"/>
      <c r="F322" s="43"/>
      <c r="G322" s="44"/>
      <c r="H322" s="45"/>
    </row>
    <row r="323" spans="1:8" x14ac:dyDescent="0.25">
      <c r="E323" s="43"/>
      <c r="F323" s="43"/>
      <c r="G323" s="44"/>
      <c r="H323" s="45"/>
    </row>
    <row r="324" spans="1:8" x14ac:dyDescent="0.25">
      <c r="E324" s="43"/>
      <c r="F324" s="43"/>
      <c r="G324" s="44"/>
      <c r="H324" s="45"/>
    </row>
    <row r="325" spans="1:8" x14ac:dyDescent="0.25">
      <c r="E325" s="43"/>
      <c r="F325" s="43"/>
      <c r="G325" s="44"/>
      <c r="H325" s="45"/>
    </row>
    <row r="326" spans="1:8" x14ac:dyDescent="0.25">
      <c r="E326" s="43"/>
      <c r="F326" s="43"/>
      <c r="G326" s="44"/>
      <c r="H326" s="45"/>
    </row>
    <row r="327" spans="1:8" x14ac:dyDescent="0.25">
      <c r="A327" s="1"/>
      <c r="F327" s="43"/>
      <c r="G327" s="44"/>
      <c r="H327" s="45"/>
    </row>
    <row r="328" spans="1:8" x14ac:dyDescent="0.25">
      <c r="A328" s="1"/>
      <c r="F328" s="43"/>
      <c r="G328" s="44"/>
      <c r="H328" s="45"/>
    </row>
    <row r="329" spans="1:8" x14ac:dyDescent="0.25">
      <c r="A329" s="1"/>
      <c r="F329" s="43"/>
      <c r="G329" s="44"/>
      <c r="H329" s="45"/>
    </row>
    <row r="330" spans="1:8" x14ac:dyDescent="0.25">
      <c r="A330" s="1"/>
      <c r="F330" s="43"/>
      <c r="G330" s="44"/>
      <c r="H330" s="45"/>
    </row>
    <row r="331" spans="1:8" x14ac:dyDescent="0.25">
      <c r="A331" s="1"/>
      <c r="F331" s="43"/>
      <c r="G331" s="44"/>
      <c r="H331" s="45"/>
    </row>
    <row r="332" spans="1:8" x14ac:dyDescent="0.25">
      <c r="A332" s="1"/>
      <c r="F332" s="43"/>
      <c r="G332" s="44"/>
      <c r="H332" s="45"/>
    </row>
    <row r="333" spans="1:8" x14ac:dyDescent="0.25">
      <c r="A333" s="1"/>
      <c r="F333" s="43"/>
      <c r="G333" s="44"/>
      <c r="H333" s="45"/>
    </row>
    <row r="334" spans="1:8" x14ac:dyDescent="0.25">
      <c r="A334" s="1"/>
      <c r="F334" s="43"/>
      <c r="G334" s="44"/>
      <c r="H334" s="45"/>
    </row>
    <row r="335" spans="1:8" x14ac:dyDescent="0.25">
      <c r="A335" s="1"/>
      <c r="F335" s="43"/>
      <c r="G335" s="44"/>
      <c r="H335" s="45"/>
    </row>
    <row r="336" spans="1:8" x14ac:dyDescent="0.25">
      <c r="A336" s="1"/>
      <c r="F336" s="43"/>
      <c r="G336" s="44"/>
      <c r="H336" s="45"/>
    </row>
    <row r="337" spans="1:8" x14ac:dyDescent="0.25">
      <c r="A337" s="1"/>
      <c r="F337" s="43"/>
      <c r="G337" s="44"/>
      <c r="H337" s="45"/>
    </row>
    <row r="338" spans="1:8" x14ac:dyDescent="0.25">
      <c r="A338" s="1"/>
      <c r="F338" s="43"/>
      <c r="G338" s="44"/>
      <c r="H338" s="45"/>
    </row>
    <row r="339" spans="1:8" x14ac:dyDescent="0.25">
      <c r="A339" s="1"/>
      <c r="F339" s="43"/>
      <c r="G339" s="44"/>
      <c r="H339" s="45"/>
    </row>
    <row r="340" spans="1:8" x14ac:dyDescent="0.25">
      <c r="A340" s="1"/>
      <c r="F340" s="43"/>
      <c r="G340" s="44"/>
      <c r="H340" s="45"/>
    </row>
    <row r="341" spans="1:8" x14ac:dyDescent="0.25">
      <c r="A341" s="1"/>
      <c r="F341" s="43"/>
      <c r="G341" s="44"/>
      <c r="H341" s="45"/>
    </row>
    <row r="342" spans="1:8" x14ac:dyDescent="0.25">
      <c r="A342" s="1"/>
      <c r="F342" s="43"/>
      <c r="G342" s="44"/>
      <c r="H342" s="45"/>
    </row>
    <row r="343" spans="1:8" x14ac:dyDescent="0.25">
      <c r="A343" s="1"/>
      <c r="F343" s="43"/>
      <c r="G343" s="44"/>
      <c r="H343" s="45"/>
    </row>
    <row r="344" spans="1:8" x14ac:dyDescent="0.25">
      <c r="A344" s="1"/>
      <c r="F344" s="43"/>
      <c r="G344" s="44"/>
      <c r="H344" s="45"/>
    </row>
    <row r="345" spans="1:8" x14ac:dyDescent="0.25">
      <c r="A345" s="1"/>
      <c r="F345" s="43"/>
      <c r="G345" s="44"/>
      <c r="H345" s="45"/>
    </row>
    <row r="346" spans="1:8" x14ac:dyDescent="0.25">
      <c r="A346" s="1"/>
      <c r="F346" s="43"/>
      <c r="G346" s="44"/>
      <c r="H346" s="45"/>
    </row>
    <row r="347" spans="1:8" x14ac:dyDescent="0.25">
      <c r="A347" s="1"/>
      <c r="F347" s="43"/>
      <c r="G347" s="44"/>
      <c r="H347" s="45"/>
    </row>
    <row r="348" spans="1:8" x14ac:dyDescent="0.25">
      <c r="A348" s="1"/>
      <c r="F348" s="43"/>
      <c r="G348" s="44"/>
      <c r="H348" s="45"/>
    </row>
    <row r="349" spans="1:8" x14ac:dyDescent="0.25">
      <c r="A349" s="1"/>
      <c r="F349" s="43"/>
      <c r="G349" s="44"/>
      <c r="H349" s="45"/>
    </row>
    <row r="350" spans="1:8" x14ac:dyDescent="0.25">
      <c r="A350" s="1"/>
      <c r="F350" s="43"/>
      <c r="G350" s="44"/>
      <c r="H350" s="45"/>
    </row>
    <row r="351" spans="1:8" x14ac:dyDescent="0.25">
      <c r="A351" s="1"/>
      <c r="F351" s="43"/>
      <c r="G351" s="44"/>
      <c r="H351" s="45"/>
    </row>
    <row r="352" spans="1:8" x14ac:dyDescent="0.25">
      <c r="A352" s="1"/>
      <c r="F352" s="43"/>
      <c r="G352" s="44"/>
      <c r="H352" s="45"/>
    </row>
    <row r="353" spans="1:8" x14ac:dyDescent="0.25">
      <c r="A353" s="1"/>
      <c r="B353" s="42"/>
      <c r="C353" s="43"/>
      <c r="D353" s="43"/>
      <c r="E353" s="43"/>
      <c r="F353" s="43"/>
      <c r="G353" s="44"/>
      <c r="H353" s="45"/>
    </row>
    <row r="354" spans="1:8" x14ac:dyDescent="0.25">
      <c r="A354" s="1"/>
      <c r="B354" s="42"/>
      <c r="C354" s="43"/>
      <c r="D354" s="43"/>
      <c r="E354" s="43"/>
      <c r="F354" s="43"/>
      <c r="G354" s="44"/>
      <c r="H354" s="45"/>
    </row>
    <row r="355" spans="1:8" x14ac:dyDescent="0.25">
      <c r="A355" s="1"/>
      <c r="B355" s="42"/>
      <c r="C355" s="43"/>
      <c r="D355" s="43"/>
      <c r="E355" s="43"/>
      <c r="F355" s="43"/>
      <c r="G355" s="44"/>
      <c r="H355" s="45"/>
    </row>
    <row r="356" spans="1:8" x14ac:dyDescent="0.25">
      <c r="A356" s="1"/>
      <c r="B356" s="42"/>
      <c r="C356" s="43"/>
      <c r="D356" s="43"/>
      <c r="E356" s="43"/>
      <c r="F356" s="50"/>
      <c r="G356" s="51"/>
      <c r="H356" s="1"/>
    </row>
    <row r="357" spans="1:8" x14ac:dyDescent="0.25">
      <c r="A357" s="1"/>
      <c r="B357" s="42"/>
      <c r="C357" s="43"/>
      <c r="D357" s="43"/>
      <c r="E357" s="43"/>
      <c r="F357" s="50"/>
      <c r="G357" s="51"/>
      <c r="H357" s="1"/>
    </row>
    <row r="358" spans="1:8" x14ac:dyDescent="0.25">
      <c r="A358" s="1"/>
      <c r="B358" s="42"/>
      <c r="C358" s="43"/>
      <c r="D358" s="43"/>
      <c r="E358" s="43"/>
      <c r="F358" s="50"/>
      <c r="G358" s="51"/>
      <c r="H358" s="1"/>
    </row>
    <row r="359" spans="1:8" x14ac:dyDescent="0.25">
      <c r="A359" s="1"/>
      <c r="B359" s="42"/>
      <c r="C359" s="43"/>
      <c r="D359" s="43"/>
      <c r="E359" s="43"/>
      <c r="F359" s="50"/>
      <c r="G359" s="51"/>
      <c r="H359" s="1"/>
    </row>
    <row r="360" spans="1:8" x14ac:dyDescent="0.25">
      <c r="A360" s="1"/>
      <c r="B360" s="42"/>
      <c r="C360" s="43"/>
      <c r="D360" s="43"/>
      <c r="E360" s="43"/>
      <c r="F360" s="50"/>
      <c r="G360" s="51"/>
      <c r="H360" s="1"/>
    </row>
    <row r="361" spans="1:8" x14ac:dyDescent="0.25">
      <c r="A361" s="1"/>
      <c r="B361" s="42"/>
      <c r="C361" s="43"/>
      <c r="D361" s="43"/>
      <c r="E361" s="43"/>
      <c r="F361" s="50"/>
      <c r="G361" s="51"/>
      <c r="H361" s="1"/>
    </row>
    <row r="362" spans="1:8" x14ac:dyDescent="0.25">
      <c r="A362" s="1"/>
      <c r="B362" s="42"/>
      <c r="C362" s="43"/>
      <c r="D362" s="43"/>
      <c r="E362" s="43"/>
      <c r="F362" s="50"/>
      <c r="G362" s="51"/>
      <c r="H362" s="1"/>
    </row>
    <row r="363" spans="1:8" x14ac:dyDescent="0.25">
      <c r="A363" s="1"/>
      <c r="B363" s="42"/>
      <c r="C363" s="43"/>
      <c r="D363" s="43"/>
      <c r="E363" s="43"/>
      <c r="F363" s="50"/>
      <c r="G363" s="51"/>
      <c r="H363" s="1"/>
    </row>
    <row r="364" spans="1:8" x14ac:dyDescent="0.25">
      <c r="A364" s="1"/>
      <c r="B364" s="42"/>
      <c r="C364" s="43"/>
      <c r="D364" s="43"/>
      <c r="E364" s="43"/>
      <c r="F364" s="50"/>
      <c r="G364" s="51"/>
      <c r="H364" s="1"/>
    </row>
    <row r="365" spans="1:8" x14ac:dyDescent="0.25">
      <c r="A365" s="1"/>
      <c r="B365" s="42"/>
      <c r="C365" s="43"/>
      <c r="D365" s="43"/>
      <c r="E365" s="43"/>
      <c r="F365" s="50"/>
      <c r="G365" s="51"/>
      <c r="H365" s="1"/>
    </row>
    <row r="366" spans="1:8" x14ac:dyDescent="0.25">
      <c r="A366" s="1"/>
      <c r="B366" s="42"/>
      <c r="C366" s="43"/>
      <c r="D366" s="43"/>
      <c r="E366" s="43"/>
      <c r="F366" s="50"/>
      <c r="G366" s="51"/>
      <c r="H366" s="1"/>
    </row>
    <row r="367" spans="1:8" x14ac:dyDescent="0.25">
      <c r="A367" s="1"/>
      <c r="B367" s="42"/>
      <c r="C367" s="43"/>
      <c r="D367" s="43"/>
      <c r="E367" s="43"/>
      <c r="F367" s="50"/>
      <c r="G367" s="51"/>
      <c r="H367" s="1"/>
    </row>
    <row r="368" spans="1:8" x14ac:dyDescent="0.25">
      <c r="A368" s="1"/>
      <c r="B368" s="42"/>
      <c r="C368" s="43"/>
      <c r="D368" s="43"/>
      <c r="E368" s="43"/>
      <c r="F368" s="50"/>
      <c r="G368" s="51"/>
      <c r="H368" s="1"/>
    </row>
    <row r="369" spans="1:8" x14ac:dyDescent="0.25">
      <c r="A369" s="1"/>
      <c r="B369" s="42"/>
      <c r="C369" s="43"/>
      <c r="D369" s="43"/>
      <c r="E369" s="43"/>
      <c r="F369" s="50"/>
      <c r="G369" s="51"/>
      <c r="H369" s="1"/>
    </row>
    <row r="370" spans="1:8" x14ac:dyDescent="0.25">
      <c r="A370" s="1"/>
      <c r="B370" s="42"/>
      <c r="C370" s="43"/>
      <c r="D370" s="43"/>
      <c r="E370" s="43"/>
      <c r="F370" s="50"/>
      <c r="G370" s="51"/>
      <c r="H370" s="1"/>
    </row>
    <row r="371" spans="1:8" x14ac:dyDescent="0.25">
      <c r="A371" s="1"/>
      <c r="B371" s="42"/>
      <c r="C371" s="43"/>
      <c r="D371" s="43"/>
      <c r="E371" s="43"/>
      <c r="F371" s="50"/>
      <c r="G371" s="51"/>
      <c r="H371" s="1"/>
    </row>
    <row r="372" spans="1:8" x14ac:dyDescent="0.25">
      <c r="A372" s="1"/>
      <c r="B372" s="42"/>
      <c r="C372" s="43"/>
      <c r="D372" s="43"/>
      <c r="E372" s="43"/>
      <c r="F372" s="50"/>
      <c r="G372" s="51"/>
      <c r="H372" s="1"/>
    </row>
    <row r="373" spans="1:8" x14ac:dyDescent="0.25">
      <c r="A373" s="1"/>
      <c r="B373" s="42"/>
      <c r="C373" s="43"/>
      <c r="D373" s="43"/>
      <c r="E373" s="43"/>
      <c r="F373" s="50"/>
      <c r="G373" s="51"/>
      <c r="H373" s="1"/>
    </row>
    <row r="374" spans="1:8" x14ac:dyDescent="0.25">
      <c r="A374" s="1"/>
      <c r="B374" s="42"/>
      <c r="C374" s="43"/>
      <c r="D374" s="43"/>
      <c r="E374" s="43"/>
      <c r="F374" s="50"/>
      <c r="G374" s="51"/>
      <c r="H374" s="1"/>
    </row>
    <row r="375" spans="1:8" x14ac:dyDescent="0.25">
      <c r="A375" s="1"/>
      <c r="B375" s="42"/>
      <c r="C375" s="43"/>
      <c r="D375" s="43"/>
      <c r="E375" s="43"/>
      <c r="F375" s="50"/>
      <c r="G375" s="51"/>
      <c r="H375" s="1"/>
    </row>
    <row r="376" spans="1:8" x14ac:dyDescent="0.25">
      <c r="A376" s="1"/>
      <c r="B376" s="42"/>
      <c r="C376" s="43"/>
      <c r="D376" s="43"/>
      <c r="E376" s="43"/>
      <c r="F376" s="50"/>
      <c r="G376" s="51"/>
      <c r="H376" s="1"/>
    </row>
    <row r="377" spans="1:8" x14ac:dyDescent="0.25">
      <c r="A377" s="1"/>
      <c r="B377" s="42"/>
      <c r="C377" s="43"/>
      <c r="D377" s="43"/>
      <c r="E377" s="43"/>
      <c r="F377" s="50"/>
      <c r="G377" s="51"/>
      <c r="H377" s="1"/>
    </row>
    <row r="378" spans="1:8" x14ac:dyDescent="0.25">
      <c r="A378" s="1"/>
      <c r="B378" s="42"/>
      <c r="C378" s="43"/>
      <c r="D378" s="43"/>
      <c r="E378" s="43"/>
      <c r="F378" s="50"/>
      <c r="G378" s="51"/>
      <c r="H378" s="1"/>
    </row>
    <row r="379" spans="1:8" x14ac:dyDescent="0.25">
      <c r="A379" s="1"/>
      <c r="B379" s="42"/>
      <c r="C379" s="43"/>
      <c r="D379" s="43"/>
      <c r="E379" s="43"/>
      <c r="F379" s="50"/>
      <c r="G379" s="51"/>
      <c r="H379" s="1"/>
    </row>
    <row r="380" spans="1:8" x14ac:dyDescent="0.25">
      <c r="A380" s="1"/>
      <c r="B380" s="42"/>
      <c r="C380" s="43"/>
      <c r="D380" s="43"/>
      <c r="E380" s="43"/>
      <c r="F380" s="50"/>
      <c r="G380" s="51"/>
      <c r="H380" s="1"/>
    </row>
    <row r="381" spans="1:8" x14ac:dyDescent="0.25">
      <c r="A381" s="1"/>
      <c r="B381" s="42"/>
      <c r="C381" s="43"/>
      <c r="D381" s="43"/>
      <c r="E381" s="43"/>
      <c r="F381" s="50"/>
      <c r="G381" s="51"/>
      <c r="H381" s="1"/>
    </row>
    <row r="382" spans="1:8" x14ac:dyDescent="0.25">
      <c r="A382" s="1"/>
      <c r="B382" s="42"/>
      <c r="C382" s="43"/>
      <c r="D382" s="43"/>
      <c r="E382" s="43"/>
      <c r="F382" s="50"/>
      <c r="G382" s="51"/>
      <c r="H382" s="1"/>
    </row>
    <row r="383" spans="1:8" x14ac:dyDescent="0.25">
      <c r="A383" s="1"/>
      <c r="B383" s="42"/>
      <c r="C383" s="43"/>
      <c r="D383" s="43"/>
      <c r="E383" s="43"/>
      <c r="F383" s="50"/>
      <c r="G383" s="51"/>
      <c r="H383" s="1"/>
    </row>
    <row r="384" spans="1:8" x14ac:dyDescent="0.25">
      <c r="A384" s="1"/>
      <c r="B384" s="42"/>
      <c r="C384" s="43"/>
      <c r="D384" s="43"/>
      <c r="E384" s="43"/>
      <c r="F384" s="50"/>
      <c r="G384" s="51"/>
      <c r="H384" s="1"/>
    </row>
    <row r="385" spans="1:8" x14ac:dyDescent="0.25">
      <c r="A385" s="1"/>
      <c r="B385" s="42"/>
      <c r="C385" s="43"/>
      <c r="D385" s="43"/>
      <c r="E385" s="43"/>
      <c r="F385" s="50"/>
      <c r="G385" s="51"/>
      <c r="H385" s="1"/>
    </row>
    <row r="386" spans="1:8" x14ac:dyDescent="0.25">
      <c r="A386" s="1"/>
      <c r="B386" s="42"/>
      <c r="C386" s="43"/>
      <c r="D386" s="43"/>
      <c r="E386" s="43"/>
      <c r="F386" s="50"/>
      <c r="G386" s="51"/>
      <c r="H386" s="1"/>
    </row>
    <row r="387" spans="1:8" x14ac:dyDescent="0.25">
      <c r="A387" s="1"/>
      <c r="B387" s="42"/>
      <c r="C387" s="43"/>
      <c r="D387" s="43"/>
      <c r="E387" s="43"/>
      <c r="F387" s="50"/>
      <c r="G387" s="51"/>
      <c r="H387" s="1"/>
    </row>
    <row r="388" spans="1:8" x14ac:dyDescent="0.25">
      <c r="A388" s="1"/>
      <c r="B388" s="42"/>
      <c r="C388" s="43"/>
      <c r="D388" s="43"/>
      <c r="E388" s="43"/>
      <c r="F388" s="50"/>
      <c r="G388" s="51"/>
      <c r="H388" s="1"/>
    </row>
    <row r="389" spans="1:8" x14ac:dyDescent="0.25">
      <c r="A389" s="1"/>
      <c r="B389" s="42"/>
      <c r="C389" s="43"/>
      <c r="D389" s="43"/>
      <c r="E389" s="43"/>
      <c r="F389" s="50"/>
      <c r="G389" s="51"/>
      <c r="H389" s="1"/>
    </row>
    <row r="390" spans="1:8" x14ac:dyDescent="0.25">
      <c r="A390" s="1"/>
      <c r="B390" s="42"/>
      <c r="C390" s="43"/>
      <c r="D390" s="43"/>
      <c r="E390" s="43"/>
      <c r="F390" s="50"/>
      <c r="G390" s="51"/>
      <c r="H390" s="1"/>
    </row>
    <row r="391" spans="1:8" x14ac:dyDescent="0.25">
      <c r="A391" s="1"/>
      <c r="B391" s="42"/>
      <c r="C391" s="43"/>
      <c r="D391" s="43"/>
      <c r="E391" s="43"/>
      <c r="F391" s="50"/>
      <c r="G391" s="51"/>
      <c r="H391" s="1"/>
    </row>
    <row r="392" spans="1:8" x14ac:dyDescent="0.25">
      <c r="A392" s="1"/>
      <c r="B392" s="42"/>
      <c r="C392" s="43"/>
      <c r="D392" s="43"/>
      <c r="E392" s="43"/>
      <c r="F392" s="50"/>
      <c r="G392" s="51"/>
      <c r="H392" s="1"/>
    </row>
    <row r="393" spans="1:8" x14ac:dyDescent="0.25">
      <c r="A393" s="1"/>
      <c r="B393" s="42"/>
      <c r="C393" s="43"/>
      <c r="D393" s="43"/>
      <c r="E393" s="43"/>
      <c r="F393" s="50"/>
      <c r="G393" s="51"/>
      <c r="H393" s="1"/>
    </row>
    <row r="394" spans="1:8" x14ac:dyDescent="0.25">
      <c r="A394" s="1"/>
      <c r="B394" s="42"/>
      <c r="C394" s="43"/>
      <c r="D394" s="43"/>
      <c r="E394" s="43"/>
      <c r="F394" s="50"/>
      <c r="G394" s="51"/>
      <c r="H394" s="1"/>
    </row>
    <row r="395" spans="1:8" x14ac:dyDescent="0.25">
      <c r="A395" s="1"/>
      <c r="B395" s="42"/>
      <c r="C395" s="43"/>
      <c r="D395" s="43"/>
      <c r="E395" s="43"/>
      <c r="F395" s="50"/>
      <c r="G395" s="51"/>
      <c r="H395" s="1"/>
    </row>
    <row r="396" spans="1:8" x14ac:dyDescent="0.25">
      <c r="A396" s="1"/>
      <c r="B396" s="42"/>
      <c r="C396" s="43"/>
      <c r="D396" s="43"/>
      <c r="E396" s="43"/>
      <c r="F396" s="50"/>
      <c r="G396" s="51"/>
      <c r="H396" s="1"/>
    </row>
    <row r="397" spans="1:8" x14ac:dyDescent="0.25">
      <c r="A397" s="1"/>
      <c r="B397" s="42"/>
      <c r="C397" s="43"/>
      <c r="D397" s="43"/>
      <c r="E397" s="43"/>
      <c r="F397" s="50"/>
      <c r="G397" s="51"/>
      <c r="H397" s="1"/>
    </row>
    <row r="398" spans="1:8" x14ac:dyDescent="0.25">
      <c r="A398" s="1"/>
      <c r="B398" s="42"/>
      <c r="C398" s="43"/>
      <c r="D398" s="43"/>
      <c r="E398" s="43"/>
      <c r="F398" s="50"/>
      <c r="G398" s="51"/>
      <c r="H398" s="1"/>
    </row>
    <row r="399" spans="1:8" x14ac:dyDescent="0.25">
      <c r="A399" s="1"/>
      <c r="B399" s="42"/>
      <c r="C399" s="43"/>
      <c r="D399" s="43"/>
      <c r="E399" s="43"/>
      <c r="F399" s="50"/>
      <c r="G399" s="51"/>
      <c r="H399" s="1"/>
    </row>
    <row r="400" spans="1:8" x14ac:dyDescent="0.25">
      <c r="A400" s="1"/>
      <c r="B400" s="42"/>
      <c r="C400" s="43"/>
      <c r="D400" s="43"/>
      <c r="E400" s="43"/>
      <c r="F400" s="50"/>
      <c r="G400" s="51"/>
      <c r="H400" s="1"/>
    </row>
    <row r="401" spans="1:8" x14ac:dyDescent="0.25">
      <c r="A401" s="1"/>
      <c r="B401" s="42"/>
      <c r="C401" s="43"/>
      <c r="D401" s="43"/>
      <c r="E401" s="43"/>
      <c r="F401" s="50"/>
      <c r="G401" s="51"/>
      <c r="H401" s="1"/>
    </row>
    <row r="402" spans="1:8" x14ac:dyDescent="0.25">
      <c r="A402" s="1"/>
      <c r="B402" s="42"/>
      <c r="C402" s="43"/>
      <c r="D402" s="43"/>
      <c r="E402" s="43"/>
      <c r="F402" s="50"/>
      <c r="G402" s="51"/>
      <c r="H402" s="1"/>
    </row>
    <row r="403" spans="1:8" x14ac:dyDescent="0.25">
      <c r="A403" s="1"/>
      <c r="B403" s="42"/>
      <c r="C403" s="43"/>
      <c r="D403" s="43"/>
      <c r="E403" s="43"/>
      <c r="F403" s="50"/>
      <c r="G403" s="51"/>
      <c r="H403" s="1"/>
    </row>
    <row r="404" spans="1:8" x14ac:dyDescent="0.25">
      <c r="A404" s="1"/>
      <c r="B404" s="42"/>
      <c r="C404" s="43"/>
      <c r="D404" s="43"/>
      <c r="E404" s="43"/>
      <c r="F404" s="50"/>
      <c r="G404" s="51"/>
      <c r="H404" s="1"/>
    </row>
    <row r="405" spans="1:8" x14ac:dyDescent="0.25">
      <c r="A405" s="1"/>
      <c r="B405" s="42"/>
      <c r="C405" s="43"/>
      <c r="D405" s="43"/>
      <c r="E405" s="43"/>
      <c r="F405" s="50"/>
      <c r="G405" s="51"/>
      <c r="H405" s="1"/>
    </row>
    <row r="406" spans="1:8" x14ac:dyDescent="0.25">
      <c r="A406" s="1"/>
      <c r="B406" s="42"/>
      <c r="C406" s="43"/>
      <c r="D406" s="43"/>
      <c r="E406" s="43"/>
      <c r="F406" s="50"/>
      <c r="G406" s="51"/>
      <c r="H406" s="1"/>
    </row>
    <row r="407" spans="1:8" x14ac:dyDescent="0.25">
      <c r="A407" s="1"/>
      <c r="B407" s="42"/>
      <c r="C407" s="43"/>
      <c r="D407" s="43"/>
      <c r="E407" s="43"/>
      <c r="F407" s="50"/>
      <c r="G407" s="51"/>
      <c r="H407" s="1"/>
    </row>
    <row r="408" spans="1:8" x14ac:dyDescent="0.25">
      <c r="A408" s="1"/>
      <c r="B408" s="42"/>
      <c r="C408" s="43"/>
      <c r="D408" s="43"/>
      <c r="E408" s="43"/>
      <c r="F408" s="50"/>
      <c r="G408" s="51"/>
      <c r="H408" s="1"/>
    </row>
    <row r="409" spans="1:8" x14ac:dyDescent="0.25">
      <c r="A409" s="1"/>
      <c r="B409" s="42"/>
      <c r="C409" s="43"/>
      <c r="D409" s="43"/>
      <c r="E409" s="43"/>
      <c r="F409" s="50"/>
      <c r="G409" s="51"/>
      <c r="H409" s="1"/>
    </row>
    <row r="410" spans="1:8" x14ac:dyDescent="0.25">
      <c r="A410" s="1"/>
      <c r="B410" s="42"/>
      <c r="C410" s="43"/>
      <c r="D410" s="43"/>
      <c r="E410" s="43"/>
      <c r="F410" s="50"/>
      <c r="G410" s="51"/>
      <c r="H410" s="1"/>
    </row>
    <row r="411" spans="1:8" x14ac:dyDescent="0.25">
      <c r="A411" s="1"/>
      <c r="B411" s="42"/>
      <c r="C411" s="43"/>
      <c r="D411" s="43"/>
      <c r="E411" s="43"/>
      <c r="F411" s="50"/>
      <c r="G411" s="51"/>
      <c r="H411" s="1"/>
    </row>
    <row r="412" spans="1:8" x14ac:dyDescent="0.25">
      <c r="A412" s="1"/>
      <c r="B412" s="42"/>
      <c r="C412" s="43"/>
      <c r="D412" s="43"/>
      <c r="E412" s="43"/>
      <c r="F412" s="50"/>
      <c r="G412" s="51"/>
      <c r="H412" s="1"/>
    </row>
    <row r="413" spans="1:8" x14ac:dyDescent="0.25">
      <c r="A413" s="1"/>
      <c r="B413" s="42"/>
      <c r="C413" s="43"/>
      <c r="D413" s="43"/>
      <c r="E413" s="43"/>
      <c r="F413" s="50"/>
      <c r="G413" s="51"/>
      <c r="H413" s="1"/>
    </row>
    <row r="414" spans="1:8" x14ac:dyDescent="0.25">
      <c r="A414" s="1"/>
      <c r="B414" s="42"/>
      <c r="C414" s="43"/>
      <c r="D414" s="43"/>
      <c r="E414" s="43"/>
      <c r="F414" s="50"/>
      <c r="G414" s="51"/>
      <c r="H414" s="1"/>
    </row>
    <row r="415" spans="1:8" x14ac:dyDescent="0.25">
      <c r="A415" s="1"/>
      <c r="B415" s="42"/>
      <c r="C415" s="43"/>
      <c r="D415" s="43"/>
      <c r="E415" s="43"/>
      <c r="F415" s="50"/>
      <c r="G415" s="51"/>
      <c r="H415" s="1"/>
    </row>
    <row r="416" spans="1:8" x14ac:dyDescent="0.25">
      <c r="A416" s="1"/>
      <c r="B416" s="42"/>
      <c r="C416" s="43"/>
      <c r="D416" s="43"/>
      <c r="E416" s="43"/>
      <c r="F416" s="50"/>
      <c r="G416" s="51"/>
      <c r="H416" s="1"/>
    </row>
    <row r="417" spans="1:8" x14ac:dyDescent="0.25">
      <c r="A417" s="1"/>
      <c r="B417" s="42"/>
      <c r="C417" s="43"/>
      <c r="D417" s="43"/>
      <c r="E417" s="43"/>
      <c r="F417" s="50"/>
      <c r="G417" s="51"/>
      <c r="H417" s="1"/>
    </row>
    <row r="418" spans="1:8" x14ac:dyDescent="0.25">
      <c r="A418" s="1"/>
      <c r="B418" s="42"/>
      <c r="C418" s="43"/>
      <c r="D418" s="43"/>
      <c r="E418" s="43"/>
      <c r="F418" s="50"/>
      <c r="G418" s="51"/>
      <c r="H418" s="1"/>
    </row>
    <row r="419" spans="1:8" x14ac:dyDescent="0.25">
      <c r="A419" s="1"/>
      <c r="B419" s="42"/>
      <c r="C419" s="43"/>
      <c r="D419" s="43"/>
      <c r="E419" s="43"/>
      <c r="F419" s="50"/>
      <c r="G419" s="51"/>
      <c r="H419" s="1"/>
    </row>
    <row r="420" spans="1:8" x14ac:dyDescent="0.25">
      <c r="A420" s="1"/>
      <c r="B420" s="42"/>
      <c r="C420" s="43"/>
      <c r="D420" s="43"/>
      <c r="E420" s="43"/>
      <c r="F420" s="50"/>
      <c r="G420" s="51"/>
      <c r="H420" s="1"/>
    </row>
    <row r="421" spans="1:8" x14ac:dyDescent="0.25">
      <c r="A421" s="1"/>
      <c r="B421" s="42"/>
      <c r="C421" s="43"/>
      <c r="D421" s="43"/>
      <c r="E421" s="43"/>
      <c r="F421" s="50"/>
      <c r="G421" s="51"/>
      <c r="H421" s="1"/>
    </row>
    <row r="422" spans="1:8" x14ac:dyDescent="0.25">
      <c r="A422" s="1"/>
      <c r="B422" s="42"/>
      <c r="C422" s="43"/>
      <c r="D422" s="43"/>
      <c r="E422" s="43"/>
      <c r="F422" s="50"/>
      <c r="G422" s="51"/>
      <c r="H422" s="1"/>
    </row>
    <row r="423" spans="1:8" x14ac:dyDescent="0.25">
      <c r="A423" s="1"/>
      <c r="B423" s="42"/>
      <c r="C423" s="43"/>
      <c r="D423" s="43"/>
      <c r="E423" s="43"/>
      <c r="F423" s="50"/>
      <c r="G423" s="51"/>
      <c r="H423" s="1"/>
    </row>
    <row r="424" spans="1:8" x14ac:dyDescent="0.25">
      <c r="A424" s="1"/>
      <c r="B424" s="42"/>
      <c r="C424" s="43"/>
      <c r="D424" s="43"/>
      <c r="E424" s="43"/>
      <c r="F424" s="50"/>
      <c r="G424" s="51"/>
      <c r="H424" s="1"/>
    </row>
    <row r="425" spans="1:8" x14ac:dyDescent="0.25">
      <c r="A425" s="1"/>
      <c r="B425" s="42"/>
      <c r="C425" s="43"/>
      <c r="D425" s="43"/>
      <c r="E425" s="43"/>
      <c r="F425" s="50"/>
      <c r="G425" s="51"/>
      <c r="H425" s="1"/>
    </row>
    <row r="426" spans="1:8" x14ac:dyDescent="0.25">
      <c r="A426" s="1"/>
      <c r="B426" s="42"/>
      <c r="C426" s="43"/>
      <c r="D426" s="43"/>
      <c r="E426" s="43"/>
      <c r="F426" s="50"/>
      <c r="G426" s="51"/>
      <c r="H426" s="1"/>
    </row>
    <row r="427" spans="1:8" x14ac:dyDescent="0.25">
      <c r="A427" s="1"/>
      <c r="B427" s="42"/>
      <c r="C427" s="43"/>
      <c r="D427" s="43"/>
      <c r="E427" s="43"/>
      <c r="F427" s="50"/>
      <c r="G427" s="51"/>
      <c r="H427" s="1"/>
    </row>
    <row r="428" spans="1:8" x14ac:dyDescent="0.25">
      <c r="A428" s="1"/>
      <c r="B428" s="42"/>
      <c r="C428" s="43"/>
      <c r="D428" s="43"/>
      <c r="E428" s="43"/>
      <c r="F428" s="50"/>
      <c r="G428" s="51"/>
      <c r="H428" s="1"/>
    </row>
    <row r="429" spans="1:8" x14ac:dyDescent="0.25">
      <c r="A429" s="1"/>
      <c r="B429" s="42"/>
      <c r="C429" s="43"/>
      <c r="D429" s="43"/>
      <c r="E429" s="43"/>
      <c r="F429" s="50"/>
      <c r="G429" s="51"/>
      <c r="H429" s="1"/>
    </row>
    <row r="430" spans="1:8" x14ac:dyDescent="0.25">
      <c r="A430" s="1"/>
      <c r="B430" s="42"/>
      <c r="C430" s="43"/>
      <c r="D430" s="43"/>
      <c r="E430" s="43"/>
      <c r="F430" s="50"/>
      <c r="G430" s="51"/>
      <c r="H430" s="1"/>
    </row>
    <row r="431" spans="1:8" x14ac:dyDescent="0.25">
      <c r="A431" s="1"/>
      <c r="B431" s="42"/>
      <c r="C431" s="43"/>
      <c r="D431" s="43"/>
      <c r="E431" s="43"/>
      <c r="F431" s="50"/>
      <c r="G431" s="51"/>
      <c r="H431" s="1"/>
    </row>
    <row r="432" spans="1:8" x14ac:dyDescent="0.25">
      <c r="A432" s="1"/>
      <c r="B432" s="42"/>
      <c r="C432" s="43"/>
      <c r="D432" s="43"/>
      <c r="E432" s="43"/>
      <c r="F432" s="50"/>
      <c r="G432" s="51"/>
      <c r="H432" s="1"/>
    </row>
    <row r="433" spans="1:8" x14ac:dyDescent="0.25">
      <c r="A433" s="1"/>
      <c r="B433" s="42"/>
      <c r="C433" s="43"/>
      <c r="D433" s="43"/>
      <c r="E433" s="43"/>
      <c r="F433" s="50"/>
      <c r="G433" s="51"/>
      <c r="H433" s="1"/>
    </row>
    <row r="434" spans="1:8" x14ac:dyDescent="0.25">
      <c r="A434" s="1"/>
      <c r="B434" s="42"/>
      <c r="C434" s="43"/>
      <c r="D434" s="43"/>
      <c r="E434" s="43"/>
      <c r="F434" s="50"/>
      <c r="G434" s="51"/>
      <c r="H434" s="1"/>
    </row>
    <row r="435" spans="1:8" x14ac:dyDescent="0.25">
      <c r="A435" s="1"/>
      <c r="B435" s="42"/>
      <c r="C435" s="43"/>
      <c r="D435" s="43"/>
      <c r="E435" s="43"/>
      <c r="F435" s="50"/>
      <c r="G435" s="51"/>
      <c r="H435" s="1"/>
    </row>
    <row r="436" spans="1:8" x14ac:dyDescent="0.25">
      <c r="A436" s="1"/>
      <c r="B436" s="42"/>
      <c r="C436" s="43"/>
      <c r="D436" s="43"/>
      <c r="E436" s="43"/>
      <c r="F436" s="50"/>
      <c r="G436" s="51"/>
      <c r="H436" s="1"/>
    </row>
    <row r="437" spans="1:8" x14ac:dyDescent="0.25">
      <c r="A437" s="1"/>
      <c r="B437" s="42"/>
      <c r="C437" s="43"/>
      <c r="D437" s="43"/>
      <c r="E437" s="43"/>
      <c r="F437" s="50"/>
      <c r="G437" s="51"/>
      <c r="H437" s="1"/>
    </row>
    <row r="438" spans="1:8" x14ac:dyDescent="0.25">
      <c r="A438" s="1"/>
      <c r="B438" s="42"/>
      <c r="C438" s="43"/>
      <c r="D438" s="43"/>
      <c r="E438" s="43"/>
      <c r="F438" s="50"/>
      <c r="G438" s="51"/>
      <c r="H438" s="1"/>
    </row>
    <row r="439" spans="1:8" x14ac:dyDescent="0.25">
      <c r="A439" s="1"/>
      <c r="B439" s="42"/>
      <c r="C439" s="43"/>
      <c r="D439" s="43"/>
      <c r="E439" s="43"/>
      <c r="F439" s="50"/>
      <c r="G439" s="51"/>
      <c r="H439" s="1"/>
    </row>
    <row r="440" spans="1:8" x14ac:dyDescent="0.25">
      <c r="A440" s="1"/>
      <c r="B440" s="42"/>
      <c r="C440" s="49"/>
      <c r="D440" s="52"/>
      <c r="E440" s="49"/>
      <c r="F440" s="50"/>
      <c r="G440" s="51"/>
      <c r="H440" s="1"/>
    </row>
    <row r="441" spans="1:8" x14ac:dyDescent="0.25">
      <c r="A441" s="1"/>
      <c r="B441" s="42"/>
      <c r="C441" s="49"/>
      <c r="D441" s="52"/>
      <c r="E441" s="49"/>
      <c r="F441" s="50"/>
      <c r="G441" s="51"/>
      <c r="H441" s="1"/>
    </row>
    <row r="442" spans="1:8" x14ac:dyDescent="0.25">
      <c r="A442" s="1"/>
      <c r="B442" s="42"/>
      <c r="C442" s="49"/>
      <c r="D442" s="52"/>
      <c r="E442" s="49"/>
      <c r="F442" s="50"/>
      <c r="G442" s="51"/>
      <c r="H442" s="1"/>
    </row>
    <row r="443" spans="1:8" x14ac:dyDescent="0.25">
      <c r="A443" s="1"/>
      <c r="B443" s="42"/>
      <c r="C443" s="49"/>
      <c r="D443" s="52"/>
      <c r="E443" s="49"/>
      <c r="F443" s="50"/>
      <c r="G443" s="51"/>
      <c r="H443" s="1"/>
    </row>
    <row r="444" spans="1:8" x14ac:dyDescent="0.25">
      <c r="A444" s="1"/>
      <c r="B444" s="42"/>
      <c r="C444" s="49"/>
      <c r="D444" s="52"/>
      <c r="E444" s="49"/>
      <c r="F444" s="50"/>
      <c r="G444" s="51"/>
      <c r="H444" s="1"/>
    </row>
    <row r="445" spans="1:8" x14ac:dyDescent="0.25">
      <c r="A445" s="1"/>
      <c r="B445" s="42"/>
      <c r="C445" s="49"/>
      <c r="D445" s="52"/>
      <c r="E445" s="49"/>
      <c r="F445" s="50"/>
      <c r="G445" s="51"/>
      <c r="H445" s="1"/>
    </row>
    <row r="446" spans="1:8" x14ac:dyDescent="0.25">
      <c r="A446" s="1"/>
      <c r="B446" s="42"/>
      <c r="C446" s="49"/>
      <c r="D446" s="52"/>
      <c r="E446" s="49"/>
      <c r="F446" s="50"/>
      <c r="G446" s="51"/>
      <c r="H446" s="1"/>
    </row>
    <row r="447" spans="1:8" x14ac:dyDescent="0.25">
      <c r="A447" s="1"/>
      <c r="B447" s="42"/>
      <c r="C447" s="49"/>
      <c r="D447" s="52"/>
      <c r="E447" s="49"/>
      <c r="F447" s="50"/>
      <c r="G447" s="51"/>
      <c r="H447" s="1"/>
    </row>
    <row r="448" spans="1:8" x14ac:dyDescent="0.25">
      <c r="A448" s="1"/>
      <c r="B448" s="42"/>
      <c r="C448" s="49"/>
      <c r="D448" s="52"/>
      <c r="E448" s="49"/>
      <c r="F448" s="50"/>
      <c r="G448" s="51"/>
      <c r="H448" s="1"/>
    </row>
    <row r="449" spans="1:8" x14ac:dyDescent="0.25">
      <c r="A449" s="1"/>
      <c r="B449" s="42"/>
      <c r="C449" s="49"/>
      <c r="D449" s="52"/>
      <c r="E449" s="49"/>
      <c r="F449" s="50"/>
      <c r="G449" s="51"/>
      <c r="H449" s="1"/>
    </row>
    <row r="450" spans="1:8" x14ac:dyDescent="0.25">
      <c r="A450" s="1"/>
      <c r="B450" s="42"/>
      <c r="C450" s="49"/>
      <c r="D450" s="52"/>
      <c r="E450" s="49"/>
      <c r="F450" s="50"/>
      <c r="G450" s="51"/>
      <c r="H450" s="1"/>
    </row>
    <row r="451" spans="1:8" x14ac:dyDescent="0.25">
      <c r="A451" s="1"/>
      <c r="B451" s="42"/>
      <c r="C451" s="49"/>
      <c r="D451" s="52"/>
      <c r="E451" s="49"/>
      <c r="F451" s="50"/>
      <c r="G451" s="51"/>
      <c r="H451" s="1"/>
    </row>
    <row r="452" spans="1:8" x14ac:dyDescent="0.25">
      <c r="A452" s="1"/>
      <c r="B452" s="42"/>
      <c r="C452" s="49"/>
      <c r="D452" s="52"/>
      <c r="E452" s="49"/>
      <c r="F452" s="50"/>
      <c r="G452" s="51"/>
      <c r="H452" s="1"/>
    </row>
    <row r="453" spans="1:8" x14ac:dyDescent="0.25">
      <c r="A453" s="1"/>
      <c r="B453" s="42"/>
      <c r="C453" s="49"/>
      <c r="D453" s="52"/>
      <c r="E453" s="49"/>
      <c r="F453" s="50"/>
      <c r="G453" s="51"/>
      <c r="H453" s="1"/>
    </row>
    <row r="454" spans="1:8" x14ac:dyDescent="0.25">
      <c r="A454" s="1"/>
      <c r="B454" s="42"/>
      <c r="C454" s="49"/>
      <c r="D454" s="52"/>
      <c r="E454" s="49"/>
      <c r="F454" s="50"/>
      <c r="G454" s="51"/>
      <c r="H454" s="1"/>
    </row>
    <row r="455" spans="1:8" x14ac:dyDescent="0.25">
      <c r="A455" s="1"/>
      <c r="B455" s="42"/>
      <c r="C455" s="49"/>
      <c r="D455" s="52"/>
      <c r="E455" s="49"/>
      <c r="F455" s="50"/>
      <c r="G455" s="51"/>
      <c r="H455" s="1"/>
    </row>
    <row r="456" spans="1:8" x14ac:dyDescent="0.25">
      <c r="A456" s="1"/>
      <c r="B456" s="42"/>
      <c r="C456" s="49"/>
      <c r="D456" s="52"/>
      <c r="E456" s="49"/>
      <c r="F456" s="50"/>
      <c r="G456" s="51"/>
      <c r="H456" s="1"/>
    </row>
    <row r="457" spans="1:8" x14ac:dyDescent="0.25">
      <c r="A457" s="1"/>
      <c r="B457" s="42"/>
      <c r="C457" s="49"/>
      <c r="D457" s="52"/>
      <c r="E457" s="49"/>
      <c r="F457" s="50"/>
      <c r="G457" s="51"/>
      <c r="H457" s="1"/>
    </row>
    <row r="458" spans="1:8" x14ac:dyDescent="0.25">
      <c r="A458" s="1"/>
      <c r="B458" s="42"/>
      <c r="C458" s="49"/>
      <c r="D458" s="52"/>
      <c r="E458" s="49"/>
      <c r="F458" s="50"/>
      <c r="G458" s="51"/>
      <c r="H458" s="1"/>
    </row>
    <row r="459" spans="1:8" x14ac:dyDescent="0.25">
      <c r="A459" s="1"/>
      <c r="B459" s="42"/>
      <c r="C459" s="49"/>
      <c r="D459" s="52"/>
      <c r="E459" s="49"/>
      <c r="F459" s="50"/>
      <c r="G459" s="51"/>
      <c r="H459" s="1"/>
    </row>
    <row r="460" spans="1:8" x14ac:dyDescent="0.25">
      <c r="A460" s="1"/>
      <c r="B460" s="42"/>
      <c r="C460" s="49"/>
      <c r="D460" s="52"/>
      <c r="E460" s="49"/>
      <c r="F460" s="50"/>
      <c r="G460" s="51"/>
      <c r="H460" s="1"/>
    </row>
    <row r="461" spans="1:8" x14ac:dyDescent="0.25">
      <c r="A461" s="1"/>
      <c r="B461" s="42"/>
      <c r="C461" s="49"/>
      <c r="D461" s="52"/>
      <c r="E461" s="49"/>
      <c r="F461" s="50"/>
      <c r="G461" s="51"/>
      <c r="H461" s="1"/>
    </row>
    <row r="462" spans="1:8" x14ac:dyDescent="0.25">
      <c r="A462" s="1"/>
      <c r="B462" s="42"/>
      <c r="C462" s="49"/>
      <c r="D462" s="52"/>
      <c r="E462" s="49"/>
      <c r="F462" s="50"/>
      <c r="G462" s="51"/>
      <c r="H462" s="1"/>
    </row>
    <row r="463" spans="1:8" x14ac:dyDescent="0.25">
      <c r="A463" s="1"/>
      <c r="B463" s="42"/>
      <c r="C463" s="49"/>
      <c r="D463" s="52"/>
      <c r="E463" s="49"/>
      <c r="F463" s="50"/>
      <c r="G463" s="51"/>
      <c r="H463" s="1"/>
    </row>
    <row r="464" spans="1:8" x14ac:dyDescent="0.25">
      <c r="A464" s="1"/>
      <c r="B464" s="42"/>
      <c r="C464" s="49"/>
      <c r="D464" s="52"/>
      <c r="E464" s="49"/>
      <c r="F464" s="50"/>
      <c r="G464" s="51"/>
      <c r="H464" s="1"/>
    </row>
    <row r="465" spans="1:8" x14ac:dyDescent="0.25">
      <c r="A465" s="1"/>
      <c r="B465" s="42"/>
      <c r="C465" s="49"/>
      <c r="D465" s="52"/>
      <c r="E465" s="49"/>
      <c r="F465" s="50"/>
      <c r="G465" s="51"/>
      <c r="H465" s="1"/>
    </row>
    <row r="466" spans="1:8" x14ac:dyDescent="0.25">
      <c r="A466" s="1"/>
      <c r="B466" s="42"/>
      <c r="C466" s="49"/>
      <c r="D466" s="52"/>
      <c r="E466" s="49"/>
      <c r="F466" s="50"/>
      <c r="G466" s="51"/>
      <c r="H466" s="1"/>
    </row>
    <row r="467" spans="1:8" x14ac:dyDescent="0.25">
      <c r="A467" s="1"/>
      <c r="B467" s="42"/>
      <c r="C467" s="49"/>
      <c r="D467" s="52"/>
      <c r="E467" s="49"/>
      <c r="F467" s="50"/>
      <c r="G467" s="51"/>
      <c r="H467" s="1"/>
    </row>
    <row r="468" spans="1:8" x14ac:dyDescent="0.25">
      <c r="A468" s="1"/>
      <c r="B468" s="42"/>
      <c r="C468" s="49"/>
      <c r="D468" s="52"/>
      <c r="E468" s="49"/>
      <c r="F468" s="50"/>
      <c r="G468" s="51"/>
      <c r="H468" s="1"/>
    </row>
    <row r="469" spans="1:8" x14ac:dyDescent="0.25">
      <c r="A469" s="1"/>
      <c r="B469" s="42"/>
      <c r="C469" s="49"/>
      <c r="D469" s="52"/>
      <c r="E469" s="49"/>
      <c r="F469" s="50"/>
      <c r="G469" s="51"/>
      <c r="H469" s="1"/>
    </row>
    <row r="470" spans="1:8" x14ac:dyDescent="0.25">
      <c r="A470" s="1"/>
      <c r="B470" s="42"/>
      <c r="C470" s="49"/>
      <c r="D470" s="52"/>
      <c r="E470" s="49"/>
      <c r="F470" s="50"/>
      <c r="G470" s="51"/>
      <c r="H470" s="1"/>
    </row>
    <row r="471" spans="1:8" x14ac:dyDescent="0.25">
      <c r="A471" s="1"/>
      <c r="B471" s="42"/>
      <c r="C471" s="49"/>
      <c r="D471" s="52"/>
      <c r="E471" s="49"/>
      <c r="F471" s="50"/>
      <c r="G471" s="51"/>
      <c r="H471" s="1"/>
    </row>
    <row r="472" spans="1:8" x14ac:dyDescent="0.25">
      <c r="A472" s="1"/>
      <c r="B472" s="42"/>
      <c r="C472" s="49"/>
      <c r="D472" s="52"/>
      <c r="E472" s="49"/>
      <c r="F472" s="50"/>
      <c r="G472" s="51"/>
      <c r="H472" s="1"/>
    </row>
    <row r="473" spans="1:8" x14ac:dyDescent="0.25">
      <c r="A473" s="1"/>
      <c r="B473" s="42"/>
      <c r="C473" s="49"/>
      <c r="D473" s="52"/>
      <c r="E473" s="49"/>
      <c r="F473" s="50"/>
      <c r="G473" s="51"/>
      <c r="H473" s="1"/>
    </row>
  </sheetData>
  <dataValidations count="1">
    <dataValidation type="list" allowBlank="1" showInputMessage="1" showErrorMessage="1" sqref="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"TRUE, 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77"/>
  <sheetViews>
    <sheetView workbookViewId="0">
      <selection activeCell="B2" sqref="B2"/>
    </sheetView>
  </sheetViews>
  <sheetFormatPr defaultRowHeight="15" x14ac:dyDescent="0.25"/>
  <cols>
    <col min="2" max="2" width="15.42578125" customWidth="1"/>
    <col min="3" max="6" width="16.85546875" style="46" customWidth="1"/>
    <col min="7" max="7" width="13.140625" style="46" customWidth="1"/>
    <col min="258" max="258" width="15.42578125" customWidth="1"/>
    <col min="259" max="262" width="16.85546875" customWidth="1"/>
    <col min="263" max="263" width="13.140625" customWidth="1"/>
    <col min="514" max="514" width="15.42578125" customWidth="1"/>
    <col min="515" max="518" width="16.85546875" customWidth="1"/>
    <col min="519" max="519" width="13.140625" customWidth="1"/>
    <col min="770" max="770" width="15.42578125" customWidth="1"/>
    <col min="771" max="774" width="16.85546875" customWidth="1"/>
    <col min="775" max="775" width="13.140625" customWidth="1"/>
    <col min="1026" max="1026" width="15.42578125" customWidth="1"/>
    <col min="1027" max="1030" width="16.85546875" customWidth="1"/>
    <col min="1031" max="1031" width="13.140625" customWidth="1"/>
    <col min="1282" max="1282" width="15.42578125" customWidth="1"/>
    <col min="1283" max="1286" width="16.85546875" customWidth="1"/>
    <col min="1287" max="1287" width="13.140625" customWidth="1"/>
    <col min="1538" max="1538" width="15.42578125" customWidth="1"/>
    <col min="1539" max="1542" width="16.85546875" customWidth="1"/>
    <col min="1543" max="1543" width="13.140625" customWidth="1"/>
    <col min="1794" max="1794" width="15.42578125" customWidth="1"/>
    <col min="1795" max="1798" width="16.85546875" customWidth="1"/>
    <col min="1799" max="1799" width="13.140625" customWidth="1"/>
    <col min="2050" max="2050" width="15.42578125" customWidth="1"/>
    <col min="2051" max="2054" width="16.85546875" customWidth="1"/>
    <col min="2055" max="2055" width="13.140625" customWidth="1"/>
    <col min="2306" max="2306" width="15.42578125" customWidth="1"/>
    <col min="2307" max="2310" width="16.85546875" customWidth="1"/>
    <col min="2311" max="2311" width="13.140625" customWidth="1"/>
    <col min="2562" max="2562" width="15.42578125" customWidth="1"/>
    <col min="2563" max="2566" width="16.85546875" customWidth="1"/>
    <col min="2567" max="2567" width="13.140625" customWidth="1"/>
    <col min="2818" max="2818" width="15.42578125" customWidth="1"/>
    <col min="2819" max="2822" width="16.85546875" customWidth="1"/>
    <col min="2823" max="2823" width="13.140625" customWidth="1"/>
    <col min="3074" max="3074" width="15.42578125" customWidth="1"/>
    <col min="3075" max="3078" width="16.85546875" customWidth="1"/>
    <col min="3079" max="3079" width="13.140625" customWidth="1"/>
    <col min="3330" max="3330" width="15.42578125" customWidth="1"/>
    <col min="3331" max="3334" width="16.85546875" customWidth="1"/>
    <col min="3335" max="3335" width="13.140625" customWidth="1"/>
    <col min="3586" max="3586" width="15.42578125" customWidth="1"/>
    <col min="3587" max="3590" width="16.85546875" customWidth="1"/>
    <col min="3591" max="3591" width="13.140625" customWidth="1"/>
    <col min="3842" max="3842" width="15.42578125" customWidth="1"/>
    <col min="3843" max="3846" width="16.85546875" customWidth="1"/>
    <col min="3847" max="3847" width="13.140625" customWidth="1"/>
    <col min="4098" max="4098" width="15.42578125" customWidth="1"/>
    <col min="4099" max="4102" width="16.85546875" customWidth="1"/>
    <col min="4103" max="4103" width="13.140625" customWidth="1"/>
    <col min="4354" max="4354" width="15.42578125" customWidth="1"/>
    <col min="4355" max="4358" width="16.85546875" customWidth="1"/>
    <col min="4359" max="4359" width="13.140625" customWidth="1"/>
    <col min="4610" max="4610" width="15.42578125" customWidth="1"/>
    <col min="4611" max="4614" width="16.85546875" customWidth="1"/>
    <col min="4615" max="4615" width="13.140625" customWidth="1"/>
    <col min="4866" max="4866" width="15.42578125" customWidth="1"/>
    <col min="4867" max="4870" width="16.85546875" customWidth="1"/>
    <col min="4871" max="4871" width="13.140625" customWidth="1"/>
    <col min="5122" max="5122" width="15.42578125" customWidth="1"/>
    <col min="5123" max="5126" width="16.85546875" customWidth="1"/>
    <col min="5127" max="5127" width="13.140625" customWidth="1"/>
    <col min="5378" max="5378" width="15.42578125" customWidth="1"/>
    <col min="5379" max="5382" width="16.85546875" customWidth="1"/>
    <col min="5383" max="5383" width="13.140625" customWidth="1"/>
    <col min="5634" max="5634" width="15.42578125" customWidth="1"/>
    <col min="5635" max="5638" width="16.85546875" customWidth="1"/>
    <col min="5639" max="5639" width="13.140625" customWidth="1"/>
    <col min="5890" max="5890" width="15.42578125" customWidth="1"/>
    <col min="5891" max="5894" width="16.85546875" customWidth="1"/>
    <col min="5895" max="5895" width="13.140625" customWidth="1"/>
    <col min="6146" max="6146" width="15.42578125" customWidth="1"/>
    <col min="6147" max="6150" width="16.85546875" customWidth="1"/>
    <col min="6151" max="6151" width="13.140625" customWidth="1"/>
    <col min="6402" max="6402" width="15.42578125" customWidth="1"/>
    <col min="6403" max="6406" width="16.85546875" customWidth="1"/>
    <col min="6407" max="6407" width="13.140625" customWidth="1"/>
    <col min="6658" max="6658" width="15.42578125" customWidth="1"/>
    <col min="6659" max="6662" width="16.85546875" customWidth="1"/>
    <col min="6663" max="6663" width="13.140625" customWidth="1"/>
    <col min="6914" max="6914" width="15.42578125" customWidth="1"/>
    <col min="6915" max="6918" width="16.85546875" customWidth="1"/>
    <col min="6919" max="6919" width="13.140625" customWidth="1"/>
    <col min="7170" max="7170" width="15.42578125" customWidth="1"/>
    <col min="7171" max="7174" width="16.85546875" customWidth="1"/>
    <col min="7175" max="7175" width="13.140625" customWidth="1"/>
    <col min="7426" max="7426" width="15.42578125" customWidth="1"/>
    <col min="7427" max="7430" width="16.85546875" customWidth="1"/>
    <col min="7431" max="7431" width="13.140625" customWidth="1"/>
    <col min="7682" max="7682" width="15.42578125" customWidth="1"/>
    <col min="7683" max="7686" width="16.85546875" customWidth="1"/>
    <col min="7687" max="7687" width="13.140625" customWidth="1"/>
    <col min="7938" max="7938" width="15.42578125" customWidth="1"/>
    <col min="7939" max="7942" width="16.85546875" customWidth="1"/>
    <col min="7943" max="7943" width="13.140625" customWidth="1"/>
    <col min="8194" max="8194" width="15.42578125" customWidth="1"/>
    <col min="8195" max="8198" width="16.85546875" customWidth="1"/>
    <col min="8199" max="8199" width="13.140625" customWidth="1"/>
    <col min="8450" max="8450" width="15.42578125" customWidth="1"/>
    <col min="8451" max="8454" width="16.85546875" customWidth="1"/>
    <col min="8455" max="8455" width="13.140625" customWidth="1"/>
    <col min="8706" max="8706" width="15.42578125" customWidth="1"/>
    <col min="8707" max="8710" width="16.85546875" customWidth="1"/>
    <col min="8711" max="8711" width="13.140625" customWidth="1"/>
    <col min="8962" max="8962" width="15.42578125" customWidth="1"/>
    <col min="8963" max="8966" width="16.85546875" customWidth="1"/>
    <col min="8967" max="8967" width="13.140625" customWidth="1"/>
    <col min="9218" max="9218" width="15.42578125" customWidth="1"/>
    <col min="9219" max="9222" width="16.85546875" customWidth="1"/>
    <col min="9223" max="9223" width="13.140625" customWidth="1"/>
    <col min="9474" max="9474" width="15.42578125" customWidth="1"/>
    <col min="9475" max="9478" width="16.85546875" customWidth="1"/>
    <col min="9479" max="9479" width="13.140625" customWidth="1"/>
    <col min="9730" max="9730" width="15.42578125" customWidth="1"/>
    <col min="9731" max="9734" width="16.85546875" customWidth="1"/>
    <col min="9735" max="9735" width="13.140625" customWidth="1"/>
    <col min="9986" max="9986" width="15.42578125" customWidth="1"/>
    <col min="9987" max="9990" width="16.85546875" customWidth="1"/>
    <col min="9991" max="9991" width="13.140625" customWidth="1"/>
    <col min="10242" max="10242" width="15.42578125" customWidth="1"/>
    <col min="10243" max="10246" width="16.85546875" customWidth="1"/>
    <col min="10247" max="10247" width="13.140625" customWidth="1"/>
    <col min="10498" max="10498" width="15.42578125" customWidth="1"/>
    <col min="10499" max="10502" width="16.85546875" customWidth="1"/>
    <col min="10503" max="10503" width="13.140625" customWidth="1"/>
    <col min="10754" max="10754" width="15.42578125" customWidth="1"/>
    <col min="10755" max="10758" width="16.85546875" customWidth="1"/>
    <col min="10759" max="10759" width="13.140625" customWidth="1"/>
    <col min="11010" max="11010" width="15.42578125" customWidth="1"/>
    <col min="11011" max="11014" width="16.85546875" customWidth="1"/>
    <col min="11015" max="11015" width="13.140625" customWidth="1"/>
    <col min="11266" max="11266" width="15.42578125" customWidth="1"/>
    <col min="11267" max="11270" width="16.85546875" customWidth="1"/>
    <col min="11271" max="11271" width="13.140625" customWidth="1"/>
    <col min="11522" max="11522" width="15.42578125" customWidth="1"/>
    <col min="11523" max="11526" width="16.85546875" customWidth="1"/>
    <col min="11527" max="11527" width="13.140625" customWidth="1"/>
    <col min="11778" max="11778" width="15.42578125" customWidth="1"/>
    <col min="11779" max="11782" width="16.85546875" customWidth="1"/>
    <col min="11783" max="11783" width="13.140625" customWidth="1"/>
    <col min="12034" max="12034" width="15.42578125" customWidth="1"/>
    <col min="12035" max="12038" width="16.85546875" customWidth="1"/>
    <col min="12039" max="12039" width="13.140625" customWidth="1"/>
    <col min="12290" max="12290" width="15.42578125" customWidth="1"/>
    <col min="12291" max="12294" width="16.85546875" customWidth="1"/>
    <col min="12295" max="12295" width="13.140625" customWidth="1"/>
    <col min="12546" max="12546" width="15.42578125" customWidth="1"/>
    <col min="12547" max="12550" width="16.85546875" customWidth="1"/>
    <col min="12551" max="12551" width="13.140625" customWidth="1"/>
    <col min="12802" max="12802" width="15.42578125" customWidth="1"/>
    <col min="12803" max="12806" width="16.85546875" customWidth="1"/>
    <col min="12807" max="12807" width="13.140625" customWidth="1"/>
    <col min="13058" max="13058" width="15.42578125" customWidth="1"/>
    <col min="13059" max="13062" width="16.85546875" customWidth="1"/>
    <col min="13063" max="13063" width="13.140625" customWidth="1"/>
    <col min="13314" max="13314" width="15.42578125" customWidth="1"/>
    <col min="13315" max="13318" width="16.85546875" customWidth="1"/>
    <col min="13319" max="13319" width="13.140625" customWidth="1"/>
    <col min="13570" max="13570" width="15.42578125" customWidth="1"/>
    <col min="13571" max="13574" width="16.85546875" customWidth="1"/>
    <col min="13575" max="13575" width="13.140625" customWidth="1"/>
    <col min="13826" max="13826" width="15.42578125" customWidth="1"/>
    <col min="13827" max="13830" width="16.85546875" customWidth="1"/>
    <col min="13831" max="13831" width="13.140625" customWidth="1"/>
    <col min="14082" max="14082" width="15.42578125" customWidth="1"/>
    <col min="14083" max="14086" width="16.85546875" customWidth="1"/>
    <col min="14087" max="14087" width="13.140625" customWidth="1"/>
    <col min="14338" max="14338" width="15.42578125" customWidth="1"/>
    <col min="14339" max="14342" width="16.85546875" customWidth="1"/>
    <col min="14343" max="14343" width="13.140625" customWidth="1"/>
    <col min="14594" max="14594" width="15.42578125" customWidth="1"/>
    <col min="14595" max="14598" width="16.85546875" customWidth="1"/>
    <col min="14599" max="14599" width="13.140625" customWidth="1"/>
    <col min="14850" max="14850" width="15.42578125" customWidth="1"/>
    <col min="14851" max="14854" width="16.85546875" customWidth="1"/>
    <col min="14855" max="14855" width="13.140625" customWidth="1"/>
    <col min="15106" max="15106" width="15.42578125" customWidth="1"/>
    <col min="15107" max="15110" width="16.85546875" customWidth="1"/>
    <col min="15111" max="15111" width="13.140625" customWidth="1"/>
    <col min="15362" max="15362" width="15.42578125" customWidth="1"/>
    <col min="15363" max="15366" width="16.85546875" customWidth="1"/>
    <col min="15367" max="15367" width="13.140625" customWidth="1"/>
    <col min="15618" max="15618" width="15.42578125" customWidth="1"/>
    <col min="15619" max="15622" width="16.85546875" customWidth="1"/>
    <col min="15623" max="15623" width="13.140625" customWidth="1"/>
    <col min="15874" max="15874" width="15.42578125" customWidth="1"/>
    <col min="15875" max="15878" width="16.85546875" customWidth="1"/>
    <col min="15879" max="15879" width="13.140625" customWidth="1"/>
    <col min="16130" max="16130" width="15.42578125" customWidth="1"/>
    <col min="16131" max="16134" width="16.85546875" customWidth="1"/>
    <col min="16135" max="16135" width="13.140625" customWidth="1"/>
  </cols>
  <sheetData>
    <row r="1" spans="1:8" x14ac:dyDescent="0.25">
      <c r="C1"/>
      <c r="D1"/>
      <c r="E1"/>
      <c r="F1"/>
      <c r="G1"/>
    </row>
    <row r="2" spans="1:8" x14ac:dyDescent="0.25">
      <c r="C2"/>
      <c r="D2"/>
      <c r="E2"/>
      <c r="F2"/>
      <c r="G2"/>
    </row>
    <row r="3" spans="1:8" x14ac:dyDescent="0.25">
      <c r="C3"/>
      <c r="D3"/>
      <c r="E3"/>
      <c r="F3"/>
      <c r="G3"/>
    </row>
    <row r="4" spans="1:8" x14ac:dyDescent="0.25">
      <c r="C4"/>
      <c r="D4"/>
      <c r="E4"/>
      <c r="F4"/>
      <c r="G4"/>
    </row>
    <row r="5" spans="1:8" x14ac:dyDescent="0.25">
      <c r="C5"/>
      <c r="D5"/>
      <c r="E5" s="11"/>
      <c r="F5"/>
      <c r="G5"/>
    </row>
    <row r="6" spans="1:8" x14ac:dyDescent="0.25">
      <c r="C6"/>
      <c r="D6"/>
      <c r="E6" s="53"/>
      <c r="F6"/>
      <c r="G6"/>
    </row>
    <row r="7" spans="1:8" x14ac:dyDescent="0.25">
      <c r="A7" s="54"/>
      <c r="C7"/>
      <c r="D7"/>
      <c r="E7" s="53"/>
      <c r="F7"/>
      <c r="G7"/>
    </row>
    <row r="8" spans="1:8" x14ac:dyDescent="0.25">
      <c r="C8"/>
      <c r="D8"/>
      <c r="E8" s="55"/>
      <c r="F8"/>
      <c r="G8"/>
    </row>
    <row r="9" spans="1:8" ht="15.75" thickBot="1" x14ac:dyDescent="0.3">
      <c r="A9" s="1"/>
      <c r="B9" s="2"/>
      <c r="C9" s="2"/>
      <c r="D9" s="3"/>
      <c r="E9" s="2"/>
      <c r="F9" s="7"/>
      <c r="G9" s="1"/>
      <c r="H9" s="1"/>
    </row>
    <row r="10" spans="1:8" ht="15.75" thickTop="1" x14ac:dyDescent="0.25">
      <c r="A10" s="1"/>
      <c r="B10" s="4" t="s">
        <v>0</v>
      </c>
      <c r="C10" s="5">
        <v>1000000</v>
      </c>
      <c r="D10" s="6"/>
      <c r="E10" s="2"/>
      <c r="F10" s="7" t="s">
        <v>13</v>
      </c>
      <c r="G10" s="1" t="b">
        <v>1</v>
      </c>
      <c r="H10" s="1"/>
    </row>
    <row r="11" spans="1:8" x14ac:dyDescent="0.25">
      <c r="A11" s="1"/>
      <c r="B11" s="8" t="s">
        <v>1</v>
      </c>
      <c r="C11" s="9">
        <v>0.06</v>
      </c>
      <c r="D11" s="10"/>
      <c r="E11" s="2"/>
      <c r="F11" s="7" t="s">
        <v>14</v>
      </c>
      <c r="G11" s="1">
        <v>12</v>
      </c>
      <c r="H11" s="1"/>
    </row>
    <row r="12" spans="1:8" x14ac:dyDescent="0.25">
      <c r="A12" s="1"/>
      <c r="B12" s="8" t="s">
        <v>2</v>
      </c>
      <c r="C12" s="12">
        <f>C11/12</f>
        <v>5.0000000000000001E-3</v>
      </c>
      <c r="D12" s="13">
        <f>(1+C11)^(1/12)-1</f>
        <v>4.8675505653430484E-3</v>
      </c>
      <c r="E12" s="2"/>
      <c r="F12" s="7"/>
      <c r="G12" s="1"/>
      <c r="H12" s="1"/>
    </row>
    <row r="13" spans="1:8" x14ac:dyDescent="0.25">
      <c r="A13" s="1"/>
      <c r="B13" s="8" t="s">
        <v>4</v>
      </c>
      <c r="C13" s="15">
        <v>25</v>
      </c>
      <c r="D13" s="13"/>
      <c r="E13" s="2"/>
      <c r="F13" s="7"/>
      <c r="G13" s="1"/>
      <c r="H13" s="1"/>
    </row>
    <row r="14" spans="1:8" ht="15.75" thickBot="1" x14ac:dyDescent="0.3">
      <c r="A14" s="1"/>
      <c r="B14" s="16" t="s">
        <v>5</v>
      </c>
      <c r="C14" s="17">
        <f>C13*12</f>
        <v>300</v>
      </c>
      <c r="D14" s="18"/>
      <c r="E14" s="2"/>
      <c r="F14" s="7"/>
      <c r="G14" s="1"/>
      <c r="H14" s="1"/>
    </row>
    <row r="15" spans="1:8" ht="15.75" thickTop="1" x14ac:dyDescent="0.25">
      <c r="A15" s="19"/>
      <c r="B15" s="20"/>
      <c r="C15" s="19"/>
      <c r="D15" s="21"/>
      <c r="E15" s="22"/>
      <c r="F15" s="23"/>
      <c r="G15" s="19"/>
      <c r="H15" s="19"/>
    </row>
    <row r="16" spans="1:8" x14ac:dyDescent="0.25">
      <c r="A16" s="19"/>
      <c r="B16" s="19"/>
      <c r="C16" s="19"/>
      <c r="D16" s="21"/>
      <c r="E16" s="22"/>
      <c r="F16" s="23"/>
      <c r="G16" s="19"/>
      <c r="H16" s="19"/>
    </row>
    <row r="17" spans="1:8" x14ac:dyDescent="0.25">
      <c r="A17" s="1"/>
      <c r="B17" s="2"/>
      <c r="C17" s="2"/>
      <c r="D17" s="3"/>
      <c r="E17" s="2"/>
      <c r="F17" s="7"/>
      <c r="G17" s="1"/>
      <c r="H17" s="1"/>
    </row>
    <row r="18" spans="1:8" x14ac:dyDescent="0.25">
      <c r="A18" s="1"/>
      <c r="B18" s="2"/>
      <c r="C18" s="2"/>
      <c r="D18" s="3"/>
      <c r="E18" s="2"/>
      <c r="F18" s="7"/>
      <c r="G18" s="1"/>
      <c r="H18" s="1"/>
    </row>
    <row r="19" spans="1:8" ht="15.75" thickBot="1" x14ac:dyDescent="0.3">
      <c r="A19" s="24" t="s">
        <v>6</v>
      </c>
      <c r="B19" s="24" t="s">
        <v>7</v>
      </c>
      <c r="C19" s="24" t="s">
        <v>8</v>
      </c>
      <c r="D19" s="25" t="s">
        <v>9</v>
      </c>
      <c r="E19" s="24" t="s">
        <v>10</v>
      </c>
      <c r="F19" s="24" t="s">
        <v>11</v>
      </c>
      <c r="G19" s="26" t="s">
        <v>12</v>
      </c>
      <c r="H19" s="27"/>
    </row>
    <row r="20" spans="1:8" x14ac:dyDescent="0.25">
      <c r="A20" s="28"/>
      <c r="B20" s="29">
        <v>0</v>
      </c>
      <c r="C20" s="30"/>
      <c r="D20" s="31"/>
      <c r="E20" s="32"/>
      <c r="F20" s="32"/>
      <c r="G20" s="32">
        <f>C10</f>
        <v>1000000</v>
      </c>
      <c r="H20" s="27"/>
    </row>
    <row r="21" spans="1:8" s="38" customFormat="1" ht="12.75" x14ac:dyDescent="0.2">
      <c r="A21" s="33">
        <v>1</v>
      </c>
      <c r="B21" s="34">
        <v>1</v>
      </c>
      <c r="C21" s="35">
        <f>G20</f>
        <v>1000000</v>
      </c>
      <c r="D21" s="36">
        <f>IF(AND($G$10, B21&lt;=$G$11), F21, PMT($C$12, $C$14, $C$10))</f>
        <v>-5000</v>
      </c>
      <c r="E21" s="36">
        <f t="shared" ref="E21:E84" si="0">IF(AND($G$10, B21&lt;=$G$11), 0, D21-F21)</f>
        <v>0</v>
      </c>
      <c r="F21" s="36">
        <f>-G20*$C$12</f>
        <v>-5000</v>
      </c>
      <c r="G21" s="36">
        <f>C21+E21</f>
        <v>1000000</v>
      </c>
      <c r="H21" s="37"/>
    </row>
    <row r="22" spans="1:8" s="38" customFormat="1" ht="12.75" x14ac:dyDescent="0.2">
      <c r="A22" s="33">
        <v>1</v>
      </c>
      <c r="B22" s="34">
        <f t="shared" ref="B22:B85" si="1">+B21+1</f>
        <v>2</v>
      </c>
      <c r="C22" s="35">
        <f t="shared" ref="C22:C85" si="2">G21</f>
        <v>1000000</v>
      </c>
      <c r="D22" s="36">
        <f t="shared" ref="D22:D85" si="3">IF(AND($G$10, B22&lt;=$G$11), F22, PMT($C$12, $C$14, $C$10))</f>
        <v>-5000</v>
      </c>
      <c r="E22" s="36">
        <f t="shared" si="0"/>
        <v>0</v>
      </c>
      <c r="F22" s="36">
        <f t="shared" ref="F22:F85" si="4">-G21*$C$12</f>
        <v>-5000</v>
      </c>
      <c r="G22" s="36">
        <f t="shared" ref="G22:G85" si="5">C22+E22</f>
        <v>1000000</v>
      </c>
      <c r="H22" s="37"/>
    </row>
    <row r="23" spans="1:8" s="38" customFormat="1" ht="12.75" x14ac:dyDescent="0.2">
      <c r="A23" s="33">
        <v>1</v>
      </c>
      <c r="B23" s="34">
        <f t="shared" si="1"/>
        <v>3</v>
      </c>
      <c r="C23" s="35">
        <f t="shared" si="2"/>
        <v>1000000</v>
      </c>
      <c r="D23" s="36">
        <f t="shared" si="3"/>
        <v>-5000</v>
      </c>
      <c r="E23" s="36">
        <f t="shared" si="0"/>
        <v>0</v>
      </c>
      <c r="F23" s="36">
        <f t="shared" si="4"/>
        <v>-5000</v>
      </c>
      <c r="G23" s="36">
        <f t="shared" si="5"/>
        <v>1000000</v>
      </c>
      <c r="H23" s="37"/>
    </row>
    <row r="24" spans="1:8" s="38" customFormat="1" ht="12.75" x14ac:dyDescent="0.2">
      <c r="A24" s="33">
        <v>1</v>
      </c>
      <c r="B24" s="34">
        <f t="shared" si="1"/>
        <v>4</v>
      </c>
      <c r="C24" s="35">
        <f t="shared" si="2"/>
        <v>1000000</v>
      </c>
      <c r="D24" s="36">
        <f t="shared" si="3"/>
        <v>-5000</v>
      </c>
      <c r="E24" s="36">
        <f t="shared" si="0"/>
        <v>0</v>
      </c>
      <c r="F24" s="36">
        <f t="shared" si="4"/>
        <v>-5000</v>
      </c>
      <c r="G24" s="36">
        <f t="shared" si="5"/>
        <v>1000000</v>
      </c>
      <c r="H24" s="37"/>
    </row>
    <row r="25" spans="1:8" s="38" customFormat="1" ht="12.75" x14ac:dyDescent="0.2">
      <c r="A25" s="33">
        <v>1</v>
      </c>
      <c r="B25" s="34">
        <f t="shared" si="1"/>
        <v>5</v>
      </c>
      <c r="C25" s="35">
        <f t="shared" si="2"/>
        <v>1000000</v>
      </c>
      <c r="D25" s="36">
        <f t="shared" si="3"/>
        <v>-5000</v>
      </c>
      <c r="E25" s="36">
        <f t="shared" si="0"/>
        <v>0</v>
      </c>
      <c r="F25" s="36">
        <f t="shared" si="4"/>
        <v>-5000</v>
      </c>
      <c r="G25" s="36">
        <f t="shared" si="5"/>
        <v>1000000</v>
      </c>
      <c r="H25" s="37"/>
    </row>
    <row r="26" spans="1:8" s="38" customFormat="1" ht="12.75" x14ac:dyDescent="0.2">
      <c r="A26" s="33">
        <v>1</v>
      </c>
      <c r="B26" s="39">
        <f t="shared" si="1"/>
        <v>6</v>
      </c>
      <c r="C26" s="35">
        <f t="shared" si="2"/>
        <v>1000000</v>
      </c>
      <c r="D26" s="36">
        <f t="shared" si="3"/>
        <v>-5000</v>
      </c>
      <c r="E26" s="36">
        <f t="shared" si="0"/>
        <v>0</v>
      </c>
      <c r="F26" s="36">
        <f t="shared" si="4"/>
        <v>-5000</v>
      </c>
      <c r="G26" s="36">
        <f t="shared" si="5"/>
        <v>1000000</v>
      </c>
      <c r="H26" s="37"/>
    </row>
    <row r="27" spans="1:8" s="38" customFormat="1" ht="12.75" x14ac:dyDescent="0.2">
      <c r="A27" s="33">
        <v>1</v>
      </c>
      <c r="B27" s="39">
        <f t="shared" si="1"/>
        <v>7</v>
      </c>
      <c r="C27" s="35">
        <f t="shared" si="2"/>
        <v>1000000</v>
      </c>
      <c r="D27" s="36">
        <f t="shared" si="3"/>
        <v>-5000</v>
      </c>
      <c r="E27" s="36">
        <f t="shared" si="0"/>
        <v>0</v>
      </c>
      <c r="F27" s="36">
        <f t="shared" si="4"/>
        <v>-5000</v>
      </c>
      <c r="G27" s="36">
        <f t="shared" si="5"/>
        <v>1000000</v>
      </c>
      <c r="H27" s="37"/>
    </row>
    <row r="28" spans="1:8" s="38" customFormat="1" ht="12.75" x14ac:dyDescent="0.2">
      <c r="A28" s="33">
        <v>1</v>
      </c>
      <c r="B28" s="39">
        <f t="shared" si="1"/>
        <v>8</v>
      </c>
      <c r="C28" s="35">
        <f t="shared" si="2"/>
        <v>1000000</v>
      </c>
      <c r="D28" s="36">
        <f t="shared" si="3"/>
        <v>-5000</v>
      </c>
      <c r="E28" s="36">
        <f t="shared" si="0"/>
        <v>0</v>
      </c>
      <c r="F28" s="36">
        <f t="shared" si="4"/>
        <v>-5000</v>
      </c>
      <c r="G28" s="36">
        <f t="shared" si="5"/>
        <v>1000000</v>
      </c>
      <c r="H28" s="37"/>
    </row>
    <row r="29" spans="1:8" s="38" customFormat="1" ht="12.75" x14ac:dyDescent="0.2">
      <c r="A29" s="33">
        <v>1</v>
      </c>
      <c r="B29" s="39">
        <f t="shared" si="1"/>
        <v>9</v>
      </c>
      <c r="C29" s="35">
        <f t="shared" si="2"/>
        <v>1000000</v>
      </c>
      <c r="D29" s="36">
        <f t="shared" si="3"/>
        <v>-5000</v>
      </c>
      <c r="E29" s="36">
        <f t="shared" si="0"/>
        <v>0</v>
      </c>
      <c r="F29" s="36">
        <f t="shared" si="4"/>
        <v>-5000</v>
      </c>
      <c r="G29" s="36">
        <f t="shared" si="5"/>
        <v>1000000</v>
      </c>
      <c r="H29" s="37"/>
    </row>
    <row r="30" spans="1:8" s="38" customFormat="1" ht="12.75" x14ac:dyDescent="0.2">
      <c r="A30" s="33">
        <v>1</v>
      </c>
      <c r="B30" s="39">
        <f t="shared" si="1"/>
        <v>10</v>
      </c>
      <c r="C30" s="35">
        <f t="shared" si="2"/>
        <v>1000000</v>
      </c>
      <c r="D30" s="36">
        <f t="shared" si="3"/>
        <v>-5000</v>
      </c>
      <c r="E30" s="36">
        <f t="shared" si="0"/>
        <v>0</v>
      </c>
      <c r="F30" s="36">
        <f t="shared" si="4"/>
        <v>-5000</v>
      </c>
      <c r="G30" s="36">
        <f t="shared" si="5"/>
        <v>1000000</v>
      </c>
      <c r="H30" s="37"/>
    </row>
    <row r="31" spans="1:8" s="38" customFormat="1" ht="12.75" x14ac:dyDescent="0.2">
      <c r="A31" s="33">
        <v>1</v>
      </c>
      <c r="B31" s="39">
        <f t="shared" si="1"/>
        <v>11</v>
      </c>
      <c r="C31" s="35">
        <f t="shared" si="2"/>
        <v>1000000</v>
      </c>
      <c r="D31" s="36">
        <f t="shared" si="3"/>
        <v>-5000</v>
      </c>
      <c r="E31" s="36">
        <f t="shared" si="0"/>
        <v>0</v>
      </c>
      <c r="F31" s="36">
        <f t="shared" si="4"/>
        <v>-5000</v>
      </c>
      <c r="G31" s="36">
        <f t="shared" si="5"/>
        <v>1000000</v>
      </c>
      <c r="H31" s="37"/>
    </row>
    <row r="32" spans="1:8" s="38" customFormat="1" ht="12.75" x14ac:dyDescent="0.2">
      <c r="A32" s="33">
        <v>1</v>
      </c>
      <c r="B32" s="39">
        <f t="shared" si="1"/>
        <v>12</v>
      </c>
      <c r="C32" s="35">
        <f t="shared" si="2"/>
        <v>1000000</v>
      </c>
      <c r="D32" s="36">
        <f t="shared" si="3"/>
        <v>-5000</v>
      </c>
      <c r="E32" s="36">
        <f t="shared" si="0"/>
        <v>0</v>
      </c>
      <c r="F32" s="36">
        <f t="shared" si="4"/>
        <v>-5000</v>
      </c>
      <c r="G32" s="36">
        <f t="shared" si="5"/>
        <v>1000000</v>
      </c>
      <c r="H32" s="37"/>
    </row>
    <row r="33" spans="1:8" s="38" customFormat="1" ht="12.75" x14ac:dyDescent="0.2">
      <c r="A33" s="40">
        <f>A21+1</f>
        <v>2</v>
      </c>
      <c r="B33" s="39">
        <f t="shared" si="1"/>
        <v>13</v>
      </c>
      <c r="C33" s="35">
        <f t="shared" si="2"/>
        <v>1000000</v>
      </c>
      <c r="D33" s="36">
        <f t="shared" si="3"/>
        <v>-6443.0140148550854</v>
      </c>
      <c r="E33" s="36">
        <f t="shared" si="0"/>
        <v>-1443.0140148550854</v>
      </c>
      <c r="F33" s="36">
        <f t="shared" si="4"/>
        <v>-5000</v>
      </c>
      <c r="G33" s="36">
        <f t="shared" si="5"/>
        <v>998556.98598514497</v>
      </c>
      <c r="H33" s="37"/>
    </row>
    <row r="34" spans="1:8" s="38" customFormat="1" ht="12.75" x14ac:dyDescent="0.2">
      <c r="A34" s="40">
        <f>A33</f>
        <v>2</v>
      </c>
      <c r="B34" s="39">
        <f t="shared" si="1"/>
        <v>14</v>
      </c>
      <c r="C34" s="35">
        <f t="shared" si="2"/>
        <v>998556.98598514497</v>
      </c>
      <c r="D34" s="36">
        <f t="shared" si="3"/>
        <v>-6443.0140148550854</v>
      </c>
      <c r="E34" s="36">
        <f t="shared" si="0"/>
        <v>-1450.2290849293604</v>
      </c>
      <c r="F34" s="36">
        <f t="shared" si="4"/>
        <v>-4992.784929925725</v>
      </c>
      <c r="G34" s="36">
        <f t="shared" si="5"/>
        <v>997106.75690021564</v>
      </c>
      <c r="H34" s="37"/>
    </row>
    <row r="35" spans="1:8" s="38" customFormat="1" ht="12.75" x14ac:dyDescent="0.2">
      <c r="A35" s="40">
        <f t="shared" ref="A35:A44" si="6">A34</f>
        <v>2</v>
      </c>
      <c r="B35" s="39">
        <f t="shared" si="1"/>
        <v>15</v>
      </c>
      <c r="C35" s="35">
        <f t="shared" si="2"/>
        <v>997106.75690021564</v>
      </c>
      <c r="D35" s="36">
        <f t="shared" si="3"/>
        <v>-6443.0140148550854</v>
      </c>
      <c r="E35" s="36">
        <f t="shared" si="0"/>
        <v>-1457.4802303540073</v>
      </c>
      <c r="F35" s="36">
        <f t="shared" si="4"/>
        <v>-4985.5337845010781</v>
      </c>
      <c r="G35" s="36">
        <f t="shared" si="5"/>
        <v>995649.27666986163</v>
      </c>
      <c r="H35" s="37"/>
    </row>
    <row r="36" spans="1:8" s="38" customFormat="1" ht="12.75" x14ac:dyDescent="0.2">
      <c r="A36" s="40">
        <f t="shared" si="6"/>
        <v>2</v>
      </c>
      <c r="B36" s="39">
        <f t="shared" si="1"/>
        <v>16</v>
      </c>
      <c r="C36" s="35">
        <f t="shared" si="2"/>
        <v>995649.27666986163</v>
      </c>
      <c r="D36" s="36">
        <f t="shared" si="3"/>
        <v>-6443.0140148550854</v>
      </c>
      <c r="E36" s="36">
        <f t="shared" si="0"/>
        <v>-1464.767631505777</v>
      </c>
      <c r="F36" s="36">
        <f t="shared" si="4"/>
        <v>-4978.2463833493084</v>
      </c>
      <c r="G36" s="36">
        <f t="shared" si="5"/>
        <v>994184.5090383559</v>
      </c>
      <c r="H36" s="37"/>
    </row>
    <row r="37" spans="1:8" s="38" customFormat="1" ht="12.75" x14ac:dyDescent="0.2">
      <c r="A37" s="40">
        <f t="shared" si="6"/>
        <v>2</v>
      </c>
      <c r="B37" s="39">
        <f t="shared" si="1"/>
        <v>17</v>
      </c>
      <c r="C37" s="35">
        <f t="shared" si="2"/>
        <v>994184.5090383559</v>
      </c>
      <c r="D37" s="36">
        <f t="shared" si="3"/>
        <v>-6443.0140148550854</v>
      </c>
      <c r="E37" s="36">
        <f t="shared" si="0"/>
        <v>-1472.0914696633054</v>
      </c>
      <c r="F37" s="36">
        <f t="shared" si="4"/>
        <v>-4970.92254519178</v>
      </c>
      <c r="G37" s="36">
        <f t="shared" si="5"/>
        <v>992712.41756869259</v>
      </c>
      <c r="H37" s="37"/>
    </row>
    <row r="38" spans="1:8" s="38" customFormat="1" ht="12.75" x14ac:dyDescent="0.2">
      <c r="A38" s="40">
        <f t="shared" si="6"/>
        <v>2</v>
      </c>
      <c r="B38" s="39">
        <f t="shared" si="1"/>
        <v>18</v>
      </c>
      <c r="C38" s="35">
        <f t="shared" si="2"/>
        <v>992712.41756869259</v>
      </c>
      <c r="D38" s="36">
        <f t="shared" si="3"/>
        <v>-6443.0140148550854</v>
      </c>
      <c r="E38" s="36">
        <f t="shared" si="0"/>
        <v>-1479.4519270116225</v>
      </c>
      <c r="F38" s="36">
        <f t="shared" si="4"/>
        <v>-4963.5620878434629</v>
      </c>
      <c r="G38" s="36">
        <f t="shared" si="5"/>
        <v>991232.96564168099</v>
      </c>
      <c r="H38" s="37"/>
    </row>
    <row r="39" spans="1:8" s="38" customFormat="1" ht="12.75" x14ac:dyDescent="0.2">
      <c r="A39" s="40">
        <f t="shared" si="6"/>
        <v>2</v>
      </c>
      <c r="B39" s="39">
        <f t="shared" si="1"/>
        <v>19</v>
      </c>
      <c r="C39" s="35">
        <f t="shared" si="2"/>
        <v>991232.96564168099</v>
      </c>
      <c r="D39" s="36">
        <f t="shared" si="3"/>
        <v>-6443.0140148550854</v>
      </c>
      <c r="E39" s="36">
        <f t="shared" si="0"/>
        <v>-1486.8491866466802</v>
      </c>
      <c r="F39" s="36">
        <f t="shared" si="4"/>
        <v>-4956.1648282084052</v>
      </c>
      <c r="G39" s="36">
        <f t="shared" si="5"/>
        <v>989746.11645503435</v>
      </c>
      <c r="H39" s="37"/>
    </row>
    <row r="40" spans="1:8" s="38" customFormat="1" ht="12.75" x14ac:dyDescent="0.2">
      <c r="A40" s="40">
        <f t="shared" si="6"/>
        <v>2</v>
      </c>
      <c r="B40" s="39">
        <f t="shared" si="1"/>
        <v>20</v>
      </c>
      <c r="C40" s="35">
        <f t="shared" si="2"/>
        <v>989746.11645503435</v>
      </c>
      <c r="D40" s="36">
        <f t="shared" si="3"/>
        <v>-6443.0140148550854</v>
      </c>
      <c r="E40" s="36">
        <f t="shared" si="0"/>
        <v>-1494.2834325799131</v>
      </c>
      <c r="F40" s="36">
        <f t="shared" si="4"/>
        <v>-4948.7305822751723</v>
      </c>
      <c r="G40" s="36">
        <f t="shared" si="5"/>
        <v>988251.8330224544</v>
      </c>
      <c r="H40" s="37"/>
    </row>
    <row r="41" spans="1:8" s="38" customFormat="1" ht="12.75" x14ac:dyDescent="0.2">
      <c r="A41" s="40">
        <f t="shared" si="6"/>
        <v>2</v>
      </c>
      <c r="B41" s="39">
        <f t="shared" si="1"/>
        <v>21</v>
      </c>
      <c r="C41" s="35">
        <f t="shared" si="2"/>
        <v>988251.8330224544</v>
      </c>
      <c r="D41" s="36">
        <f t="shared" si="3"/>
        <v>-6443.0140148550854</v>
      </c>
      <c r="E41" s="36">
        <f t="shared" si="0"/>
        <v>-1501.7548497428133</v>
      </c>
      <c r="F41" s="36">
        <f t="shared" si="4"/>
        <v>-4941.2591651122721</v>
      </c>
      <c r="G41" s="36">
        <f t="shared" si="5"/>
        <v>986750.07817271154</v>
      </c>
      <c r="H41" s="37"/>
    </row>
    <row r="42" spans="1:8" s="38" customFormat="1" ht="12.75" x14ac:dyDescent="0.2">
      <c r="A42" s="40">
        <f t="shared" si="6"/>
        <v>2</v>
      </c>
      <c r="B42" s="39">
        <f t="shared" si="1"/>
        <v>22</v>
      </c>
      <c r="C42" s="35">
        <f t="shared" si="2"/>
        <v>986750.07817271154</v>
      </c>
      <c r="D42" s="36">
        <f t="shared" si="3"/>
        <v>-6443.0140148550854</v>
      </c>
      <c r="E42" s="36">
        <f t="shared" si="0"/>
        <v>-1509.2636239915273</v>
      </c>
      <c r="F42" s="36">
        <f t="shared" si="4"/>
        <v>-4933.7503908635581</v>
      </c>
      <c r="G42" s="36">
        <f t="shared" si="5"/>
        <v>985240.81454872002</v>
      </c>
      <c r="H42" s="37"/>
    </row>
    <row r="43" spans="1:8" s="38" customFormat="1" ht="12.75" x14ac:dyDescent="0.2">
      <c r="A43" s="40">
        <f t="shared" si="6"/>
        <v>2</v>
      </c>
      <c r="B43" s="39">
        <f t="shared" si="1"/>
        <v>23</v>
      </c>
      <c r="C43" s="35">
        <f t="shared" si="2"/>
        <v>985240.81454872002</v>
      </c>
      <c r="D43" s="36">
        <f t="shared" si="3"/>
        <v>-6443.0140148550854</v>
      </c>
      <c r="E43" s="36">
        <f t="shared" si="0"/>
        <v>-1516.8099421114848</v>
      </c>
      <c r="F43" s="36">
        <f t="shared" si="4"/>
        <v>-4926.2040727436006</v>
      </c>
      <c r="G43" s="36">
        <f t="shared" si="5"/>
        <v>983724.00460660853</v>
      </c>
      <c r="H43" s="37"/>
    </row>
    <row r="44" spans="1:8" s="38" customFormat="1" ht="12.75" x14ac:dyDescent="0.2">
      <c r="A44" s="40">
        <f t="shared" si="6"/>
        <v>2</v>
      </c>
      <c r="B44" s="39">
        <f t="shared" si="1"/>
        <v>24</v>
      </c>
      <c r="C44" s="35">
        <f t="shared" si="2"/>
        <v>983724.00460660853</v>
      </c>
      <c r="D44" s="36">
        <f t="shared" si="3"/>
        <v>-6443.0140148550854</v>
      </c>
      <c r="E44" s="36">
        <f t="shared" si="0"/>
        <v>-1524.3939918220431</v>
      </c>
      <c r="F44" s="36">
        <f t="shared" si="4"/>
        <v>-4918.6200230330423</v>
      </c>
      <c r="G44" s="36">
        <f t="shared" si="5"/>
        <v>982199.61061478651</v>
      </c>
      <c r="H44" s="37"/>
    </row>
    <row r="45" spans="1:8" s="38" customFormat="1" ht="12.75" x14ac:dyDescent="0.2">
      <c r="A45" s="40">
        <f>A33+1</f>
        <v>3</v>
      </c>
      <c r="B45" s="39">
        <f t="shared" si="1"/>
        <v>25</v>
      </c>
      <c r="C45" s="35">
        <f t="shared" si="2"/>
        <v>982199.61061478651</v>
      </c>
      <c r="D45" s="36">
        <f t="shared" si="3"/>
        <v>-6443.0140148550854</v>
      </c>
      <c r="E45" s="36">
        <f t="shared" si="0"/>
        <v>-1532.0159617811523</v>
      </c>
      <c r="F45" s="36">
        <f t="shared" si="4"/>
        <v>-4910.9980530739331</v>
      </c>
      <c r="G45" s="36">
        <f t="shared" si="5"/>
        <v>980667.59465300536</v>
      </c>
      <c r="H45" s="37"/>
    </row>
    <row r="46" spans="1:8" s="38" customFormat="1" ht="12.75" x14ac:dyDescent="0.2">
      <c r="A46" s="40">
        <f t="shared" ref="A46:A109" si="7">A45</f>
        <v>3</v>
      </c>
      <c r="B46" s="39">
        <f t="shared" si="1"/>
        <v>26</v>
      </c>
      <c r="C46" s="35">
        <f t="shared" si="2"/>
        <v>980667.59465300536</v>
      </c>
      <c r="D46" s="36">
        <f t="shared" si="3"/>
        <v>-6443.0140148550854</v>
      </c>
      <c r="E46" s="36">
        <f t="shared" si="0"/>
        <v>-1539.676041590058</v>
      </c>
      <c r="F46" s="36">
        <f t="shared" si="4"/>
        <v>-4903.3379732650274</v>
      </c>
      <c r="G46" s="36">
        <f t="shared" si="5"/>
        <v>979127.91861141531</v>
      </c>
      <c r="H46" s="37"/>
    </row>
    <row r="47" spans="1:8" s="38" customFormat="1" ht="12.75" x14ac:dyDescent="0.2">
      <c r="A47" s="40">
        <f t="shared" si="7"/>
        <v>3</v>
      </c>
      <c r="B47" s="39">
        <f t="shared" si="1"/>
        <v>27</v>
      </c>
      <c r="C47" s="35">
        <f t="shared" si="2"/>
        <v>979127.91861141531</v>
      </c>
      <c r="D47" s="36">
        <f t="shared" si="3"/>
        <v>-6443.0140148550854</v>
      </c>
      <c r="E47" s="36">
        <f t="shared" si="0"/>
        <v>-1547.3744217980084</v>
      </c>
      <c r="F47" s="36">
        <f t="shared" si="4"/>
        <v>-4895.639593057077</v>
      </c>
      <c r="G47" s="36">
        <f t="shared" si="5"/>
        <v>977580.54418961727</v>
      </c>
      <c r="H47" s="37"/>
    </row>
    <row r="48" spans="1:8" s="38" customFormat="1" ht="12.75" x14ac:dyDescent="0.2">
      <c r="A48" s="40">
        <f t="shared" si="7"/>
        <v>3</v>
      </c>
      <c r="B48" s="39">
        <f t="shared" si="1"/>
        <v>28</v>
      </c>
      <c r="C48" s="35">
        <f t="shared" si="2"/>
        <v>977580.54418961727</v>
      </c>
      <c r="D48" s="36">
        <f t="shared" si="3"/>
        <v>-6443.0140148550854</v>
      </c>
      <c r="E48" s="36">
        <f t="shared" si="0"/>
        <v>-1555.111293906999</v>
      </c>
      <c r="F48" s="36">
        <f t="shared" si="4"/>
        <v>-4887.9027209480864</v>
      </c>
      <c r="G48" s="36">
        <f t="shared" si="5"/>
        <v>976025.43289571023</v>
      </c>
      <c r="H48" s="37"/>
    </row>
    <row r="49" spans="1:8" s="38" customFormat="1" ht="12.75" x14ac:dyDescent="0.2">
      <c r="A49" s="40">
        <f t="shared" si="7"/>
        <v>3</v>
      </c>
      <c r="B49" s="39">
        <f t="shared" si="1"/>
        <v>29</v>
      </c>
      <c r="C49" s="35">
        <f t="shared" si="2"/>
        <v>976025.43289571023</v>
      </c>
      <c r="D49" s="36">
        <f t="shared" si="3"/>
        <v>-6443.0140148550854</v>
      </c>
      <c r="E49" s="36">
        <f t="shared" si="0"/>
        <v>-1562.8868503765343</v>
      </c>
      <c r="F49" s="36">
        <f t="shared" si="4"/>
        <v>-4880.1271644785511</v>
      </c>
      <c r="G49" s="36">
        <f t="shared" si="5"/>
        <v>974462.54604533373</v>
      </c>
      <c r="H49" s="37"/>
    </row>
    <row r="50" spans="1:8" s="38" customFormat="1" ht="12.75" x14ac:dyDescent="0.2">
      <c r="A50" s="40">
        <f t="shared" si="7"/>
        <v>3</v>
      </c>
      <c r="B50" s="39">
        <f t="shared" si="1"/>
        <v>30</v>
      </c>
      <c r="C50" s="35">
        <f t="shared" si="2"/>
        <v>974462.54604533373</v>
      </c>
      <c r="D50" s="36">
        <f t="shared" si="3"/>
        <v>-6443.0140148550854</v>
      </c>
      <c r="E50" s="36">
        <f t="shared" si="0"/>
        <v>-1570.7012846284169</v>
      </c>
      <c r="F50" s="36">
        <f t="shared" si="4"/>
        <v>-4872.3127302266685</v>
      </c>
      <c r="G50" s="36">
        <f t="shared" si="5"/>
        <v>972891.84476070537</v>
      </c>
      <c r="H50" s="37"/>
    </row>
    <row r="51" spans="1:8" s="38" customFormat="1" ht="12.75" x14ac:dyDescent="0.2">
      <c r="A51" s="40">
        <f t="shared" si="7"/>
        <v>3</v>
      </c>
      <c r="B51" s="39">
        <f t="shared" si="1"/>
        <v>31</v>
      </c>
      <c r="C51" s="35">
        <f t="shared" si="2"/>
        <v>972891.84476070537</v>
      </c>
      <c r="D51" s="36">
        <f t="shared" si="3"/>
        <v>-6443.0140148550854</v>
      </c>
      <c r="E51" s="36">
        <f t="shared" si="0"/>
        <v>-1578.5547910515588</v>
      </c>
      <c r="F51" s="36">
        <f t="shared" si="4"/>
        <v>-4864.4592238035266</v>
      </c>
      <c r="G51" s="36">
        <f t="shared" si="5"/>
        <v>971313.28996965382</v>
      </c>
      <c r="H51" s="37"/>
    </row>
    <row r="52" spans="1:8" s="38" customFormat="1" ht="12.75" x14ac:dyDescent="0.2">
      <c r="A52" s="40">
        <f t="shared" si="7"/>
        <v>3</v>
      </c>
      <c r="B52" s="39">
        <f t="shared" si="1"/>
        <v>32</v>
      </c>
      <c r="C52" s="35">
        <f t="shared" si="2"/>
        <v>971313.28996965382</v>
      </c>
      <c r="D52" s="36">
        <f t="shared" si="3"/>
        <v>-6443.0140148550854</v>
      </c>
      <c r="E52" s="36">
        <f t="shared" si="0"/>
        <v>-1586.4475650068161</v>
      </c>
      <c r="F52" s="36">
        <f t="shared" si="4"/>
        <v>-4856.5664498482693</v>
      </c>
      <c r="G52" s="36">
        <f t="shared" si="5"/>
        <v>969726.84240464703</v>
      </c>
      <c r="H52" s="37"/>
    </row>
    <row r="53" spans="1:8" s="38" customFormat="1" ht="12.75" x14ac:dyDescent="0.2">
      <c r="A53" s="40">
        <f t="shared" si="7"/>
        <v>3</v>
      </c>
      <c r="B53" s="39">
        <f t="shared" si="1"/>
        <v>33</v>
      </c>
      <c r="C53" s="35">
        <f t="shared" si="2"/>
        <v>969726.84240464703</v>
      </c>
      <c r="D53" s="36">
        <f t="shared" si="3"/>
        <v>-6443.0140148550854</v>
      </c>
      <c r="E53" s="36">
        <f t="shared" si="0"/>
        <v>-1594.3798028318497</v>
      </c>
      <c r="F53" s="36">
        <f t="shared" si="4"/>
        <v>-4848.6342120232357</v>
      </c>
      <c r="G53" s="36">
        <f t="shared" si="5"/>
        <v>968132.46260181523</v>
      </c>
      <c r="H53" s="37"/>
    </row>
    <row r="54" spans="1:8" s="38" customFormat="1" ht="12.75" x14ac:dyDescent="0.2">
      <c r="A54" s="40">
        <f t="shared" si="7"/>
        <v>3</v>
      </c>
      <c r="B54" s="39">
        <f t="shared" si="1"/>
        <v>34</v>
      </c>
      <c r="C54" s="35">
        <f t="shared" si="2"/>
        <v>968132.46260181523</v>
      </c>
      <c r="D54" s="36">
        <f t="shared" si="3"/>
        <v>-6443.0140148550854</v>
      </c>
      <c r="E54" s="36">
        <f t="shared" si="0"/>
        <v>-1602.3517018460088</v>
      </c>
      <c r="F54" s="36">
        <f t="shared" si="4"/>
        <v>-4840.6623130090766</v>
      </c>
      <c r="G54" s="36">
        <f t="shared" si="5"/>
        <v>966530.11089996924</v>
      </c>
      <c r="H54" s="37"/>
    </row>
    <row r="55" spans="1:8" s="38" customFormat="1" ht="12.75" x14ac:dyDescent="0.2">
      <c r="A55" s="40">
        <f t="shared" si="7"/>
        <v>3</v>
      </c>
      <c r="B55" s="39">
        <f t="shared" si="1"/>
        <v>35</v>
      </c>
      <c r="C55" s="35">
        <f t="shared" si="2"/>
        <v>966530.11089996924</v>
      </c>
      <c r="D55" s="36">
        <f t="shared" si="3"/>
        <v>-6443.0140148550854</v>
      </c>
      <c r="E55" s="36">
        <f t="shared" si="0"/>
        <v>-1610.3634603552391</v>
      </c>
      <c r="F55" s="36">
        <f t="shared" si="4"/>
        <v>-4832.6505544998463</v>
      </c>
      <c r="G55" s="36">
        <f t="shared" si="5"/>
        <v>964919.74743961403</v>
      </c>
      <c r="H55" s="37"/>
    </row>
    <row r="56" spans="1:8" s="38" customFormat="1" ht="12.75" x14ac:dyDescent="0.2">
      <c r="A56" s="40">
        <f t="shared" si="7"/>
        <v>3</v>
      </c>
      <c r="B56" s="39">
        <f t="shared" si="1"/>
        <v>36</v>
      </c>
      <c r="C56" s="35">
        <f t="shared" si="2"/>
        <v>964919.74743961403</v>
      </c>
      <c r="D56" s="36">
        <f t="shared" si="3"/>
        <v>-6443.0140148550854</v>
      </c>
      <c r="E56" s="36">
        <f t="shared" si="0"/>
        <v>-1618.4152776570154</v>
      </c>
      <c r="F56" s="36">
        <f t="shared" si="4"/>
        <v>-4824.59873719807</v>
      </c>
      <c r="G56" s="36">
        <f t="shared" si="5"/>
        <v>963301.33216195705</v>
      </c>
      <c r="H56" s="37"/>
    </row>
    <row r="57" spans="1:8" s="38" customFormat="1" ht="12.75" x14ac:dyDescent="0.2">
      <c r="A57" s="40">
        <f>A45+1</f>
        <v>4</v>
      </c>
      <c r="B57" s="39">
        <f t="shared" si="1"/>
        <v>37</v>
      </c>
      <c r="C57" s="35">
        <f t="shared" si="2"/>
        <v>963301.33216195705</v>
      </c>
      <c r="D57" s="36">
        <f t="shared" si="3"/>
        <v>-6443.0140148550854</v>
      </c>
      <c r="E57" s="36">
        <f t="shared" si="0"/>
        <v>-1626.5073540453004</v>
      </c>
      <c r="F57" s="36">
        <f t="shared" si="4"/>
        <v>-4816.506660809785</v>
      </c>
      <c r="G57" s="36">
        <f t="shared" si="5"/>
        <v>961674.82480791176</v>
      </c>
      <c r="H57" s="37"/>
    </row>
    <row r="58" spans="1:8" s="38" customFormat="1" ht="12.75" x14ac:dyDescent="0.2">
      <c r="A58" s="40">
        <f>A57</f>
        <v>4</v>
      </c>
      <c r="B58" s="39">
        <f t="shared" si="1"/>
        <v>38</v>
      </c>
      <c r="C58" s="35">
        <f t="shared" si="2"/>
        <v>961674.82480791176</v>
      </c>
      <c r="D58" s="36">
        <f t="shared" si="3"/>
        <v>-6443.0140148550854</v>
      </c>
      <c r="E58" s="36">
        <f t="shared" si="0"/>
        <v>-1634.6398908155261</v>
      </c>
      <c r="F58" s="36">
        <f t="shared" si="4"/>
        <v>-4808.3741240395593</v>
      </c>
      <c r="G58" s="36">
        <f t="shared" si="5"/>
        <v>960040.18491709628</v>
      </c>
      <c r="H58" s="37"/>
    </row>
    <row r="59" spans="1:8" s="38" customFormat="1" ht="12.75" x14ac:dyDescent="0.2">
      <c r="A59" s="40">
        <f t="shared" si="7"/>
        <v>4</v>
      </c>
      <c r="B59" s="39">
        <f t="shared" si="1"/>
        <v>39</v>
      </c>
      <c r="C59" s="35">
        <f t="shared" si="2"/>
        <v>960040.18491709628</v>
      </c>
      <c r="D59" s="36">
        <f t="shared" si="3"/>
        <v>-6443.0140148550854</v>
      </c>
      <c r="E59" s="36">
        <f t="shared" si="0"/>
        <v>-1642.8130902696039</v>
      </c>
      <c r="F59" s="36">
        <f t="shared" si="4"/>
        <v>-4800.2009245854815</v>
      </c>
      <c r="G59" s="36">
        <f t="shared" si="5"/>
        <v>958397.37182682671</v>
      </c>
      <c r="H59" s="37"/>
    </row>
    <row r="60" spans="1:8" s="38" customFormat="1" ht="12.75" x14ac:dyDescent="0.2">
      <c r="A60" s="40">
        <f t="shared" si="7"/>
        <v>4</v>
      </c>
      <c r="B60" s="39">
        <f t="shared" si="1"/>
        <v>40</v>
      </c>
      <c r="C60" s="35">
        <f t="shared" si="2"/>
        <v>958397.37182682671</v>
      </c>
      <c r="D60" s="36">
        <f t="shared" si="3"/>
        <v>-6443.0140148550854</v>
      </c>
      <c r="E60" s="36">
        <f t="shared" si="0"/>
        <v>-1651.0271557209517</v>
      </c>
      <c r="F60" s="36">
        <f t="shared" si="4"/>
        <v>-4791.9868591341337</v>
      </c>
      <c r="G60" s="36">
        <f t="shared" si="5"/>
        <v>956746.34467110573</v>
      </c>
      <c r="H60" s="37"/>
    </row>
    <row r="61" spans="1:8" s="38" customFormat="1" ht="12.75" x14ac:dyDescent="0.2">
      <c r="A61" s="40">
        <f t="shared" si="7"/>
        <v>4</v>
      </c>
      <c r="B61" s="39">
        <f t="shared" si="1"/>
        <v>41</v>
      </c>
      <c r="C61" s="35">
        <f t="shared" si="2"/>
        <v>956746.34467110573</v>
      </c>
      <c r="D61" s="36">
        <f t="shared" si="3"/>
        <v>-6443.0140148550854</v>
      </c>
      <c r="E61" s="36">
        <f t="shared" si="0"/>
        <v>-1659.2822914995568</v>
      </c>
      <c r="F61" s="36">
        <f t="shared" si="4"/>
        <v>-4783.7317233555286</v>
      </c>
      <c r="G61" s="36">
        <f t="shared" si="5"/>
        <v>955087.06237960618</v>
      </c>
      <c r="H61" s="37"/>
    </row>
    <row r="62" spans="1:8" s="38" customFormat="1" ht="12.75" x14ac:dyDescent="0.2">
      <c r="A62" s="40">
        <f t="shared" si="7"/>
        <v>4</v>
      </c>
      <c r="B62" s="39">
        <f t="shared" si="1"/>
        <v>42</v>
      </c>
      <c r="C62" s="35">
        <f t="shared" si="2"/>
        <v>955087.06237960618</v>
      </c>
      <c r="D62" s="36">
        <f t="shared" si="3"/>
        <v>-6443.0140148550854</v>
      </c>
      <c r="E62" s="36">
        <f t="shared" si="0"/>
        <v>-1667.5787029570547</v>
      </c>
      <c r="F62" s="36">
        <f t="shared" si="4"/>
        <v>-4775.4353118980307</v>
      </c>
      <c r="G62" s="36">
        <f t="shared" si="5"/>
        <v>953419.48367664916</v>
      </c>
      <c r="H62" s="37"/>
    </row>
    <row r="63" spans="1:8" s="38" customFormat="1" ht="12.75" x14ac:dyDescent="0.2">
      <c r="A63" s="40">
        <f t="shared" si="7"/>
        <v>4</v>
      </c>
      <c r="B63" s="39">
        <f t="shared" si="1"/>
        <v>43</v>
      </c>
      <c r="C63" s="35">
        <f t="shared" si="2"/>
        <v>953419.48367664916</v>
      </c>
      <c r="D63" s="36">
        <f t="shared" si="3"/>
        <v>-6443.0140148550854</v>
      </c>
      <c r="E63" s="36">
        <f t="shared" si="0"/>
        <v>-1675.9165964718395</v>
      </c>
      <c r="F63" s="36">
        <f t="shared" si="4"/>
        <v>-4767.0974183832459</v>
      </c>
      <c r="G63" s="36">
        <f t="shared" si="5"/>
        <v>951743.56708017737</v>
      </c>
      <c r="H63" s="37"/>
    </row>
    <row r="64" spans="1:8" s="38" customFormat="1" ht="12.75" x14ac:dyDescent="0.2">
      <c r="A64" s="40">
        <f t="shared" si="7"/>
        <v>4</v>
      </c>
      <c r="B64" s="39">
        <f t="shared" si="1"/>
        <v>44</v>
      </c>
      <c r="C64" s="35">
        <f t="shared" si="2"/>
        <v>951743.56708017737</v>
      </c>
      <c r="D64" s="36">
        <f t="shared" si="3"/>
        <v>-6443.0140148550854</v>
      </c>
      <c r="E64" s="36">
        <f t="shared" si="0"/>
        <v>-1684.2961794541989</v>
      </c>
      <c r="F64" s="36">
        <f t="shared" si="4"/>
        <v>-4758.7178354008865</v>
      </c>
      <c r="G64" s="36">
        <f t="shared" si="5"/>
        <v>950059.27090072318</v>
      </c>
      <c r="H64" s="37"/>
    </row>
    <row r="65" spans="1:8" s="38" customFormat="1" ht="12.75" x14ac:dyDescent="0.2">
      <c r="A65" s="40">
        <f t="shared" si="7"/>
        <v>4</v>
      </c>
      <c r="B65" s="39">
        <f t="shared" si="1"/>
        <v>45</v>
      </c>
      <c r="C65" s="35">
        <f t="shared" si="2"/>
        <v>950059.27090072318</v>
      </c>
      <c r="D65" s="36">
        <f t="shared" si="3"/>
        <v>-6443.0140148550854</v>
      </c>
      <c r="E65" s="36">
        <f t="shared" si="0"/>
        <v>-1692.717660351469</v>
      </c>
      <c r="F65" s="36">
        <f t="shared" si="4"/>
        <v>-4750.2963545036164</v>
      </c>
      <c r="G65" s="36">
        <f t="shared" si="5"/>
        <v>948366.55324037175</v>
      </c>
      <c r="H65" s="37"/>
    </row>
    <row r="66" spans="1:8" s="38" customFormat="1" ht="12.75" x14ac:dyDescent="0.2">
      <c r="A66" s="40">
        <f t="shared" si="7"/>
        <v>4</v>
      </c>
      <c r="B66" s="39">
        <f t="shared" si="1"/>
        <v>46</v>
      </c>
      <c r="C66" s="35">
        <f t="shared" si="2"/>
        <v>948366.55324037175</v>
      </c>
      <c r="D66" s="36">
        <f t="shared" si="3"/>
        <v>-6443.0140148550854</v>
      </c>
      <c r="E66" s="36">
        <f t="shared" si="0"/>
        <v>-1701.1812486532262</v>
      </c>
      <c r="F66" s="36">
        <f t="shared" si="4"/>
        <v>-4741.8327662018592</v>
      </c>
      <c r="G66" s="36">
        <f t="shared" si="5"/>
        <v>946665.37199171854</v>
      </c>
      <c r="H66" s="37"/>
    </row>
    <row r="67" spans="1:8" s="38" customFormat="1" ht="12.75" x14ac:dyDescent="0.2">
      <c r="A67" s="40">
        <f t="shared" si="7"/>
        <v>4</v>
      </c>
      <c r="B67" s="39">
        <f t="shared" si="1"/>
        <v>47</v>
      </c>
      <c r="C67" s="35">
        <f t="shared" si="2"/>
        <v>946665.37199171854</v>
      </c>
      <c r="D67" s="36">
        <f t="shared" si="3"/>
        <v>-6443.0140148550854</v>
      </c>
      <c r="E67" s="36">
        <f t="shared" si="0"/>
        <v>-1709.6871548964928</v>
      </c>
      <c r="F67" s="36">
        <f t="shared" si="4"/>
        <v>-4733.3268599585926</v>
      </c>
      <c r="G67" s="36">
        <f t="shared" si="5"/>
        <v>944955.6848368221</v>
      </c>
      <c r="H67" s="37"/>
    </row>
    <row r="68" spans="1:8" s="38" customFormat="1" ht="12.75" x14ac:dyDescent="0.2">
      <c r="A68" s="40">
        <f t="shared" si="7"/>
        <v>4</v>
      </c>
      <c r="B68" s="39">
        <f t="shared" si="1"/>
        <v>48</v>
      </c>
      <c r="C68" s="35">
        <f t="shared" si="2"/>
        <v>944955.6848368221</v>
      </c>
      <c r="D68" s="36">
        <f t="shared" si="3"/>
        <v>-6443.0140148550854</v>
      </c>
      <c r="E68" s="36">
        <f t="shared" si="0"/>
        <v>-1718.2355906709745</v>
      </c>
      <c r="F68" s="36">
        <f t="shared" si="4"/>
        <v>-4724.7784241841109</v>
      </c>
      <c r="G68" s="36">
        <f t="shared" si="5"/>
        <v>943237.44924615114</v>
      </c>
      <c r="H68" s="37"/>
    </row>
    <row r="69" spans="1:8" s="38" customFormat="1" ht="12.75" x14ac:dyDescent="0.2">
      <c r="A69" s="40">
        <f>A57+1</f>
        <v>5</v>
      </c>
      <c r="B69" s="39">
        <f t="shared" si="1"/>
        <v>49</v>
      </c>
      <c r="C69" s="35">
        <f t="shared" si="2"/>
        <v>943237.44924615114</v>
      </c>
      <c r="D69" s="36">
        <f t="shared" si="3"/>
        <v>-6443.0140148550854</v>
      </c>
      <c r="E69" s="36">
        <f t="shared" si="0"/>
        <v>-1726.8267686243298</v>
      </c>
      <c r="F69" s="36">
        <f t="shared" si="4"/>
        <v>-4716.1872462307556</v>
      </c>
      <c r="G69" s="36">
        <f t="shared" si="5"/>
        <v>941510.62247752678</v>
      </c>
      <c r="H69" s="37"/>
    </row>
    <row r="70" spans="1:8" s="38" customFormat="1" ht="12.75" x14ac:dyDescent="0.2">
      <c r="A70" s="40">
        <f>A69</f>
        <v>5</v>
      </c>
      <c r="B70" s="39">
        <f t="shared" si="1"/>
        <v>50</v>
      </c>
      <c r="C70" s="35">
        <f t="shared" si="2"/>
        <v>941510.62247752678</v>
      </c>
      <c r="D70" s="36">
        <f t="shared" si="3"/>
        <v>-6443.0140148550854</v>
      </c>
      <c r="E70" s="36">
        <f t="shared" si="0"/>
        <v>-1735.460902467451</v>
      </c>
      <c r="F70" s="36">
        <f t="shared" si="4"/>
        <v>-4707.5531123876344</v>
      </c>
      <c r="G70" s="36">
        <f t="shared" si="5"/>
        <v>939775.16157505929</v>
      </c>
      <c r="H70" s="37"/>
    </row>
    <row r="71" spans="1:8" s="38" customFormat="1" ht="12.75" x14ac:dyDescent="0.2">
      <c r="A71" s="40">
        <f t="shared" si="7"/>
        <v>5</v>
      </c>
      <c r="B71" s="39">
        <f t="shared" si="1"/>
        <v>51</v>
      </c>
      <c r="C71" s="35">
        <f t="shared" si="2"/>
        <v>939775.16157505929</v>
      </c>
      <c r="D71" s="36">
        <f t="shared" si="3"/>
        <v>-6443.0140148550854</v>
      </c>
      <c r="E71" s="36">
        <f t="shared" si="0"/>
        <v>-1744.1382069797892</v>
      </c>
      <c r="F71" s="36">
        <f t="shared" si="4"/>
        <v>-4698.8758078752962</v>
      </c>
      <c r="G71" s="36">
        <f t="shared" si="5"/>
        <v>938031.02336807945</v>
      </c>
      <c r="H71" s="37"/>
    </row>
    <row r="72" spans="1:8" s="38" customFormat="1" ht="12.75" x14ac:dyDescent="0.2">
      <c r="A72" s="40">
        <f t="shared" si="7"/>
        <v>5</v>
      </c>
      <c r="B72" s="39">
        <f t="shared" si="1"/>
        <v>52</v>
      </c>
      <c r="C72" s="35">
        <f t="shared" si="2"/>
        <v>938031.02336807945</v>
      </c>
      <c r="D72" s="36">
        <f t="shared" si="3"/>
        <v>-6443.0140148550854</v>
      </c>
      <c r="E72" s="36">
        <f t="shared" si="0"/>
        <v>-1752.8588980146878</v>
      </c>
      <c r="F72" s="36">
        <f t="shared" si="4"/>
        <v>-4690.1551168403976</v>
      </c>
      <c r="G72" s="36">
        <f t="shared" si="5"/>
        <v>936278.1644700648</v>
      </c>
      <c r="H72" s="37"/>
    </row>
    <row r="73" spans="1:8" s="38" customFormat="1" ht="12.75" x14ac:dyDescent="0.2">
      <c r="A73" s="40">
        <f t="shared" si="7"/>
        <v>5</v>
      </c>
      <c r="B73" s="39">
        <f t="shared" si="1"/>
        <v>53</v>
      </c>
      <c r="C73" s="35">
        <f t="shared" si="2"/>
        <v>936278.1644700648</v>
      </c>
      <c r="D73" s="36">
        <f t="shared" si="3"/>
        <v>-6443.0140148550854</v>
      </c>
      <c r="E73" s="36">
        <f t="shared" si="0"/>
        <v>-1761.6231925047614</v>
      </c>
      <c r="F73" s="36">
        <f t="shared" si="4"/>
        <v>-4681.390822350324</v>
      </c>
      <c r="G73" s="36">
        <f t="shared" si="5"/>
        <v>934516.54127756006</v>
      </c>
      <c r="H73" s="37"/>
    </row>
    <row r="74" spans="1:8" s="38" customFormat="1" ht="12.75" x14ac:dyDescent="0.2">
      <c r="A74" s="40">
        <f t="shared" si="7"/>
        <v>5</v>
      </c>
      <c r="B74" s="39">
        <f t="shared" si="1"/>
        <v>54</v>
      </c>
      <c r="C74" s="35">
        <f t="shared" si="2"/>
        <v>934516.54127756006</v>
      </c>
      <c r="D74" s="36">
        <f t="shared" si="3"/>
        <v>-6443.0140148550854</v>
      </c>
      <c r="E74" s="36">
        <f t="shared" si="0"/>
        <v>-1770.4313084672849</v>
      </c>
      <c r="F74" s="36">
        <f t="shared" si="4"/>
        <v>-4672.5827063878005</v>
      </c>
      <c r="G74" s="36">
        <f t="shared" si="5"/>
        <v>932746.10996909277</v>
      </c>
      <c r="H74" s="37"/>
    </row>
    <row r="75" spans="1:8" s="38" customFormat="1" ht="12.75" x14ac:dyDescent="0.2">
      <c r="A75" s="40">
        <f t="shared" si="7"/>
        <v>5</v>
      </c>
      <c r="B75" s="39">
        <f t="shared" si="1"/>
        <v>55</v>
      </c>
      <c r="C75" s="35">
        <f t="shared" si="2"/>
        <v>932746.10996909277</v>
      </c>
      <c r="D75" s="36">
        <f t="shared" si="3"/>
        <v>-6443.0140148550854</v>
      </c>
      <c r="E75" s="36">
        <f t="shared" si="0"/>
        <v>-1779.2834650096211</v>
      </c>
      <c r="F75" s="36">
        <f t="shared" si="4"/>
        <v>-4663.7305498454643</v>
      </c>
      <c r="G75" s="36">
        <f t="shared" si="5"/>
        <v>930966.82650408312</v>
      </c>
      <c r="H75" s="37"/>
    </row>
    <row r="76" spans="1:8" s="38" customFormat="1" ht="12.75" x14ac:dyDescent="0.2">
      <c r="A76" s="40">
        <f t="shared" si="7"/>
        <v>5</v>
      </c>
      <c r="B76" s="39">
        <f t="shared" si="1"/>
        <v>56</v>
      </c>
      <c r="C76" s="35">
        <f t="shared" si="2"/>
        <v>930966.82650408312</v>
      </c>
      <c r="D76" s="36">
        <f t="shared" si="3"/>
        <v>-6443.0140148550854</v>
      </c>
      <c r="E76" s="36">
        <f t="shared" si="0"/>
        <v>-1788.1798823346699</v>
      </c>
      <c r="F76" s="36">
        <f t="shared" si="4"/>
        <v>-4654.8341325204156</v>
      </c>
      <c r="G76" s="36">
        <f t="shared" si="5"/>
        <v>929178.64662174846</v>
      </c>
      <c r="H76" s="37"/>
    </row>
    <row r="77" spans="1:8" s="38" customFormat="1" ht="12.75" x14ac:dyDescent="0.2">
      <c r="A77" s="40">
        <f t="shared" si="7"/>
        <v>5</v>
      </c>
      <c r="B77" s="39">
        <f t="shared" si="1"/>
        <v>57</v>
      </c>
      <c r="C77" s="35">
        <f t="shared" si="2"/>
        <v>929178.64662174846</v>
      </c>
      <c r="D77" s="36">
        <f t="shared" si="3"/>
        <v>-6443.0140148550854</v>
      </c>
      <c r="E77" s="36">
        <f t="shared" si="0"/>
        <v>-1797.1207817463428</v>
      </c>
      <c r="F77" s="36">
        <f t="shared" si="4"/>
        <v>-4645.8932331087426</v>
      </c>
      <c r="G77" s="36">
        <f t="shared" si="5"/>
        <v>927381.52584000211</v>
      </c>
      <c r="H77" s="37"/>
    </row>
    <row r="78" spans="1:8" s="38" customFormat="1" ht="12.75" x14ac:dyDescent="0.2">
      <c r="A78" s="40">
        <f t="shared" si="7"/>
        <v>5</v>
      </c>
      <c r="B78" s="39">
        <f t="shared" si="1"/>
        <v>58</v>
      </c>
      <c r="C78" s="35">
        <f t="shared" si="2"/>
        <v>927381.52584000211</v>
      </c>
      <c r="D78" s="36">
        <f t="shared" si="3"/>
        <v>-6443.0140148550854</v>
      </c>
      <c r="E78" s="36">
        <f t="shared" si="0"/>
        <v>-1806.1063856550745</v>
      </c>
      <c r="F78" s="36">
        <f t="shared" si="4"/>
        <v>-4636.9076292000109</v>
      </c>
      <c r="G78" s="36">
        <f t="shared" si="5"/>
        <v>925575.41945434699</v>
      </c>
      <c r="H78" s="37"/>
    </row>
    <row r="79" spans="1:8" s="38" customFormat="1" ht="12.75" x14ac:dyDescent="0.2">
      <c r="A79" s="40">
        <f t="shared" si="7"/>
        <v>5</v>
      </c>
      <c r="B79" s="39">
        <f t="shared" si="1"/>
        <v>59</v>
      </c>
      <c r="C79" s="35">
        <f t="shared" si="2"/>
        <v>925575.41945434699</v>
      </c>
      <c r="D79" s="36">
        <f t="shared" si="3"/>
        <v>-6443.0140148550854</v>
      </c>
      <c r="E79" s="36">
        <f t="shared" si="0"/>
        <v>-1815.1369175833506</v>
      </c>
      <c r="F79" s="36">
        <f t="shared" si="4"/>
        <v>-4627.8770972717348</v>
      </c>
      <c r="G79" s="36">
        <f t="shared" si="5"/>
        <v>923760.2825367637</v>
      </c>
      <c r="H79" s="37"/>
    </row>
    <row r="80" spans="1:8" s="38" customFormat="1" ht="12.75" x14ac:dyDescent="0.2">
      <c r="A80" s="40">
        <f t="shared" si="7"/>
        <v>5</v>
      </c>
      <c r="B80" s="39">
        <f t="shared" si="1"/>
        <v>60</v>
      </c>
      <c r="C80" s="35">
        <f t="shared" si="2"/>
        <v>923760.2825367637</v>
      </c>
      <c r="D80" s="36">
        <f t="shared" si="3"/>
        <v>-6443.0140148550854</v>
      </c>
      <c r="E80" s="36">
        <f t="shared" si="0"/>
        <v>-1824.2126021712666</v>
      </c>
      <c r="F80" s="36">
        <f t="shared" si="4"/>
        <v>-4618.8014126838189</v>
      </c>
      <c r="G80" s="36">
        <f t="shared" si="5"/>
        <v>921936.06993459247</v>
      </c>
      <c r="H80" s="37"/>
    </row>
    <row r="81" spans="1:8" s="38" customFormat="1" ht="12.75" x14ac:dyDescent="0.2">
      <c r="A81" s="40">
        <f>A69+1</f>
        <v>6</v>
      </c>
      <c r="B81" s="39">
        <f t="shared" si="1"/>
        <v>61</v>
      </c>
      <c r="C81" s="35">
        <f t="shared" si="2"/>
        <v>921936.06993459247</v>
      </c>
      <c r="D81" s="36">
        <f t="shared" si="3"/>
        <v>-6443.0140148550854</v>
      </c>
      <c r="E81" s="36">
        <f t="shared" si="0"/>
        <v>-1833.3336651821228</v>
      </c>
      <c r="F81" s="36">
        <f t="shared" si="4"/>
        <v>-4609.6803496729626</v>
      </c>
      <c r="G81" s="36">
        <f t="shared" si="5"/>
        <v>920102.73626941035</v>
      </c>
      <c r="H81" s="37"/>
    </row>
    <row r="82" spans="1:8" s="38" customFormat="1" ht="12.75" x14ac:dyDescent="0.2">
      <c r="A82" s="40">
        <f>A81</f>
        <v>6</v>
      </c>
      <c r="B82" s="39">
        <f t="shared" si="1"/>
        <v>62</v>
      </c>
      <c r="C82" s="35">
        <f t="shared" si="2"/>
        <v>920102.73626941035</v>
      </c>
      <c r="D82" s="36">
        <f t="shared" si="3"/>
        <v>-6443.0140148550854</v>
      </c>
      <c r="E82" s="36">
        <f t="shared" si="0"/>
        <v>-1842.5003335080337</v>
      </c>
      <c r="F82" s="36">
        <f t="shared" si="4"/>
        <v>-4600.5136813470517</v>
      </c>
      <c r="G82" s="36">
        <f t="shared" si="5"/>
        <v>918260.23593590234</v>
      </c>
      <c r="H82" s="37"/>
    </row>
    <row r="83" spans="1:8" s="38" customFormat="1" ht="12.75" x14ac:dyDescent="0.2">
      <c r="A83" s="40">
        <f t="shared" si="7"/>
        <v>6</v>
      </c>
      <c r="B83" s="39">
        <f t="shared" si="1"/>
        <v>63</v>
      </c>
      <c r="C83" s="35">
        <f t="shared" si="2"/>
        <v>918260.23593590234</v>
      </c>
      <c r="D83" s="36">
        <f t="shared" si="3"/>
        <v>-6443.0140148550854</v>
      </c>
      <c r="E83" s="36">
        <f t="shared" si="0"/>
        <v>-1851.7128351755737</v>
      </c>
      <c r="F83" s="36">
        <f t="shared" si="4"/>
        <v>-4591.3011796795117</v>
      </c>
      <c r="G83" s="36">
        <f t="shared" si="5"/>
        <v>916408.52310072677</v>
      </c>
      <c r="H83" s="37"/>
    </row>
    <row r="84" spans="1:8" s="38" customFormat="1" ht="12.75" x14ac:dyDescent="0.2">
      <c r="A84" s="40">
        <f t="shared" si="7"/>
        <v>6</v>
      </c>
      <c r="B84" s="39">
        <f t="shared" si="1"/>
        <v>64</v>
      </c>
      <c r="C84" s="35">
        <f t="shared" si="2"/>
        <v>916408.52310072677</v>
      </c>
      <c r="D84" s="36">
        <f t="shared" si="3"/>
        <v>-6443.0140148550854</v>
      </c>
      <c r="E84" s="36">
        <f t="shared" si="0"/>
        <v>-1860.9713993514515</v>
      </c>
      <c r="F84" s="36">
        <f t="shared" si="4"/>
        <v>-4582.0426155036339</v>
      </c>
      <c r="G84" s="36">
        <f t="shared" si="5"/>
        <v>914547.55170137528</v>
      </c>
      <c r="H84" s="37"/>
    </row>
    <row r="85" spans="1:8" s="38" customFormat="1" ht="12.75" x14ac:dyDescent="0.2">
      <c r="A85" s="40">
        <f t="shared" si="7"/>
        <v>6</v>
      </c>
      <c r="B85" s="39">
        <f t="shared" si="1"/>
        <v>65</v>
      </c>
      <c r="C85" s="35">
        <f t="shared" si="2"/>
        <v>914547.55170137528</v>
      </c>
      <c r="D85" s="36">
        <f t="shared" si="3"/>
        <v>-6443.0140148550854</v>
      </c>
      <c r="E85" s="36">
        <f t="shared" ref="E85:E148" si="8">IF(AND($G$10, B85&lt;=$G$11), 0, D85-F85)</f>
        <v>-1870.2762563482092</v>
      </c>
      <c r="F85" s="36">
        <f t="shared" si="4"/>
        <v>-4572.7377585068762</v>
      </c>
      <c r="G85" s="36">
        <f t="shared" si="5"/>
        <v>912677.27544502704</v>
      </c>
      <c r="H85" s="37"/>
    </row>
    <row r="86" spans="1:8" s="38" customFormat="1" ht="12.75" x14ac:dyDescent="0.2">
      <c r="A86" s="40">
        <f t="shared" si="7"/>
        <v>6</v>
      </c>
      <c r="B86" s="39">
        <f t="shared" ref="B86:B149" si="9">+B85+1</f>
        <v>66</v>
      </c>
      <c r="C86" s="35">
        <f t="shared" ref="C86:C149" si="10">G85</f>
        <v>912677.27544502704</v>
      </c>
      <c r="D86" s="36">
        <f t="shared" ref="D86:D149" si="11">IF(AND($G$10, B86&lt;=$G$11), F86, PMT($C$12, $C$14, $C$10))</f>
        <v>-6443.0140148550854</v>
      </c>
      <c r="E86" s="36">
        <f t="shared" si="8"/>
        <v>-1879.6276376299502</v>
      </c>
      <c r="F86" s="36">
        <f t="shared" ref="F86:F149" si="12">-G85*$C$12</f>
        <v>-4563.3863772251352</v>
      </c>
      <c r="G86" s="36">
        <f t="shared" ref="G86:G149" si="13">C86+E86</f>
        <v>910797.64780739706</v>
      </c>
      <c r="H86" s="37"/>
    </row>
    <row r="87" spans="1:8" s="38" customFormat="1" ht="12.75" x14ac:dyDescent="0.2">
      <c r="A87" s="40">
        <f t="shared" si="7"/>
        <v>6</v>
      </c>
      <c r="B87" s="39">
        <f t="shared" si="9"/>
        <v>67</v>
      </c>
      <c r="C87" s="35">
        <f t="shared" si="10"/>
        <v>910797.64780739706</v>
      </c>
      <c r="D87" s="36">
        <f t="shared" si="11"/>
        <v>-6443.0140148550854</v>
      </c>
      <c r="E87" s="36">
        <f t="shared" si="8"/>
        <v>-1889.0257758180996</v>
      </c>
      <c r="F87" s="36">
        <f t="shared" si="12"/>
        <v>-4553.9882390369858</v>
      </c>
      <c r="G87" s="36">
        <f t="shared" si="13"/>
        <v>908908.62203157891</v>
      </c>
      <c r="H87" s="37"/>
    </row>
    <row r="88" spans="1:8" s="38" customFormat="1" ht="12.75" x14ac:dyDescent="0.2">
      <c r="A88" s="40">
        <f t="shared" si="7"/>
        <v>6</v>
      </c>
      <c r="B88" s="39">
        <f t="shared" si="9"/>
        <v>68</v>
      </c>
      <c r="C88" s="35">
        <f t="shared" si="10"/>
        <v>908908.62203157891</v>
      </c>
      <c r="D88" s="36">
        <f t="shared" si="11"/>
        <v>-6443.0140148550854</v>
      </c>
      <c r="E88" s="36">
        <f t="shared" si="8"/>
        <v>-1898.4709046971911</v>
      </c>
      <c r="F88" s="36">
        <f t="shared" si="12"/>
        <v>-4544.5431101578943</v>
      </c>
      <c r="G88" s="36">
        <f t="shared" si="13"/>
        <v>907010.15112688171</v>
      </c>
      <c r="H88" s="37"/>
    </row>
    <row r="89" spans="1:8" s="38" customFormat="1" ht="12.75" x14ac:dyDescent="0.2">
      <c r="A89" s="40">
        <f t="shared" si="7"/>
        <v>6</v>
      </c>
      <c r="B89" s="39">
        <f t="shared" si="9"/>
        <v>69</v>
      </c>
      <c r="C89" s="35">
        <f t="shared" si="10"/>
        <v>907010.15112688171</v>
      </c>
      <c r="D89" s="36">
        <f t="shared" si="11"/>
        <v>-6443.0140148550854</v>
      </c>
      <c r="E89" s="36">
        <f t="shared" si="8"/>
        <v>-1907.9632592206772</v>
      </c>
      <c r="F89" s="36">
        <f t="shared" si="12"/>
        <v>-4535.0507556344082</v>
      </c>
      <c r="G89" s="36">
        <f t="shared" si="13"/>
        <v>905102.18786766101</v>
      </c>
      <c r="H89" s="37"/>
    </row>
    <row r="90" spans="1:8" s="38" customFormat="1" ht="12.75" x14ac:dyDescent="0.2">
      <c r="A90" s="40">
        <f t="shared" si="7"/>
        <v>6</v>
      </c>
      <c r="B90" s="39">
        <f t="shared" si="9"/>
        <v>70</v>
      </c>
      <c r="C90" s="35">
        <f t="shared" si="10"/>
        <v>905102.18786766101</v>
      </c>
      <c r="D90" s="36">
        <f t="shared" si="11"/>
        <v>-6443.0140148550854</v>
      </c>
      <c r="E90" s="36">
        <f t="shared" si="8"/>
        <v>-1917.50307551678</v>
      </c>
      <c r="F90" s="36">
        <f t="shared" si="12"/>
        <v>-4525.5109393383054</v>
      </c>
      <c r="G90" s="36">
        <f t="shared" si="13"/>
        <v>903184.68479214422</v>
      </c>
      <c r="H90" s="37"/>
    </row>
    <row r="91" spans="1:8" s="38" customFormat="1" ht="12.75" x14ac:dyDescent="0.2">
      <c r="A91" s="40">
        <f t="shared" si="7"/>
        <v>6</v>
      </c>
      <c r="B91" s="39">
        <f t="shared" si="9"/>
        <v>71</v>
      </c>
      <c r="C91" s="35">
        <f t="shared" si="10"/>
        <v>903184.68479214422</v>
      </c>
      <c r="D91" s="36">
        <f t="shared" si="11"/>
        <v>-6443.0140148550854</v>
      </c>
      <c r="E91" s="36">
        <f t="shared" si="8"/>
        <v>-1927.0905908943641</v>
      </c>
      <c r="F91" s="36">
        <f t="shared" si="12"/>
        <v>-4515.9234239607213</v>
      </c>
      <c r="G91" s="36">
        <f t="shared" si="13"/>
        <v>901257.59420124989</v>
      </c>
      <c r="H91" s="37"/>
    </row>
    <row r="92" spans="1:8" s="38" customFormat="1" ht="12.75" x14ac:dyDescent="0.2">
      <c r="A92" s="40">
        <f t="shared" si="7"/>
        <v>6</v>
      </c>
      <c r="B92" s="39">
        <f t="shared" si="9"/>
        <v>72</v>
      </c>
      <c r="C92" s="35">
        <f t="shared" si="10"/>
        <v>901257.59420124989</v>
      </c>
      <c r="D92" s="36">
        <f t="shared" si="11"/>
        <v>-6443.0140148550854</v>
      </c>
      <c r="E92" s="36">
        <f t="shared" si="8"/>
        <v>-1936.7260438488356</v>
      </c>
      <c r="F92" s="36">
        <f t="shared" si="12"/>
        <v>-4506.2879710062498</v>
      </c>
      <c r="G92" s="36">
        <f t="shared" si="13"/>
        <v>899320.8681574011</v>
      </c>
      <c r="H92" s="37"/>
    </row>
    <row r="93" spans="1:8" s="38" customFormat="1" ht="12.75" x14ac:dyDescent="0.2">
      <c r="A93" s="40">
        <f>A81+1</f>
        <v>7</v>
      </c>
      <c r="B93" s="39">
        <f t="shared" si="9"/>
        <v>73</v>
      </c>
      <c r="C93" s="35">
        <f t="shared" si="10"/>
        <v>899320.8681574011</v>
      </c>
      <c r="D93" s="36">
        <f t="shared" si="11"/>
        <v>-6443.0140148550854</v>
      </c>
      <c r="E93" s="36">
        <f t="shared" si="8"/>
        <v>-1946.4096740680798</v>
      </c>
      <c r="F93" s="36">
        <f t="shared" si="12"/>
        <v>-4496.6043407870056</v>
      </c>
      <c r="G93" s="36">
        <f t="shared" si="13"/>
        <v>897374.458483333</v>
      </c>
      <c r="H93" s="37"/>
    </row>
    <row r="94" spans="1:8" s="38" customFormat="1" ht="12.75" x14ac:dyDescent="0.2">
      <c r="A94" s="40">
        <f>A93</f>
        <v>7</v>
      </c>
      <c r="B94" s="39">
        <f t="shared" si="9"/>
        <v>74</v>
      </c>
      <c r="C94" s="35">
        <f t="shared" si="10"/>
        <v>897374.458483333</v>
      </c>
      <c r="D94" s="36">
        <f t="shared" si="11"/>
        <v>-6443.0140148550854</v>
      </c>
      <c r="E94" s="36">
        <f t="shared" si="8"/>
        <v>-1956.1417224384204</v>
      </c>
      <c r="F94" s="36">
        <f t="shared" si="12"/>
        <v>-4486.872292416665</v>
      </c>
      <c r="G94" s="36">
        <f t="shared" si="13"/>
        <v>895418.31676089461</v>
      </c>
      <c r="H94" s="37"/>
    </row>
    <row r="95" spans="1:8" s="38" customFormat="1" ht="12.75" x14ac:dyDescent="0.2">
      <c r="A95" s="40">
        <f t="shared" si="7"/>
        <v>7</v>
      </c>
      <c r="B95" s="39">
        <f t="shared" si="9"/>
        <v>75</v>
      </c>
      <c r="C95" s="35">
        <f t="shared" si="10"/>
        <v>895418.31676089461</v>
      </c>
      <c r="D95" s="36">
        <f t="shared" si="11"/>
        <v>-6443.0140148550854</v>
      </c>
      <c r="E95" s="36">
        <f t="shared" si="8"/>
        <v>-1965.9224310506124</v>
      </c>
      <c r="F95" s="36">
        <f t="shared" si="12"/>
        <v>-4477.091583804473</v>
      </c>
      <c r="G95" s="36">
        <f t="shared" si="13"/>
        <v>893452.39432984404</v>
      </c>
      <c r="H95" s="37"/>
    </row>
    <row r="96" spans="1:8" s="38" customFormat="1" ht="12.75" x14ac:dyDescent="0.2">
      <c r="A96" s="40">
        <f t="shared" si="7"/>
        <v>7</v>
      </c>
      <c r="B96" s="39">
        <f t="shared" si="9"/>
        <v>76</v>
      </c>
      <c r="C96" s="35">
        <f t="shared" si="10"/>
        <v>893452.39432984404</v>
      </c>
      <c r="D96" s="36">
        <f t="shared" si="11"/>
        <v>-6443.0140148550854</v>
      </c>
      <c r="E96" s="36">
        <f t="shared" si="8"/>
        <v>-1975.7520432058654</v>
      </c>
      <c r="F96" s="36">
        <f t="shared" si="12"/>
        <v>-4467.26197164922</v>
      </c>
      <c r="G96" s="36">
        <f t="shared" si="13"/>
        <v>891476.64228663815</v>
      </c>
      <c r="H96" s="37"/>
    </row>
    <row r="97" spans="1:8" s="38" customFormat="1" ht="12.75" x14ac:dyDescent="0.2">
      <c r="A97" s="40">
        <f t="shared" si="7"/>
        <v>7</v>
      </c>
      <c r="B97" s="39">
        <f t="shared" si="9"/>
        <v>77</v>
      </c>
      <c r="C97" s="35">
        <f t="shared" si="10"/>
        <v>891476.64228663815</v>
      </c>
      <c r="D97" s="36">
        <f t="shared" si="11"/>
        <v>-6443.0140148550854</v>
      </c>
      <c r="E97" s="36">
        <f t="shared" si="8"/>
        <v>-1985.6308034218946</v>
      </c>
      <c r="F97" s="36">
        <f t="shared" si="12"/>
        <v>-4457.3832114331908</v>
      </c>
      <c r="G97" s="36">
        <f t="shared" si="13"/>
        <v>889491.01148321631</v>
      </c>
      <c r="H97" s="37"/>
    </row>
    <row r="98" spans="1:8" s="38" customFormat="1" ht="12.75" x14ac:dyDescent="0.2">
      <c r="A98" s="40">
        <f t="shared" si="7"/>
        <v>7</v>
      </c>
      <c r="B98" s="39">
        <f t="shared" si="9"/>
        <v>78</v>
      </c>
      <c r="C98" s="35">
        <f t="shared" si="10"/>
        <v>889491.01148321631</v>
      </c>
      <c r="D98" s="36">
        <f t="shared" si="11"/>
        <v>-6443.0140148550854</v>
      </c>
      <c r="E98" s="36">
        <f t="shared" si="8"/>
        <v>-1995.5589574390042</v>
      </c>
      <c r="F98" s="36">
        <f t="shared" si="12"/>
        <v>-4447.4550574160812</v>
      </c>
      <c r="G98" s="36">
        <f t="shared" si="13"/>
        <v>887495.45252577728</v>
      </c>
      <c r="H98" s="37"/>
    </row>
    <row r="99" spans="1:8" s="38" customFormat="1" ht="12.75" x14ac:dyDescent="0.2">
      <c r="A99" s="40">
        <f t="shared" si="7"/>
        <v>7</v>
      </c>
      <c r="B99" s="39">
        <f t="shared" si="9"/>
        <v>79</v>
      </c>
      <c r="C99" s="35">
        <f t="shared" si="10"/>
        <v>887495.45252577728</v>
      </c>
      <c r="D99" s="36">
        <f t="shared" si="11"/>
        <v>-6443.0140148550854</v>
      </c>
      <c r="E99" s="36">
        <f t="shared" si="8"/>
        <v>-2005.5367522261986</v>
      </c>
      <c r="F99" s="36">
        <f t="shared" si="12"/>
        <v>-4437.4772626288868</v>
      </c>
      <c r="G99" s="36">
        <f t="shared" si="13"/>
        <v>885489.9157735511</v>
      </c>
      <c r="H99" s="37"/>
    </row>
    <row r="100" spans="1:8" s="38" customFormat="1" ht="12.75" x14ac:dyDescent="0.2">
      <c r="A100" s="40">
        <f t="shared" si="7"/>
        <v>7</v>
      </c>
      <c r="B100" s="39">
        <f t="shared" si="9"/>
        <v>80</v>
      </c>
      <c r="C100" s="35">
        <f t="shared" si="10"/>
        <v>885489.9157735511</v>
      </c>
      <c r="D100" s="36">
        <f t="shared" si="11"/>
        <v>-6443.0140148550854</v>
      </c>
      <c r="E100" s="36">
        <f t="shared" si="8"/>
        <v>-2015.5644359873295</v>
      </c>
      <c r="F100" s="36">
        <f t="shared" si="12"/>
        <v>-4427.4495788677559</v>
      </c>
      <c r="G100" s="36">
        <f t="shared" si="13"/>
        <v>883474.35133756371</v>
      </c>
      <c r="H100" s="37"/>
    </row>
    <row r="101" spans="1:8" s="38" customFormat="1" ht="12.75" x14ac:dyDescent="0.2">
      <c r="A101" s="40">
        <f t="shared" si="7"/>
        <v>7</v>
      </c>
      <c r="B101" s="39">
        <f t="shared" si="9"/>
        <v>81</v>
      </c>
      <c r="C101" s="35">
        <f t="shared" si="10"/>
        <v>883474.35133756371</v>
      </c>
      <c r="D101" s="36">
        <f t="shared" si="11"/>
        <v>-6443.0140148550854</v>
      </c>
      <c r="E101" s="36">
        <f t="shared" si="8"/>
        <v>-2025.6422581672668</v>
      </c>
      <c r="F101" s="36">
        <f t="shared" si="12"/>
        <v>-4417.3717566878186</v>
      </c>
      <c r="G101" s="36">
        <f t="shared" si="13"/>
        <v>881448.70907939645</v>
      </c>
      <c r="H101" s="37"/>
    </row>
    <row r="102" spans="1:8" s="38" customFormat="1" ht="12.75" x14ac:dyDescent="0.2">
      <c r="A102" s="40">
        <f t="shared" si="7"/>
        <v>7</v>
      </c>
      <c r="B102" s="39">
        <f t="shared" si="9"/>
        <v>82</v>
      </c>
      <c r="C102" s="35">
        <f t="shared" si="10"/>
        <v>881448.70907939645</v>
      </c>
      <c r="D102" s="36">
        <f t="shared" si="11"/>
        <v>-6443.0140148550854</v>
      </c>
      <c r="E102" s="36">
        <f t="shared" si="8"/>
        <v>-2035.7704694581034</v>
      </c>
      <c r="F102" s="36">
        <f t="shared" si="12"/>
        <v>-4407.243545396982</v>
      </c>
      <c r="G102" s="36">
        <f t="shared" si="13"/>
        <v>879412.93860993837</v>
      </c>
      <c r="H102" s="37"/>
    </row>
    <row r="103" spans="1:8" s="38" customFormat="1" ht="12.75" x14ac:dyDescent="0.2">
      <c r="A103" s="40">
        <f t="shared" si="7"/>
        <v>7</v>
      </c>
      <c r="B103" s="39">
        <f t="shared" si="9"/>
        <v>83</v>
      </c>
      <c r="C103" s="35">
        <f t="shared" si="10"/>
        <v>879412.93860993837</v>
      </c>
      <c r="D103" s="36">
        <f t="shared" si="11"/>
        <v>-6443.0140148550854</v>
      </c>
      <c r="E103" s="36">
        <f t="shared" si="8"/>
        <v>-2045.9493218053931</v>
      </c>
      <c r="F103" s="36">
        <f t="shared" si="12"/>
        <v>-4397.0646930496923</v>
      </c>
      <c r="G103" s="36">
        <f t="shared" si="13"/>
        <v>877366.98928813299</v>
      </c>
      <c r="H103" s="37"/>
    </row>
    <row r="104" spans="1:8" s="38" customFormat="1" ht="12.75" x14ac:dyDescent="0.2">
      <c r="A104" s="40">
        <f t="shared" si="7"/>
        <v>7</v>
      </c>
      <c r="B104" s="39">
        <f t="shared" si="9"/>
        <v>84</v>
      </c>
      <c r="C104" s="35">
        <f t="shared" si="10"/>
        <v>877366.98928813299</v>
      </c>
      <c r="D104" s="36">
        <f t="shared" si="11"/>
        <v>-6443.0140148550854</v>
      </c>
      <c r="E104" s="36">
        <f t="shared" si="8"/>
        <v>-2056.1790684144207</v>
      </c>
      <c r="F104" s="36">
        <f t="shared" si="12"/>
        <v>-4386.8349464406647</v>
      </c>
      <c r="G104" s="36">
        <f t="shared" si="13"/>
        <v>875310.81021971861</v>
      </c>
      <c r="H104" s="37"/>
    </row>
    <row r="105" spans="1:8" s="38" customFormat="1" ht="12.75" x14ac:dyDescent="0.2">
      <c r="A105" s="40">
        <f>A93+1</f>
        <v>8</v>
      </c>
      <c r="B105" s="39">
        <f t="shared" si="9"/>
        <v>85</v>
      </c>
      <c r="C105" s="35">
        <f t="shared" si="10"/>
        <v>875310.81021971861</v>
      </c>
      <c r="D105" s="36">
        <f t="shared" si="11"/>
        <v>-6443.0140148550854</v>
      </c>
      <c r="E105" s="36">
        <f t="shared" si="8"/>
        <v>-2066.4599637564925</v>
      </c>
      <c r="F105" s="36">
        <f t="shared" si="12"/>
        <v>-4376.5540510985929</v>
      </c>
      <c r="G105" s="36">
        <f t="shared" si="13"/>
        <v>873244.35025596211</v>
      </c>
      <c r="H105" s="37"/>
    </row>
    <row r="106" spans="1:8" s="38" customFormat="1" ht="12.75" x14ac:dyDescent="0.2">
      <c r="A106" s="40">
        <f>A105</f>
        <v>8</v>
      </c>
      <c r="B106" s="39">
        <f t="shared" si="9"/>
        <v>86</v>
      </c>
      <c r="C106" s="35">
        <f t="shared" si="10"/>
        <v>873244.35025596211</v>
      </c>
      <c r="D106" s="36">
        <f t="shared" si="11"/>
        <v>-6443.0140148550854</v>
      </c>
      <c r="E106" s="36">
        <f t="shared" si="8"/>
        <v>-2076.7922635752748</v>
      </c>
      <c r="F106" s="36">
        <f t="shared" si="12"/>
        <v>-4366.2217512798106</v>
      </c>
      <c r="G106" s="36">
        <f t="shared" si="13"/>
        <v>871167.55799238686</v>
      </c>
      <c r="H106" s="37"/>
    </row>
    <row r="107" spans="1:8" s="38" customFormat="1" ht="12.75" x14ac:dyDescent="0.2">
      <c r="A107" s="40">
        <f t="shared" si="7"/>
        <v>8</v>
      </c>
      <c r="B107" s="39">
        <f t="shared" si="9"/>
        <v>87</v>
      </c>
      <c r="C107" s="35">
        <f t="shared" si="10"/>
        <v>871167.55799238686</v>
      </c>
      <c r="D107" s="36">
        <f t="shared" si="11"/>
        <v>-6443.0140148550854</v>
      </c>
      <c r="E107" s="36">
        <f t="shared" si="8"/>
        <v>-2087.1762248931509</v>
      </c>
      <c r="F107" s="36">
        <f t="shared" si="12"/>
        <v>-4355.8377899619345</v>
      </c>
      <c r="G107" s="36">
        <f t="shared" si="13"/>
        <v>869080.38176749367</v>
      </c>
      <c r="H107" s="37"/>
    </row>
    <row r="108" spans="1:8" s="38" customFormat="1" ht="12.75" x14ac:dyDescent="0.2">
      <c r="A108" s="40">
        <f t="shared" si="7"/>
        <v>8</v>
      </c>
      <c r="B108" s="39">
        <f t="shared" si="9"/>
        <v>88</v>
      </c>
      <c r="C108" s="35">
        <f t="shared" si="10"/>
        <v>869080.38176749367</v>
      </c>
      <c r="D108" s="36">
        <f t="shared" si="11"/>
        <v>-6443.0140148550854</v>
      </c>
      <c r="E108" s="36">
        <f t="shared" si="8"/>
        <v>-2097.6121060176174</v>
      </c>
      <c r="F108" s="36">
        <f t="shared" si="12"/>
        <v>-4345.401908837468</v>
      </c>
      <c r="G108" s="36">
        <f t="shared" si="13"/>
        <v>866982.76966147602</v>
      </c>
      <c r="H108" s="37"/>
    </row>
    <row r="109" spans="1:8" s="38" customFormat="1" ht="12.75" x14ac:dyDescent="0.2">
      <c r="A109" s="40">
        <f t="shared" si="7"/>
        <v>8</v>
      </c>
      <c r="B109" s="39">
        <f t="shared" si="9"/>
        <v>89</v>
      </c>
      <c r="C109" s="35">
        <f t="shared" si="10"/>
        <v>866982.76966147602</v>
      </c>
      <c r="D109" s="36">
        <f t="shared" si="11"/>
        <v>-6443.0140148550854</v>
      </c>
      <c r="E109" s="36">
        <f t="shared" si="8"/>
        <v>-2108.1001665477052</v>
      </c>
      <c r="F109" s="36">
        <f t="shared" si="12"/>
        <v>-4334.9138483073802</v>
      </c>
      <c r="G109" s="36">
        <f t="shared" si="13"/>
        <v>864874.66949492833</v>
      </c>
      <c r="H109" s="37"/>
    </row>
    <row r="110" spans="1:8" s="38" customFormat="1" ht="12.75" x14ac:dyDescent="0.2">
      <c r="A110" s="40">
        <f t="shared" ref="A110:A173" si="14">A109</f>
        <v>8</v>
      </c>
      <c r="B110" s="39">
        <f t="shared" si="9"/>
        <v>90</v>
      </c>
      <c r="C110" s="35">
        <f t="shared" si="10"/>
        <v>864874.66949492833</v>
      </c>
      <c r="D110" s="36">
        <f t="shared" si="11"/>
        <v>-6443.0140148550854</v>
      </c>
      <c r="E110" s="36">
        <f t="shared" si="8"/>
        <v>-2118.640667380444</v>
      </c>
      <c r="F110" s="36">
        <f t="shared" si="12"/>
        <v>-4324.3733474746414</v>
      </c>
      <c r="G110" s="36">
        <f t="shared" si="13"/>
        <v>862756.02882754791</v>
      </c>
      <c r="H110" s="37"/>
    </row>
    <row r="111" spans="1:8" s="38" customFormat="1" ht="12.75" x14ac:dyDescent="0.2">
      <c r="A111" s="40">
        <f t="shared" si="14"/>
        <v>8</v>
      </c>
      <c r="B111" s="39">
        <f t="shared" si="9"/>
        <v>91</v>
      </c>
      <c r="C111" s="35">
        <f t="shared" si="10"/>
        <v>862756.02882754791</v>
      </c>
      <c r="D111" s="36">
        <f t="shared" si="11"/>
        <v>-6443.0140148550854</v>
      </c>
      <c r="E111" s="36">
        <f t="shared" si="8"/>
        <v>-2129.2338707173458</v>
      </c>
      <c r="F111" s="36">
        <f t="shared" si="12"/>
        <v>-4313.7801441377396</v>
      </c>
      <c r="G111" s="36">
        <f t="shared" si="13"/>
        <v>860626.79495683056</v>
      </c>
      <c r="H111" s="37"/>
    </row>
    <row r="112" spans="1:8" s="38" customFormat="1" ht="12.75" x14ac:dyDescent="0.2">
      <c r="A112" s="40">
        <f t="shared" si="14"/>
        <v>8</v>
      </c>
      <c r="B112" s="39">
        <f t="shared" si="9"/>
        <v>92</v>
      </c>
      <c r="C112" s="35">
        <f t="shared" si="10"/>
        <v>860626.79495683056</v>
      </c>
      <c r="D112" s="36">
        <f t="shared" si="11"/>
        <v>-6443.0140148550854</v>
      </c>
      <c r="E112" s="36">
        <f t="shared" si="8"/>
        <v>-2139.8800400709324</v>
      </c>
      <c r="F112" s="36">
        <f t="shared" si="12"/>
        <v>-4303.133974784153</v>
      </c>
      <c r="G112" s="36">
        <f t="shared" si="13"/>
        <v>858486.91491675959</v>
      </c>
      <c r="H112" s="37"/>
    </row>
    <row r="113" spans="1:8" s="38" customFormat="1" ht="12.75" x14ac:dyDescent="0.2">
      <c r="A113" s="40">
        <f t="shared" si="14"/>
        <v>8</v>
      </c>
      <c r="B113" s="39">
        <f t="shared" si="9"/>
        <v>93</v>
      </c>
      <c r="C113" s="35">
        <f t="shared" si="10"/>
        <v>858486.91491675959</v>
      </c>
      <c r="D113" s="36">
        <f t="shared" si="11"/>
        <v>-6443.0140148550854</v>
      </c>
      <c r="E113" s="36">
        <f t="shared" si="8"/>
        <v>-2150.5794402712872</v>
      </c>
      <c r="F113" s="36">
        <f t="shared" si="12"/>
        <v>-4292.4345745837982</v>
      </c>
      <c r="G113" s="36">
        <f t="shared" si="13"/>
        <v>856336.33547648834</v>
      </c>
      <c r="H113" s="37"/>
    </row>
    <row r="114" spans="1:8" s="38" customFormat="1" ht="12.75" x14ac:dyDescent="0.2">
      <c r="A114" s="40">
        <f t="shared" si="14"/>
        <v>8</v>
      </c>
      <c r="B114" s="39">
        <f t="shared" si="9"/>
        <v>94</v>
      </c>
      <c r="C114" s="35">
        <f t="shared" si="10"/>
        <v>856336.33547648834</v>
      </c>
      <c r="D114" s="36">
        <f t="shared" si="11"/>
        <v>-6443.0140148550854</v>
      </c>
      <c r="E114" s="36">
        <f t="shared" si="8"/>
        <v>-2161.3323374726433</v>
      </c>
      <c r="F114" s="36">
        <f t="shared" si="12"/>
        <v>-4281.6816773824421</v>
      </c>
      <c r="G114" s="36">
        <f t="shared" si="13"/>
        <v>854175.00313901575</v>
      </c>
      <c r="H114" s="37"/>
    </row>
    <row r="115" spans="1:8" s="38" customFormat="1" ht="12.75" x14ac:dyDescent="0.2">
      <c r="A115" s="40">
        <f t="shared" si="14"/>
        <v>8</v>
      </c>
      <c r="B115" s="39">
        <f t="shared" si="9"/>
        <v>95</v>
      </c>
      <c r="C115" s="35">
        <f t="shared" si="10"/>
        <v>854175.00313901575</v>
      </c>
      <c r="D115" s="36">
        <f t="shared" si="11"/>
        <v>-6443.0140148550854</v>
      </c>
      <c r="E115" s="36">
        <f t="shared" si="8"/>
        <v>-2172.1389991600063</v>
      </c>
      <c r="F115" s="36">
        <f t="shared" si="12"/>
        <v>-4270.8750156950791</v>
      </c>
      <c r="G115" s="36">
        <f t="shared" si="13"/>
        <v>852002.86413985572</v>
      </c>
      <c r="H115" s="37"/>
    </row>
    <row r="116" spans="1:8" s="38" customFormat="1" ht="12.75" x14ac:dyDescent="0.2">
      <c r="A116" s="40">
        <f t="shared" si="14"/>
        <v>8</v>
      </c>
      <c r="B116" s="39">
        <f t="shared" si="9"/>
        <v>96</v>
      </c>
      <c r="C116" s="35">
        <f t="shared" si="10"/>
        <v>852002.86413985572</v>
      </c>
      <c r="D116" s="36">
        <f t="shared" si="11"/>
        <v>-6443.0140148550854</v>
      </c>
      <c r="E116" s="36">
        <f t="shared" si="8"/>
        <v>-2182.9996941558065</v>
      </c>
      <c r="F116" s="36">
        <f t="shared" si="12"/>
        <v>-4260.0143206992789</v>
      </c>
      <c r="G116" s="36">
        <f t="shared" si="13"/>
        <v>849819.86444569996</v>
      </c>
      <c r="H116" s="37"/>
    </row>
    <row r="117" spans="1:8" s="38" customFormat="1" ht="12.75" x14ac:dyDescent="0.2">
      <c r="A117" s="40">
        <f>A105+1</f>
        <v>9</v>
      </c>
      <c r="B117" s="39">
        <f t="shared" si="9"/>
        <v>97</v>
      </c>
      <c r="C117" s="35">
        <f t="shared" si="10"/>
        <v>849819.86444569996</v>
      </c>
      <c r="D117" s="36">
        <f t="shared" si="11"/>
        <v>-6443.0140148550854</v>
      </c>
      <c r="E117" s="36">
        <f t="shared" si="8"/>
        <v>-2193.9146926265857</v>
      </c>
      <c r="F117" s="36">
        <f t="shared" si="12"/>
        <v>-4249.0993222284997</v>
      </c>
      <c r="G117" s="36">
        <f t="shared" si="13"/>
        <v>847625.94975307339</v>
      </c>
      <c r="H117" s="37"/>
    </row>
    <row r="118" spans="1:8" s="38" customFormat="1" ht="12.75" x14ac:dyDescent="0.2">
      <c r="A118" s="40">
        <f>A117</f>
        <v>9</v>
      </c>
      <c r="B118" s="39">
        <f t="shared" si="9"/>
        <v>98</v>
      </c>
      <c r="C118" s="35">
        <f t="shared" si="10"/>
        <v>847625.94975307339</v>
      </c>
      <c r="D118" s="36">
        <f t="shared" si="11"/>
        <v>-6443.0140148550854</v>
      </c>
      <c r="E118" s="36">
        <f t="shared" si="8"/>
        <v>-2204.884266089718</v>
      </c>
      <c r="F118" s="36">
        <f t="shared" si="12"/>
        <v>-4238.1297487653674</v>
      </c>
      <c r="G118" s="36">
        <f t="shared" si="13"/>
        <v>845421.06548698363</v>
      </c>
      <c r="H118" s="37"/>
    </row>
    <row r="119" spans="1:8" s="38" customFormat="1" ht="12.75" x14ac:dyDescent="0.2">
      <c r="A119" s="40">
        <f t="shared" si="14"/>
        <v>9</v>
      </c>
      <c r="B119" s="39">
        <f t="shared" si="9"/>
        <v>99</v>
      </c>
      <c r="C119" s="35">
        <f t="shared" si="10"/>
        <v>845421.06548698363</v>
      </c>
      <c r="D119" s="36">
        <f t="shared" si="11"/>
        <v>-6443.0140148550854</v>
      </c>
      <c r="E119" s="36">
        <f t="shared" si="8"/>
        <v>-2215.9086874201676</v>
      </c>
      <c r="F119" s="36">
        <f t="shared" si="12"/>
        <v>-4227.1053274349179</v>
      </c>
      <c r="G119" s="36">
        <f t="shared" si="13"/>
        <v>843205.15679956344</v>
      </c>
      <c r="H119" s="37"/>
    </row>
    <row r="120" spans="1:8" s="38" customFormat="1" ht="12.75" x14ac:dyDescent="0.2">
      <c r="A120" s="40">
        <f t="shared" si="14"/>
        <v>9</v>
      </c>
      <c r="B120" s="39">
        <f t="shared" si="9"/>
        <v>100</v>
      </c>
      <c r="C120" s="35">
        <f t="shared" si="10"/>
        <v>843205.15679956344</v>
      </c>
      <c r="D120" s="36">
        <f t="shared" si="11"/>
        <v>-6443.0140148550854</v>
      </c>
      <c r="E120" s="36">
        <f t="shared" si="8"/>
        <v>-2226.9882308572678</v>
      </c>
      <c r="F120" s="36">
        <f t="shared" si="12"/>
        <v>-4216.0257839978176</v>
      </c>
      <c r="G120" s="36">
        <f t="shared" si="13"/>
        <v>840978.16856870614</v>
      </c>
      <c r="H120" s="37"/>
    </row>
    <row r="121" spans="1:8" s="38" customFormat="1" ht="12.75" x14ac:dyDescent="0.2">
      <c r="A121" s="40">
        <f t="shared" si="14"/>
        <v>9</v>
      </c>
      <c r="B121" s="39">
        <f t="shared" si="9"/>
        <v>101</v>
      </c>
      <c r="C121" s="35">
        <f t="shared" si="10"/>
        <v>840978.16856870614</v>
      </c>
      <c r="D121" s="36">
        <f t="shared" si="11"/>
        <v>-6443.0140148550854</v>
      </c>
      <c r="E121" s="36">
        <f t="shared" si="8"/>
        <v>-2238.1231720115547</v>
      </c>
      <c r="F121" s="36">
        <f t="shared" si="12"/>
        <v>-4204.8908428435307</v>
      </c>
      <c r="G121" s="36">
        <f t="shared" si="13"/>
        <v>838740.04539669456</v>
      </c>
      <c r="H121" s="37"/>
    </row>
    <row r="122" spans="1:8" s="38" customFormat="1" ht="12.75" x14ac:dyDescent="0.2">
      <c r="A122" s="40">
        <f t="shared" si="14"/>
        <v>9</v>
      </c>
      <c r="B122" s="39">
        <f t="shared" si="9"/>
        <v>102</v>
      </c>
      <c r="C122" s="35">
        <f t="shared" si="10"/>
        <v>838740.04539669456</v>
      </c>
      <c r="D122" s="36">
        <f t="shared" si="11"/>
        <v>-6443.0140148550854</v>
      </c>
      <c r="E122" s="36">
        <f t="shared" si="8"/>
        <v>-2249.3137878716125</v>
      </c>
      <c r="F122" s="36">
        <f t="shared" si="12"/>
        <v>-4193.7002269834729</v>
      </c>
      <c r="G122" s="36">
        <f t="shared" si="13"/>
        <v>836490.73160882294</v>
      </c>
      <c r="H122" s="37"/>
    </row>
    <row r="123" spans="1:8" s="38" customFormat="1" ht="12.75" x14ac:dyDescent="0.2">
      <c r="A123" s="40">
        <f t="shared" si="14"/>
        <v>9</v>
      </c>
      <c r="B123" s="39">
        <f t="shared" si="9"/>
        <v>103</v>
      </c>
      <c r="C123" s="35">
        <f t="shared" si="10"/>
        <v>836490.73160882294</v>
      </c>
      <c r="D123" s="36">
        <f t="shared" si="11"/>
        <v>-6443.0140148550854</v>
      </c>
      <c r="E123" s="36">
        <f t="shared" si="8"/>
        <v>-2260.5603568109709</v>
      </c>
      <c r="F123" s="36">
        <f t="shared" si="12"/>
        <v>-4182.4536580441145</v>
      </c>
      <c r="G123" s="36">
        <f t="shared" si="13"/>
        <v>834230.17125201202</v>
      </c>
      <c r="H123" s="37"/>
    </row>
    <row r="124" spans="1:8" s="38" customFormat="1" ht="12.75" x14ac:dyDescent="0.2">
      <c r="A124" s="40">
        <f t="shared" si="14"/>
        <v>9</v>
      </c>
      <c r="B124" s="39">
        <f t="shared" si="9"/>
        <v>104</v>
      </c>
      <c r="C124" s="35">
        <f t="shared" si="10"/>
        <v>834230.17125201202</v>
      </c>
      <c r="D124" s="36">
        <f t="shared" si="11"/>
        <v>-6443.0140148550854</v>
      </c>
      <c r="E124" s="36">
        <f t="shared" si="8"/>
        <v>-2271.8631585950252</v>
      </c>
      <c r="F124" s="36">
        <f t="shared" si="12"/>
        <v>-4171.1508562600602</v>
      </c>
      <c r="G124" s="36">
        <f t="shared" si="13"/>
        <v>831958.30809341697</v>
      </c>
      <c r="H124" s="37"/>
    </row>
    <row r="125" spans="1:8" s="38" customFormat="1" ht="12.75" x14ac:dyDescent="0.2">
      <c r="A125" s="40">
        <f t="shared" si="14"/>
        <v>9</v>
      </c>
      <c r="B125" s="39">
        <f t="shared" si="9"/>
        <v>105</v>
      </c>
      <c r="C125" s="35">
        <f t="shared" si="10"/>
        <v>831958.30809341697</v>
      </c>
      <c r="D125" s="36">
        <f t="shared" si="11"/>
        <v>-6443.0140148550854</v>
      </c>
      <c r="E125" s="36">
        <f t="shared" si="8"/>
        <v>-2283.2224743880006</v>
      </c>
      <c r="F125" s="36">
        <f t="shared" si="12"/>
        <v>-4159.7915404670848</v>
      </c>
      <c r="G125" s="36">
        <f t="shared" si="13"/>
        <v>829675.08561902901</v>
      </c>
      <c r="H125" s="37"/>
    </row>
    <row r="126" spans="1:8" s="38" customFormat="1" ht="12.75" x14ac:dyDescent="0.2">
      <c r="A126" s="40">
        <f t="shared" si="14"/>
        <v>9</v>
      </c>
      <c r="B126" s="39">
        <f t="shared" si="9"/>
        <v>106</v>
      </c>
      <c r="C126" s="35">
        <f t="shared" si="10"/>
        <v>829675.08561902901</v>
      </c>
      <c r="D126" s="36">
        <f t="shared" si="11"/>
        <v>-6443.0140148550854</v>
      </c>
      <c r="E126" s="36">
        <f t="shared" si="8"/>
        <v>-2294.6385867599402</v>
      </c>
      <c r="F126" s="36">
        <f t="shared" si="12"/>
        <v>-4148.3754280951453</v>
      </c>
      <c r="G126" s="36">
        <f t="shared" si="13"/>
        <v>827380.44703226909</v>
      </c>
      <c r="H126" s="37"/>
    </row>
    <row r="127" spans="1:8" s="38" customFormat="1" ht="12.75" x14ac:dyDescent="0.2">
      <c r="A127" s="40">
        <f t="shared" si="14"/>
        <v>9</v>
      </c>
      <c r="B127" s="39">
        <f t="shared" si="9"/>
        <v>107</v>
      </c>
      <c r="C127" s="35">
        <f t="shared" si="10"/>
        <v>827380.44703226909</v>
      </c>
      <c r="D127" s="36">
        <f t="shared" si="11"/>
        <v>-6443.0140148550854</v>
      </c>
      <c r="E127" s="36">
        <f t="shared" si="8"/>
        <v>-2306.1117796937397</v>
      </c>
      <c r="F127" s="36">
        <f t="shared" si="12"/>
        <v>-4136.9022351613457</v>
      </c>
      <c r="G127" s="36">
        <f t="shared" si="13"/>
        <v>825074.33525257534</v>
      </c>
      <c r="H127" s="37"/>
    </row>
    <row r="128" spans="1:8" s="38" customFormat="1" ht="12.75" x14ac:dyDescent="0.2">
      <c r="A128" s="40">
        <f t="shared" si="14"/>
        <v>9</v>
      </c>
      <c r="B128" s="39">
        <f t="shared" si="9"/>
        <v>108</v>
      </c>
      <c r="C128" s="35">
        <f t="shared" si="10"/>
        <v>825074.33525257534</v>
      </c>
      <c r="D128" s="36">
        <f t="shared" si="11"/>
        <v>-6443.0140148550854</v>
      </c>
      <c r="E128" s="36">
        <f t="shared" si="8"/>
        <v>-2317.6423385922089</v>
      </c>
      <c r="F128" s="36">
        <f t="shared" si="12"/>
        <v>-4125.3716762628765</v>
      </c>
      <c r="G128" s="36">
        <f t="shared" si="13"/>
        <v>822756.69291398313</v>
      </c>
      <c r="H128" s="37"/>
    </row>
    <row r="129" spans="1:8" s="38" customFormat="1" ht="12.75" x14ac:dyDescent="0.2">
      <c r="A129" s="40">
        <f>A117+1</f>
        <v>10</v>
      </c>
      <c r="B129" s="39">
        <f t="shared" si="9"/>
        <v>109</v>
      </c>
      <c r="C129" s="35">
        <f t="shared" si="10"/>
        <v>822756.69291398313</v>
      </c>
      <c r="D129" s="36">
        <f t="shared" si="11"/>
        <v>-6443.0140148550854</v>
      </c>
      <c r="E129" s="36">
        <f t="shared" si="8"/>
        <v>-2329.2305502851696</v>
      </c>
      <c r="F129" s="36">
        <f t="shared" si="12"/>
        <v>-4113.7834645699159</v>
      </c>
      <c r="G129" s="36">
        <f t="shared" si="13"/>
        <v>820427.46236369794</v>
      </c>
      <c r="H129" s="37"/>
    </row>
    <row r="130" spans="1:8" s="38" customFormat="1" ht="12.75" x14ac:dyDescent="0.2">
      <c r="A130" s="40">
        <f>A129</f>
        <v>10</v>
      </c>
      <c r="B130" s="39">
        <f t="shared" si="9"/>
        <v>110</v>
      </c>
      <c r="C130" s="35">
        <f t="shared" si="10"/>
        <v>820427.46236369794</v>
      </c>
      <c r="D130" s="36">
        <f t="shared" si="11"/>
        <v>-6443.0140148550854</v>
      </c>
      <c r="E130" s="36">
        <f t="shared" si="8"/>
        <v>-2340.8767030365952</v>
      </c>
      <c r="F130" s="36">
        <f t="shared" si="12"/>
        <v>-4102.1373118184902</v>
      </c>
      <c r="G130" s="36">
        <f t="shared" si="13"/>
        <v>818086.58566066134</v>
      </c>
      <c r="H130" s="37"/>
    </row>
    <row r="131" spans="1:8" s="38" customFormat="1" ht="12.75" x14ac:dyDescent="0.2">
      <c r="A131" s="40">
        <f t="shared" si="14"/>
        <v>10</v>
      </c>
      <c r="B131" s="39">
        <f t="shared" si="9"/>
        <v>111</v>
      </c>
      <c r="C131" s="35">
        <f t="shared" si="10"/>
        <v>818086.58566066134</v>
      </c>
      <c r="D131" s="36">
        <f t="shared" si="11"/>
        <v>-6443.0140148550854</v>
      </c>
      <c r="E131" s="36">
        <f t="shared" si="8"/>
        <v>-2352.5810865517788</v>
      </c>
      <c r="F131" s="36">
        <f t="shared" si="12"/>
        <v>-4090.4329283033067</v>
      </c>
      <c r="G131" s="36">
        <f t="shared" si="13"/>
        <v>815734.00457410957</v>
      </c>
      <c r="H131" s="37"/>
    </row>
    <row r="132" spans="1:8" s="38" customFormat="1" ht="12.75" x14ac:dyDescent="0.2">
      <c r="A132" s="40">
        <f t="shared" si="14"/>
        <v>10</v>
      </c>
      <c r="B132" s="39">
        <f t="shared" si="9"/>
        <v>112</v>
      </c>
      <c r="C132" s="35">
        <f t="shared" si="10"/>
        <v>815734.00457410957</v>
      </c>
      <c r="D132" s="36">
        <f t="shared" si="11"/>
        <v>-6443.0140148550854</v>
      </c>
      <c r="E132" s="36">
        <f t="shared" si="8"/>
        <v>-2364.3439919845373</v>
      </c>
      <c r="F132" s="36">
        <f t="shared" si="12"/>
        <v>-4078.6700228705481</v>
      </c>
      <c r="G132" s="36">
        <f t="shared" si="13"/>
        <v>813369.66058212507</v>
      </c>
      <c r="H132" s="37"/>
    </row>
    <row r="133" spans="1:8" s="38" customFormat="1" ht="12.75" x14ac:dyDescent="0.2">
      <c r="A133" s="40">
        <f t="shared" si="14"/>
        <v>10</v>
      </c>
      <c r="B133" s="39">
        <f t="shared" si="9"/>
        <v>113</v>
      </c>
      <c r="C133" s="35">
        <f t="shared" si="10"/>
        <v>813369.66058212507</v>
      </c>
      <c r="D133" s="36">
        <f t="shared" si="11"/>
        <v>-6443.0140148550854</v>
      </c>
      <c r="E133" s="36">
        <f t="shared" si="8"/>
        <v>-2376.1657119444599</v>
      </c>
      <c r="F133" s="36">
        <f t="shared" si="12"/>
        <v>-4066.8483029106255</v>
      </c>
      <c r="G133" s="36">
        <f t="shared" si="13"/>
        <v>810993.49487018061</v>
      </c>
      <c r="H133" s="37"/>
    </row>
    <row r="134" spans="1:8" s="38" customFormat="1" ht="12.75" x14ac:dyDescent="0.2">
      <c r="A134" s="40">
        <f t="shared" si="14"/>
        <v>10</v>
      </c>
      <c r="B134" s="39">
        <f t="shared" si="9"/>
        <v>114</v>
      </c>
      <c r="C134" s="35">
        <f t="shared" si="10"/>
        <v>810993.49487018061</v>
      </c>
      <c r="D134" s="36">
        <f t="shared" si="11"/>
        <v>-6443.0140148550854</v>
      </c>
      <c r="E134" s="36">
        <f t="shared" si="8"/>
        <v>-2388.0465405041823</v>
      </c>
      <c r="F134" s="36">
        <f t="shared" si="12"/>
        <v>-4054.9674743509031</v>
      </c>
      <c r="G134" s="36">
        <f t="shared" si="13"/>
        <v>808605.44832967641</v>
      </c>
      <c r="H134" s="37"/>
    </row>
    <row r="135" spans="1:8" s="38" customFormat="1" ht="12.75" x14ac:dyDescent="0.2">
      <c r="A135" s="40">
        <f t="shared" si="14"/>
        <v>10</v>
      </c>
      <c r="B135" s="39">
        <f t="shared" si="9"/>
        <v>115</v>
      </c>
      <c r="C135" s="35">
        <f t="shared" si="10"/>
        <v>808605.44832967641</v>
      </c>
      <c r="D135" s="36">
        <f t="shared" si="11"/>
        <v>-6443.0140148550854</v>
      </c>
      <c r="E135" s="36">
        <f t="shared" si="8"/>
        <v>-2399.9867732067032</v>
      </c>
      <c r="F135" s="36">
        <f t="shared" si="12"/>
        <v>-4043.0272416483822</v>
      </c>
      <c r="G135" s="36">
        <f t="shared" si="13"/>
        <v>806205.46155646967</v>
      </c>
      <c r="H135" s="37"/>
    </row>
    <row r="136" spans="1:8" s="38" customFormat="1" ht="12.75" x14ac:dyDescent="0.2">
      <c r="A136" s="40">
        <f t="shared" si="14"/>
        <v>10</v>
      </c>
      <c r="B136" s="39">
        <f t="shared" si="9"/>
        <v>116</v>
      </c>
      <c r="C136" s="35">
        <f t="shared" si="10"/>
        <v>806205.46155646967</v>
      </c>
      <c r="D136" s="36">
        <f t="shared" si="11"/>
        <v>-6443.0140148550854</v>
      </c>
      <c r="E136" s="36">
        <f t="shared" si="8"/>
        <v>-2411.9867070727369</v>
      </c>
      <c r="F136" s="36">
        <f t="shared" si="12"/>
        <v>-4031.0273077823485</v>
      </c>
      <c r="G136" s="36">
        <f t="shared" si="13"/>
        <v>803793.47484939697</v>
      </c>
      <c r="H136" s="37"/>
    </row>
    <row r="137" spans="1:8" s="38" customFormat="1" ht="12.75" x14ac:dyDescent="0.2">
      <c r="A137" s="40">
        <f t="shared" si="14"/>
        <v>10</v>
      </c>
      <c r="B137" s="39">
        <f t="shared" si="9"/>
        <v>117</v>
      </c>
      <c r="C137" s="35">
        <f t="shared" si="10"/>
        <v>803793.47484939697</v>
      </c>
      <c r="D137" s="36">
        <f t="shared" si="11"/>
        <v>-6443.0140148550854</v>
      </c>
      <c r="E137" s="36">
        <f t="shared" si="8"/>
        <v>-2424.0466406081005</v>
      </c>
      <c r="F137" s="36">
        <f t="shared" si="12"/>
        <v>-4018.9673742469849</v>
      </c>
      <c r="G137" s="36">
        <f t="shared" si="13"/>
        <v>801369.42820878886</v>
      </c>
      <c r="H137" s="37"/>
    </row>
    <row r="138" spans="1:8" s="38" customFormat="1" ht="12.75" x14ac:dyDescent="0.2">
      <c r="A138" s="40">
        <f t="shared" si="14"/>
        <v>10</v>
      </c>
      <c r="B138" s="39">
        <f t="shared" si="9"/>
        <v>118</v>
      </c>
      <c r="C138" s="35">
        <f t="shared" si="10"/>
        <v>801369.42820878886</v>
      </c>
      <c r="D138" s="36">
        <f t="shared" si="11"/>
        <v>-6443.0140148550854</v>
      </c>
      <c r="E138" s="36">
        <f t="shared" si="8"/>
        <v>-2436.1668738111412</v>
      </c>
      <c r="F138" s="36">
        <f t="shared" si="12"/>
        <v>-4006.8471410439442</v>
      </c>
      <c r="G138" s="36">
        <f t="shared" si="13"/>
        <v>798933.26133497769</v>
      </c>
      <c r="H138" s="37"/>
    </row>
    <row r="139" spans="1:8" s="38" customFormat="1" ht="12.75" x14ac:dyDescent="0.2">
      <c r="A139" s="40">
        <f t="shared" si="14"/>
        <v>10</v>
      </c>
      <c r="B139" s="39">
        <f t="shared" si="9"/>
        <v>119</v>
      </c>
      <c r="C139" s="35">
        <f t="shared" si="10"/>
        <v>798933.26133497769</v>
      </c>
      <c r="D139" s="36">
        <f t="shared" si="11"/>
        <v>-6443.0140148550854</v>
      </c>
      <c r="E139" s="36">
        <f t="shared" si="8"/>
        <v>-2448.3477081801971</v>
      </c>
      <c r="F139" s="36">
        <f t="shared" si="12"/>
        <v>-3994.6663066748883</v>
      </c>
      <c r="G139" s="36">
        <f t="shared" si="13"/>
        <v>796484.9136267975</v>
      </c>
      <c r="H139" s="37"/>
    </row>
    <row r="140" spans="1:8" s="38" customFormat="1" ht="12.75" x14ac:dyDescent="0.2">
      <c r="A140" s="40">
        <f t="shared" si="14"/>
        <v>10</v>
      </c>
      <c r="B140" s="39">
        <f t="shared" si="9"/>
        <v>120</v>
      </c>
      <c r="C140" s="35">
        <f t="shared" si="10"/>
        <v>796484.9136267975</v>
      </c>
      <c r="D140" s="36">
        <f t="shared" si="11"/>
        <v>-6443.0140148550854</v>
      </c>
      <c r="E140" s="36">
        <f t="shared" si="8"/>
        <v>-2460.5894467210978</v>
      </c>
      <c r="F140" s="36">
        <f t="shared" si="12"/>
        <v>-3982.4245681339876</v>
      </c>
      <c r="G140" s="36">
        <f t="shared" si="13"/>
        <v>794024.32418007636</v>
      </c>
      <c r="H140" s="37"/>
    </row>
    <row r="141" spans="1:8" s="38" customFormat="1" ht="12.75" x14ac:dyDescent="0.2">
      <c r="A141" s="40">
        <f>A129+1</f>
        <v>11</v>
      </c>
      <c r="B141" s="39">
        <f t="shared" si="9"/>
        <v>121</v>
      </c>
      <c r="C141" s="35">
        <f t="shared" si="10"/>
        <v>794024.32418007636</v>
      </c>
      <c r="D141" s="36">
        <f t="shared" si="11"/>
        <v>-6443.0140148550854</v>
      </c>
      <c r="E141" s="36">
        <f t="shared" si="8"/>
        <v>-2472.8923939547035</v>
      </c>
      <c r="F141" s="36">
        <f t="shared" si="12"/>
        <v>-3970.1216209003819</v>
      </c>
      <c r="G141" s="36">
        <f t="shared" si="13"/>
        <v>791551.43178612168</v>
      </c>
      <c r="H141" s="37"/>
    </row>
    <row r="142" spans="1:8" s="38" customFormat="1" ht="12.75" x14ac:dyDescent="0.2">
      <c r="A142" s="40">
        <f>A141</f>
        <v>11</v>
      </c>
      <c r="B142" s="39">
        <f t="shared" si="9"/>
        <v>122</v>
      </c>
      <c r="C142" s="35">
        <f t="shared" si="10"/>
        <v>791551.43178612168</v>
      </c>
      <c r="D142" s="36">
        <f t="shared" si="11"/>
        <v>-6443.0140148550854</v>
      </c>
      <c r="E142" s="36">
        <f t="shared" si="8"/>
        <v>-2485.2568559244769</v>
      </c>
      <c r="F142" s="36">
        <f t="shared" si="12"/>
        <v>-3957.7571589306085</v>
      </c>
      <c r="G142" s="36">
        <f t="shared" si="13"/>
        <v>789066.17493019719</v>
      </c>
      <c r="H142" s="37"/>
    </row>
    <row r="143" spans="1:8" s="38" customFormat="1" ht="12.75" x14ac:dyDescent="0.2">
      <c r="A143" s="40">
        <f t="shared" si="14"/>
        <v>11</v>
      </c>
      <c r="B143" s="39">
        <f t="shared" si="9"/>
        <v>123</v>
      </c>
      <c r="C143" s="35">
        <f t="shared" si="10"/>
        <v>789066.17493019719</v>
      </c>
      <c r="D143" s="36">
        <f t="shared" si="11"/>
        <v>-6443.0140148550854</v>
      </c>
      <c r="E143" s="36">
        <f t="shared" si="8"/>
        <v>-2497.6831402040993</v>
      </c>
      <c r="F143" s="36">
        <f t="shared" si="12"/>
        <v>-3945.3308746509861</v>
      </c>
      <c r="G143" s="36">
        <f t="shared" si="13"/>
        <v>786568.49178999313</v>
      </c>
      <c r="H143" s="37"/>
    </row>
    <row r="144" spans="1:8" s="38" customFormat="1" ht="12.75" x14ac:dyDescent="0.2">
      <c r="A144" s="40">
        <f t="shared" si="14"/>
        <v>11</v>
      </c>
      <c r="B144" s="39">
        <f t="shared" si="9"/>
        <v>124</v>
      </c>
      <c r="C144" s="35">
        <f t="shared" si="10"/>
        <v>786568.49178999313</v>
      </c>
      <c r="D144" s="36">
        <f t="shared" si="11"/>
        <v>-6443.0140148550854</v>
      </c>
      <c r="E144" s="36">
        <f t="shared" si="8"/>
        <v>-2510.1715559051195</v>
      </c>
      <c r="F144" s="36">
        <f t="shared" si="12"/>
        <v>-3932.8424589499659</v>
      </c>
      <c r="G144" s="36">
        <f t="shared" si="13"/>
        <v>784058.32023408799</v>
      </c>
      <c r="H144" s="37"/>
    </row>
    <row r="145" spans="1:8" s="38" customFormat="1" ht="12.75" x14ac:dyDescent="0.2">
      <c r="A145" s="40">
        <f t="shared" si="14"/>
        <v>11</v>
      </c>
      <c r="B145" s="39">
        <f t="shared" si="9"/>
        <v>125</v>
      </c>
      <c r="C145" s="35">
        <f t="shared" si="10"/>
        <v>784058.32023408799</v>
      </c>
      <c r="D145" s="36">
        <f t="shared" si="11"/>
        <v>-6443.0140148550854</v>
      </c>
      <c r="E145" s="36">
        <f t="shared" si="8"/>
        <v>-2522.7224136846453</v>
      </c>
      <c r="F145" s="36">
        <f t="shared" si="12"/>
        <v>-3920.2916011704401</v>
      </c>
      <c r="G145" s="36">
        <f t="shared" si="13"/>
        <v>781535.5978204034</v>
      </c>
      <c r="H145" s="37"/>
    </row>
    <row r="146" spans="1:8" s="38" customFormat="1" ht="12.75" x14ac:dyDescent="0.2">
      <c r="A146" s="40">
        <f t="shared" si="14"/>
        <v>11</v>
      </c>
      <c r="B146" s="39">
        <f t="shared" si="9"/>
        <v>126</v>
      </c>
      <c r="C146" s="35">
        <f t="shared" si="10"/>
        <v>781535.5978204034</v>
      </c>
      <c r="D146" s="36">
        <f t="shared" si="11"/>
        <v>-6443.0140148550854</v>
      </c>
      <c r="E146" s="36">
        <f t="shared" si="8"/>
        <v>-2535.3360257530685</v>
      </c>
      <c r="F146" s="36">
        <f t="shared" si="12"/>
        <v>-3907.6779891020169</v>
      </c>
      <c r="G146" s="36">
        <f t="shared" si="13"/>
        <v>779000.26179465035</v>
      </c>
      <c r="H146" s="37"/>
    </row>
    <row r="147" spans="1:8" s="38" customFormat="1" ht="12.75" x14ac:dyDescent="0.2">
      <c r="A147" s="40">
        <f t="shared" si="14"/>
        <v>11</v>
      </c>
      <c r="B147" s="39">
        <f t="shared" si="9"/>
        <v>127</v>
      </c>
      <c r="C147" s="35">
        <f t="shared" si="10"/>
        <v>779000.26179465035</v>
      </c>
      <c r="D147" s="36">
        <f t="shared" si="11"/>
        <v>-6443.0140148550854</v>
      </c>
      <c r="E147" s="36">
        <f t="shared" si="8"/>
        <v>-2548.0127058818334</v>
      </c>
      <c r="F147" s="36">
        <f t="shared" si="12"/>
        <v>-3895.001308973252</v>
      </c>
      <c r="G147" s="36">
        <f t="shared" si="13"/>
        <v>776452.2490887685</v>
      </c>
      <c r="H147" s="37"/>
    </row>
    <row r="148" spans="1:8" s="38" customFormat="1" ht="12.75" x14ac:dyDescent="0.2">
      <c r="A148" s="40">
        <f t="shared" si="14"/>
        <v>11</v>
      </c>
      <c r="B148" s="39">
        <f t="shared" si="9"/>
        <v>128</v>
      </c>
      <c r="C148" s="35">
        <f t="shared" si="10"/>
        <v>776452.2490887685</v>
      </c>
      <c r="D148" s="36">
        <f t="shared" si="11"/>
        <v>-6443.0140148550854</v>
      </c>
      <c r="E148" s="36">
        <f t="shared" si="8"/>
        <v>-2560.7527694112428</v>
      </c>
      <c r="F148" s="36">
        <f t="shared" si="12"/>
        <v>-3882.2612454438427</v>
      </c>
      <c r="G148" s="36">
        <f t="shared" si="13"/>
        <v>773891.49631935731</v>
      </c>
      <c r="H148" s="37"/>
    </row>
    <row r="149" spans="1:8" s="38" customFormat="1" ht="12.75" x14ac:dyDescent="0.2">
      <c r="A149" s="40">
        <f t="shared" si="14"/>
        <v>11</v>
      </c>
      <c r="B149" s="39">
        <f t="shared" si="9"/>
        <v>129</v>
      </c>
      <c r="C149" s="35">
        <f t="shared" si="10"/>
        <v>773891.49631935731</v>
      </c>
      <c r="D149" s="36">
        <f t="shared" si="11"/>
        <v>-6443.0140148550854</v>
      </c>
      <c r="E149" s="36">
        <f t="shared" ref="E149:E212" si="15">IF(AND($G$10, B149&lt;=$G$11), 0, D149-F149)</f>
        <v>-2573.5565332582987</v>
      </c>
      <c r="F149" s="36">
        <f t="shared" si="12"/>
        <v>-3869.4574815967867</v>
      </c>
      <c r="G149" s="36">
        <f t="shared" si="13"/>
        <v>771317.93978609901</v>
      </c>
      <c r="H149" s="37"/>
    </row>
    <row r="150" spans="1:8" s="38" customFormat="1" ht="12.75" x14ac:dyDescent="0.2">
      <c r="A150" s="40">
        <f t="shared" si="14"/>
        <v>11</v>
      </c>
      <c r="B150" s="39">
        <f t="shared" ref="B150:B213" si="16">+B149+1</f>
        <v>130</v>
      </c>
      <c r="C150" s="35">
        <f t="shared" ref="C150:C213" si="17">G149</f>
        <v>771317.93978609901</v>
      </c>
      <c r="D150" s="36">
        <f t="shared" ref="D150:D213" si="18">IF(AND($G$10, B150&lt;=$G$11), F150, PMT($C$12, $C$14, $C$10))</f>
        <v>-6443.0140148550854</v>
      </c>
      <c r="E150" s="36">
        <f t="shared" si="15"/>
        <v>-2586.4243159245902</v>
      </c>
      <c r="F150" s="36">
        <f t="shared" ref="F150:F213" si="19">-G149*$C$12</f>
        <v>-3856.5896989304952</v>
      </c>
      <c r="G150" s="36">
        <f t="shared" ref="G150:G213" si="20">C150+E150</f>
        <v>768731.51547017437</v>
      </c>
      <c r="H150" s="37"/>
    </row>
    <row r="151" spans="1:8" s="38" customFormat="1" ht="12.75" x14ac:dyDescent="0.2">
      <c r="A151" s="40">
        <f t="shared" si="14"/>
        <v>11</v>
      </c>
      <c r="B151" s="39">
        <f t="shared" si="16"/>
        <v>131</v>
      </c>
      <c r="C151" s="35">
        <f t="shared" si="17"/>
        <v>768731.51547017437</v>
      </c>
      <c r="D151" s="36">
        <f t="shared" si="18"/>
        <v>-6443.0140148550854</v>
      </c>
      <c r="E151" s="36">
        <f t="shared" si="15"/>
        <v>-2599.3564375042133</v>
      </c>
      <c r="F151" s="36">
        <f t="shared" si="19"/>
        <v>-3843.6575773508721</v>
      </c>
      <c r="G151" s="36">
        <f t="shared" si="20"/>
        <v>766132.1590326702</v>
      </c>
      <c r="H151" s="37"/>
    </row>
    <row r="152" spans="1:8" s="38" customFormat="1" ht="12.75" x14ac:dyDescent="0.2">
      <c r="A152" s="40">
        <f t="shared" si="14"/>
        <v>11</v>
      </c>
      <c r="B152" s="39">
        <f t="shared" si="16"/>
        <v>132</v>
      </c>
      <c r="C152" s="35">
        <f t="shared" si="17"/>
        <v>766132.1590326702</v>
      </c>
      <c r="D152" s="36">
        <f t="shared" si="18"/>
        <v>-6443.0140148550854</v>
      </c>
      <c r="E152" s="36">
        <f t="shared" si="15"/>
        <v>-2612.3532196917345</v>
      </c>
      <c r="F152" s="36">
        <f t="shared" si="19"/>
        <v>-3830.6607951633509</v>
      </c>
      <c r="G152" s="36">
        <f t="shared" si="20"/>
        <v>763519.80581297842</v>
      </c>
      <c r="H152" s="37"/>
    </row>
    <row r="153" spans="1:8" s="38" customFormat="1" ht="12.75" x14ac:dyDescent="0.2">
      <c r="A153" s="40">
        <f>A141+1</f>
        <v>12</v>
      </c>
      <c r="B153" s="39">
        <f t="shared" si="16"/>
        <v>133</v>
      </c>
      <c r="C153" s="35">
        <f t="shared" si="17"/>
        <v>763519.80581297842</v>
      </c>
      <c r="D153" s="36">
        <f t="shared" si="18"/>
        <v>-6443.0140148550854</v>
      </c>
      <c r="E153" s="36">
        <f t="shared" si="15"/>
        <v>-2625.4149857901934</v>
      </c>
      <c r="F153" s="36">
        <f t="shared" si="19"/>
        <v>-3817.599029064892</v>
      </c>
      <c r="G153" s="36">
        <f t="shared" si="20"/>
        <v>760894.39082718827</v>
      </c>
      <c r="H153" s="37"/>
    </row>
    <row r="154" spans="1:8" s="38" customFormat="1" ht="12.75" x14ac:dyDescent="0.2">
      <c r="A154" s="40">
        <f>A153</f>
        <v>12</v>
      </c>
      <c r="B154" s="39">
        <f t="shared" si="16"/>
        <v>134</v>
      </c>
      <c r="C154" s="35">
        <f t="shared" si="17"/>
        <v>760894.39082718827</v>
      </c>
      <c r="D154" s="36">
        <f t="shared" si="18"/>
        <v>-6443.0140148550854</v>
      </c>
      <c r="E154" s="36">
        <f t="shared" si="15"/>
        <v>-2638.542060719144</v>
      </c>
      <c r="F154" s="36">
        <f t="shared" si="19"/>
        <v>-3804.4719541359414</v>
      </c>
      <c r="G154" s="36">
        <f t="shared" si="20"/>
        <v>758255.84876646916</v>
      </c>
      <c r="H154" s="37"/>
    </row>
    <row r="155" spans="1:8" s="38" customFormat="1" ht="12.75" x14ac:dyDescent="0.2">
      <c r="A155" s="40">
        <f t="shared" si="14"/>
        <v>12</v>
      </c>
      <c r="B155" s="39">
        <f t="shared" si="16"/>
        <v>135</v>
      </c>
      <c r="C155" s="35">
        <f t="shared" si="17"/>
        <v>758255.84876646916</v>
      </c>
      <c r="D155" s="36">
        <f t="shared" si="18"/>
        <v>-6443.0140148550854</v>
      </c>
      <c r="E155" s="36">
        <f t="shared" si="15"/>
        <v>-2651.7347710227396</v>
      </c>
      <c r="F155" s="36">
        <f t="shared" si="19"/>
        <v>-3791.2792438323459</v>
      </c>
      <c r="G155" s="36">
        <f t="shared" si="20"/>
        <v>755604.11399544647</v>
      </c>
      <c r="H155" s="37"/>
    </row>
    <row r="156" spans="1:8" s="38" customFormat="1" ht="12.75" x14ac:dyDescent="0.2">
      <c r="A156" s="40">
        <f t="shared" si="14"/>
        <v>12</v>
      </c>
      <c r="B156" s="39">
        <f t="shared" si="16"/>
        <v>136</v>
      </c>
      <c r="C156" s="35">
        <f t="shared" si="17"/>
        <v>755604.11399544647</v>
      </c>
      <c r="D156" s="36">
        <f t="shared" si="18"/>
        <v>-6443.0140148550854</v>
      </c>
      <c r="E156" s="36">
        <f t="shared" si="15"/>
        <v>-2664.9934448778531</v>
      </c>
      <c r="F156" s="36">
        <f t="shared" si="19"/>
        <v>-3778.0205699772323</v>
      </c>
      <c r="G156" s="36">
        <f t="shared" si="20"/>
        <v>752939.12055056856</v>
      </c>
      <c r="H156" s="37"/>
    </row>
    <row r="157" spans="1:8" s="38" customFormat="1" ht="12.75" x14ac:dyDescent="0.2">
      <c r="A157" s="40">
        <f t="shared" si="14"/>
        <v>12</v>
      </c>
      <c r="B157" s="39">
        <f t="shared" si="16"/>
        <v>137</v>
      </c>
      <c r="C157" s="35">
        <f t="shared" si="17"/>
        <v>752939.12055056856</v>
      </c>
      <c r="D157" s="36">
        <f t="shared" si="18"/>
        <v>-6443.0140148550854</v>
      </c>
      <c r="E157" s="36">
        <f t="shared" si="15"/>
        <v>-2678.3184121022423</v>
      </c>
      <c r="F157" s="36">
        <f t="shared" si="19"/>
        <v>-3764.6956027528431</v>
      </c>
      <c r="G157" s="36">
        <f t="shared" si="20"/>
        <v>750260.80213846627</v>
      </c>
      <c r="H157" s="37"/>
    </row>
    <row r="158" spans="1:8" s="38" customFormat="1" ht="12.75" x14ac:dyDescent="0.2">
      <c r="A158" s="40">
        <f t="shared" si="14"/>
        <v>12</v>
      </c>
      <c r="B158" s="39">
        <f t="shared" si="16"/>
        <v>138</v>
      </c>
      <c r="C158" s="35">
        <f t="shared" si="17"/>
        <v>750260.80213846627</v>
      </c>
      <c r="D158" s="36">
        <f t="shared" si="18"/>
        <v>-6443.0140148550854</v>
      </c>
      <c r="E158" s="36">
        <f t="shared" si="15"/>
        <v>-2691.7100041627541</v>
      </c>
      <c r="F158" s="36">
        <f t="shared" si="19"/>
        <v>-3751.3040106923313</v>
      </c>
      <c r="G158" s="36">
        <f t="shared" si="20"/>
        <v>747569.09213430353</v>
      </c>
      <c r="H158" s="37"/>
    </row>
    <row r="159" spans="1:8" s="38" customFormat="1" ht="12.75" x14ac:dyDescent="0.2">
      <c r="A159" s="40">
        <f t="shared" si="14"/>
        <v>12</v>
      </c>
      <c r="B159" s="39">
        <f t="shared" si="16"/>
        <v>139</v>
      </c>
      <c r="C159" s="35">
        <f t="shared" si="17"/>
        <v>747569.09213430353</v>
      </c>
      <c r="D159" s="36">
        <f t="shared" si="18"/>
        <v>-6443.0140148550854</v>
      </c>
      <c r="E159" s="36">
        <f t="shared" si="15"/>
        <v>-2705.1685541835677</v>
      </c>
      <c r="F159" s="36">
        <f t="shared" si="19"/>
        <v>-3737.8454606715177</v>
      </c>
      <c r="G159" s="36">
        <f t="shared" si="20"/>
        <v>744863.92358011997</v>
      </c>
      <c r="H159" s="37"/>
    </row>
    <row r="160" spans="1:8" s="38" customFormat="1" ht="12.75" x14ac:dyDescent="0.2">
      <c r="A160" s="40">
        <f t="shared" si="14"/>
        <v>12</v>
      </c>
      <c r="B160" s="39">
        <f t="shared" si="16"/>
        <v>140</v>
      </c>
      <c r="C160" s="35">
        <f t="shared" si="17"/>
        <v>744863.92358011997</v>
      </c>
      <c r="D160" s="36">
        <f t="shared" si="18"/>
        <v>-6443.0140148550854</v>
      </c>
      <c r="E160" s="36">
        <f t="shared" si="15"/>
        <v>-2718.6943969544855</v>
      </c>
      <c r="F160" s="36">
        <f t="shared" si="19"/>
        <v>-3724.3196179006</v>
      </c>
      <c r="G160" s="36">
        <f t="shared" si="20"/>
        <v>742145.22918316547</v>
      </c>
      <c r="H160" s="37"/>
    </row>
    <row r="161" spans="1:8" s="38" customFormat="1" ht="12.75" x14ac:dyDescent="0.2">
      <c r="A161" s="40">
        <f t="shared" si="14"/>
        <v>12</v>
      </c>
      <c r="B161" s="39">
        <f t="shared" si="16"/>
        <v>141</v>
      </c>
      <c r="C161" s="35">
        <f t="shared" si="17"/>
        <v>742145.22918316547</v>
      </c>
      <c r="D161" s="36">
        <f t="shared" si="18"/>
        <v>-6443.0140148550854</v>
      </c>
      <c r="E161" s="36">
        <f t="shared" si="15"/>
        <v>-2732.2878689392578</v>
      </c>
      <c r="F161" s="36">
        <f t="shared" si="19"/>
        <v>-3710.7261459158276</v>
      </c>
      <c r="G161" s="36">
        <f t="shared" si="20"/>
        <v>739412.94131422625</v>
      </c>
      <c r="H161" s="37"/>
    </row>
    <row r="162" spans="1:8" s="38" customFormat="1" ht="12.75" x14ac:dyDescent="0.2">
      <c r="A162" s="40">
        <f t="shared" si="14"/>
        <v>12</v>
      </c>
      <c r="B162" s="39">
        <f t="shared" si="16"/>
        <v>142</v>
      </c>
      <c r="C162" s="35">
        <f t="shared" si="17"/>
        <v>739412.94131422625</v>
      </c>
      <c r="D162" s="36">
        <f t="shared" si="18"/>
        <v>-6443.0140148550854</v>
      </c>
      <c r="E162" s="36">
        <f t="shared" si="15"/>
        <v>-2745.949308283954</v>
      </c>
      <c r="F162" s="36">
        <f t="shared" si="19"/>
        <v>-3697.0647065711314</v>
      </c>
      <c r="G162" s="36">
        <f t="shared" si="20"/>
        <v>736666.99200594227</v>
      </c>
      <c r="H162" s="37"/>
    </row>
    <row r="163" spans="1:8" s="38" customFormat="1" ht="12.75" x14ac:dyDescent="0.2">
      <c r="A163" s="40">
        <f t="shared" si="14"/>
        <v>12</v>
      </c>
      <c r="B163" s="39">
        <f t="shared" si="16"/>
        <v>143</v>
      </c>
      <c r="C163" s="35">
        <f t="shared" si="17"/>
        <v>736666.99200594227</v>
      </c>
      <c r="D163" s="36">
        <f t="shared" si="18"/>
        <v>-6443.0140148550854</v>
      </c>
      <c r="E163" s="36">
        <f t="shared" si="15"/>
        <v>-2759.6790548253739</v>
      </c>
      <c r="F163" s="36">
        <f t="shared" si="19"/>
        <v>-3683.3349600297115</v>
      </c>
      <c r="G163" s="36">
        <f t="shared" si="20"/>
        <v>733907.31295111694</v>
      </c>
      <c r="H163" s="37"/>
    </row>
    <row r="164" spans="1:8" s="38" customFormat="1" ht="12.75" x14ac:dyDescent="0.2">
      <c r="A164" s="40">
        <f t="shared" si="14"/>
        <v>12</v>
      </c>
      <c r="B164" s="39">
        <f t="shared" si="16"/>
        <v>144</v>
      </c>
      <c r="C164" s="35">
        <f t="shared" si="17"/>
        <v>733907.31295111694</v>
      </c>
      <c r="D164" s="36">
        <f t="shared" si="18"/>
        <v>-6443.0140148550854</v>
      </c>
      <c r="E164" s="36">
        <f t="shared" si="15"/>
        <v>-2773.4774500995009</v>
      </c>
      <c r="F164" s="36">
        <f t="shared" si="19"/>
        <v>-3669.5365647555845</v>
      </c>
      <c r="G164" s="36">
        <f t="shared" si="20"/>
        <v>731133.8355010174</v>
      </c>
      <c r="H164" s="37"/>
    </row>
    <row r="165" spans="1:8" s="38" customFormat="1" ht="12.75" x14ac:dyDescent="0.2">
      <c r="A165" s="40">
        <f>A153+1</f>
        <v>13</v>
      </c>
      <c r="B165" s="39">
        <f t="shared" si="16"/>
        <v>145</v>
      </c>
      <c r="C165" s="35">
        <f t="shared" si="17"/>
        <v>731133.8355010174</v>
      </c>
      <c r="D165" s="36">
        <f t="shared" si="18"/>
        <v>-6443.0140148550854</v>
      </c>
      <c r="E165" s="36">
        <f t="shared" si="15"/>
        <v>-2787.3448373499982</v>
      </c>
      <c r="F165" s="36">
        <f t="shared" si="19"/>
        <v>-3655.6691775050872</v>
      </c>
      <c r="G165" s="36">
        <f t="shared" si="20"/>
        <v>728346.49066366744</v>
      </c>
      <c r="H165" s="37"/>
    </row>
    <row r="166" spans="1:8" s="38" customFormat="1" ht="12.75" x14ac:dyDescent="0.2">
      <c r="A166" s="40">
        <f>A165</f>
        <v>13</v>
      </c>
      <c r="B166" s="39">
        <f t="shared" si="16"/>
        <v>146</v>
      </c>
      <c r="C166" s="35">
        <f t="shared" si="17"/>
        <v>728346.49066366744</v>
      </c>
      <c r="D166" s="36">
        <f t="shared" si="18"/>
        <v>-6443.0140148550854</v>
      </c>
      <c r="E166" s="36">
        <f t="shared" si="15"/>
        <v>-2801.2815615367481</v>
      </c>
      <c r="F166" s="36">
        <f t="shared" si="19"/>
        <v>-3641.7324533183373</v>
      </c>
      <c r="G166" s="36">
        <f t="shared" si="20"/>
        <v>725545.20910213073</v>
      </c>
      <c r="H166" s="37"/>
    </row>
    <row r="167" spans="1:8" s="38" customFormat="1" ht="12.75" x14ac:dyDescent="0.2">
      <c r="A167" s="40">
        <f t="shared" si="14"/>
        <v>13</v>
      </c>
      <c r="B167" s="39">
        <f t="shared" si="16"/>
        <v>147</v>
      </c>
      <c r="C167" s="35">
        <f t="shared" si="17"/>
        <v>725545.20910213073</v>
      </c>
      <c r="D167" s="36">
        <f t="shared" si="18"/>
        <v>-6443.0140148550854</v>
      </c>
      <c r="E167" s="36">
        <f t="shared" si="15"/>
        <v>-2815.2879693444315</v>
      </c>
      <c r="F167" s="36">
        <f t="shared" si="19"/>
        <v>-3627.7260455106539</v>
      </c>
      <c r="G167" s="36">
        <f t="shared" si="20"/>
        <v>722729.92113278632</v>
      </c>
      <c r="H167" s="37"/>
    </row>
    <row r="168" spans="1:8" s="38" customFormat="1" ht="12.75" x14ac:dyDescent="0.2">
      <c r="A168" s="40">
        <f t="shared" si="14"/>
        <v>13</v>
      </c>
      <c r="B168" s="39">
        <f t="shared" si="16"/>
        <v>148</v>
      </c>
      <c r="C168" s="35">
        <f t="shared" si="17"/>
        <v>722729.92113278632</v>
      </c>
      <c r="D168" s="36">
        <f t="shared" si="18"/>
        <v>-6443.0140148550854</v>
      </c>
      <c r="E168" s="36">
        <f t="shared" si="15"/>
        <v>-2829.3644091911538</v>
      </c>
      <c r="F168" s="36">
        <f t="shared" si="19"/>
        <v>-3613.6496056639317</v>
      </c>
      <c r="G168" s="36">
        <f t="shared" si="20"/>
        <v>719900.55672359513</v>
      </c>
      <c r="H168" s="37"/>
    </row>
    <row r="169" spans="1:8" s="38" customFormat="1" ht="12.75" x14ac:dyDescent="0.2">
      <c r="A169" s="40">
        <f t="shared" si="14"/>
        <v>13</v>
      </c>
      <c r="B169" s="39">
        <f t="shared" si="16"/>
        <v>149</v>
      </c>
      <c r="C169" s="35">
        <f t="shared" si="17"/>
        <v>719900.55672359513</v>
      </c>
      <c r="D169" s="36">
        <f t="shared" si="18"/>
        <v>-6443.0140148550854</v>
      </c>
      <c r="E169" s="36">
        <f t="shared" si="15"/>
        <v>-2843.5112312371098</v>
      </c>
      <c r="F169" s="36">
        <f t="shared" si="19"/>
        <v>-3599.5027836179756</v>
      </c>
      <c r="G169" s="36">
        <f t="shared" si="20"/>
        <v>717057.04549235804</v>
      </c>
      <c r="H169" s="37"/>
    </row>
    <row r="170" spans="1:8" s="38" customFormat="1" ht="12.75" x14ac:dyDescent="0.2">
      <c r="A170" s="40">
        <f t="shared" si="14"/>
        <v>13</v>
      </c>
      <c r="B170" s="39">
        <f t="shared" si="16"/>
        <v>150</v>
      </c>
      <c r="C170" s="35">
        <f t="shared" si="17"/>
        <v>717057.04549235804</v>
      </c>
      <c r="D170" s="36">
        <f t="shared" si="18"/>
        <v>-6443.0140148550854</v>
      </c>
      <c r="E170" s="36">
        <f t="shared" si="15"/>
        <v>-2857.7287873932951</v>
      </c>
      <c r="F170" s="36">
        <f t="shared" si="19"/>
        <v>-3585.2852274617903</v>
      </c>
      <c r="G170" s="36">
        <f t="shared" si="20"/>
        <v>714199.31670496473</v>
      </c>
      <c r="H170" s="37"/>
    </row>
    <row r="171" spans="1:8" s="38" customFormat="1" ht="12.75" x14ac:dyDescent="0.2">
      <c r="A171" s="40">
        <f t="shared" si="14"/>
        <v>13</v>
      </c>
      <c r="B171" s="39">
        <f t="shared" si="16"/>
        <v>151</v>
      </c>
      <c r="C171" s="35">
        <f t="shared" si="17"/>
        <v>714199.31670496473</v>
      </c>
      <c r="D171" s="36">
        <f t="shared" si="18"/>
        <v>-6443.0140148550854</v>
      </c>
      <c r="E171" s="36">
        <f t="shared" si="15"/>
        <v>-2872.0174313302618</v>
      </c>
      <c r="F171" s="36">
        <f t="shared" si="19"/>
        <v>-3570.9965835248236</v>
      </c>
      <c r="G171" s="36">
        <f t="shared" si="20"/>
        <v>711327.29927363445</v>
      </c>
      <c r="H171" s="37"/>
    </row>
    <row r="172" spans="1:8" s="38" customFormat="1" ht="12.75" x14ac:dyDescent="0.2">
      <c r="A172" s="40">
        <f t="shared" si="14"/>
        <v>13</v>
      </c>
      <c r="B172" s="39">
        <f t="shared" si="16"/>
        <v>152</v>
      </c>
      <c r="C172" s="35">
        <f t="shared" si="17"/>
        <v>711327.29927363445</v>
      </c>
      <c r="D172" s="36">
        <f t="shared" si="18"/>
        <v>-6443.0140148550854</v>
      </c>
      <c r="E172" s="36">
        <f t="shared" si="15"/>
        <v>-2886.3775184869132</v>
      </c>
      <c r="F172" s="36">
        <f t="shared" si="19"/>
        <v>-3556.6364963681722</v>
      </c>
      <c r="G172" s="36">
        <f t="shared" si="20"/>
        <v>708440.92175514752</v>
      </c>
      <c r="H172" s="37"/>
    </row>
    <row r="173" spans="1:8" s="38" customFormat="1" ht="12.75" x14ac:dyDescent="0.2">
      <c r="A173" s="40">
        <f t="shared" si="14"/>
        <v>13</v>
      </c>
      <c r="B173" s="39">
        <f t="shared" si="16"/>
        <v>153</v>
      </c>
      <c r="C173" s="35">
        <f t="shared" si="17"/>
        <v>708440.92175514752</v>
      </c>
      <c r="D173" s="36">
        <f t="shared" si="18"/>
        <v>-6443.0140148550854</v>
      </c>
      <c r="E173" s="36">
        <f t="shared" si="15"/>
        <v>-2900.8094060793478</v>
      </c>
      <c r="F173" s="36">
        <f t="shared" si="19"/>
        <v>-3542.2046087757376</v>
      </c>
      <c r="G173" s="36">
        <f t="shared" si="20"/>
        <v>705540.11234906816</v>
      </c>
      <c r="H173" s="37"/>
    </row>
    <row r="174" spans="1:8" s="38" customFormat="1" ht="12.75" x14ac:dyDescent="0.2">
      <c r="A174" s="40">
        <f t="shared" ref="A174:A236" si="21">A173</f>
        <v>13</v>
      </c>
      <c r="B174" s="39">
        <f t="shared" si="16"/>
        <v>154</v>
      </c>
      <c r="C174" s="35">
        <f t="shared" si="17"/>
        <v>705540.11234906816</v>
      </c>
      <c r="D174" s="36">
        <f t="shared" si="18"/>
        <v>-6443.0140148550854</v>
      </c>
      <c r="E174" s="36">
        <f t="shared" si="15"/>
        <v>-2915.3134531097444</v>
      </c>
      <c r="F174" s="36">
        <f t="shared" si="19"/>
        <v>-3527.700561745341</v>
      </c>
      <c r="G174" s="36">
        <f t="shared" si="20"/>
        <v>702624.79889595846</v>
      </c>
      <c r="H174" s="37"/>
    </row>
    <row r="175" spans="1:8" s="38" customFormat="1" ht="12.75" x14ac:dyDescent="0.2">
      <c r="A175" s="40">
        <f t="shared" si="21"/>
        <v>13</v>
      </c>
      <c r="B175" s="39">
        <f t="shared" si="16"/>
        <v>155</v>
      </c>
      <c r="C175" s="35">
        <f t="shared" si="17"/>
        <v>702624.79889595846</v>
      </c>
      <c r="D175" s="36">
        <f t="shared" si="18"/>
        <v>-6443.0140148550854</v>
      </c>
      <c r="E175" s="36">
        <f t="shared" si="15"/>
        <v>-2929.8900203752928</v>
      </c>
      <c r="F175" s="36">
        <f t="shared" si="19"/>
        <v>-3513.1239944797926</v>
      </c>
      <c r="G175" s="36">
        <f t="shared" si="20"/>
        <v>699694.90887558321</v>
      </c>
      <c r="H175" s="37"/>
    </row>
    <row r="176" spans="1:8" s="38" customFormat="1" ht="12.75" x14ac:dyDescent="0.2">
      <c r="A176" s="40">
        <f t="shared" si="21"/>
        <v>13</v>
      </c>
      <c r="B176" s="39">
        <f t="shared" si="16"/>
        <v>156</v>
      </c>
      <c r="C176" s="35">
        <f t="shared" si="17"/>
        <v>699694.90887558321</v>
      </c>
      <c r="D176" s="36">
        <f t="shared" si="18"/>
        <v>-6443.0140148550854</v>
      </c>
      <c r="E176" s="36">
        <f t="shared" si="15"/>
        <v>-2944.5394704771693</v>
      </c>
      <c r="F176" s="36">
        <f t="shared" si="19"/>
        <v>-3498.4745443779161</v>
      </c>
      <c r="G176" s="36">
        <f t="shared" si="20"/>
        <v>696750.36940510606</v>
      </c>
      <c r="H176" s="37"/>
    </row>
    <row r="177" spans="1:8" s="38" customFormat="1" ht="12.75" x14ac:dyDescent="0.2">
      <c r="A177" s="40">
        <f>A165+1</f>
        <v>14</v>
      </c>
      <c r="B177" s="39">
        <f t="shared" si="16"/>
        <v>157</v>
      </c>
      <c r="C177" s="35">
        <f t="shared" si="17"/>
        <v>696750.36940510606</v>
      </c>
      <c r="D177" s="36">
        <f t="shared" si="18"/>
        <v>-6443.0140148550854</v>
      </c>
      <c r="E177" s="36">
        <f t="shared" si="15"/>
        <v>-2959.262167829555</v>
      </c>
      <c r="F177" s="36">
        <f t="shared" si="19"/>
        <v>-3483.7518470255304</v>
      </c>
      <c r="G177" s="36">
        <f t="shared" si="20"/>
        <v>693791.1072372765</v>
      </c>
      <c r="H177" s="37"/>
    </row>
    <row r="178" spans="1:8" s="38" customFormat="1" ht="12.75" x14ac:dyDescent="0.2">
      <c r="A178" s="40">
        <f>A177</f>
        <v>14</v>
      </c>
      <c r="B178" s="39">
        <f t="shared" si="16"/>
        <v>158</v>
      </c>
      <c r="C178" s="35">
        <f t="shared" si="17"/>
        <v>693791.1072372765</v>
      </c>
      <c r="D178" s="36">
        <f t="shared" si="18"/>
        <v>-6443.0140148550854</v>
      </c>
      <c r="E178" s="36">
        <f t="shared" si="15"/>
        <v>-2974.0584786687027</v>
      </c>
      <c r="F178" s="36">
        <f t="shared" si="19"/>
        <v>-3468.9555361863827</v>
      </c>
      <c r="G178" s="36">
        <f t="shared" si="20"/>
        <v>690817.04875860782</v>
      </c>
      <c r="H178" s="37"/>
    </row>
    <row r="179" spans="1:8" s="38" customFormat="1" ht="12.75" x14ac:dyDescent="0.2">
      <c r="A179" s="40">
        <f t="shared" si="21"/>
        <v>14</v>
      </c>
      <c r="B179" s="39">
        <f t="shared" si="16"/>
        <v>159</v>
      </c>
      <c r="C179" s="35">
        <f t="shared" si="17"/>
        <v>690817.04875860782</v>
      </c>
      <c r="D179" s="36">
        <f t="shared" si="18"/>
        <v>-6443.0140148550854</v>
      </c>
      <c r="E179" s="36">
        <f t="shared" si="15"/>
        <v>-2988.9287710620461</v>
      </c>
      <c r="F179" s="36">
        <f t="shared" si="19"/>
        <v>-3454.0852437930394</v>
      </c>
      <c r="G179" s="36">
        <f t="shared" si="20"/>
        <v>687828.11998754577</v>
      </c>
      <c r="H179" s="37"/>
    </row>
    <row r="180" spans="1:8" s="38" customFormat="1" ht="12.75" x14ac:dyDescent="0.2">
      <c r="A180" s="40">
        <f t="shared" si="21"/>
        <v>14</v>
      </c>
      <c r="B180" s="39">
        <f t="shared" si="16"/>
        <v>160</v>
      </c>
      <c r="C180" s="35">
        <f t="shared" si="17"/>
        <v>687828.11998754577</v>
      </c>
      <c r="D180" s="36">
        <f t="shared" si="18"/>
        <v>-6443.0140148550854</v>
      </c>
      <c r="E180" s="36">
        <f t="shared" si="15"/>
        <v>-3003.8734149173565</v>
      </c>
      <c r="F180" s="36">
        <f t="shared" si="19"/>
        <v>-3439.1405999377289</v>
      </c>
      <c r="G180" s="36">
        <f t="shared" si="20"/>
        <v>684824.24657262838</v>
      </c>
      <c r="H180" s="37"/>
    </row>
    <row r="181" spans="1:8" s="38" customFormat="1" ht="12.75" x14ac:dyDescent="0.2">
      <c r="A181" s="40">
        <f t="shared" si="21"/>
        <v>14</v>
      </c>
      <c r="B181" s="39">
        <f t="shared" si="16"/>
        <v>161</v>
      </c>
      <c r="C181" s="35">
        <f t="shared" si="17"/>
        <v>684824.24657262838</v>
      </c>
      <c r="D181" s="36">
        <f t="shared" si="18"/>
        <v>-6443.0140148550854</v>
      </c>
      <c r="E181" s="36">
        <f t="shared" si="15"/>
        <v>-3018.8927819919436</v>
      </c>
      <c r="F181" s="36">
        <f t="shared" si="19"/>
        <v>-3424.1212328631418</v>
      </c>
      <c r="G181" s="36">
        <f t="shared" si="20"/>
        <v>681805.35379063641</v>
      </c>
      <c r="H181" s="37"/>
    </row>
    <row r="182" spans="1:8" s="38" customFormat="1" ht="12.75" x14ac:dyDescent="0.2">
      <c r="A182" s="40">
        <f t="shared" si="21"/>
        <v>14</v>
      </c>
      <c r="B182" s="39">
        <f t="shared" si="16"/>
        <v>162</v>
      </c>
      <c r="C182" s="35">
        <f t="shared" si="17"/>
        <v>681805.35379063641</v>
      </c>
      <c r="D182" s="36">
        <f t="shared" si="18"/>
        <v>-6443.0140148550854</v>
      </c>
      <c r="E182" s="36">
        <f t="shared" si="15"/>
        <v>-3033.9872459019034</v>
      </c>
      <c r="F182" s="36">
        <f t="shared" si="19"/>
        <v>-3409.026768953182</v>
      </c>
      <c r="G182" s="36">
        <f t="shared" si="20"/>
        <v>678771.36654473445</v>
      </c>
      <c r="H182" s="37"/>
    </row>
    <row r="183" spans="1:8" s="38" customFormat="1" ht="12.75" x14ac:dyDescent="0.2">
      <c r="A183" s="40">
        <f t="shared" si="21"/>
        <v>14</v>
      </c>
      <c r="B183" s="39">
        <f t="shared" si="16"/>
        <v>163</v>
      </c>
      <c r="C183" s="35">
        <f t="shared" si="17"/>
        <v>678771.36654473445</v>
      </c>
      <c r="D183" s="36">
        <f t="shared" si="18"/>
        <v>-6443.0140148550854</v>
      </c>
      <c r="E183" s="36">
        <f t="shared" si="15"/>
        <v>-3049.1571821314133</v>
      </c>
      <c r="F183" s="36">
        <f t="shared" si="19"/>
        <v>-3393.8568327236721</v>
      </c>
      <c r="G183" s="36">
        <f t="shared" si="20"/>
        <v>675722.20936260303</v>
      </c>
      <c r="H183" s="37"/>
    </row>
    <row r="184" spans="1:8" s="38" customFormat="1" ht="12.75" x14ac:dyDescent="0.2">
      <c r="A184" s="40">
        <f t="shared" si="21"/>
        <v>14</v>
      </c>
      <c r="B184" s="39">
        <f t="shared" si="16"/>
        <v>164</v>
      </c>
      <c r="C184" s="35">
        <f t="shared" si="17"/>
        <v>675722.20936260303</v>
      </c>
      <c r="D184" s="36">
        <f t="shared" si="18"/>
        <v>-6443.0140148550854</v>
      </c>
      <c r="E184" s="36">
        <f t="shared" si="15"/>
        <v>-3064.4029680420704</v>
      </c>
      <c r="F184" s="36">
        <f t="shared" si="19"/>
        <v>-3378.611046813015</v>
      </c>
      <c r="G184" s="36">
        <f t="shared" si="20"/>
        <v>672657.80639456096</v>
      </c>
      <c r="H184" s="37"/>
    </row>
    <row r="185" spans="1:8" s="38" customFormat="1" ht="12.75" x14ac:dyDescent="0.2">
      <c r="A185" s="40">
        <f t="shared" si="21"/>
        <v>14</v>
      </c>
      <c r="B185" s="39">
        <f t="shared" si="16"/>
        <v>165</v>
      </c>
      <c r="C185" s="35">
        <f t="shared" si="17"/>
        <v>672657.80639456096</v>
      </c>
      <c r="D185" s="36">
        <f t="shared" si="18"/>
        <v>-6443.0140148550854</v>
      </c>
      <c r="E185" s="36">
        <f t="shared" si="15"/>
        <v>-3079.7249828822805</v>
      </c>
      <c r="F185" s="36">
        <f t="shared" si="19"/>
        <v>-3363.2890319728049</v>
      </c>
      <c r="G185" s="36">
        <f t="shared" si="20"/>
        <v>669578.08141167869</v>
      </c>
      <c r="H185" s="37"/>
    </row>
    <row r="186" spans="1:8" s="38" customFormat="1" ht="12.75" x14ac:dyDescent="0.2">
      <c r="A186" s="40">
        <f t="shared" si="21"/>
        <v>14</v>
      </c>
      <c r="B186" s="39">
        <f t="shared" si="16"/>
        <v>166</v>
      </c>
      <c r="C186" s="35">
        <f t="shared" si="17"/>
        <v>669578.08141167869</v>
      </c>
      <c r="D186" s="36">
        <f t="shared" si="18"/>
        <v>-6443.0140148550854</v>
      </c>
      <c r="E186" s="36">
        <f t="shared" si="15"/>
        <v>-3095.1236077966919</v>
      </c>
      <c r="F186" s="36">
        <f t="shared" si="19"/>
        <v>-3347.8904070583935</v>
      </c>
      <c r="G186" s="36">
        <f t="shared" si="20"/>
        <v>666482.95780388196</v>
      </c>
      <c r="H186" s="37"/>
    </row>
    <row r="187" spans="1:8" s="38" customFormat="1" ht="12.75" x14ac:dyDescent="0.2">
      <c r="A187" s="40">
        <f t="shared" si="21"/>
        <v>14</v>
      </c>
      <c r="B187" s="39">
        <f t="shared" si="16"/>
        <v>167</v>
      </c>
      <c r="C187" s="35">
        <f t="shared" si="17"/>
        <v>666482.95780388196</v>
      </c>
      <c r="D187" s="36">
        <f t="shared" si="18"/>
        <v>-6443.0140148550854</v>
      </c>
      <c r="E187" s="36">
        <f t="shared" si="15"/>
        <v>-3110.5992258356755</v>
      </c>
      <c r="F187" s="36">
        <f t="shared" si="19"/>
        <v>-3332.4147890194099</v>
      </c>
      <c r="G187" s="36">
        <f t="shared" si="20"/>
        <v>663372.35857804632</v>
      </c>
      <c r="H187" s="37"/>
    </row>
    <row r="188" spans="1:8" s="38" customFormat="1" ht="12.75" x14ac:dyDescent="0.2">
      <c r="A188" s="40">
        <f t="shared" si="21"/>
        <v>14</v>
      </c>
      <c r="B188" s="39">
        <f t="shared" si="16"/>
        <v>168</v>
      </c>
      <c r="C188" s="35">
        <f t="shared" si="17"/>
        <v>663372.35857804632</v>
      </c>
      <c r="D188" s="36">
        <f t="shared" si="18"/>
        <v>-6443.0140148550854</v>
      </c>
      <c r="E188" s="36">
        <f t="shared" si="15"/>
        <v>-3126.1522219648537</v>
      </c>
      <c r="F188" s="36">
        <f t="shared" si="19"/>
        <v>-3316.8617928902318</v>
      </c>
      <c r="G188" s="36">
        <f t="shared" si="20"/>
        <v>660246.20635608141</v>
      </c>
      <c r="H188" s="37"/>
    </row>
    <row r="189" spans="1:8" s="38" customFormat="1" ht="12.75" x14ac:dyDescent="0.2">
      <c r="A189" s="40">
        <f>A177+1</f>
        <v>15</v>
      </c>
      <c r="B189" s="39">
        <f t="shared" si="16"/>
        <v>169</v>
      </c>
      <c r="C189" s="35">
        <f t="shared" si="17"/>
        <v>660246.20635608141</v>
      </c>
      <c r="D189" s="36">
        <f t="shared" si="18"/>
        <v>-6443.0140148550854</v>
      </c>
      <c r="E189" s="36">
        <f t="shared" si="15"/>
        <v>-3141.7829830746782</v>
      </c>
      <c r="F189" s="36">
        <f t="shared" si="19"/>
        <v>-3301.2310317804072</v>
      </c>
      <c r="G189" s="36">
        <f t="shared" si="20"/>
        <v>657104.42337300675</v>
      </c>
      <c r="H189" s="37"/>
    </row>
    <row r="190" spans="1:8" s="38" customFormat="1" ht="12.75" x14ac:dyDescent="0.2">
      <c r="A190" s="40">
        <f>A189</f>
        <v>15</v>
      </c>
      <c r="B190" s="39">
        <f t="shared" si="16"/>
        <v>170</v>
      </c>
      <c r="C190" s="35">
        <f t="shared" si="17"/>
        <v>657104.42337300675</v>
      </c>
      <c r="D190" s="36">
        <f t="shared" si="18"/>
        <v>-6443.0140148550854</v>
      </c>
      <c r="E190" s="36">
        <f t="shared" si="15"/>
        <v>-3157.4918979900517</v>
      </c>
      <c r="F190" s="36">
        <f t="shared" si="19"/>
        <v>-3285.5221168650337</v>
      </c>
      <c r="G190" s="36">
        <f t="shared" si="20"/>
        <v>653946.93147501675</v>
      </c>
      <c r="H190" s="37"/>
    </row>
    <row r="191" spans="1:8" s="38" customFormat="1" ht="12.75" x14ac:dyDescent="0.2">
      <c r="A191" s="40">
        <f t="shared" si="21"/>
        <v>15</v>
      </c>
      <c r="B191" s="39">
        <f t="shared" si="16"/>
        <v>171</v>
      </c>
      <c r="C191" s="35">
        <f t="shared" si="17"/>
        <v>653946.93147501675</v>
      </c>
      <c r="D191" s="36">
        <f t="shared" si="18"/>
        <v>-6443.0140148550854</v>
      </c>
      <c r="E191" s="36">
        <f t="shared" si="15"/>
        <v>-3173.2793574800016</v>
      </c>
      <c r="F191" s="36">
        <f t="shared" si="19"/>
        <v>-3269.7346573750838</v>
      </c>
      <c r="G191" s="36">
        <f t="shared" si="20"/>
        <v>650773.65211753675</v>
      </c>
      <c r="H191" s="37"/>
    </row>
    <row r="192" spans="1:8" s="38" customFormat="1" ht="12.75" x14ac:dyDescent="0.2">
      <c r="A192" s="40">
        <f t="shared" si="21"/>
        <v>15</v>
      </c>
      <c r="B192" s="39">
        <f t="shared" si="16"/>
        <v>172</v>
      </c>
      <c r="C192" s="35">
        <f t="shared" si="17"/>
        <v>650773.65211753675</v>
      </c>
      <c r="D192" s="36">
        <f t="shared" si="18"/>
        <v>-6443.0140148550854</v>
      </c>
      <c r="E192" s="36">
        <f t="shared" si="15"/>
        <v>-3189.1457542674016</v>
      </c>
      <c r="F192" s="36">
        <f t="shared" si="19"/>
        <v>-3253.8682605876838</v>
      </c>
      <c r="G192" s="36">
        <f t="shared" si="20"/>
        <v>647584.50636326941</v>
      </c>
      <c r="H192" s="37"/>
    </row>
    <row r="193" spans="1:8" s="38" customFormat="1" ht="12.75" x14ac:dyDescent="0.2">
      <c r="A193" s="40">
        <f t="shared" si="21"/>
        <v>15</v>
      </c>
      <c r="B193" s="39">
        <f t="shared" si="16"/>
        <v>173</v>
      </c>
      <c r="C193" s="35">
        <f t="shared" si="17"/>
        <v>647584.50636326941</v>
      </c>
      <c r="D193" s="36">
        <f t="shared" si="18"/>
        <v>-6443.0140148550854</v>
      </c>
      <c r="E193" s="36">
        <f t="shared" si="15"/>
        <v>-3205.0914830387383</v>
      </c>
      <c r="F193" s="36">
        <f t="shared" si="19"/>
        <v>-3237.9225318163471</v>
      </c>
      <c r="G193" s="36">
        <f t="shared" si="20"/>
        <v>644379.41488023067</v>
      </c>
      <c r="H193" s="37"/>
    </row>
    <row r="194" spans="1:8" s="38" customFormat="1" ht="12.75" x14ac:dyDescent="0.2">
      <c r="A194" s="40">
        <f t="shared" si="21"/>
        <v>15</v>
      </c>
      <c r="B194" s="39">
        <f t="shared" si="16"/>
        <v>174</v>
      </c>
      <c r="C194" s="35">
        <f t="shared" si="17"/>
        <v>644379.41488023067</v>
      </c>
      <c r="D194" s="36">
        <f t="shared" si="18"/>
        <v>-6443.0140148550854</v>
      </c>
      <c r="E194" s="36">
        <f t="shared" si="15"/>
        <v>-3221.1169404539319</v>
      </c>
      <c r="F194" s="36">
        <f t="shared" si="19"/>
        <v>-3221.8970744011535</v>
      </c>
      <c r="G194" s="36">
        <f t="shared" si="20"/>
        <v>641158.29793977679</v>
      </c>
      <c r="H194" s="37"/>
    </row>
    <row r="195" spans="1:8" s="38" customFormat="1" ht="12.75" x14ac:dyDescent="0.2">
      <c r="A195" s="40">
        <f t="shared" si="21"/>
        <v>15</v>
      </c>
      <c r="B195" s="39">
        <f t="shared" si="16"/>
        <v>175</v>
      </c>
      <c r="C195" s="35">
        <f t="shared" si="17"/>
        <v>641158.29793977679</v>
      </c>
      <c r="D195" s="36">
        <f t="shared" si="18"/>
        <v>-6443.0140148550854</v>
      </c>
      <c r="E195" s="36">
        <f t="shared" si="15"/>
        <v>-3237.2225251562013</v>
      </c>
      <c r="F195" s="36">
        <f t="shared" si="19"/>
        <v>-3205.7914896988841</v>
      </c>
      <c r="G195" s="36">
        <f t="shared" si="20"/>
        <v>637921.07541462057</v>
      </c>
      <c r="H195" s="37"/>
    </row>
    <row r="196" spans="1:8" s="38" customFormat="1" ht="12.75" x14ac:dyDescent="0.2">
      <c r="A196" s="40">
        <f t="shared" si="21"/>
        <v>15</v>
      </c>
      <c r="B196" s="39">
        <f t="shared" si="16"/>
        <v>176</v>
      </c>
      <c r="C196" s="35">
        <f t="shared" si="17"/>
        <v>637921.07541462057</v>
      </c>
      <c r="D196" s="36">
        <f t="shared" si="18"/>
        <v>-6443.0140148550854</v>
      </c>
      <c r="E196" s="36">
        <f t="shared" si="15"/>
        <v>-3253.4086377819826</v>
      </c>
      <c r="F196" s="36">
        <f t="shared" si="19"/>
        <v>-3189.6053770731028</v>
      </c>
      <c r="G196" s="36">
        <f t="shared" si="20"/>
        <v>634667.6667768386</v>
      </c>
      <c r="H196" s="37"/>
    </row>
    <row r="197" spans="1:8" s="38" customFormat="1" ht="12.75" x14ac:dyDescent="0.2">
      <c r="A197" s="40">
        <f t="shared" si="21"/>
        <v>15</v>
      </c>
      <c r="B197" s="39">
        <f t="shared" si="16"/>
        <v>177</v>
      </c>
      <c r="C197" s="35">
        <f t="shared" si="17"/>
        <v>634667.6667768386</v>
      </c>
      <c r="D197" s="36">
        <f t="shared" si="18"/>
        <v>-6443.0140148550854</v>
      </c>
      <c r="E197" s="36">
        <f t="shared" si="15"/>
        <v>-3269.6756809708922</v>
      </c>
      <c r="F197" s="36">
        <f t="shared" si="19"/>
        <v>-3173.3383338841932</v>
      </c>
      <c r="G197" s="36">
        <f t="shared" si="20"/>
        <v>631397.99109586771</v>
      </c>
      <c r="H197" s="37"/>
    </row>
    <row r="198" spans="1:8" s="38" customFormat="1" ht="12.75" x14ac:dyDescent="0.2">
      <c r="A198" s="40">
        <f t="shared" si="21"/>
        <v>15</v>
      </c>
      <c r="B198" s="39">
        <f t="shared" si="16"/>
        <v>178</v>
      </c>
      <c r="C198" s="35">
        <f t="shared" si="17"/>
        <v>631397.99109586771</v>
      </c>
      <c r="D198" s="36">
        <f t="shared" si="18"/>
        <v>-6443.0140148550854</v>
      </c>
      <c r="E198" s="36">
        <f t="shared" si="15"/>
        <v>-3286.0240593757467</v>
      </c>
      <c r="F198" s="36">
        <f t="shared" si="19"/>
        <v>-3156.9899554793387</v>
      </c>
      <c r="G198" s="36">
        <f t="shared" si="20"/>
        <v>628111.96703649196</v>
      </c>
      <c r="H198" s="37"/>
    </row>
    <row r="199" spans="1:8" s="38" customFormat="1" ht="12.75" x14ac:dyDescent="0.2">
      <c r="A199" s="40">
        <f t="shared" si="21"/>
        <v>15</v>
      </c>
      <c r="B199" s="39">
        <f t="shared" si="16"/>
        <v>179</v>
      </c>
      <c r="C199" s="35">
        <f t="shared" si="17"/>
        <v>628111.96703649196</v>
      </c>
      <c r="D199" s="36">
        <f t="shared" si="18"/>
        <v>-6443.0140148550854</v>
      </c>
      <c r="E199" s="36">
        <f t="shared" si="15"/>
        <v>-3302.4541796726257</v>
      </c>
      <c r="F199" s="36">
        <f t="shared" si="19"/>
        <v>-3140.5598351824597</v>
      </c>
      <c r="G199" s="36">
        <f t="shared" si="20"/>
        <v>624809.51285681932</v>
      </c>
      <c r="H199" s="37"/>
    </row>
    <row r="200" spans="1:8" s="38" customFormat="1" ht="12.75" x14ac:dyDescent="0.2">
      <c r="A200" s="40">
        <f t="shared" si="21"/>
        <v>15</v>
      </c>
      <c r="B200" s="39">
        <f t="shared" si="16"/>
        <v>180</v>
      </c>
      <c r="C200" s="35">
        <f t="shared" si="17"/>
        <v>624809.51285681932</v>
      </c>
      <c r="D200" s="36">
        <f t="shared" si="18"/>
        <v>-6443.0140148550854</v>
      </c>
      <c r="E200" s="36">
        <f t="shared" si="15"/>
        <v>-3318.9664505709889</v>
      </c>
      <c r="F200" s="36">
        <f t="shared" si="19"/>
        <v>-3124.0475642840966</v>
      </c>
      <c r="G200" s="36">
        <f t="shared" si="20"/>
        <v>621490.54640624835</v>
      </c>
      <c r="H200" s="37"/>
    </row>
    <row r="201" spans="1:8" s="38" customFormat="1" ht="12.75" x14ac:dyDescent="0.2">
      <c r="A201" s="40">
        <f>A189+1</f>
        <v>16</v>
      </c>
      <c r="B201" s="39">
        <f t="shared" si="16"/>
        <v>181</v>
      </c>
      <c r="C201" s="35">
        <f t="shared" si="17"/>
        <v>621490.54640624835</v>
      </c>
      <c r="D201" s="36">
        <f t="shared" si="18"/>
        <v>-6443.0140148550854</v>
      </c>
      <c r="E201" s="36">
        <f t="shared" si="15"/>
        <v>-3335.5612828238436</v>
      </c>
      <c r="F201" s="36">
        <f t="shared" si="19"/>
        <v>-3107.4527320312418</v>
      </c>
      <c r="G201" s="36">
        <f t="shared" si="20"/>
        <v>618154.98512342456</v>
      </c>
      <c r="H201" s="37"/>
    </row>
    <row r="202" spans="1:8" s="38" customFormat="1" ht="12.75" x14ac:dyDescent="0.2">
      <c r="A202" s="40">
        <f>A201</f>
        <v>16</v>
      </c>
      <c r="B202" s="39">
        <f t="shared" si="16"/>
        <v>182</v>
      </c>
      <c r="C202" s="35">
        <f t="shared" si="17"/>
        <v>618154.98512342456</v>
      </c>
      <c r="D202" s="36">
        <f t="shared" si="18"/>
        <v>-6443.0140148550854</v>
      </c>
      <c r="E202" s="36">
        <f t="shared" si="15"/>
        <v>-3352.2390892379626</v>
      </c>
      <c r="F202" s="36">
        <f t="shared" si="19"/>
        <v>-3090.7749256171228</v>
      </c>
      <c r="G202" s="36">
        <f t="shared" si="20"/>
        <v>614802.74603418657</v>
      </c>
      <c r="H202" s="37"/>
    </row>
    <row r="203" spans="1:8" s="38" customFormat="1" ht="12.75" x14ac:dyDescent="0.2">
      <c r="A203" s="40">
        <f t="shared" si="21"/>
        <v>16</v>
      </c>
      <c r="B203" s="39">
        <f t="shared" si="16"/>
        <v>183</v>
      </c>
      <c r="C203" s="35">
        <f t="shared" si="17"/>
        <v>614802.74603418657</v>
      </c>
      <c r="D203" s="36">
        <f t="shared" si="18"/>
        <v>-6443.0140148550854</v>
      </c>
      <c r="E203" s="36">
        <f t="shared" si="15"/>
        <v>-3369.0002846841526</v>
      </c>
      <c r="F203" s="36">
        <f t="shared" si="19"/>
        <v>-3074.0137301709328</v>
      </c>
      <c r="G203" s="36">
        <f t="shared" si="20"/>
        <v>611433.74574950244</v>
      </c>
      <c r="H203" s="37"/>
    </row>
    <row r="204" spans="1:8" s="38" customFormat="1" ht="12.75" x14ac:dyDescent="0.2">
      <c r="A204" s="40">
        <f t="shared" si="21"/>
        <v>16</v>
      </c>
      <c r="B204" s="39">
        <f t="shared" si="16"/>
        <v>184</v>
      </c>
      <c r="C204" s="35">
        <f t="shared" si="17"/>
        <v>611433.74574950244</v>
      </c>
      <c r="D204" s="36">
        <f t="shared" si="18"/>
        <v>-6443.0140148550854</v>
      </c>
      <c r="E204" s="36">
        <f t="shared" si="15"/>
        <v>-3385.845286107573</v>
      </c>
      <c r="F204" s="36">
        <f t="shared" si="19"/>
        <v>-3057.1687287475124</v>
      </c>
      <c r="G204" s="36">
        <f t="shared" si="20"/>
        <v>608047.90046339482</v>
      </c>
      <c r="H204" s="37"/>
    </row>
    <row r="205" spans="1:8" s="38" customFormat="1" ht="12.75" x14ac:dyDescent="0.2">
      <c r="A205" s="40">
        <f t="shared" si="21"/>
        <v>16</v>
      </c>
      <c r="B205" s="39">
        <f t="shared" si="16"/>
        <v>185</v>
      </c>
      <c r="C205" s="35">
        <f t="shared" si="17"/>
        <v>608047.90046339482</v>
      </c>
      <c r="D205" s="36">
        <f t="shared" si="18"/>
        <v>-6443.0140148550854</v>
      </c>
      <c r="E205" s="36">
        <f t="shared" si="15"/>
        <v>-3402.7745125381111</v>
      </c>
      <c r="F205" s="36">
        <f t="shared" si="19"/>
        <v>-3040.2395023169743</v>
      </c>
      <c r="G205" s="36">
        <f t="shared" si="20"/>
        <v>604645.12595085672</v>
      </c>
      <c r="H205" s="37"/>
    </row>
    <row r="206" spans="1:8" s="38" customFormat="1" ht="12.75" x14ac:dyDescent="0.2">
      <c r="A206" s="40">
        <f t="shared" si="21"/>
        <v>16</v>
      </c>
      <c r="B206" s="39">
        <f t="shared" si="16"/>
        <v>186</v>
      </c>
      <c r="C206" s="35">
        <f t="shared" si="17"/>
        <v>604645.12595085672</v>
      </c>
      <c r="D206" s="36">
        <f t="shared" si="18"/>
        <v>-6443.0140148550854</v>
      </c>
      <c r="E206" s="36">
        <f t="shared" si="15"/>
        <v>-3419.7883851008019</v>
      </c>
      <c r="F206" s="36">
        <f t="shared" si="19"/>
        <v>-3023.2256297542835</v>
      </c>
      <c r="G206" s="36">
        <f t="shared" si="20"/>
        <v>601225.33756575594</v>
      </c>
      <c r="H206" s="37"/>
    </row>
    <row r="207" spans="1:8" s="38" customFormat="1" ht="12.75" x14ac:dyDescent="0.2">
      <c r="A207" s="40">
        <f t="shared" si="21"/>
        <v>16</v>
      </c>
      <c r="B207" s="39">
        <f t="shared" si="16"/>
        <v>187</v>
      </c>
      <c r="C207" s="35">
        <f t="shared" si="17"/>
        <v>601225.33756575594</v>
      </c>
      <c r="D207" s="36">
        <f t="shared" si="18"/>
        <v>-6443.0140148550854</v>
      </c>
      <c r="E207" s="36">
        <f t="shared" si="15"/>
        <v>-3436.8873270263057</v>
      </c>
      <c r="F207" s="36">
        <f t="shared" si="19"/>
        <v>-3006.1266878287797</v>
      </c>
      <c r="G207" s="36">
        <f t="shared" si="20"/>
        <v>597788.45023872959</v>
      </c>
      <c r="H207" s="37"/>
    </row>
    <row r="208" spans="1:8" s="38" customFormat="1" ht="12.75" x14ac:dyDescent="0.2">
      <c r="A208" s="40">
        <f t="shared" si="21"/>
        <v>16</v>
      </c>
      <c r="B208" s="39">
        <f t="shared" si="16"/>
        <v>188</v>
      </c>
      <c r="C208" s="35">
        <f t="shared" si="17"/>
        <v>597788.45023872959</v>
      </c>
      <c r="D208" s="36">
        <f t="shared" si="18"/>
        <v>-6443.0140148550854</v>
      </c>
      <c r="E208" s="36">
        <f t="shared" si="15"/>
        <v>-3454.0717636614372</v>
      </c>
      <c r="F208" s="36">
        <f t="shared" si="19"/>
        <v>-2988.9422511936482</v>
      </c>
      <c r="G208" s="36">
        <f t="shared" si="20"/>
        <v>594334.37847506814</v>
      </c>
      <c r="H208" s="37"/>
    </row>
    <row r="209" spans="1:8" s="38" customFormat="1" ht="12.75" x14ac:dyDescent="0.2">
      <c r="A209" s="40">
        <f t="shared" si="21"/>
        <v>16</v>
      </c>
      <c r="B209" s="39">
        <f t="shared" si="16"/>
        <v>189</v>
      </c>
      <c r="C209" s="35">
        <f t="shared" si="17"/>
        <v>594334.37847506814</v>
      </c>
      <c r="D209" s="36">
        <f t="shared" si="18"/>
        <v>-6443.0140148550854</v>
      </c>
      <c r="E209" s="36">
        <f t="shared" si="15"/>
        <v>-3471.3421224797448</v>
      </c>
      <c r="F209" s="36">
        <f t="shared" si="19"/>
        <v>-2971.6718923753406</v>
      </c>
      <c r="G209" s="36">
        <f t="shared" si="20"/>
        <v>590863.03635258845</v>
      </c>
      <c r="H209" s="37"/>
    </row>
    <row r="210" spans="1:8" s="38" customFormat="1" ht="12.75" x14ac:dyDescent="0.2">
      <c r="A210" s="40">
        <f t="shared" si="21"/>
        <v>16</v>
      </c>
      <c r="B210" s="39">
        <f t="shared" si="16"/>
        <v>190</v>
      </c>
      <c r="C210" s="35">
        <f t="shared" si="17"/>
        <v>590863.03635258845</v>
      </c>
      <c r="D210" s="36">
        <f t="shared" si="18"/>
        <v>-6443.0140148550854</v>
      </c>
      <c r="E210" s="36">
        <f t="shared" si="15"/>
        <v>-3488.6988330921431</v>
      </c>
      <c r="F210" s="36">
        <f t="shared" si="19"/>
        <v>-2954.3151817629423</v>
      </c>
      <c r="G210" s="36">
        <f t="shared" si="20"/>
        <v>587374.33751949633</v>
      </c>
      <c r="H210" s="37"/>
    </row>
    <row r="211" spans="1:8" s="38" customFormat="1" ht="12.75" x14ac:dyDescent="0.2">
      <c r="A211" s="40">
        <f t="shared" si="21"/>
        <v>16</v>
      </c>
      <c r="B211" s="39">
        <f t="shared" si="16"/>
        <v>191</v>
      </c>
      <c r="C211" s="35">
        <f t="shared" si="17"/>
        <v>587374.33751949633</v>
      </c>
      <c r="D211" s="36">
        <f t="shared" si="18"/>
        <v>-6443.0140148550854</v>
      </c>
      <c r="E211" s="36">
        <f t="shared" si="15"/>
        <v>-3506.1423272576035</v>
      </c>
      <c r="F211" s="36">
        <f t="shared" si="19"/>
        <v>-2936.8716875974819</v>
      </c>
      <c r="G211" s="36">
        <f t="shared" si="20"/>
        <v>583868.19519223878</v>
      </c>
      <c r="H211" s="37"/>
    </row>
    <row r="212" spans="1:8" s="38" customFormat="1" ht="12.75" x14ac:dyDescent="0.2">
      <c r="A212" s="40">
        <f t="shared" si="21"/>
        <v>16</v>
      </c>
      <c r="B212" s="39">
        <f t="shared" si="16"/>
        <v>192</v>
      </c>
      <c r="C212" s="35">
        <f t="shared" si="17"/>
        <v>583868.19519223878</v>
      </c>
      <c r="D212" s="36">
        <f t="shared" si="18"/>
        <v>-6443.0140148550854</v>
      </c>
      <c r="E212" s="36">
        <f t="shared" si="15"/>
        <v>-3523.6730388938913</v>
      </c>
      <c r="F212" s="36">
        <f t="shared" si="19"/>
        <v>-2919.3409759611941</v>
      </c>
      <c r="G212" s="36">
        <f t="shared" si="20"/>
        <v>580344.52215334494</v>
      </c>
      <c r="H212" s="37"/>
    </row>
    <row r="213" spans="1:8" s="38" customFormat="1" ht="12.75" x14ac:dyDescent="0.2">
      <c r="A213" s="40">
        <f>A201+1</f>
        <v>17</v>
      </c>
      <c r="B213" s="39">
        <f t="shared" si="16"/>
        <v>193</v>
      </c>
      <c r="C213" s="35">
        <f t="shared" si="17"/>
        <v>580344.52215334494</v>
      </c>
      <c r="D213" s="36">
        <f t="shared" si="18"/>
        <v>-6443.0140148550854</v>
      </c>
      <c r="E213" s="36">
        <f t="shared" ref="E213:E276" si="22">IF(AND($G$10, B213&lt;=$G$11), 0, D213-F213)</f>
        <v>-3541.2914040883607</v>
      </c>
      <c r="F213" s="36">
        <f t="shared" si="19"/>
        <v>-2901.7226107667248</v>
      </c>
      <c r="G213" s="36">
        <f t="shared" si="20"/>
        <v>576803.23074925656</v>
      </c>
      <c r="H213" s="37"/>
    </row>
    <row r="214" spans="1:8" s="38" customFormat="1" ht="12.75" x14ac:dyDescent="0.2">
      <c r="A214" s="40">
        <f>A213</f>
        <v>17</v>
      </c>
      <c r="B214" s="39">
        <f t="shared" ref="B214:B277" si="23">+B213+1</f>
        <v>194</v>
      </c>
      <c r="C214" s="35">
        <f t="shared" ref="C214:C277" si="24">G213</f>
        <v>576803.23074925656</v>
      </c>
      <c r="D214" s="36">
        <f t="shared" ref="D214:D277" si="25">IF(AND($G$10, B214&lt;=$G$11), F214, PMT($C$12, $C$14, $C$10))</f>
        <v>-6443.0140148550854</v>
      </c>
      <c r="E214" s="36">
        <f t="shared" si="22"/>
        <v>-3558.9978611088027</v>
      </c>
      <c r="F214" s="36">
        <f t="shared" ref="F214:F277" si="26">-G213*$C$12</f>
        <v>-2884.0161537462827</v>
      </c>
      <c r="G214" s="36">
        <f t="shared" ref="G214:G277" si="27">C214+E214</f>
        <v>573244.2328881477</v>
      </c>
      <c r="H214" s="37"/>
    </row>
    <row r="215" spans="1:8" s="38" customFormat="1" ht="12.75" x14ac:dyDescent="0.2">
      <c r="A215" s="40">
        <f t="shared" si="21"/>
        <v>17</v>
      </c>
      <c r="B215" s="39">
        <f t="shared" si="23"/>
        <v>195</v>
      </c>
      <c r="C215" s="35">
        <f t="shared" si="24"/>
        <v>573244.2328881477</v>
      </c>
      <c r="D215" s="36">
        <f t="shared" si="25"/>
        <v>-6443.0140148550854</v>
      </c>
      <c r="E215" s="36">
        <f t="shared" si="22"/>
        <v>-3576.792850414347</v>
      </c>
      <c r="F215" s="36">
        <f t="shared" si="26"/>
        <v>-2866.2211644407384</v>
      </c>
      <c r="G215" s="36">
        <f t="shared" si="27"/>
        <v>569667.44003773341</v>
      </c>
      <c r="H215" s="37"/>
    </row>
    <row r="216" spans="1:8" s="38" customFormat="1" ht="12.75" x14ac:dyDescent="0.2">
      <c r="A216" s="40">
        <f t="shared" si="21"/>
        <v>17</v>
      </c>
      <c r="B216" s="39">
        <f t="shared" si="23"/>
        <v>196</v>
      </c>
      <c r="C216" s="35">
        <f t="shared" si="24"/>
        <v>569667.44003773341</v>
      </c>
      <c r="D216" s="36">
        <f t="shared" si="25"/>
        <v>-6443.0140148550854</v>
      </c>
      <c r="E216" s="36">
        <f t="shared" si="22"/>
        <v>-3594.6768146664185</v>
      </c>
      <c r="F216" s="36">
        <f t="shared" si="26"/>
        <v>-2848.3372001886669</v>
      </c>
      <c r="G216" s="36">
        <f t="shared" si="27"/>
        <v>566072.76322306704</v>
      </c>
      <c r="H216" s="37"/>
    </row>
    <row r="217" spans="1:8" s="38" customFormat="1" ht="12.75" x14ac:dyDescent="0.2">
      <c r="A217" s="40">
        <f t="shared" si="21"/>
        <v>17</v>
      </c>
      <c r="B217" s="39">
        <f t="shared" si="23"/>
        <v>197</v>
      </c>
      <c r="C217" s="35">
        <f t="shared" si="24"/>
        <v>566072.76322306704</v>
      </c>
      <c r="D217" s="36">
        <f t="shared" si="25"/>
        <v>-6443.0140148550854</v>
      </c>
      <c r="E217" s="36">
        <f t="shared" si="22"/>
        <v>-3612.6501987397501</v>
      </c>
      <c r="F217" s="36">
        <f t="shared" si="26"/>
        <v>-2830.3638161153353</v>
      </c>
      <c r="G217" s="36">
        <f t="shared" si="27"/>
        <v>562460.11302432732</v>
      </c>
      <c r="H217" s="37"/>
    </row>
    <row r="218" spans="1:8" s="38" customFormat="1" ht="12.75" x14ac:dyDescent="0.2">
      <c r="A218" s="40">
        <f t="shared" si="21"/>
        <v>17</v>
      </c>
      <c r="B218" s="39">
        <f t="shared" si="23"/>
        <v>198</v>
      </c>
      <c r="C218" s="35">
        <f t="shared" si="24"/>
        <v>562460.11302432732</v>
      </c>
      <c r="D218" s="36">
        <f t="shared" si="25"/>
        <v>-6443.0140148550854</v>
      </c>
      <c r="E218" s="36">
        <f t="shared" si="22"/>
        <v>-3630.7134497334487</v>
      </c>
      <c r="F218" s="36">
        <f t="shared" si="26"/>
        <v>-2812.3005651216367</v>
      </c>
      <c r="G218" s="36">
        <f t="shared" si="27"/>
        <v>558829.39957459387</v>
      </c>
      <c r="H218" s="37"/>
    </row>
    <row r="219" spans="1:8" s="38" customFormat="1" ht="12.75" x14ac:dyDescent="0.2">
      <c r="A219" s="40">
        <f t="shared" si="21"/>
        <v>17</v>
      </c>
      <c r="B219" s="39">
        <f t="shared" si="23"/>
        <v>199</v>
      </c>
      <c r="C219" s="35">
        <f t="shared" si="24"/>
        <v>558829.39957459387</v>
      </c>
      <c r="D219" s="36">
        <f t="shared" si="25"/>
        <v>-6443.0140148550854</v>
      </c>
      <c r="E219" s="36">
        <f t="shared" si="22"/>
        <v>-3648.8670169821162</v>
      </c>
      <c r="F219" s="36">
        <f t="shared" si="26"/>
        <v>-2794.1469978729692</v>
      </c>
      <c r="G219" s="36">
        <f t="shared" si="27"/>
        <v>555180.5325576117</v>
      </c>
      <c r="H219" s="37"/>
    </row>
    <row r="220" spans="1:8" s="38" customFormat="1" ht="12.75" x14ac:dyDescent="0.2">
      <c r="A220" s="40">
        <f t="shared" si="21"/>
        <v>17</v>
      </c>
      <c r="B220" s="39">
        <f t="shared" si="23"/>
        <v>200</v>
      </c>
      <c r="C220" s="35">
        <f t="shared" si="24"/>
        <v>555180.5325576117</v>
      </c>
      <c r="D220" s="36">
        <f t="shared" si="25"/>
        <v>-6443.0140148550854</v>
      </c>
      <c r="E220" s="36">
        <f t="shared" si="22"/>
        <v>-3667.1113520670269</v>
      </c>
      <c r="F220" s="36">
        <f t="shared" si="26"/>
        <v>-2775.9026627880585</v>
      </c>
      <c r="G220" s="36">
        <f t="shared" si="27"/>
        <v>551513.42120554473</v>
      </c>
      <c r="H220" s="37"/>
    </row>
    <row r="221" spans="1:8" s="38" customFormat="1" ht="12.75" x14ac:dyDescent="0.2">
      <c r="A221" s="40">
        <f t="shared" si="21"/>
        <v>17</v>
      </c>
      <c r="B221" s="39">
        <f t="shared" si="23"/>
        <v>201</v>
      </c>
      <c r="C221" s="35">
        <f t="shared" si="24"/>
        <v>551513.42120554473</v>
      </c>
      <c r="D221" s="36">
        <f t="shared" si="25"/>
        <v>-6443.0140148550854</v>
      </c>
      <c r="E221" s="36">
        <f t="shared" si="22"/>
        <v>-3685.4469088273618</v>
      </c>
      <c r="F221" s="36">
        <f t="shared" si="26"/>
        <v>-2757.5671060277236</v>
      </c>
      <c r="G221" s="36">
        <f t="shared" si="27"/>
        <v>547827.97429671732</v>
      </c>
      <c r="H221" s="37"/>
    </row>
    <row r="222" spans="1:8" s="38" customFormat="1" ht="12.75" x14ac:dyDescent="0.2">
      <c r="A222" s="40">
        <f t="shared" si="21"/>
        <v>17</v>
      </c>
      <c r="B222" s="39">
        <f t="shared" si="23"/>
        <v>202</v>
      </c>
      <c r="C222" s="35">
        <f t="shared" si="24"/>
        <v>547827.97429671732</v>
      </c>
      <c r="D222" s="36">
        <f t="shared" si="25"/>
        <v>-6443.0140148550854</v>
      </c>
      <c r="E222" s="36">
        <f t="shared" si="22"/>
        <v>-3703.8741433714986</v>
      </c>
      <c r="F222" s="36">
        <f t="shared" si="26"/>
        <v>-2739.1398714835868</v>
      </c>
      <c r="G222" s="36">
        <f t="shared" si="27"/>
        <v>544124.10015334585</v>
      </c>
      <c r="H222" s="37"/>
    </row>
    <row r="223" spans="1:8" s="38" customFormat="1" ht="12.75" x14ac:dyDescent="0.2">
      <c r="A223" s="40">
        <f t="shared" si="21"/>
        <v>17</v>
      </c>
      <c r="B223" s="39">
        <f t="shared" si="23"/>
        <v>203</v>
      </c>
      <c r="C223" s="35">
        <f t="shared" si="24"/>
        <v>544124.10015334585</v>
      </c>
      <c r="D223" s="36">
        <f t="shared" si="25"/>
        <v>-6443.0140148550854</v>
      </c>
      <c r="E223" s="36">
        <f t="shared" si="22"/>
        <v>-3722.3935140883559</v>
      </c>
      <c r="F223" s="36">
        <f t="shared" si="26"/>
        <v>-2720.6205007667295</v>
      </c>
      <c r="G223" s="36">
        <f t="shared" si="27"/>
        <v>540401.70663925749</v>
      </c>
      <c r="H223" s="37"/>
    </row>
    <row r="224" spans="1:8" s="38" customFormat="1" ht="12.75" x14ac:dyDescent="0.2">
      <c r="A224" s="40">
        <f t="shared" si="21"/>
        <v>17</v>
      </c>
      <c r="B224" s="39">
        <f t="shared" si="23"/>
        <v>204</v>
      </c>
      <c r="C224" s="35">
        <f t="shared" si="24"/>
        <v>540401.70663925749</v>
      </c>
      <c r="D224" s="36">
        <f t="shared" si="25"/>
        <v>-6443.0140148550854</v>
      </c>
      <c r="E224" s="36">
        <f t="shared" si="22"/>
        <v>-3741.0054816587981</v>
      </c>
      <c r="F224" s="36">
        <f t="shared" si="26"/>
        <v>-2702.0085331962873</v>
      </c>
      <c r="G224" s="36">
        <f t="shared" si="27"/>
        <v>536660.70115759864</v>
      </c>
      <c r="H224" s="37"/>
    </row>
    <row r="225" spans="1:8" s="38" customFormat="1" ht="12.75" x14ac:dyDescent="0.2">
      <c r="A225" s="40">
        <f>A213+1</f>
        <v>18</v>
      </c>
      <c r="B225" s="39">
        <f t="shared" si="23"/>
        <v>205</v>
      </c>
      <c r="C225" s="35">
        <f t="shared" si="24"/>
        <v>536660.70115759864</v>
      </c>
      <c r="D225" s="36">
        <f t="shared" si="25"/>
        <v>-6443.0140148550854</v>
      </c>
      <c r="E225" s="36">
        <f t="shared" si="22"/>
        <v>-3759.7105090670921</v>
      </c>
      <c r="F225" s="36">
        <f t="shared" si="26"/>
        <v>-2683.3035057879933</v>
      </c>
      <c r="G225" s="36">
        <f t="shared" si="27"/>
        <v>532900.99064853159</v>
      </c>
      <c r="H225" s="37"/>
    </row>
    <row r="226" spans="1:8" s="38" customFormat="1" ht="12.75" x14ac:dyDescent="0.2">
      <c r="A226" s="40">
        <f>A225</f>
        <v>18</v>
      </c>
      <c r="B226" s="39">
        <f t="shared" si="23"/>
        <v>206</v>
      </c>
      <c r="C226" s="35">
        <f t="shared" si="24"/>
        <v>532900.99064853159</v>
      </c>
      <c r="D226" s="36">
        <f t="shared" si="25"/>
        <v>-6443.0140148550854</v>
      </c>
      <c r="E226" s="36">
        <f t="shared" si="22"/>
        <v>-3778.5090616124276</v>
      </c>
      <c r="F226" s="36">
        <f t="shared" si="26"/>
        <v>-2664.5049532426578</v>
      </c>
      <c r="G226" s="36">
        <f t="shared" si="27"/>
        <v>529122.48158691917</v>
      </c>
      <c r="H226" s="37"/>
    </row>
    <row r="227" spans="1:8" s="38" customFormat="1" ht="12.75" x14ac:dyDescent="0.2">
      <c r="A227" s="40">
        <f t="shared" si="21"/>
        <v>18</v>
      </c>
      <c r="B227" s="39">
        <f t="shared" si="23"/>
        <v>207</v>
      </c>
      <c r="C227" s="35">
        <f t="shared" si="24"/>
        <v>529122.48158691917</v>
      </c>
      <c r="D227" s="36">
        <f t="shared" si="25"/>
        <v>-6443.0140148550854</v>
      </c>
      <c r="E227" s="36">
        <f t="shared" si="22"/>
        <v>-3797.4016069204895</v>
      </c>
      <c r="F227" s="36">
        <f t="shared" si="26"/>
        <v>-2645.6124079345959</v>
      </c>
      <c r="G227" s="36">
        <f t="shared" si="27"/>
        <v>525325.07997999864</v>
      </c>
      <c r="H227" s="37"/>
    </row>
    <row r="228" spans="1:8" s="38" customFormat="1" ht="12.75" x14ac:dyDescent="0.2">
      <c r="A228" s="40">
        <f t="shared" si="21"/>
        <v>18</v>
      </c>
      <c r="B228" s="39">
        <f t="shared" si="23"/>
        <v>208</v>
      </c>
      <c r="C228" s="35">
        <f t="shared" si="24"/>
        <v>525325.07997999864</v>
      </c>
      <c r="D228" s="36">
        <f t="shared" si="25"/>
        <v>-6443.0140148550854</v>
      </c>
      <c r="E228" s="36">
        <f t="shared" si="22"/>
        <v>-3816.3886149550922</v>
      </c>
      <c r="F228" s="36">
        <f t="shared" si="26"/>
        <v>-2626.6253998999932</v>
      </c>
      <c r="G228" s="36">
        <f t="shared" si="27"/>
        <v>521508.69136504357</v>
      </c>
      <c r="H228" s="37"/>
    </row>
    <row r="229" spans="1:8" s="38" customFormat="1" ht="12.75" x14ac:dyDescent="0.2">
      <c r="A229" s="40">
        <f t="shared" si="21"/>
        <v>18</v>
      </c>
      <c r="B229" s="39">
        <f t="shared" si="23"/>
        <v>209</v>
      </c>
      <c r="C229" s="35">
        <f t="shared" si="24"/>
        <v>521508.69136504357</v>
      </c>
      <c r="D229" s="36">
        <f t="shared" si="25"/>
        <v>-6443.0140148550854</v>
      </c>
      <c r="E229" s="36">
        <f t="shared" si="22"/>
        <v>-3835.4705580298673</v>
      </c>
      <c r="F229" s="36">
        <f t="shared" si="26"/>
        <v>-2607.5434568252181</v>
      </c>
      <c r="G229" s="36">
        <f t="shared" si="27"/>
        <v>517673.22080701368</v>
      </c>
      <c r="H229" s="37"/>
    </row>
    <row r="230" spans="1:8" s="38" customFormat="1" ht="12.75" x14ac:dyDescent="0.2">
      <c r="A230" s="40">
        <f t="shared" si="21"/>
        <v>18</v>
      </c>
      <c r="B230" s="39">
        <f t="shared" si="23"/>
        <v>210</v>
      </c>
      <c r="C230" s="35">
        <f t="shared" si="24"/>
        <v>517673.22080701368</v>
      </c>
      <c r="D230" s="36">
        <f t="shared" si="25"/>
        <v>-6443.0140148550854</v>
      </c>
      <c r="E230" s="36">
        <f t="shared" si="22"/>
        <v>-3854.6479108200169</v>
      </c>
      <c r="F230" s="36">
        <f t="shared" si="26"/>
        <v>-2588.3661040350685</v>
      </c>
      <c r="G230" s="36">
        <f t="shared" si="27"/>
        <v>513818.57289619365</v>
      </c>
      <c r="H230" s="37"/>
    </row>
    <row r="231" spans="1:8" s="38" customFormat="1" ht="12.75" x14ac:dyDescent="0.2">
      <c r="A231" s="40">
        <f t="shared" si="21"/>
        <v>18</v>
      </c>
      <c r="B231" s="39">
        <f t="shared" si="23"/>
        <v>211</v>
      </c>
      <c r="C231" s="35">
        <f t="shared" si="24"/>
        <v>513818.57289619365</v>
      </c>
      <c r="D231" s="36">
        <f t="shared" si="25"/>
        <v>-6443.0140148550854</v>
      </c>
      <c r="E231" s="36">
        <f t="shared" si="22"/>
        <v>-3873.9211503741171</v>
      </c>
      <c r="F231" s="36">
        <f t="shared" si="26"/>
        <v>-2569.0928644809683</v>
      </c>
      <c r="G231" s="36">
        <f t="shared" si="27"/>
        <v>509944.65174581954</v>
      </c>
      <c r="H231" s="37"/>
    </row>
    <row r="232" spans="1:8" s="38" customFormat="1" ht="12.75" x14ac:dyDescent="0.2">
      <c r="A232" s="40">
        <f t="shared" si="21"/>
        <v>18</v>
      </c>
      <c r="B232" s="39">
        <f t="shared" si="23"/>
        <v>212</v>
      </c>
      <c r="C232" s="35">
        <f t="shared" si="24"/>
        <v>509944.65174581954</v>
      </c>
      <c r="D232" s="36">
        <f t="shared" si="25"/>
        <v>-6443.0140148550854</v>
      </c>
      <c r="E232" s="36">
        <f t="shared" si="22"/>
        <v>-3893.2907561259876</v>
      </c>
      <c r="F232" s="36">
        <f t="shared" si="26"/>
        <v>-2549.7232587290978</v>
      </c>
      <c r="G232" s="36">
        <f t="shared" si="27"/>
        <v>506051.36098969355</v>
      </c>
      <c r="H232" s="37"/>
    </row>
    <row r="233" spans="1:8" s="38" customFormat="1" ht="12.75" x14ac:dyDescent="0.2">
      <c r="A233" s="40">
        <f t="shared" si="21"/>
        <v>18</v>
      </c>
      <c r="B233" s="39">
        <f t="shared" si="23"/>
        <v>213</v>
      </c>
      <c r="C233" s="35">
        <f t="shared" si="24"/>
        <v>506051.36098969355</v>
      </c>
      <c r="D233" s="36">
        <f t="shared" si="25"/>
        <v>-6443.0140148550854</v>
      </c>
      <c r="E233" s="36">
        <f t="shared" si="22"/>
        <v>-3912.7572099066174</v>
      </c>
      <c r="F233" s="36">
        <f t="shared" si="26"/>
        <v>-2530.256804948468</v>
      </c>
      <c r="G233" s="36">
        <f t="shared" si="27"/>
        <v>502138.60377978691</v>
      </c>
      <c r="H233" s="37"/>
    </row>
    <row r="234" spans="1:8" s="38" customFormat="1" ht="12.75" x14ac:dyDescent="0.2">
      <c r="A234" s="40">
        <f t="shared" si="21"/>
        <v>18</v>
      </c>
      <c r="B234" s="39">
        <f t="shared" si="23"/>
        <v>214</v>
      </c>
      <c r="C234" s="35">
        <f t="shared" si="24"/>
        <v>502138.60377978691</v>
      </c>
      <c r="D234" s="36">
        <f t="shared" si="25"/>
        <v>-6443.0140148550854</v>
      </c>
      <c r="E234" s="36">
        <f t="shared" si="22"/>
        <v>-3932.3209959561509</v>
      </c>
      <c r="F234" s="36">
        <f t="shared" si="26"/>
        <v>-2510.6930188989345</v>
      </c>
      <c r="G234" s="36">
        <f t="shared" si="27"/>
        <v>498206.28278383077</v>
      </c>
      <c r="H234" s="37"/>
    </row>
    <row r="235" spans="1:8" s="38" customFormat="1" ht="12.75" x14ac:dyDescent="0.2">
      <c r="A235" s="40">
        <f t="shared" si="21"/>
        <v>18</v>
      </c>
      <c r="B235" s="39">
        <f t="shared" si="23"/>
        <v>215</v>
      </c>
      <c r="C235" s="35">
        <f t="shared" si="24"/>
        <v>498206.28278383077</v>
      </c>
      <c r="D235" s="36">
        <f t="shared" si="25"/>
        <v>-6443.0140148550854</v>
      </c>
      <c r="E235" s="36">
        <f t="shared" si="22"/>
        <v>-3951.9826009359317</v>
      </c>
      <c r="F235" s="36">
        <f t="shared" si="26"/>
        <v>-2491.0314139191537</v>
      </c>
      <c r="G235" s="36">
        <f t="shared" si="27"/>
        <v>494254.30018289486</v>
      </c>
      <c r="H235" s="37"/>
    </row>
    <row r="236" spans="1:8" s="38" customFormat="1" ht="12.75" x14ac:dyDescent="0.2">
      <c r="A236" s="40">
        <f t="shared" si="21"/>
        <v>18</v>
      </c>
      <c r="B236" s="39">
        <f t="shared" si="23"/>
        <v>216</v>
      </c>
      <c r="C236" s="35">
        <f t="shared" si="24"/>
        <v>494254.30018289486</v>
      </c>
      <c r="D236" s="36">
        <f t="shared" si="25"/>
        <v>-6443.0140148550854</v>
      </c>
      <c r="E236" s="36">
        <f t="shared" si="22"/>
        <v>-3971.7425139406109</v>
      </c>
      <c r="F236" s="36">
        <f t="shared" si="26"/>
        <v>-2471.2715009144745</v>
      </c>
      <c r="G236" s="36">
        <f t="shared" si="27"/>
        <v>490282.55766895425</v>
      </c>
      <c r="H236" s="37"/>
    </row>
    <row r="237" spans="1:8" s="38" customFormat="1" ht="12.75" x14ac:dyDescent="0.2">
      <c r="A237" s="40">
        <f>A225+1</f>
        <v>19</v>
      </c>
      <c r="B237" s="39">
        <f t="shared" si="23"/>
        <v>217</v>
      </c>
      <c r="C237" s="35">
        <f t="shared" si="24"/>
        <v>490282.55766895425</v>
      </c>
      <c r="D237" s="36">
        <f t="shared" si="25"/>
        <v>-6443.0140148550854</v>
      </c>
      <c r="E237" s="36">
        <f t="shared" si="22"/>
        <v>-3991.6012265103141</v>
      </c>
      <c r="F237" s="36">
        <f t="shared" si="26"/>
        <v>-2451.4127883447713</v>
      </c>
      <c r="G237" s="36">
        <f t="shared" si="27"/>
        <v>486290.95644244394</v>
      </c>
      <c r="H237" s="37"/>
    </row>
    <row r="238" spans="1:8" s="38" customFormat="1" ht="12.75" x14ac:dyDescent="0.2">
      <c r="A238" s="40">
        <f t="shared" ref="A238:A301" si="28">A237</f>
        <v>19</v>
      </c>
      <c r="B238" s="39">
        <f t="shared" si="23"/>
        <v>218</v>
      </c>
      <c r="C238" s="35">
        <f t="shared" si="24"/>
        <v>486290.95644244394</v>
      </c>
      <c r="D238" s="36">
        <f t="shared" si="25"/>
        <v>-6443.0140148550854</v>
      </c>
      <c r="E238" s="36">
        <f t="shared" si="22"/>
        <v>-4011.5592326428655</v>
      </c>
      <c r="F238" s="36">
        <f t="shared" si="26"/>
        <v>-2431.4547822122199</v>
      </c>
      <c r="G238" s="36">
        <f t="shared" si="27"/>
        <v>482279.39720980107</v>
      </c>
      <c r="H238" s="37"/>
    </row>
    <row r="239" spans="1:8" s="38" customFormat="1" ht="12.75" x14ac:dyDescent="0.2">
      <c r="A239" s="40">
        <f t="shared" si="28"/>
        <v>19</v>
      </c>
      <c r="B239" s="39">
        <f t="shared" si="23"/>
        <v>219</v>
      </c>
      <c r="C239" s="35">
        <f t="shared" si="24"/>
        <v>482279.39720980107</v>
      </c>
      <c r="D239" s="36">
        <f t="shared" si="25"/>
        <v>-6443.0140148550854</v>
      </c>
      <c r="E239" s="36">
        <f t="shared" si="22"/>
        <v>-4031.6170288060798</v>
      </c>
      <c r="F239" s="36">
        <f t="shared" si="26"/>
        <v>-2411.3969860490056</v>
      </c>
      <c r="G239" s="36">
        <f t="shared" si="27"/>
        <v>478247.780180995</v>
      </c>
      <c r="H239" s="37"/>
    </row>
    <row r="240" spans="1:8" s="38" customFormat="1" ht="12.75" x14ac:dyDescent="0.2">
      <c r="A240" s="40">
        <f t="shared" si="28"/>
        <v>19</v>
      </c>
      <c r="B240" s="39">
        <f t="shared" si="23"/>
        <v>220</v>
      </c>
      <c r="C240" s="35">
        <f t="shared" si="24"/>
        <v>478247.780180995</v>
      </c>
      <c r="D240" s="36">
        <f t="shared" si="25"/>
        <v>-6443.0140148550854</v>
      </c>
      <c r="E240" s="36">
        <f t="shared" si="22"/>
        <v>-4051.7751139501102</v>
      </c>
      <c r="F240" s="36">
        <f t="shared" si="26"/>
        <v>-2391.2389009049753</v>
      </c>
      <c r="G240" s="36">
        <f t="shared" si="27"/>
        <v>474196.00506704487</v>
      </c>
      <c r="H240" s="37"/>
    </row>
    <row r="241" spans="1:8" s="38" customFormat="1" ht="12.75" x14ac:dyDescent="0.2">
      <c r="A241" s="40">
        <f t="shared" si="28"/>
        <v>19</v>
      </c>
      <c r="B241" s="39">
        <f t="shared" si="23"/>
        <v>221</v>
      </c>
      <c r="C241" s="35">
        <f t="shared" si="24"/>
        <v>474196.00506704487</v>
      </c>
      <c r="D241" s="36">
        <f t="shared" si="25"/>
        <v>-6443.0140148550854</v>
      </c>
      <c r="E241" s="36">
        <f t="shared" si="22"/>
        <v>-4072.0339895198608</v>
      </c>
      <c r="F241" s="36">
        <f t="shared" si="26"/>
        <v>-2370.9800253352246</v>
      </c>
      <c r="G241" s="36">
        <f t="shared" si="27"/>
        <v>470123.971077525</v>
      </c>
      <c r="H241" s="37"/>
    </row>
    <row r="242" spans="1:8" s="38" customFormat="1" ht="12.75" x14ac:dyDescent="0.2">
      <c r="A242" s="40">
        <f t="shared" si="28"/>
        <v>19</v>
      </c>
      <c r="B242" s="39">
        <f t="shared" si="23"/>
        <v>222</v>
      </c>
      <c r="C242" s="35">
        <f t="shared" si="24"/>
        <v>470123.971077525</v>
      </c>
      <c r="D242" s="36">
        <f t="shared" si="25"/>
        <v>-6443.0140148550854</v>
      </c>
      <c r="E242" s="36">
        <f t="shared" si="22"/>
        <v>-4092.3941594674602</v>
      </c>
      <c r="F242" s="36">
        <f t="shared" si="26"/>
        <v>-2350.6198553876252</v>
      </c>
      <c r="G242" s="36">
        <f t="shared" si="27"/>
        <v>466031.57691805752</v>
      </c>
      <c r="H242" s="37"/>
    </row>
    <row r="243" spans="1:8" s="38" customFormat="1" ht="12.75" x14ac:dyDescent="0.2">
      <c r="A243" s="40">
        <f t="shared" si="28"/>
        <v>19</v>
      </c>
      <c r="B243" s="39">
        <f t="shared" si="23"/>
        <v>223</v>
      </c>
      <c r="C243" s="35">
        <f t="shared" si="24"/>
        <v>466031.57691805752</v>
      </c>
      <c r="D243" s="36">
        <f t="shared" si="25"/>
        <v>-6443.0140148550854</v>
      </c>
      <c r="E243" s="36">
        <f t="shared" si="22"/>
        <v>-4112.8561302647977</v>
      </c>
      <c r="F243" s="36">
        <f t="shared" si="26"/>
        <v>-2330.1578845902877</v>
      </c>
      <c r="G243" s="36">
        <f t="shared" si="27"/>
        <v>461918.7207877927</v>
      </c>
      <c r="H243" s="37"/>
    </row>
    <row r="244" spans="1:8" s="38" customFormat="1" ht="12.75" x14ac:dyDescent="0.2">
      <c r="A244" s="40">
        <f t="shared" si="28"/>
        <v>19</v>
      </c>
      <c r="B244" s="39">
        <f t="shared" si="23"/>
        <v>224</v>
      </c>
      <c r="C244" s="35">
        <f t="shared" si="24"/>
        <v>461918.7207877927</v>
      </c>
      <c r="D244" s="36">
        <f t="shared" si="25"/>
        <v>-6443.0140148550854</v>
      </c>
      <c r="E244" s="36">
        <f t="shared" si="22"/>
        <v>-4133.4204109161219</v>
      </c>
      <c r="F244" s="36">
        <f t="shared" si="26"/>
        <v>-2309.5936039389635</v>
      </c>
      <c r="G244" s="36">
        <f t="shared" si="27"/>
        <v>457785.30037687661</v>
      </c>
      <c r="H244" s="37"/>
    </row>
    <row r="245" spans="1:8" s="38" customFormat="1" ht="12.75" x14ac:dyDescent="0.2">
      <c r="A245" s="40">
        <f t="shared" si="28"/>
        <v>19</v>
      </c>
      <c r="B245" s="39">
        <f t="shared" si="23"/>
        <v>225</v>
      </c>
      <c r="C245" s="35">
        <f t="shared" si="24"/>
        <v>457785.30037687661</v>
      </c>
      <c r="D245" s="36">
        <f t="shared" si="25"/>
        <v>-6443.0140148550854</v>
      </c>
      <c r="E245" s="36">
        <f t="shared" si="22"/>
        <v>-4154.0875129707019</v>
      </c>
      <c r="F245" s="36">
        <f t="shared" si="26"/>
        <v>-2288.926501884383</v>
      </c>
      <c r="G245" s="36">
        <f t="shared" si="27"/>
        <v>453631.21286390588</v>
      </c>
      <c r="H245" s="37"/>
    </row>
    <row r="246" spans="1:8" s="38" customFormat="1" ht="12.75" x14ac:dyDescent="0.2">
      <c r="A246" s="40">
        <f t="shared" si="28"/>
        <v>19</v>
      </c>
      <c r="B246" s="39">
        <f t="shared" si="23"/>
        <v>226</v>
      </c>
      <c r="C246" s="35">
        <f t="shared" si="24"/>
        <v>453631.21286390588</v>
      </c>
      <c r="D246" s="36">
        <f t="shared" si="25"/>
        <v>-6443.0140148550854</v>
      </c>
      <c r="E246" s="36">
        <f t="shared" si="22"/>
        <v>-4174.8579505355556</v>
      </c>
      <c r="F246" s="36">
        <f t="shared" si="26"/>
        <v>-2268.1560643195294</v>
      </c>
      <c r="G246" s="36">
        <f t="shared" si="27"/>
        <v>449456.35491337033</v>
      </c>
      <c r="H246" s="37"/>
    </row>
    <row r="247" spans="1:8" s="38" customFormat="1" ht="12.75" x14ac:dyDescent="0.2">
      <c r="A247" s="40">
        <f t="shared" si="28"/>
        <v>19</v>
      </c>
      <c r="B247" s="39">
        <f t="shared" si="23"/>
        <v>227</v>
      </c>
      <c r="C247" s="35">
        <f t="shared" si="24"/>
        <v>449456.35491337033</v>
      </c>
      <c r="D247" s="36">
        <f t="shared" si="25"/>
        <v>-6443.0140148550854</v>
      </c>
      <c r="E247" s="36">
        <f t="shared" si="22"/>
        <v>-4195.7322402882337</v>
      </c>
      <c r="F247" s="36">
        <f t="shared" si="26"/>
        <v>-2247.2817745668517</v>
      </c>
      <c r="G247" s="36">
        <f t="shared" si="27"/>
        <v>445260.62267308211</v>
      </c>
      <c r="H247" s="37"/>
    </row>
    <row r="248" spans="1:8" s="38" customFormat="1" ht="12.75" x14ac:dyDescent="0.2">
      <c r="A248" s="40">
        <f t="shared" si="28"/>
        <v>19</v>
      </c>
      <c r="B248" s="39">
        <f t="shared" si="23"/>
        <v>228</v>
      </c>
      <c r="C248" s="35">
        <f t="shared" si="24"/>
        <v>445260.62267308211</v>
      </c>
      <c r="D248" s="36">
        <f t="shared" si="25"/>
        <v>-6443.0140148550854</v>
      </c>
      <c r="E248" s="36">
        <f t="shared" si="22"/>
        <v>-4216.7109014896741</v>
      </c>
      <c r="F248" s="36">
        <f t="shared" si="26"/>
        <v>-2226.3031133654108</v>
      </c>
      <c r="G248" s="36">
        <f t="shared" si="27"/>
        <v>441043.91177159245</v>
      </c>
      <c r="H248" s="37"/>
    </row>
    <row r="249" spans="1:8" s="38" customFormat="1" ht="12.75" x14ac:dyDescent="0.2">
      <c r="A249" s="40">
        <f>A237+1</f>
        <v>20</v>
      </c>
      <c r="B249" s="39">
        <f t="shared" si="23"/>
        <v>229</v>
      </c>
      <c r="C249" s="35">
        <f t="shared" si="24"/>
        <v>441043.91177159245</v>
      </c>
      <c r="D249" s="36">
        <f t="shared" si="25"/>
        <v>-6443.0140148550854</v>
      </c>
      <c r="E249" s="36">
        <f t="shared" si="22"/>
        <v>-4237.7944559971229</v>
      </c>
      <c r="F249" s="36">
        <f t="shared" si="26"/>
        <v>-2205.2195588579625</v>
      </c>
      <c r="G249" s="36">
        <f t="shared" si="27"/>
        <v>436806.11731559533</v>
      </c>
      <c r="H249" s="37"/>
    </row>
    <row r="250" spans="1:8" s="38" customFormat="1" ht="12.75" x14ac:dyDescent="0.2">
      <c r="A250" s="40">
        <f>A249</f>
        <v>20</v>
      </c>
      <c r="B250" s="39">
        <f t="shared" si="23"/>
        <v>230</v>
      </c>
      <c r="C250" s="35">
        <f t="shared" si="24"/>
        <v>436806.11731559533</v>
      </c>
      <c r="D250" s="36">
        <f t="shared" si="25"/>
        <v>-6443.0140148550854</v>
      </c>
      <c r="E250" s="36">
        <f t="shared" si="22"/>
        <v>-4258.9834282771089</v>
      </c>
      <c r="F250" s="36">
        <f t="shared" si="26"/>
        <v>-2184.0305865779765</v>
      </c>
      <c r="G250" s="36">
        <f t="shared" si="27"/>
        <v>432547.1338873182</v>
      </c>
      <c r="H250" s="37"/>
    </row>
    <row r="251" spans="1:8" s="38" customFormat="1" ht="12.75" x14ac:dyDescent="0.2">
      <c r="A251" s="40">
        <f t="shared" si="28"/>
        <v>20</v>
      </c>
      <c r="B251" s="39">
        <f t="shared" si="23"/>
        <v>231</v>
      </c>
      <c r="C251" s="35">
        <f t="shared" si="24"/>
        <v>432547.1338873182</v>
      </c>
      <c r="D251" s="36">
        <f t="shared" si="25"/>
        <v>-6443.0140148550854</v>
      </c>
      <c r="E251" s="36">
        <f t="shared" si="22"/>
        <v>-4280.2783454184946</v>
      </c>
      <c r="F251" s="36">
        <f t="shared" si="26"/>
        <v>-2162.7356694365908</v>
      </c>
      <c r="G251" s="36">
        <f t="shared" si="27"/>
        <v>428266.85554189968</v>
      </c>
      <c r="H251" s="41"/>
    </row>
    <row r="252" spans="1:8" s="38" customFormat="1" ht="12.75" x14ac:dyDescent="0.2">
      <c r="A252" s="40">
        <f t="shared" si="28"/>
        <v>20</v>
      </c>
      <c r="B252" s="39">
        <f t="shared" si="23"/>
        <v>232</v>
      </c>
      <c r="C252" s="35">
        <f t="shared" si="24"/>
        <v>428266.85554189968</v>
      </c>
      <c r="D252" s="36">
        <f t="shared" si="25"/>
        <v>-6443.0140148550854</v>
      </c>
      <c r="E252" s="36">
        <f t="shared" si="22"/>
        <v>-4301.6797371455868</v>
      </c>
      <c r="F252" s="36">
        <f t="shared" si="26"/>
        <v>-2141.3342777094986</v>
      </c>
      <c r="G252" s="36">
        <f t="shared" si="27"/>
        <v>423965.17580475408</v>
      </c>
      <c r="H252" s="41"/>
    </row>
    <row r="253" spans="1:8" s="38" customFormat="1" ht="12.75" x14ac:dyDescent="0.2">
      <c r="A253" s="40">
        <f t="shared" si="28"/>
        <v>20</v>
      </c>
      <c r="B253" s="39">
        <f t="shared" si="23"/>
        <v>233</v>
      </c>
      <c r="C253" s="35">
        <f t="shared" si="24"/>
        <v>423965.17580475408</v>
      </c>
      <c r="D253" s="36">
        <f t="shared" si="25"/>
        <v>-6443.0140148550854</v>
      </c>
      <c r="E253" s="36">
        <f t="shared" si="22"/>
        <v>-4323.1881358313149</v>
      </c>
      <c r="F253" s="36">
        <f t="shared" si="26"/>
        <v>-2119.8258790237705</v>
      </c>
      <c r="G253" s="36">
        <f t="shared" si="27"/>
        <v>419641.98766892275</v>
      </c>
      <c r="H253" s="41"/>
    </row>
    <row r="254" spans="1:8" s="38" customFormat="1" ht="12.75" x14ac:dyDescent="0.2">
      <c r="A254" s="40">
        <f t="shared" si="28"/>
        <v>20</v>
      </c>
      <c r="B254" s="39">
        <f t="shared" si="23"/>
        <v>234</v>
      </c>
      <c r="C254" s="35">
        <f t="shared" si="24"/>
        <v>419641.98766892275</v>
      </c>
      <c r="D254" s="36">
        <f t="shared" si="25"/>
        <v>-6443.0140148550854</v>
      </c>
      <c r="E254" s="36">
        <f t="shared" si="22"/>
        <v>-4344.8040765104715</v>
      </c>
      <c r="F254" s="36">
        <f t="shared" si="26"/>
        <v>-2098.2099383446139</v>
      </c>
      <c r="G254" s="36">
        <f t="shared" si="27"/>
        <v>415297.18359241227</v>
      </c>
      <c r="H254" s="41"/>
    </row>
    <row r="255" spans="1:8" s="38" customFormat="1" ht="12.75" x14ac:dyDescent="0.2">
      <c r="A255" s="40">
        <f t="shared" si="28"/>
        <v>20</v>
      </c>
      <c r="B255" s="39">
        <f t="shared" si="23"/>
        <v>235</v>
      </c>
      <c r="C255" s="35">
        <f t="shared" si="24"/>
        <v>415297.18359241227</v>
      </c>
      <c r="D255" s="36">
        <f t="shared" si="25"/>
        <v>-6443.0140148550854</v>
      </c>
      <c r="E255" s="36">
        <f t="shared" si="22"/>
        <v>-4366.5280968930238</v>
      </c>
      <c r="F255" s="36">
        <f t="shared" si="26"/>
        <v>-2076.4859179620612</v>
      </c>
      <c r="G255" s="36">
        <f t="shared" si="27"/>
        <v>410930.65549551923</v>
      </c>
      <c r="H255" s="41"/>
    </row>
    <row r="256" spans="1:8" s="38" customFormat="1" ht="12.75" x14ac:dyDescent="0.2">
      <c r="A256" s="40">
        <f t="shared" si="28"/>
        <v>20</v>
      </c>
      <c r="B256" s="39">
        <f t="shared" si="23"/>
        <v>236</v>
      </c>
      <c r="C256" s="35">
        <f t="shared" si="24"/>
        <v>410930.65549551923</v>
      </c>
      <c r="D256" s="36">
        <f t="shared" si="25"/>
        <v>-6443.0140148550854</v>
      </c>
      <c r="E256" s="36">
        <f t="shared" si="22"/>
        <v>-4388.3607373774894</v>
      </c>
      <c r="F256" s="36">
        <f t="shared" si="26"/>
        <v>-2054.653277477596</v>
      </c>
      <c r="G256" s="36">
        <f t="shared" si="27"/>
        <v>406542.29475814174</v>
      </c>
      <c r="H256" s="41"/>
    </row>
    <row r="257" spans="1:8" s="38" customFormat="1" ht="12.75" x14ac:dyDescent="0.2">
      <c r="A257" s="40">
        <f t="shared" si="28"/>
        <v>20</v>
      </c>
      <c r="B257" s="39">
        <f t="shared" si="23"/>
        <v>237</v>
      </c>
      <c r="C257" s="35">
        <f t="shared" si="24"/>
        <v>406542.29475814174</v>
      </c>
      <c r="D257" s="36">
        <f t="shared" si="25"/>
        <v>-6443.0140148550854</v>
      </c>
      <c r="E257" s="36">
        <f t="shared" si="22"/>
        <v>-4410.3025410643768</v>
      </c>
      <c r="F257" s="36">
        <f t="shared" si="26"/>
        <v>-2032.7114737907089</v>
      </c>
      <c r="G257" s="36">
        <f t="shared" si="27"/>
        <v>402131.99221707735</v>
      </c>
      <c r="H257" s="41"/>
    </row>
    <row r="258" spans="1:8" s="38" customFormat="1" ht="12.75" x14ac:dyDescent="0.2">
      <c r="A258" s="40">
        <f t="shared" si="28"/>
        <v>20</v>
      </c>
      <c r="B258" s="39">
        <f t="shared" si="23"/>
        <v>238</v>
      </c>
      <c r="C258" s="35">
        <f t="shared" si="24"/>
        <v>402131.99221707735</v>
      </c>
      <c r="D258" s="36">
        <f t="shared" si="25"/>
        <v>-6443.0140148550854</v>
      </c>
      <c r="E258" s="36">
        <f t="shared" si="22"/>
        <v>-4432.354053769699</v>
      </c>
      <c r="F258" s="36">
        <f t="shared" si="26"/>
        <v>-2010.6599610853868</v>
      </c>
      <c r="G258" s="36">
        <f t="shared" si="27"/>
        <v>397699.63816330762</v>
      </c>
      <c r="H258" s="41"/>
    </row>
    <row r="259" spans="1:8" s="38" customFormat="1" ht="12.75" x14ac:dyDescent="0.2">
      <c r="A259" s="40">
        <f t="shared" si="28"/>
        <v>20</v>
      </c>
      <c r="B259" s="39">
        <f t="shared" si="23"/>
        <v>239</v>
      </c>
      <c r="C259" s="35">
        <f t="shared" si="24"/>
        <v>397699.63816330762</v>
      </c>
      <c r="D259" s="36">
        <f t="shared" si="25"/>
        <v>-6443.0140148550854</v>
      </c>
      <c r="E259" s="36">
        <f t="shared" si="22"/>
        <v>-4454.5158240385472</v>
      </c>
      <c r="F259" s="36">
        <f t="shared" si="26"/>
        <v>-1988.4981908165382</v>
      </c>
      <c r="G259" s="36">
        <f t="shared" si="27"/>
        <v>393245.12233926909</v>
      </c>
      <c r="H259" s="41"/>
    </row>
    <row r="260" spans="1:8" s="38" customFormat="1" ht="12.75" x14ac:dyDescent="0.2">
      <c r="A260" s="40">
        <f t="shared" si="28"/>
        <v>20</v>
      </c>
      <c r="B260" s="39">
        <f t="shared" si="23"/>
        <v>240</v>
      </c>
      <c r="C260" s="35">
        <f t="shared" si="24"/>
        <v>393245.12233926909</v>
      </c>
      <c r="D260" s="36">
        <f t="shared" si="25"/>
        <v>-6443.0140148550854</v>
      </c>
      <c r="E260" s="36">
        <f t="shared" si="22"/>
        <v>-4476.78840315874</v>
      </c>
      <c r="F260" s="36">
        <f t="shared" si="26"/>
        <v>-1966.2256116963454</v>
      </c>
      <c r="G260" s="36">
        <f t="shared" si="27"/>
        <v>388768.33393611037</v>
      </c>
      <c r="H260" s="41"/>
    </row>
    <row r="261" spans="1:8" s="38" customFormat="1" ht="12.75" x14ac:dyDescent="0.2">
      <c r="A261" s="40">
        <f>A249+1</f>
        <v>21</v>
      </c>
      <c r="B261" s="39">
        <f t="shared" si="23"/>
        <v>241</v>
      </c>
      <c r="C261" s="35">
        <f t="shared" si="24"/>
        <v>388768.33393611037</v>
      </c>
      <c r="D261" s="36">
        <f t="shared" si="25"/>
        <v>-6443.0140148550854</v>
      </c>
      <c r="E261" s="36">
        <f t="shared" si="22"/>
        <v>-4499.1723451745338</v>
      </c>
      <c r="F261" s="36">
        <f t="shared" si="26"/>
        <v>-1943.8416696805518</v>
      </c>
      <c r="G261" s="36">
        <f t="shared" si="27"/>
        <v>384269.16159093584</v>
      </c>
      <c r="H261" s="41"/>
    </row>
    <row r="262" spans="1:8" s="38" customFormat="1" ht="12.75" x14ac:dyDescent="0.2">
      <c r="A262" s="40">
        <f>A261</f>
        <v>21</v>
      </c>
      <c r="B262" s="39">
        <f t="shared" si="23"/>
        <v>242</v>
      </c>
      <c r="C262" s="35">
        <f t="shared" si="24"/>
        <v>384269.16159093584</v>
      </c>
      <c r="D262" s="36">
        <f t="shared" si="25"/>
        <v>-6443.0140148550854</v>
      </c>
      <c r="E262" s="36">
        <f t="shared" si="22"/>
        <v>-4521.6682069004064</v>
      </c>
      <c r="F262" s="36">
        <f t="shared" si="26"/>
        <v>-1921.3458079546792</v>
      </c>
      <c r="G262" s="36">
        <f t="shared" si="27"/>
        <v>379747.49338403542</v>
      </c>
      <c r="H262" s="41"/>
    </row>
    <row r="263" spans="1:8" s="38" customFormat="1" ht="12.75" x14ac:dyDescent="0.2">
      <c r="A263" s="40">
        <f t="shared" si="28"/>
        <v>21</v>
      </c>
      <c r="B263" s="39">
        <f t="shared" si="23"/>
        <v>243</v>
      </c>
      <c r="C263" s="35">
        <f t="shared" si="24"/>
        <v>379747.49338403542</v>
      </c>
      <c r="D263" s="36">
        <f t="shared" si="25"/>
        <v>-6443.0140148550854</v>
      </c>
      <c r="E263" s="36">
        <f t="shared" si="22"/>
        <v>-4544.2765479349082</v>
      </c>
      <c r="F263" s="36">
        <f t="shared" si="26"/>
        <v>-1898.7374669201772</v>
      </c>
      <c r="G263" s="36">
        <f t="shared" si="27"/>
        <v>375203.2168361005</v>
      </c>
      <c r="H263" s="41"/>
    </row>
    <row r="264" spans="1:8" s="38" customFormat="1" ht="12.75" x14ac:dyDescent="0.2">
      <c r="A264" s="40">
        <f t="shared" si="28"/>
        <v>21</v>
      </c>
      <c r="B264" s="39">
        <f t="shared" si="23"/>
        <v>244</v>
      </c>
      <c r="C264" s="35">
        <f t="shared" si="24"/>
        <v>375203.2168361005</v>
      </c>
      <c r="D264" s="36">
        <f t="shared" si="25"/>
        <v>-6443.0140148550854</v>
      </c>
      <c r="E264" s="36">
        <f t="shared" si="22"/>
        <v>-4566.9979306745827</v>
      </c>
      <c r="F264" s="36">
        <f t="shared" si="26"/>
        <v>-1876.0160841805025</v>
      </c>
      <c r="G264" s="36">
        <f t="shared" si="27"/>
        <v>370636.21890542592</v>
      </c>
      <c r="H264" s="41"/>
    </row>
    <row r="265" spans="1:8" s="38" customFormat="1" ht="12.75" x14ac:dyDescent="0.2">
      <c r="A265" s="40">
        <f t="shared" si="28"/>
        <v>21</v>
      </c>
      <c r="B265" s="39">
        <f t="shared" si="23"/>
        <v>245</v>
      </c>
      <c r="C265" s="35">
        <f t="shared" si="24"/>
        <v>370636.21890542592</v>
      </c>
      <c r="D265" s="36">
        <f t="shared" si="25"/>
        <v>-6443.0140148550854</v>
      </c>
      <c r="E265" s="36">
        <f t="shared" si="22"/>
        <v>-4589.8329203279554</v>
      </c>
      <c r="F265" s="36">
        <f t="shared" si="26"/>
        <v>-1853.1810945271297</v>
      </c>
      <c r="G265" s="36">
        <f t="shared" si="27"/>
        <v>366046.38598509796</v>
      </c>
      <c r="H265" s="41"/>
    </row>
    <row r="266" spans="1:8" s="38" customFormat="1" ht="12.75" x14ac:dyDescent="0.2">
      <c r="A266" s="40">
        <f t="shared" si="28"/>
        <v>21</v>
      </c>
      <c r="B266" s="39">
        <f t="shared" si="23"/>
        <v>246</v>
      </c>
      <c r="C266" s="35">
        <f t="shared" si="24"/>
        <v>366046.38598509796</v>
      </c>
      <c r="D266" s="36">
        <f t="shared" si="25"/>
        <v>-6443.0140148550854</v>
      </c>
      <c r="E266" s="36">
        <f t="shared" si="22"/>
        <v>-4612.7820849295958</v>
      </c>
      <c r="F266" s="36">
        <f t="shared" si="26"/>
        <v>-1830.2319299254898</v>
      </c>
      <c r="G266" s="36">
        <f t="shared" si="27"/>
        <v>361433.60390016838</v>
      </c>
      <c r="H266" s="41"/>
    </row>
    <row r="267" spans="1:8" s="38" customFormat="1" ht="12.75" x14ac:dyDescent="0.2">
      <c r="A267" s="40">
        <f t="shared" si="28"/>
        <v>21</v>
      </c>
      <c r="B267" s="39">
        <f t="shared" si="23"/>
        <v>247</v>
      </c>
      <c r="C267" s="35">
        <f t="shared" si="24"/>
        <v>361433.60390016838</v>
      </c>
      <c r="D267" s="36">
        <f t="shared" si="25"/>
        <v>-6443.0140148550854</v>
      </c>
      <c r="E267" s="36">
        <f t="shared" si="22"/>
        <v>-4635.8459953542433</v>
      </c>
      <c r="F267" s="36">
        <f t="shared" si="26"/>
        <v>-1807.1680195008419</v>
      </c>
      <c r="G267" s="36">
        <f t="shared" si="27"/>
        <v>356797.75790481415</v>
      </c>
      <c r="H267" s="41"/>
    </row>
    <row r="268" spans="1:8" s="38" customFormat="1" ht="12.75" x14ac:dyDescent="0.2">
      <c r="A268" s="40">
        <f t="shared" si="28"/>
        <v>21</v>
      </c>
      <c r="B268" s="39">
        <f t="shared" si="23"/>
        <v>248</v>
      </c>
      <c r="C268" s="35">
        <f t="shared" si="24"/>
        <v>356797.75790481415</v>
      </c>
      <c r="D268" s="36">
        <f t="shared" si="25"/>
        <v>-6443.0140148550854</v>
      </c>
      <c r="E268" s="36">
        <f t="shared" si="22"/>
        <v>-4659.0252253310146</v>
      </c>
      <c r="F268" s="36">
        <f t="shared" si="26"/>
        <v>-1783.9887895240709</v>
      </c>
      <c r="G268" s="36">
        <f t="shared" si="27"/>
        <v>352138.73267948313</v>
      </c>
      <c r="H268" s="41"/>
    </row>
    <row r="269" spans="1:8" s="38" customFormat="1" ht="12.75" x14ac:dyDescent="0.2">
      <c r="A269" s="40">
        <f t="shared" si="28"/>
        <v>21</v>
      </c>
      <c r="B269" s="39">
        <f t="shared" si="23"/>
        <v>249</v>
      </c>
      <c r="C269" s="35">
        <f t="shared" si="24"/>
        <v>352138.73267948313</v>
      </c>
      <c r="D269" s="36">
        <f t="shared" si="25"/>
        <v>-6443.0140148550854</v>
      </c>
      <c r="E269" s="36">
        <f t="shared" si="22"/>
        <v>-4682.3203514576699</v>
      </c>
      <c r="F269" s="36">
        <f t="shared" si="26"/>
        <v>-1760.6936633974158</v>
      </c>
      <c r="G269" s="36">
        <f t="shared" si="27"/>
        <v>347456.41232802544</v>
      </c>
      <c r="H269" s="41"/>
    </row>
    <row r="270" spans="1:8" s="38" customFormat="1" ht="12.75" x14ac:dyDescent="0.2">
      <c r="A270" s="40">
        <f t="shared" si="28"/>
        <v>21</v>
      </c>
      <c r="B270" s="39">
        <f t="shared" si="23"/>
        <v>250</v>
      </c>
      <c r="C270" s="35">
        <f t="shared" si="24"/>
        <v>347456.41232802544</v>
      </c>
      <c r="D270" s="36">
        <f t="shared" si="25"/>
        <v>-6443.0140148550854</v>
      </c>
      <c r="E270" s="36">
        <f t="shared" si="22"/>
        <v>-4705.7319532149577</v>
      </c>
      <c r="F270" s="36">
        <f t="shared" si="26"/>
        <v>-1737.2820616401273</v>
      </c>
      <c r="G270" s="36">
        <f t="shared" si="27"/>
        <v>342750.68037481047</v>
      </c>
      <c r="H270" s="41"/>
    </row>
    <row r="271" spans="1:8" s="38" customFormat="1" ht="12.75" x14ac:dyDescent="0.2">
      <c r="A271" s="40">
        <f t="shared" si="28"/>
        <v>21</v>
      </c>
      <c r="B271" s="39">
        <f t="shared" si="23"/>
        <v>251</v>
      </c>
      <c r="C271" s="35">
        <f t="shared" si="24"/>
        <v>342750.68037481047</v>
      </c>
      <c r="D271" s="36">
        <f t="shared" si="25"/>
        <v>-6443.0140148550854</v>
      </c>
      <c r="E271" s="36">
        <f t="shared" si="22"/>
        <v>-4729.2606129810329</v>
      </c>
      <c r="F271" s="36">
        <f t="shared" si="26"/>
        <v>-1713.7534018740523</v>
      </c>
      <c r="G271" s="36">
        <f t="shared" si="27"/>
        <v>338021.41976182943</v>
      </c>
      <c r="H271" s="41"/>
    </row>
    <row r="272" spans="1:8" s="38" customFormat="1" ht="12.75" x14ac:dyDescent="0.2">
      <c r="A272" s="40">
        <f t="shared" si="28"/>
        <v>21</v>
      </c>
      <c r="B272" s="39">
        <f t="shared" si="23"/>
        <v>252</v>
      </c>
      <c r="C272" s="35">
        <f t="shared" si="24"/>
        <v>338021.41976182943</v>
      </c>
      <c r="D272" s="36">
        <f t="shared" si="25"/>
        <v>-6443.0140148550854</v>
      </c>
      <c r="E272" s="36">
        <f t="shared" si="22"/>
        <v>-4752.9069160459385</v>
      </c>
      <c r="F272" s="36">
        <f t="shared" si="26"/>
        <v>-1690.1070988091471</v>
      </c>
      <c r="G272" s="36">
        <f t="shared" si="27"/>
        <v>333268.51284578349</v>
      </c>
      <c r="H272" s="41"/>
    </row>
    <row r="273" spans="1:8" s="38" customFormat="1" ht="12.75" x14ac:dyDescent="0.2">
      <c r="A273" s="40">
        <f>A261+1</f>
        <v>22</v>
      </c>
      <c r="B273" s="39">
        <f t="shared" si="23"/>
        <v>253</v>
      </c>
      <c r="C273" s="35">
        <f t="shared" si="24"/>
        <v>333268.51284578349</v>
      </c>
      <c r="D273" s="36">
        <f t="shared" si="25"/>
        <v>-6443.0140148550854</v>
      </c>
      <c r="E273" s="36">
        <f t="shared" si="22"/>
        <v>-4776.6714506261678</v>
      </c>
      <c r="F273" s="36">
        <f t="shared" si="26"/>
        <v>-1666.3425642289176</v>
      </c>
      <c r="G273" s="36">
        <f t="shared" si="27"/>
        <v>328491.84139515733</v>
      </c>
      <c r="H273" s="41"/>
    </row>
    <row r="274" spans="1:8" s="38" customFormat="1" ht="12.75" x14ac:dyDescent="0.2">
      <c r="A274" s="40">
        <f>A273</f>
        <v>22</v>
      </c>
      <c r="B274" s="39">
        <f t="shared" si="23"/>
        <v>254</v>
      </c>
      <c r="C274" s="35">
        <f t="shared" si="24"/>
        <v>328491.84139515733</v>
      </c>
      <c r="D274" s="36">
        <f t="shared" si="25"/>
        <v>-6443.0140148550854</v>
      </c>
      <c r="E274" s="36">
        <f t="shared" si="22"/>
        <v>-4800.554807879299</v>
      </c>
      <c r="F274" s="36">
        <f t="shared" si="26"/>
        <v>-1642.4592069757866</v>
      </c>
      <c r="G274" s="36">
        <f t="shared" si="27"/>
        <v>323691.28658727801</v>
      </c>
      <c r="H274" s="41"/>
    </row>
    <row r="275" spans="1:8" s="38" customFormat="1" ht="12.75" x14ac:dyDescent="0.2">
      <c r="A275" s="40">
        <f t="shared" si="28"/>
        <v>22</v>
      </c>
      <c r="B275" s="39">
        <f t="shared" si="23"/>
        <v>255</v>
      </c>
      <c r="C275" s="35">
        <f t="shared" si="24"/>
        <v>323691.28658727801</v>
      </c>
      <c r="D275" s="36">
        <f t="shared" si="25"/>
        <v>-6443.0140148550854</v>
      </c>
      <c r="E275" s="36">
        <f t="shared" si="22"/>
        <v>-4824.5575819186952</v>
      </c>
      <c r="F275" s="36">
        <f t="shared" si="26"/>
        <v>-1618.45643293639</v>
      </c>
      <c r="G275" s="36">
        <f t="shared" si="27"/>
        <v>318866.72900535929</v>
      </c>
      <c r="H275" s="41"/>
    </row>
    <row r="276" spans="1:8" s="38" customFormat="1" ht="12.75" x14ac:dyDescent="0.2">
      <c r="A276" s="40">
        <f t="shared" si="28"/>
        <v>22</v>
      </c>
      <c r="B276" s="39">
        <f t="shared" si="23"/>
        <v>256</v>
      </c>
      <c r="C276" s="35">
        <f t="shared" si="24"/>
        <v>318866.72900535929</v>
      </c>
      <c r="D276" s="36">
        <f t="shared" si="25"/>
        <v>-6443.0140148550854</v>
      </c>
      <c r="E276" s="36">
        <f t="shared" si="22"/>
        <v>-4848.6803698282893</v>
      </c>
      <c r="F276" s="36">
        <f t="shared" si="26"/>
        <v>-1594.3336450267964</v>
      </c>
      <c r="G276" s="36">
        <f t="shared" si="27"/>
        <v>314018.04863553098</v>
      </c>
      <c r="H276" s="41"/>
    </row>
    <row r="277" spans="1:8" s="38" customFormat="1" ht="12.75" x14ac:dyDescent="0.2">
      <c r="A277" s="40">
        <f t="shared" si="28"/>
        <v>22</v>
      </c>
      <c r="B277" s="39">
        <f t="shared" si="23"/>
        <v>257</v>
      </c>
      <c r="C277" s="35">
        <f t="shared" si="24"/>
        <v>314018.04863553098</v>
      </c>
      <c r="D277" s="36">
        <f t="shared" si="25"/>
        <v>-6443.0140148550854</v>
      </c>
      <c r="E277" s="36">
        <f t="shared" ref="E277:E320" si="29">IF(AND($G$10, B277&lt;=$G$11), 0, D277-F277)</f>
        <v>-4872.9237716774305</v>
      </c>
      <c r="F277" s="36">
        <f t="shared" si="26"/>
        <v>-1570.0902431776549</v>
      </c>
      <c r="G277" s="36">
        <f t="shared" si="27"/>
        <v>309145.12486385356</v>
      </c>
      <c r="H277" s="41"/>
    </row>
    <row r="278" spans="1:8" s="38" customFormat="1" ht="12.75" x14ac:dyDescent="0.2">
      <c r="A278" s="40">
        <f t="shared" si="28"/>
        <v>22</v>
      </c>
      <c r="B278" s="39">
        <f t="shared" ref="B278:B320" si="30">+B277+1</f>
        <v>258</v>
      </c>
      <c r="C278" s="35">
        <f t="shared" ref="C278:C320" si="31">G277</f>
        <v>309145.12486385356</v>
      </c>
      <c r="D278" s="36">
        <f t="shared" ref="D278:D320" si="32">IF(AND($G$10, B278&lt;=$G$11), F278, PMT($C$12, $C$14, $C$10))</f>
        <v>-6443.0140148550854</v>
      </c>
      <c r="E278" s="36">
        <f t="shared" si="29"/>
        <v>-4897.2883905358176</v>
      </c>
      <c r="F278" s="36">
        <f t="shared" ref="F278:F320" si="33">-G277*$C$12</f>
        <v>-1545.7256243192678</v>
      </c>
      <c r="G278" s="36">
        <f t="shared" ref="G278:G320" si="34">C278+E278</f>
        <v>304247.83647331776</v>
      </c>
      <c r="H278" s="41"/>
    </row>
    <row r="279" spans="1:8" s="38" customFormat="1" ht="12.75" x14ac:dyDescent="0.2">
      <c r="A279" s="40">
        <f t="shared" si="28"/>
        <v>22</v>
      </c>
      <c r="B279" s="39">
        <f t="shared" si="30"/>
        <v>259</v>
      </c>
      <c r="C279" s="35">
        <f t="shared" si="31"/>
        <v>304247.83647331776</v>
      </c>
      <c r="D279" s="36">
        <f t="shared" si="32"/>
        <v>-6443.0140148550854</v>
      </c>
      <c r="E279" s="36">
        <f t="shared" si="29"/>
        <v>-4921.774832488496</v>
      </c>
      <c r="F279" s="36">
        <f t="shared" si="33"/>
        <v>-1521.2391823665889</v>
      </c>
      <c r="G279" s="36">
        <f t="shared" si="34"/>
        <v>299326.06164082926</v>
      </c>
      <c r="H279" s="41"/>
    </row>
    <row r="280" spans="1:8" s="38" customFormat="1" ht="12.75" x14ac:dyDescent="0.2">
      <c r="A280" s="40">
        <f t="shared" si="28"/>
        <v>22</v>
      </c>
      <c r="B280" s="39">
        <f t="shared" si="30"/>
        <v>260</v>
      </c>
      <c r="C280" s="35">
        <f t="shared" si="31"/>
        <v>299326.06164082926</v>
      </c>
      <c r="D280" s="36">
        <f t="shared" si="32"/>
        <v>-6443.0140148550854</v>
      </c>
      <c r="E280" s="36">
        <f t="shared" si="29"/>
        <v>-4946.3837066509386</v>
      </c>
      <c r="F280" s="36">
        <f t="shared" si="33"/>
        <v>-1496.6303082041463</v>
      </c>
      <c r="G280" s="36">
        <f t="shared" si="34"/>
        <v>294379.67793417833</v>
      </c>
      <c r="H280" s="41"/>
    </row>
    <row r="281" spans="1:8" s="38" customFormat="1" ht="12.75" x14ac:dyDescent="0.2">
      <c r="A281" s="40">
        <f t="shared" si="28"/>
        <v>22</v>
      </c>
      <c r="B281" s="39">
        <f t="shared" si="30"/>
        <v>261</v>
      </c>
      <c r="C281" s="35">
        <f t="shared" si="31"/>
        <v>294379.67793417833</v>
      </c>
      <c r="D281" s="36">
        <f t="shared" si="32"/>
        <v>-6443.0140148550854</v>
      </c>
      <c r="E281" s="36">
        <f t="shared" si="29"/>
        <v>-4971.115625184194</v>
      </c>
      <c r="F281" s="36">
        <f t="shared" si="33"/>
        <v>-1471.8983896708917</v>
      </c>
      <c r="G281" s="36">
        <f t="shared" si="34"/>
        <v>289408.56230899412</v>
      </c>
      <c r="H281" s="41"/>
    </row>
    <row r="282" spans="1:8" s="38" customFormat="1" ht="12.75" x14ac:dyDescent="0.2">
      <c r="A282" s="40">
        <f t="shared" si="28"/>
        <v>22</v>
      </c>
      <c r="B282" s="39">
        <f t="shared" si="30"/>
        <v>262</v>
      </c>
      <c r="C282" s="35">
        <f t="shared" si="31"/>
        <v>289408.56230899412</v>
      </c>
      <c r="D282" s="36">
        <f t="shared" si="32"/>
        <v>-6443.0140148550854</v>
      </c>
      <c r="E282" s="36">
        <f t="shared" si="29"/>
        <v>-4995.971203310115</v>
      </c>
      <c r="F282" s="36">
        <f t="shared" si="33"/>
        <v>-1447.0428115449706</v>
      </c>
      <c r="G282" s="36">
        <f t="shared" si="34"/>
        <v>284412.591105684</v>
      </c>
      <c r="H282" s="41"/>
    </row>
    <row r="283" spans="1:8" s="38" customFormat="1" ht="12.75" x14ac:dyDescent="0.2">
      <c r="A283" s="40">
        <f t="shared" si="28"/>
        <v>22</v>
      </c>
      <c r="B283" s="39">
        <f t="shared" si="30"/>
        <v>263</v>
      </c>
      <c r="C283" s="35">
        <f t="shared" si="31"/>
        <v>284412.591105684</v>
      </c>
      <c r="D283" s="36">
        <f t="shared" si="32"/>
        <v>-6443.0140148550854</v>
      </c>
      <c r="E283" s="36">
        <f t="shared" si="29"/>
        <v>-5020.9510593266659</v>
      </c>
      <c r="F283" s="36">
        <f t="shared" si="33"/>
        <v>-1422.0629555284199</v>
      </c>
      <c r="G283" s="36">
        <f t="shared" si="34"/>
        <v>279391.64004635735</v>
      </c>
      <c r="H283" s="41"/>
    </row>
    <row r="284" spans="1:8" s="38" customFormat="1" ht="12.75" x14ac:dyDescent="0.2">
      <c r="A284" s="40">
        <f t="shared" si="28"/>
        <v>22</v>
      </c>
      <c r="B284" s="39">
        <f t="shared" si="30"/>
        <v>264</v>
      </c>
      <c r="C284" s="35">
        <f t="shared" si="31"/>
        <v>279391.64004635735</v>
      </c>
      <c r="D284" s="36">
        <f t="shared" si="32"/>
        <v>-6443.0140148550854</v>
      </c>
      <c r="E284" s="36">
        <f t="shared" si="29"/>
        <v>-5046.0558146232988</v>
      </c>
      <c r="F284" s="36">
        <f t="shared" si="33"/>
        <v>-1396.9582002317868</v>
      </c>
      <c r="G284" s="36">
        <f t="shared" si="34"/>
        <v>274345.58423173404</v>
      </c>
      <c r="H284" s="41"/>
    </row>
    <row r="285" spans="1:8" s="38" customFormat="1" ht="12.75" x14ac:dyDescent="0.2">
      <c r="A285" s="40">
        <f>A273+1</f>
        <v>23</v>
      </c>
      <c r="B285" s="39">
        <f t="shared" si="30"/>
        <v>265</v>
      </c>
      <c r="C285" s="35">
        <f t="shared" si="31"/>
        <v>274345.58423173404</v>
      </c>
      <c r="D285" s="36">
        <f t="shared" si="32"/>
        <v>-6443.0140148550854</v>
      </c>
      <c r="E285" s="36">
        <f t="shared" si="29"/>
        <v>-5071.2860936964153</v>
      </c>
      <c r="F285" s="36">
        <f t="shared" si="33"/>
        <v>-1371.7279211586701</v>
      </c>
      <c r="G285" s="36">
        <f t="shared" si="34"/>
        <v>269274.29813803761</v>
      </c>
      <c r="H285" s="41"/>
    </row>
    <row r="286" spans="1:8" s="38" customFormat="1" ht="12.75" x14ac:dyDescent="0.2">
      <c r="A286" s="40">
        <f>A285</f>
        <v>23</v>
      </c>
      <c r="B286" s="39">
        <f t="shared" si="30"/>
        <v>266</v>
      </c>
      <c r="C286" s="35">
        <f t="shared" si="31"/>
        <v>269274.29813803761</v>
      </c>
      <c r="D286" s="36">
        <f t="shared" si="32"/>
        <v>-6443.0140148550854</v>
      </c>
      <c r="E286" s="36">
        <f t="shared" si="29"/>
        <v>-5096.6425241648976</v>
      </c>
      <c r="F286" s="36">
        <f t="shared" si="33"/>
        <v>-1346.371490690188</v>
      </c>
      <c r="G286" s="36">
        <f t="shared" si="34"/>
        <v>264177.65561387269</v>
      </c>
      <c r="H286" s="41"/>
    </row>
    <row r="287" spans="1:8" s="38" customFormat="1" ht="12.75" x14ac:dyDescent="0.2">
      <c r="A287" s="40">
        <f t="shared" si="28"/>
        <v>23</v>
      </c>
      <c r="B287" s="39">
        <f t="shared" si="30"/>
        <v>267</v>
      </c>
      <c r="C287" s="35">
        <f t="shared" si="31"/>
        <v>264177.65561387269</v>
      </c>
      <c r="D287" s="36">
        <f t="shared" si="32"/>
        <v>-6443.0140148550854</v>
      </c>
      <c r="E287" s="36">
        <f t="shared" si="29"/>
        <v>-5122.1257367857215</v>
      </c>
      <c r="F287" s="36">
        <f t="shared" si="33"/>
        <v>-1320.8882780693634</v>
      </c>
      <c r="G287" s="36">
        <f t="shared" si="34"/>
        <v>259055.52987708696</v>
      </c>
      <c r="H287" s="41"/>
    </row>
    <row r="288" spans="1:8" s="38" customFormat="1" ht="12.75" x14ac:dyDescent="0.2">
      <c r="A288" s="40">
        <f t="shared" si="28"/>
        <v>23</v>
      </c>
      <c r="B288" s="39">
        <f t="shared" si="30"/>
        <v>268</v>
      </c>
      <c r="C288" s="35">
        <f t="shared" si="31"/>
        <v>259055.52987708696</v>
      </c>
      <c r="D288" s="36">
        <f t="shared" si="32"/>
        <v>-6443.0140148550854</v>
      </c>
      <c r="E288" s="36">
        <f t="shared" si="29"/>
        <v>-5147.736365469651</v>
      </c>
      <c r="F288" s="36">
        <f t="shared" si="33"/>
        <v>-1295.2776493854349</v>
      </c>
      <c r="G288" s="36">
        <f t="shared" si="34"/>
        <v>253907.79351161732</v>
      </c>
      <c r="H288" s="41"/>
    </row>
    <row r="289" spans="1:8" s="38" customFormat="1" ht="12.75" x14ac:dyDescent="0.2">
      <c r="A289" s="40">
        <f t="shared" si="28"/>
        <v>23</v>
      </c>
      <c r="B289" s="39">
        <f t="shared" si="30"/>
        <v>269</v>
      </c>
      <c r="C289" s="35">
        <f t="shared" si="31"/>
        <v>253907.79351161732</v>
      </c>
      <c r="D289" s="36">
        <f t="shared" si="32"/>
        <v>-6443.0140148550854</v>
      </c>
      <c r="E289" s="36">
        <f t="shared" si="29"/>
        <v>-5173.475047296999</v>
      </c>
      <c r="F289" s="36">
        <f t="shared" si="33"/>
        <v>-1269.5389675580866</v>
      </c>
      <c r="G289" s="36">
        <f t="shared" si="34"/>
        <v>248734.31846432033</v>
      </c>
      <c r="H289" s="41"/>
    </row>
    <row r="290" spans="1:8" s="38" customFormat="1" ht="12.75" x14ac:dyDescent="0.2">
      <c r="A290" s="40">
        <f t="shared" si="28"/>
        <v>23</v>
      </c>
      <c r="B290" s="39">
        <f t="shared" si="30"/>
        <v>270</v>
      </c>
      <c r="C290" s="35">
        <f t="shared" si="31"/>
        <v>248734.31846432033</v>
      </c>
      <c r="D290" s="36">
        <f t="shared" si="32"/>
        <v>-6443.0140148550854</v>
      </c>
      <c r="E290" s="36">
        <f t="shared" si="29"/>
        <v>-5199.3424225334838</v>
      </c>
      <c r="F290" s="36">
        <f t="shared" si="33"/>
        <v>-1243.6715923216016</v>
      </c>
      <c r="G290" s="36">
        <f t="shared" si="34"/>
        <v>243534.97604178684</v>
      </c>
      <c r="H290" s="41"/>
    </row>
    <row r="291" spans="1:8" s="38" customFormat="1" ht="12.75" x14ac:dyDescent="0.2">
      <c r="A291" s="40">
        <f t="shared" si="28"/>
        <v>23</v>
      </c>
      <c r="B291" s="39">
        <f t="shared" si="30"/>
        <v>271</v>
      </c>
      <c r="C291" s="35">
        <f t="shared" si="31"/>
        <v>243534.97604178684</v>
      </c>
      <c r="D291" s="36">
        <f t="shared" si="32"/>
        <v>-6443.0140148550854</v>
      </c>
      <c r="E291" s="36">
        <f t="shared" si="29"/>
        <v>-5225.3391346461513</v>
      </c>
      <c r="F291" s="36">
        <f t="shared" si="33"/>
        <v>-1217.6748802089342</v>
      </c>
      <c r="G291" s="36">
        <f t="shared" si="34"/>
        <v>238309.6369071407</v>
      </c>
      <c r="H291" s="41"/>
    </row>
    <row r="292" spans="1:8" s="38" customFormat="1" ht="12.75" x14ac:dyDescent="0.2">
      <c r="A292" s="40">
        <f t="shared" si="28"/>
        <v>23</v>
      </c>
      <c r="B292" s="39">
        <f t="shared" si="30"/>
        <v>272</v>
      </c>
      <c r="C292" s="35">
        <f t="shared" si="31"/>
        <v>238309.6369071407</v>
      </c>
      <c r="D292" s="36">
        <f t="shared" si="32"/>
        <v>-6443.0140148550854</v>
      </c>
      <c r="E292" s="36">
        <f t="shared" si="29"/>
        <v>-5251.4658303193819</v>
      </c>
      <c r="F292" s="36">
        <f t="shared" si="33"/>
        <v>-1191.5481845357035</v>
      </c>
      <c r="G292" s="36">
        <f t="shared" si="34"/>
        <v>233058.17107682131</v>
      </c>
      <c r="H292" s="41"/>
    </row>
    <row r="293" spans="1:8" s="38" customFormat="1" ht="12.75" x14ac:dyDescent="0.2">
      <c r="A293" s="40">
        <f t="shared" si="28"/>
        <v>23</v>
      </c>
      <c r="B293" s="39">
        <f t="shared" si="30"/>
        <v>273</v>
      </c>
      <c r="C293" s="35">
        <f t="shared" si="31"/>
        <v>233058.17107682131</v>
      </c>
      <c r="D293" s="36">
        <f t="shared" si="32"/>
        <v>-6443.0140148550854</v>
      </c>
      <c r="E293" s="36">
        <f t="shared" si="29"/>
        <v>-5277.7231594709792</v>
      </c>
      <c r="F293" s="36">
        <f t="shared" si="33"/>
        <v>-1165.2908553841066</v>
      </c>
      <c r="G293" s="36">
        <f t="shared" si="34"/>
        <v>227780.44791735034</v>
      </c>
      <c r="H293" s="41"/>
    </row>
    <row r="294" spans="1:8" s="38" customFormat="1" ht="12.75" x14ac:dyDescent="0.2">
      <c r="A294" s="40">
        <f t="shared" si="28"/>
        <v>23</v>
      </c>
      <c r="B294" s="39">
        <f t="shared" si="30"/>
        <v>274</v>
      </c>
      <c r="C294" s="35">
        <f t="shared" si="31"/>
        <v>227780.44791735034</v>
      </c>
      <c r="D294" s="36">
        <f t="shared" si="32"/>
        <v>-6443.0140148550854</v>
      </c>
      <c r="E294" s="36">
        <f t="shared" si="29"/>
        <v>-5304.111775268334</v>
      </c>
      <c r="F294" s="36">
        <f t="shared" si="33"/>
        <v>-1138.9022395867516</v>
      </c>
      <c r="G294" s="36">
        <f t="shared" si="34"/>
        <v>222476.336142082</v>
      </c>
      <c r="H294" s="41"/>
    </row>
    <row r="295" spans="1:8" s="38" customFormat="1" ht="12.75" x14ac:dyDescent="0.2">
      <c r="A295" s="40">
        <f t="shared" si="28"/>
        <v>23</v>
      </c>
      <c r="B295" s="39">
        <f t="shared" si="30"/>
        <v>275</v>
      </c>
      <c r="C295" s="35">
        <f t="shared" si="31"/>
        <v>222476.336142082</v>
      </c>
      <c r="D295" s="36">
        <f t="shared" si="32"/>
        <v>-6443.0140148550854</v>
      </c>
      <c r="E295" s="36">
        <f t="shared" si="29"/>
        <v>-5330.632334144675</v>
      </c>
      <c r="F295" s="36">
        <f t="shared" si="33"/>
        <v>-1112.3816807104101</v>
      </c>
      <c r="G295" s="36">
        <f t="shared" si="34"/>
        <v>217145.70380793733</v>
      </c>
      <c r="H295" s="41"/>
    </row>
    <row r="296" spans="1:8" s="38" customFormat="1" ht="12.75" x14ac:dyDescent="0.2">
      <c r="A296" s="40">
        <f t="shared" si="28"/>
        <v>23</v>
      </c>
      <c r="B296" s="39">
        <f t="shared" si="30"/>
        <v>276</v>
      </c>
      <c r="C296" s="35">
        <f t="shared" si="31"/>
        <v>217145.70380793733</v>
      </c>
      <c r="D296" s="36">
        <f t="shared" si="32"/>
        <v>-6443.0140148550854</v>
      </c>
      <c r="E296" s="36">
        <f t="shared" si="29"/>
        <v>-5357.2854958153985</v>
      </c>
      <c r="F296" s="36">
        <f t="shared" si="33"/>
        <v>-1085.7285190396867</v>
      </c>
      <c r="G296" s="36">
        <f t="shared" si="34"/>
        <v>211788.41831212194</v>
      </c>
      <c r="H296" s="41"/>
    </row>
    <row r="297" spans="1:8" s="38" customFormat="1" ht="12.75" x14ac:dyDescent="0.2">
      <c r="A297" s="40">
        <f>A285+1</f>
        <v>24</v>
      </c>
      <c r="B297" s="39">
        <f t="shared" si="30"/>
        <v>277</v>
      </c>
      <c r="C297" s="35">
        <f t="shared" si="31"/>
        <v>211788.41831212194</v>
      </c>
      <c r="D297" s="36">
        <f t="shared" si="32"/>
        <v>-6443.0140148550854</v>
      </c>
      <c r="E297" s="36">
        <f t="shared" si="29"/>
        <v>-5384.0719232944757</v>
      </c>
      <c r="F297" s="36">
        <f t="shared" si="33"/>
        <v>-1058.9420915606097</v>
      </c>
      <c r="G297" s="36">
        <f t="shared" si="34"/>
        <v>206404.34638882746</v>
      </c>
      <c r="H297" s="41"/>
    </row>
    <row r="298" spans="1:8" s="38" customFormat="1" ht="12.75" x14ac:dyDescent="0.2">
      <c r="A298" s="40">
        <f>A297</f>
        <v>24</v>
      </c>
      <c r="B298" s="39">
        <f t="shared" si="30"/>
        <v>278</v>
      </c>
      <c r="C298" s="35">
        <f t="shared" si="31"/>
        <v>206404.34638882746</v>
      </c>
      <c r="D298" s="36">
        <f t="shared" si="32"/>
        <v>-6443.0140148550854</v>
      </c>
      <c r="E298" s="36">
        <f t="shared" si="29"/>
        <v>-5410.9922829109482</v>
      </c>
      <c r="F298" s="36">
        <f t="shared" si="33"/>
        <v>-1032.0217319441374</v>
      </c>
      <c r="G298" s="36">
        <f t="shared" si="34"/>
        <v>200993.35410591651</v>
      </c>
      <c r="H298" s="41"/>
    </row>
    <row r="299" spans="1:8" s="38" customFormat="1" ht="12.75" x14ac:dyDescent="0.2">
      <c r="A299" s="40">
        <f t="shared" si="28"/>
        <v>24</v>
      </c>
      <c r="B299" s="39">
        <f t="shared" si="30"/>
        <v>279</v>
      </c>
      <c r="C299" s="35">
        <f t="shared" si="31"/>
        <v>200993.35410591651</v>
      </c>
      <c r="D299" s="36">
        <f t="shared" si="32"/>
        <v>-6443.0140148550854</v>
      </c>
      <c r="E299" s="36">
        <f t="shared" si="29"/>
        <v>-5438.047244325503</v>
      </c>
      <c r="F299" s="36">
        <f t="shared" si="33"/>
        <v>-1004.9667705295826</v>
      </c>
      <c r="G299" s="36">
        <f t="shared" si="34"/>
        <v>195555.306861591</v>
      </c>
      <c r="H299" s="41"/>
    </row>
    <row r="300" spans="1:8" s="38" customFormat="1" ht="12.75" x14ac:dyDescent="0.2">
      <c r="A300" s="40">
        <f t="shared" si="28"/>
        <v>24</v>
      </c>
      <c r="B300" s="39">
        <f t="shared" si="30"/>
        <v>280</v>
      </c>
      <c r="C300" s="35">
        <f t="shared" si="31"/>
        <v>195555.306861591</v>
      </c>
      <c r="D300" s="36">
        <f t="shared" si="32"/>
        <v>-6443.0140148550854</v>
      </c>
      <c r="E300" s="36">
        <f t="shared" si="29"/>
        <v>-5465.23748054713</v>
      </c>
      <c r="F300" s="36">
        <f t="shared" si="33"/>
        <v>-977.77653430795499</v>
      </c>
      <c r="G300" s="36">
        <f t="shared" si="34"/>
        <v>190090.06938104387</v>
      </c>
      <c r="H300" s="41"/>
    </row>
    <row r="301" spans="1:8" s="38" customFormat="1" ht="12.75" x14ac:dyDescent="0.2">
      <c r="A301" s="40">
        <f t="shared" si="28"/>
        <v>24</v>
      </c>
      <c r="B301" s="39">
        <f t="shared" si="30"/>
        <v>281</v>
      </c>
      <c r="C301" s="35">
        <f t="shared" si="31"/>
        <v>190090.06938104387</v>
      </c>
      <c r="D301" s="36">
        <f t="shared" si="32"/>
        <v>-6443.0140148550854</v>
      </c>
      <c r="E301" s="36">
        <f t="shared" si="29"/>
        <v>-5492.5636679498657</v>
      </c>
      <c r="F301" s="36">
        <f t="shared" si="33"/>
        <v>-950.45034690521936</v>
      </c>
      <c r="G301" s="36">
        <f t="shared" si="34"/>
        <v>184597.505713094</v>
      </c>
      <c r="H301" s="41"/>
    </row>
    <row r="302" spans="1:8" s="38" customFormat="1" ht="12.75" x14ac:dyDescent="0.2">
      <c r="A302" s="40">
        <f t="shared" ref="A302:A320" si="35">A301</f>
        <v>24</v>
      </c>
      <c r="B302" s="39">
        <f t="shared" si="30"/>
        <v>282</v>
      </c>
      <c r="C302" s="35">
        <f t="shared" si="31"/>
        <v>184597.505713094</v>
      </c>
      <c r="D302" s="36">
        <f t="shared" si="32"/>
        <v>-6443.0140148550854</v>
      </c>
      <c r="E302" s="36">
        <f t="shared" si="29"/>
        <v>-5520.0264862896156</v>
      </c>
      <c r="F302" s="36">
        <f t="shared" si="33"/>
        <v>-922.98752856547003</v>
      </c>
      <c r="G302" s="36">
        <f t="shared" si="34"/>
        <v>179077.47922680437</v>
      </c>
      <c r="H302" s="41"/>
    </row>
    <row r="303" spans="1:8" s="38" customFormat="1" ht="12.75" x14ac:dyDescent="0.2">
      <c r="A303" s="40">
        <f t="shared" si="35"/>
        <v>24</v>
      </c>
      <c r="B303" s="39">
        <f t="shared" si="30"/>
        <v>283</v>
      </c>
      <c r="C303" s="35">
        <f t="shared" si="31"/>
        <v>179077.47922680437</v>
      </c>
      <c r="D303" s="36">
        <f t="shared" si="32"/>
        <v>-6443.0140148550854</v>
      </c>
      <c r="E303" s="36">
        <f t="shared" si="29"/>
        <v>-5547.626618721064</v>
      </c>
      <c r="F303" s="36">
        <f t="shared" si="33"/>
        <v>-895.38739613402186</v>
      </c>
      <c r="G303" s="36">
        <f t="shared" si="34"/>
        <v>173529.85260808331</v>
      </c>
      <c r="H303" s="41"/>
    </row>
    <row r="304" spans="1:8" s="38" customFormat="1" ht="12.75" x14ac:dyDescent="0.2">
      <c r="A304" s="40">
        <f t="shared" si="35"/>
        <v>24</v>
      </c>
      <c r="B304" s="39">
        <f t="shared" si="30"/>
        <v>284</v>
      </c>
      <c r="C304" s="35">
        <f t="shared" si="31"/>
        <v>173529.85260808331</v>
      </c>
      <c r="D304" s="36">
        <f t="shared" si="32"/>
        <v>-6443.0140148550854</v>
      </c>
      <c r="E304" s="36">
        <f t="shared" si="29"/>
        <v>-5575.364751814669</v>
      </c>
      <c r="F304" s="36">
        <f t="shared" si="33"/>
        <v>-867.6492630404166</v>
      </c>
      <c r="G304" s="36">
        <f t="shared" si="34"/>
        <v>167954.48785626865</v>
      </c>
      <c r="H304" s="41"/>
    </row>
    <row r="305" spans="1:8" s="38" customFormat="1" ht="12.75" x14ac:dyDescent="0.2">
      <c r="A305" s="40">
        <f t="shared" si="35"/>
        <v>24</v>
      </c>
      <c r="B305" s="39">
        <f t="shared" si="30"/>
        <v>285</v>
      </c>
      <c r="C305" s="35">
        <f t="shared" si="31"/>
        <v>167954.48785626865</v>
      </c>
      <c r="D305" s="36">
        <f t="shared" si="32"/>
        <v>-6443.0140148550854</v>
      </c>
      <c r="E305" s="36">
        <f t="shared" si="29"/>
        <v>-5603.241575573742</v>
      </c>
      <c r="F305" s="36">
        <f t="shared" si="33"/>
        <v>-839.77243928134328</v>
      </c>
      <c r="G305" s="36">
        <f t="shared" si="34"/>
        <v>162351.2462806949</v>
      </c>
      <c r="H305" s="41"/>
    </row>
    <row r="306" spans="1:8" s="38" customFormat="1" ht="12.75" x14ac:dyDescent="0.2">
      <c r="A306" s="40">
        <f t="shared" si="35"/>
        <v>24</v>
      </c>
      <c r="B306" s="39">
        <f t="shared" si="30"/>
        <v>286</v>
      </c>
      <c r="C306" s="35">
        <f t="shared" si="31"/>
        <v>162351.2462806949</v>
      </c>
      <c r="D306" s="36">
        <f t="shared" si="32"/>
        <v>-6443.0140148550854</v>
      </c>
      <c r="E306" s="36">
        <f t="shared" si="29"/>
        <v>-5631.2577834516105</v>
      </c>
      <c r="F306" s="36">
        <f t="shared" si="33"/>
        <v>-811.75623140347454</v>
      </c>
      <c r="G306" s="36">
        <f t="shared" si="34"/>
        <v>156719.98849724329</v>
      </c>
      <c r="H306" s="41"/>
    </row>
    <row r="307" spans="1:8" s="38" customFormat="1" ht="12.75" x14ac:dyDescent="0.2">
      <c r="A307" s="40">
        <f t="shared" si="35"/>
        <v>24</v>
      </c>
      <c r="B307" s="39">
        <f t="shared" si="30"/>
        <v>287</v>
      </c>
      <c r="C307" s="35">
        <f t="shared" si="31"/>
        <v>156719.98849724329</v>
      </c>
      <c r="D307" s="36">
        <f t="shared" si="32"/>
        <v>-6443.0140148550854</v>
      </c>
      <c r="E307" s="36">
        <f t="shared" si="29"/>
        <v>-5659.4140723688688</v>
      </c>
      <c r="F307" s="36">
        <f t="shared" si="33"/>
        <v>-783.59994248621649</v>
      </c>
      <c r="G307" s="36">
        <f t="shared" si="34"/>
        <v>151060.57442487442</v>
      </c>
      <c r="H307" s="41"/>
    </row>
    <row r="308" spans="1:8" s="38" customFormat="1" ht="12.75" x14ac:dyDescent="0.2">
      <c r="A308" s="40">
        <f t="shared" si="35"/>
        <v>24</v>
      </c>
      <c r="B308" s="39">
        <f t="shared" si="30"/>
        <v>288</v>
      </c>
      <c r="C308" s="35">
        <f t="shared" si="31"/>
        <v>151060.57442487442</v>
      </c>
      <c r="D308" s="36">
        <f t="shared" si="32"/>
        <v>-6443.0140148550854</v>
      </c>
      <c r="E308" s="36">
        <f t="shared" si="29"/>
        <v>-5687.7111427307136</v>
      </c>
      <c r="F308" s="36">
        <f t="shared" si="33"/>
        <v>-755.30287212437213</v>
      </c>
      <c r="G308" s="36">
        <f t="shared" si="34"/>
        <v>145372.86328214369</v>
      </c>
      <c r="H308" s="41"/>
    </row>
    <row r="309" spans="1:8" s="38" customFormat="1" ht="12.75" x14ac:dyDescent="0.2">
      <c r="A309" s="40">
        <f>A297+1</f>
        <v>25</v>
      </c>
      <c r="B309" s="39">
        <f t="shared" si="30"/>
        <v>289</v>
      </c>
      <c r="C309" s="35">
        <f t="shared" si="31"/>
        <v>145372.86328214369</v>
      </c>
      <c r="D309" s="36">
        <f t="shared" si="32"/>
        <v>-6443.0140148550854</v>
      </c>
      <c r="E309" s="36">
        <f t="shared" si="29"/>
        <v>-5716.1496984443665</v>
      </c>
      <c r="F309" s="36">
        <f t="shared" si="33"/>
        <v>-726.86431641071852</v>
      </c>
      <c r="G309" s="36">
        <f t="shared" si="34"/>
        <v>139656.71358369931</v>
      </c>
      <c r="H309" s="41"/>
    </row>
    <row r="310" spans="1:8" s="38" customFormat="1" ht="12.75" x14ac:dyDescent="0.2">
      <c r="A310" s="40">
        <f>A309</f>
        <v>25</v>
      </c>
      <c r="B310" s="39">
        <f t="shared" si="30"/>
        <v>290</v>
      </c>
      <c r="C310" s="35">
        <f t="shared" si="31"/>
        <v>139656.71358369931</v>
      </c>
      <c r="D310" s="36">
        <f t="shared" si="32"/>
        <v>-6443.0140148550854</v>
      </c>
      <c r="E310" s="36">
        <f t="shared" si="29"/>
        <v>-5744.730446936589</v>
      </c>
      <c r="F310" s="36">
        <f t="shared" si="33"/>
        <v>-698.2835679184966</v>
      </c>
      <c r="G310" s="36">
        <f t="shared" si="34"/>
        <v>133911.98313676272</v>
      </c>
      <c r="H310" s="41"/>
    </row>
    <row r="311" spans="1:8" s="38" customFormat="1" ht="12.75" x14ac:dyDescent="0.2">
      <c r="A311" s="40">
        <f t="shared" si="35"/>
        <v>25</v>
      </c>
      <c r="B311" s="39">
        <f t="shared" si="30"/>
        <v>291</v>
      </c>
      <c r="C311" s="35">
        <f t="shared" si="31"/>
        <v>133911.98313676272</v>
      </c>
      <c r="D311" s="36">
        <f t="shared" si="32"/>
        <v>-6443.0140148550854</v>
      </c>
      <c r="E311" s="36">
        <f t="shared" si="29"/>
        <v>-5773.454099171272</v>
      </c>
      <c r="F311" s="36">
        <f t="shared" si="33"/>
        <v>-669.55991568381364</v>
      </c>
      <c r="G311" s="36">
        <f t="shared" si="34"/>
        <v>128138.52903759145</v>
      </c>
      <c r="H311" s="41"/>
    </row>
    <row r="312" spans="1:8" s="38" customFormat="1" ht="12.75" x14ac:dyDescent="0.2">
      <c r="A312" s="40">
        <f t="shared" si="35"/>
        <v>25</v>
      </c>
      <c r="B312" s="39">
        <f t="shared" si="30"/>
        <v>292</v>
      </c>
      <c r="C312" s="35">
        <f t="shared" si="31"/>
        <v>128138.52903759145</v>
      </c>
      <c r="D312" s="36">
        <f t="shared" si="32"/>
        <v>-6443.0140148550854</v>
      </c>
      <c r="E312" s="36">
        <f t="shared" si="29"/>
        <v>-5802.3213696671282</v>
      </c>
      <c r="F312" s="36">
        <f t="shared" si="33"/>
        <v>-640.69264518795728</v>
      </c>
      <c r="G312" s="36">
        <f t="shared" si="34"/>
        <v>122336.20766792432</v>
      </c>
      <c r="H312" s="41"/>
    </row>
    <row r="313" spans="1:8" s="38" customFormat="1" ht="12.75" x14ac:dyDescent="0.2">
      <c r="A313" s="40">
        <f t="shared" si="35"/>
        <v>25</v>
      </c>
      <c r="B313" s="39">
        <f t="shared" si="30"/>
        <v>293</v>
      </c>
      <c r="C313" s="35">
        <f t="shared" si="31"/>
        <v>122336.20766792432</v>
      </c>
      <c r="D313" s="36">
        <f t="shared" si="32"/>
        <v>-6443.0140148550854</v>
      </c>
      <c r="E313" s="36">
        <f t="shared" si="29"/>
        <v>-5831.332976515464</v>
      </c>
      <c r="F313" s="36">
        <f t="shared" si="33"/>
        <v>-611.68103833962164</v>
      </c>
      <c r="G313" s="36">
        <f t="shared" si="34"/>
        <v>116504.87469140886</v>
      </c>
      <c r="H313" s="41"/>
    </row>
    <row r="314" spans="1:8" s="38" customFormat="1" ht="12.75" x14ac:dyDescent="0.2">
      <c r="A314" s="40">
        <f t="shared" si="35"/>
        <v>25</v>
      </c>
      <c r="B314" s="39">
        <f t="shared" si="30"/>
        <v>294</v>
      </c>
      <c r="C314" s="35">
        <f t="shared" si="31"/>
        <v>116504.87469140886</v>
      </c>
      <c r="D314" s="36">
        <f t="shared" si="32"/>
        <v>-6443.0140148550854</v>
      </c>
      <c r="E314" s="36">
        <f t="shared" si="29"/>
        <v>-5860.4896413980414</v>
      </c>
      <c r="F314" s="36">
        <f t="shared" si="33"/>
        <v>-582.52437345704425</v>
      </c>
      <c r="G314" s="36">
        <f t="shared" si="34"/>
        <v>110644.38505001081</v>
      </c>
      <c r="H314" s="41"/>
    </row>
    <row r="315" spans="1:8" s="38" customFormat="1" ht="12.75" x14ac:dyDescent="0.2">
      <c r="A315" s="40">
        <f t="shared" si="35"/>
        <v>25</v>
      </c>
      <c r="B315" s="39">
        <f t="shared" si="30"/>
        <v>295</v>
      </c>
      <c r="C315" s="35">
        <f t="shared" si="31"/>
        <v>110644.38505001081</v>
      </c>
      <c r="D315" s="36">
        <f t="shared" si="32"/>
        <v>-6443.0140148550854</v>
      </c>
      <c r="E315" s="36">
        <f t="shared" si="29"/>
        <v>-5889.7920896050309</v>
      </c>
      <c r="F315" s="36">
        <f t="shared" si="33"/>
        <v>-553.22192525005403</v>
      </c>
      <c r="G315" s="36">
        <f t="shared" si="34"/>
        <v>104754.59296040577</v>
      </c>
      <c r="H315" s="41"/>
    </row>
    <row r="316" spans="1:8" s="38" customFormat="1" ht="12.75" x14ac:dyDescent="0.2">
      <c r="A316" s="40">
        <f t="shared" si="35"/>
        <v>25</v>
      </c>
      <c r="B316" s="39">
        <f t="shared" si="30"/>
        <v>296</v>
      </c>
      <c r="C316" s="35">
        <f t="shared" si="31"/>
        <v>104754.59296040577</v>
      </c>
      <c r="D316" s="36">
        <f t="shared" si="32"/>
        <v>-6443.0140148550854</v>
      </c>
      <c r="E316" s="36">
        <f t="shared" si="29"/>
        <v>-5919.2410500530568</v>
      </c>
      <c r="F316" s="36">
        <f t="shared" si="33"/>
        <v>-523.77296480202892</v>
      </c>
      <c r="G316" s="36">
        <f t="shared" si="34"/>
        <v>98835.351910352721</v>
      </c>
      <c r="H316" s="41"/>
    </row>
    <row r="317" spans="1:8" s="38" customFormat="1" ht="12.75" x14ac:dyDescent="0.2">
      <c r="A317" s="40">
        <f t="shared" si="35"/>
        <v>25</v>
      </c>
      <c r="B317" s="39">
        <f t="shared" si="30"/>
        <v>297</v>
      </c>
      <c r="C317" s="35">
        <f t="shared" si="31"/>
        <v>98835.351910352721</v>
      </c>
      <c r="D317" s="36">
        <f t="shared" si="32"/>
        <v>-6443.0140148550854</v>
      </c>
      <c r="E317" s="36">
        <f t="shared" si="29"/>
        <v>-5948.8372553033214</v>
      </c>
      <c r="F317" s="36">
        <f t="shared" si="33"/>
        <v>-494.17675955176361</v>
      </c>
      <c r="G317" s="36">
        <f t="shared" si="34"/>
        <v>92886.514655049396</v>
      </c>
      <c r="H317" s="41"/>
    </row>
    <row r="318" spans="1:8" s="38" customFormat="1" ht="12.75" x14ac:dyDescent="0.2">
      <c r="A318" s="40">
        <f t="shared" si="35"/>
        <v>25</v>
      </c>
      <c r="B318" s="39">
        <f t="shared" si="30"/>
        <v>298</v>
      </c>
      <c r="C318" s="35">
        <f t="shared" si="31"/>
        <v>92886.514655049396</v>
      </c>
      <c r="D318" s="36">
        <f t="shared" si="32"/>
        <v>-6443.0140148550854</v>
      </c>
      <c r="E318" s="36">
        <f t="shared" si="29"/>
        <v>-5978.5814415798386</v>
      </c>
      <c r="F318" s="36">
        <f t="shared" si="33"/>
        <v>-464.43257327524697</v>
      </c>
      <c r="G318" s="36">
        <f t="shared" si="34"/>
        <v>86907.933213469558</v>
      </c>
      <c r="H318" s="41"/>
    </row>
    <row r="319" spans="1:8" s="38" customFormat="1" ht="12.75" x14ac:dyDescent="0.2">
      <c r="A319" s="40">
        <f t="shared" si="35"/>
        <v>25</v>
      </c>
      <c r="B319" s="39">
        <f t="shared" si="30"/>
        <v>299</v>
      </c>
      <c r="C319" s="35">
        <f t="shared" si="31"/>
        <v>86907.933213469558</v>
      </c>
      <c r="D319" s="36">
        <f t="shared" si="32"/>
        <v>-6443.0140148550854</v>
      </c>
      <c r="E319" s="36">
        <f t="shared" si="29"/>
        <v>-6008.4743487877377</v>
      </c>
      <c r="F319" s="36">
        <f t="shared" si="33"/>
        <v>-434.53966606734781</v>
      </c>
      <c r="G319" s="36">
        <f t="shared" si="34"/>
        <v>80899.458864681816</v>
      </c>
      <c r="H319" s="41"/>
    </row>
    <row r="320" spans="1:8" s="38" customFormat="1" ht="12.75" x14ac:dyDescent="0.2">
      <c r="A320" s="40">
        <f t="shared" si="35"/>
        <v>25</v>
      </c>
      <c r="B320" s="39">
        <f t="shared" si="30"/>
        <v>300</v>
      </c>
      <c r="C320" s="35">
        <f t="shared" si="31"/>
        <v>80899.458864681816</v>
      </c>
      <c r="D320" s="36">
        <f t="shared" si="32"/>
        <v>-6443.0140148550854</v>
      </c>
      <c r="E320" s="36">
        <f t="shared" si="29"/>
        <v>-6038.5167205316766</v>
      </c>
      <c r="F320" s="36">
        <f t="shared" si="33"/>
        <v>-404.49729432340911</v>
      </c>
      <c r="G320" s="36">
        <f t="shared" si="34"/>
        <v>74860.942144150133</v>
      </c>
      <c r="H320" s="41"/>
    </row>
    <row r="321" spans="1:8" x14ac:dyDescent="0.25">
      <c r="A321" s="1"/>
      <c r="B321" s="42"/>
      <c r="C321" s="43"/>
      <c r="D321" s="43"/>
      <c r="E321" s="43"/>
      <c r="F321" s="43"/>
      <c r="G321" s="44"/>
      <c r="H321" s="45"/>
    </row>
    <row r="322" spans="1:8" x14ac:dyDescent="0.25">
      <c r="A322" s="1"/>
      <c r="B322" s="42"/>
      <c r="C322" s="43"/>
      <c r="D322" s="43"/>
      <c r="E322" s="43"/>
      <c r="F322" s="43"/>
      <c r="G322" s="44"/>
      <c r="H322" s="45"/>
    </row>
    <row r="323" spans="1:8" x14ac:dyDescent="0.25">
      <c r="E323" s="43"/>
      <c r="F323" s="43"/>
      <c r="G323" s="44"/>
      <c r="H323" s="45"/>
    </row>
    <row r="324" spans="1:8" x14ac:dyDescent="0.25">
      <c r="E324" s="43"/>
      <c r="F324" s="47"/>
      <c r="G324" s="48"/>
      <c r="H324" s="45"/>
    </row>
    <row r="325" spans="1:8" x14ac:dyDescent="0.25">
      <c r="E325" s="49"/>
      <c r="F325" s="43"/>
      <c r="G325" s="44"/>
      <c r="H325" s="45"/>
    </row>
    <row r="326" spans="1:8" x14ac:dyDescent="0.25">
      <c r="E326" s="43"/>
      <c r="F326" s="43"/>
      <c r="G326" s="44"/>
      <c r="H326" s="45"/>
    </row>
    <row r="327" spans="1:8" x14ac:dyDescent="0.25">
      <c r="E327" s="43"/>
      <c r="F327" s="43"/>
      <c r="G327" s="44"/>
      <c r="H327" s="45"/>
    </row>
    <row r="328" spans="1:8" x14ac:dyDescent="0.25">
      <c r="E328" s="43"/>
      <c r="F328" s="43"/>
      <c r="G328" s="44"/>
      <c r="H328" s="45"/>
    </row>
    <row r="329" spans="1:8" x14ac:dyDescent="0.25">
      <c r="E329" s="43"/>
      <c r="F329" s="43"/>
      <c r="G329" s="44"/>
      <c r="H329" s="45"/>
    </row>
    <row r="330" spans="1:8" x14ac:dyDescent="0.25">
      <c r="E330" s="43"/>
      <c r="F330" s="43"/>
      <c r="G330" s="44"/>
      <c r="H330" s="45"/>
    </row>
    <row r="331" spans="1:8" x14ac:dyDescent="0.25">
      <c r="A331" s="1"/>
      <c r="F331" s="43"/>
      <c r="G331" s="44"/>
      <c r="H331" s="45"/>
    </row>
    <row r="332" spans="1:8" x14ac:dyDescent="0.25">
      <c r="A332" s="1"/>
      <c r="F332" s="43"/>
      <c r="G332" s="44"/>
      <c r="H332" s="45"/>
    </row>
    <row r="333" spans="1:8" x14ac:dyDescent="0.25">
      <c r="A333" s="1"/>
      <c r="F333" s="43"/>
      <c r="G333" s="44"/>
      <c r="H333" s="45"/>
    </row>
    <row r="334" spans="1:8" x14ac:dyDescent="0.25">
      <c r="A334" s="1"/>
      <c r="F334" s="43"/>
      <c r="G334" s="44"/>
      <c r="H334" s="45"/>
    </row>
    <row r="335" spans="1:8" x14ac:dyDescent="0.25">
      <c r="A335" s="1"/>
      <c r="F335" s="43"/>
      <c r="G335" s="44"/>
      <c r="H335" s="45"/>
    </row>
    <row r="336" spans="1:8" x14ac:dyDescent="0.25">
      <c r="A336" s="1"/>
      <c r="F336" s="43"/>
      <c r="G336" s="44"/>
      <c r="H336" s="45"/>
    </row>
    <row r="337" spans="1:8" x14ac:dyDescent="0.25">
      <c r="A337" s="1"/>
      <c r="F337" s="43"/>
      <c r="G337" s="44"/>
      <c r="H337" s="45"/>
    </row>
    <row r="338" spans="1:8" x14ac:dyDescent="0.25">
      <c r="A338" s="1"/>
      <c r="F338" s="43"/>
      <c r="G338" s="44"/>
      <c r="H338" s="45"/>
    </row>
    <row r="339" spans="1:8" x14ac:dyDescent="0.25">
      <c r="A339" s="1"/>
      <c r="F339" s="43"/>
      <c r="G339" s="44"/>
      <c r="H339" s="45"/>
    </row>
    <row r="340" spans="1:8" x14ac:dyDescent="0.25">
      <c r="A340" s="1"/>
      <c r="F340" s="43"/>
      <c r="G340" s="44"/>
      <c r="H340" s="45"/>
    </row>
    <row r="341" spans="1:8" x14ac:dyDescent="0.25">
      <c r="A341" s="1"/>
      <c r="F341" s="43"/>
      <c r="G341" s="44"/>
      <c r="H341" s="45"/>
    </row>
    <row r="342" spans="1:8" x14ac:dyDescent="0.25">
      <c r="A342" s="1"/>
      <c r="F342" s="43"/>
      <c r="G342" s="44"/>
      <c r="H342" s="45"/>
    </row>
    <row r="343" spans="1:8" x14ac:dyDescent="0.25">
      <c r="A343" s="1"/>
      <c r="F343" s="43"/>
      <c r="G343" s="44"/>
      <c r="H343" s="45"/>
    </row>
    <row r="344" spans="1:8" x14ac:dyDescent="0.25">
      <c r="A344" s="1"/>
      <c r="F344" s="43"/>
      <c r="G344" s="44"/>
      <c r="H344" s="45"/>
    </row>
    <row r="345" spans="1:8" x14ac:dyDescent="0.25">
      <c r="A345" s="1"/>
      <c r="F345" s="43"/>
      <c r="G345" s="44"/>
      <c r="H345" s="45"/>
    </row>
    <row r="346" spans="1:8" x14ac:dyDescent="0.25">
      <c r="A346" s="1"/>
      <c r="F346" s="43"/>
      <c r="G346" s="44"/>
      <c r="H346" s="45"/>
    </row>
    <row r="347" spans="1:8" x14ac:dyDescent="0.25">
      <c r="A347" s="1"/>
      <c r="F347" s="43"/>
      <c r="G347" s="44"/>
      <c r="H347" s="45"/>
    </row>
    <row r="348" spans="1:8" x14ac:dyDescent="0.25">
      <c r="A348" s="1"/>
      <c r="F348" s="43"/>
      <c r="G348" s="44"/>
      <c r="H348" s="45"/>
    </row>
    <row r="349" spans="1:8" x14ac:dyDescent="0.25">
      <c r="A349" s="1"/>
      <c r="F349" s="43"/>
      <c r="G349" s="44"/>
      <c r="H349" s="45"/>
    </row>
    <row r="350" spans="1:8" x14ac:dyDescent="0.25">
      <c r="A350" s="1"/>
      <c r="F350" s="43"/>
      <c r="G350" s="44"/>
      <c r="H350" s="45"/>
    </row>
    <row r="351" spans="1:8" x14ac:dyDescent="0.25">
      <c r="A351" s="1"/>
      <c r="F351" s="43"/>
      <c r="G351" s="44"/>
      <c r="H351" s="45"/>
    </row>
    <row r="352" spans="1:8" x14ac:dyDescent="0.25">
      <c r="A352" s="1"/>
      <c r="F352" s="43"/>
      <c r="G352" s="44"/>
      <c r="H352" s="45"/>
    </row>
    <row r="353" spans="1:8" x14ac:dyDescent="0.25">
      <c r="A353" s="1"/>
      <c r="F353" s="43"/>
      <c r="G353" s="44"/>
      <c r="H353" s="45"/>
    </row>
    <row r="354" spans="1:8" x14ac:dyDescent="0.25">
      <c r="A354" s="1"/>
      <c r="F354" s="43"/>
      <c r="G354" s="44"/>
      <c r="H354" s="45"/>
    </row>
    <row r="355" spans="1:8" x14ac:dyDescent="0.25">
      <c r="A355" s="1"/>
      <c r="F355" s="43"/>
      <c r="G355" s="44"/>
      <c r="H355" s="45"/>
    </row>
    <row r="356" spans="1:8" x14ac:dyDescent="0.25">
      <c r="A356" s="1"/>
      <c r="F356" s="43"/>
      <c r="G356" s="44"/>
      <c r="H356" s="45"/>
    </row>
    <row r="357" spans="1:8" x14ac:dyDescent="0.25">
      <c r="A357" s="1"/>
      <c r="B357" s="42"/>
      <c r="C357" s="43"/>
      <c r="D357" s="43"/>
      <c r="E357" s="43"/>
      <c r="F357" s="43"/>
      <c r="G357" s="44"/>
      <c r="H357" s="45"/>
    </row>
    <row r="358" spans="1:8" x14ac:dyDescent="0.25">
      <c r="A358" s="1"/>
      <c r="B358" s="42"/>
      <c r="C358" s="43"/>
      <c r="D358" s="43"/>
      <c r="E358" s="43"/>
      <c r="F358" s="43"/>
      <c r="G358" s="44"/>
      <c r="H358" s="45"/>
    </row>
    <row r="359" spans="1:8" x14ac:dyDescent="0.25">
      <c r="A359" s="1"/>
      <c r="B359" s="42"/>
      <c r="C359" s="43"/>
      <c r="D359" s="43"/>
      <c r="E359" s="43"/>
      <c r="F359" s="43"/>
      <c r="G359" s="44"/>
      <c r="H359" s="45"/>
    </row>
    <row r="360" spans="1:8" x14ac:dyDescent="0.25">
      <c r="A360" s="1"/>
      <c r="B360" s="42"/>
      <c r="C360" s="43"/>
      <c r="D360" s="43"/>
      <c r="E360" s="43"/>
      <c r="F360" s="50"/>
      <c r="G360" s="51"/>
      <c r="H360" s="1"/>
    </row>
    <row r="361" spans="1:8" x14ac:dyDescent="0.25">
      <c r="A361" s="1"/>
      <c r="B361" s="42"/>
      <c r="C361" s="43"/>
      <c r="D361" s="43"/>
      <c r="E361" s="43"/>
      <c r="F361" s="50"/>
      <c r="G361" s="51"/>
      <c r="H361" s="1"/>
    </row>
    <row r="362" spans="1:8" x14ac:dyDescent="0.25">
      <c r="A362" s="1"/>
      <c r="B362" s="42"/>
      <c r="C362" s="43"/>
      <c r="D362" s="43"/>
      <c r="E362" s="43"/>
      <c r="F362" s="50"/>
      <c r="G362" s="51"/>
      <c r="H362" s="1"/>
    </row>
    <row r="363" spans="1:8" x14ac:dyDescent="0.25">
      <c r="A363" s="1"/>
      <c r="B363" s="42"/>
      <c r="C363" s="43"/>
      <c r="D363" s="43"/>
      <c r="E363" s="43"/>
      <c r="F363" s="50"/>
      <c r="G363" s="51"/>
      <c r="H363" s="1"/>
    </row>
    <row r="364" spans="1:8" x14ac:dyDescent="0.25">
      <c r="A364" s="1"/>
      <c r="B364" s="42"/>
      <c r="C364" s="43"/>
      <c r="D364" s="43"/>
      <c r="E364" s="43"/>
      <c r="F364" s="50"/>
      <c r="G364" s="51"/>
      <c r="H364" s="1"/>
    </row>
    <row r="365" spans="1:8" x14ac:dyDescent="0.25">
      <c r="A365" s="1"/>
      <c r="B365" s="42"/>
      <c r="C365" s="43"/>
      <c r="D365" s="43"/>
      <c r="E365" s="43"/>
      <c r="F365" s="50"/>
      <c r="G365" s="51"/>
      <c r="H365" s="1"/>
    </row>
    <row r="366" spans="1:8" x14ac:dyDescent="0.25">
      <c r="A366" s="1"/>
      <c r="B366" s="42"/>
      <c r="C366" s="43"/>
      <c r="D366" s="43"/>
      <c r="E366" s="43"/>
      <c r="F366" s="50"/>
      <c r="G366" s="51"/>
      <c r="H366" s="1"/>
    </row>
    <row r="367" spans="1:8" x14ac:dyDescent="0.25">
      <c r="A367" s="1"/>
      <c r="B367" s="42"/>
      <c r="C367" s="43"/>
      <c r="D367" s="43"/>
      <c r="E367" s="43"/>
      <c r="F367" s="50"/>
      <c r="G367" s="51"/>
      <c r="H367" s="1"/>
    </row>
    <row r="368" spans="1:8" x14ac:dyDescent="0.25">
      <c r="A368" s="1"/>
      <c r="B368" s="42"/>
      <c r="C368" s="43"/>
      <c r="D368" s="43"/>
      <c r="E368" s="43"/>
      <c r="F368" s="50"/>
      <c r="G368" s="51"/>
      <c r="H368" s="1"/>
    </row>
    <row r="369" spans="1:8" x14ac:dyDescent="0.25">
      <c r="A369" s="1"/>
      <c r="B369" s="42"/>
      <c r="C369" s="43"/>
      <c r="D369" s="43"/>
      <c r="E369" s="43"/>
      <c r="F369" s="50"/>
      <c r="G369" s="51"/>
      <c r="H369" s="1"/>
    </row>
    <row r="370" spans="1:8" x14ac:dyDescent="0.25">
      <c r="A370" s="1"/>
      <c r="B370" s="42"/>
      <c r="C370" s="43"/>
      <c r="D370" s="43"/>
      <c r="E370" s="43"/>
      <c r="F370" s="50"/>
      <c r="G370" s="51"/>
      <c r="H370" s="1"/>
    </row>
    <row r="371" spans="1:8" x14ac:dyDescent="0.25">
      <c r="A371" s="1"/>
      <c r="B371" s="42"/>
      <c r="C371" s="43"/>
      <c r="D371" s="43"/>
      <c r="E371" s="43"/>
      <c r="F371" s="50"/>
      <c r="G371" s="51"/>
      <c r="H371" s="1"/>
    </row>
    <row r="372" spans="1:8" x14ac:dyDescent="0.25">
      <c r="A372" s="1"/>
      <c r="B372" s="42"/>
      <c r="C372" s="43"/>
      <c r="D372" s="43"/>
      <c r="E372" s="43"/>
      <c r="F372" s="50"/>
      <c r="G372" s="51"/>
      <c r="H372" s="1"/>
    </row>
    <row r="373" spans="1:8" x14ac:dyDescent="0.25">
      <c r="A373" s="1"/>
      <c r="B373" s="42"/>
      <c r="C373" s="43"/>
      <c r="D373" s="43"/>
      <c r="E373" s="43"/>
      <c r="F373" s="50"/>
      <c r="G373" s="51"/>
      <c r="H373" s="1"/>
    </row>
    <row r="374" spans="1:8" x14ac:dyDescent="0.25">
      <c r="A374" s="1"/>
      <c r="B374" s="42"/>
      <c r="C374" s="43"/>
      <c r="D374" s="43"/>
      <c r="E374" s="43"/>
      <c r="F374" s="50"/>
      <c r="G374" s="51"/>
      <c r="H374" s="1"/>
    </row>
    <row r="375" spans="1:8" x14ac:dyDescent="0.25">
      <c r="A375" s="1"/>
      <c r="B375" s="42"/>
      <c r="C375" s="43"/>
      <c r="D375" s="43"/>
      <c r="E375" s="43"/>
      <c r="F375" s="50"/>
      <c r="G375" s="51"/>
      <c r="H375" s="1"/>
    </row>
    <row r="376" spans="1:8" x14ac:dyDescent="0.25">
      <c r="A376" s="1"/>
      <c r="B376" s="42"/>
      <c r="C376" s="43"/>
      <c r="D376" s="43"/>
      <c r="E376" s="43"/>
      <c r="F376" s="50"/>
      <c r="G376" s="51"/>
      <c r="H376" s="1"/>
    </row>
    <row r="377" spans="1:8" x14ac:dyDescent="0.25">
      <c r="A377" s="1"/>
      <c r="B377" s="42"/>
      <c r="C377" s="43"/>
      <c r="D377" s="43"/>
      <c r="E377" s="43"/>
      <c r="F377" s="50"/>
      <c r="G377" s="51"/>
      <c r="H377" s="1"/>
    </row>
    <row r="378" spans="1:8" x14ac:dyDescent="0.25">
      <c r="A378" s="1"/>
      <c r="B378" s="42"/>
      <c r="C378" s="43"/>
      <c r="D378" s="43"/>
      <c r="E378" s="43"/>
      <c r="F378" s="50"/>
      <c r="G378" s="51"/>
      <c r="H378" s="1"/>
    </row>
    <row r="379" spans="1:8" x14ac:dyDescent="0.25">
      <c r="A379" s="1"/>
      <c r="B379" s="42"/>
      <c r="C379" s="43"/>
      <c r="D379" s="43"/>
      <c r="E379" s="43"/>
      <c r="F379" s="50"/>
      <c r="G379" s="51"/>
      <c r="H379" s="1"/>
    </row>
    <row r="380" spans="1:8" x14ac:dyDescent="0.25">
      <c r="A380" s="1"/>
      <c r="B380" s="42"/>
      <c r="C380" s="43"/>
      <c r="D380" s="43"/>
      <c r="E380" s="43"/>
      <c r="F380" s="50"/>
      <c r="G380" s="51"/>
      <c r="H380" s="1"/>
    </row>
    <row r="381" spans="1:8" x14ac:dyDescent="0.25">
      <c r="A381" s="1"/>
      <c r="B381" s="42"/>
      <c r="C381" s="43"/>
      <c r="D381" s="43"/>
      <c r="E381" s="43"/>
      <c r="F381" s="50"/>
      <c r="G381" s="51"/>
      <c r="H381" s="1"/>
    </row>
    <row r="382" spans="1:8" x14ac:dyDescent="0.25">
      <c r="A382" s="1"/>
      <c r="B382" s="42"/>
      <c r="C382" s="43"/>
      <c r="D382" s="43"/>
      <c r="E382" s="43"/>
      <c r="F382" s="50"/>
      <c r="G382" s="51"/>
      <c r="H382" s="1"/>
    </row>
    <row r="383" spans="1:8" x14ac:dyDescent="0.25">
      <c r="A383" s="1"/>
      <c r="B383" s="42"/>
      <c r="C383" s="43"/>
      <c r="D383" s="43"/>
      <c r="E383" s="43"/>
      <c r="F383" s="50"/>
      <c r="G383" s="51"/>
      <c r="H383" s="1"/>
    </row>
    <row r="384" spans="1:8" x14ac:dyDescent="0.25">
      <c r="A384" s="1"/>
      <c r="B384" s="42"/>
      <c r="C384" s="43"/>
      <c r="D384" s="43"/>
      <c r="E384" s="43"/>
      <c r="F384" s="50"/>
      <c r="G384" s="51"/>
      <c r="H384" s="1"/>
    </row>
    <row r="385" spans="1:8" x14ac:dyDescent="0.25">
      <c r="A385" s="1"/>
      <c r="B385" s="42"/>
      <c r="C385" s="43"/>
      <c r="D385" s="43"/>
      <c r="E385" s="43"/>
      <c r="F385" s="50"/>
      <c r="G385" s="51"/>
      <c r="H385" s="1"/>
    </row>
    <row r="386" spans="1:8" x14ac:dyDescent="0.25">
      <c r="A386" s="1"/>
      <c r="B386" s="42"/>
      <c r="C386" s="43"/>
      <c r="D386" s="43"/>
      <c r="E386" s="43"/>
      <c r="F386" s="50"/>
      <c r="G386" s="51"/>
      <c r="H386" s="1"/>
    </row>
    <row r="387" spans="1:8" x14ac:dyDescent="0.25">
      <c r="A387" s="1"/>
      <c r="B387" s="42"/>
      <c r="C387" s="43"/>
      <c r="D387" s="43"/>
      <c r="E387" s="43"/>
      <c r="F387" s="50"/>
      <c r="G387" s="51"/>
      <c r="H387" s="1"/>
    </row>
    <row r="388" spans="1:8" x14ac:dyDescent="0.25">
      <c r="A388" s="1"/>
      <c r="B388" s="42"/>
      <c r="C388" s="43"/>
      <c r="D388" s="43"/>
      <c r="E388" s="43"/>
      <c r="F388" s="50"/>
      <c r="G388" s="51"/>
      <c r="H388" s="1"/>
    </row>
    <row r="389" spans="1:8" x14ac:dyDescent="0.25">
      <c r="A389" s="1"/>
      <c r="B389" s="42"/>
      <c r="C389" s="43"/>
      <c r="D389" s="43"/>
      <c r="E389" s="43"/>
      <c r="F389" s="50"/>
      <c r="G389" s="51"/>
      <c r="H389" s="1"/>
    </row>
    <row r="390" spans="1:8" x14ac:dyDescent="0.25">
      <c r="A390" s="1"/>
      <c r="B390" s="42"/>
      <c r="C390" s="43"/>
      <c r="D390" s="43"/>
      <c r="E390" s="43"/>
      <c r="F390" s="50"/>
      <c r="G390" s="51"/>
      <c r="H390" s="1"/>
    </row>
    <row r="391" spans="1:8" x14ac:dyDescent="0.25">
      <c r="A391" s="1"/>
      <c r="B391" s="42"/>
      <c r="C391" s="43"/>
      <c r="D391" s="43"/>
      <c r="E391" s="43"/>
      <c r="F391" s="50"/>
      <c r="G391" s="51"/>
      <c r="H391" s="1"/>
    </row>
    <row r="392" spans="1:8" x14ac:dyDescent="0.25">
      <c r="A392" s="1"/>
      <c r="B392" s="42"/>
      <c r="C392" s="43"/>
      <c r="D392" s="43"/>
      <c r="E392" s="43"/>
      <c r="F392" s="50"/>
      <c r="G392" s="51"/>
      <c r="H392" s="1"/>
    </row>
    <row r="393" spans="1:8" x14ac:dyDescent="0.25">
      <c r="A393" s="1"/>
      <c r="B393" s="42"/>
      <c r="C393" s="43"/>
      <c r="D393" s="43"/>
      <c r="E393" s="43"/>
      <c r="F393" s="50"/>
      <c r="G393" s="51"/>
      <c r="H393" s="1"/>
    </row>
    <row r="394" spans="1:8" x14ac:dyDescent="0.25">
      <c r="A394" s="1"/>
      <c r="B394" s="42"/>
      <c r="C394" s="43"/>
      <c r="D394" s="43"/>
      <c r="E394" s="43"/>
      <c r="F394" s="50"/>
      <c r="G394" s="51"/>
      <c r="H394" s="1"/>
    </row>
    <row r="395" spans="1:8" x14ac:dyDescent="0.25">
      <c r="A395" s="1"/>
      <c r="B395" s="42"/>
      <c r="C395" s="43"/>
      <c r="D395" s="43"/>
      <c r="E395" s="43"/>
      <c r="F395" s="50"/>
      <c r="G395" s="51"/>
      <c r="H395" s="1"/>
    </row>
    <row r="396" spans="1:8" x14ac:dyDescent="0.25">
      <c r="A396" s="1"/>
      <c r="B396" s="42"/>
      <c r="C396" s="43"/>
      <c r="D396" s="43"/>
      <c r="E396" s="43"/>
      <c r="F396" s="50"/>
      <c r="G396" s="51"/>
      <c r="H396" s="1"/>
    </row>
    <row r="397" spans="1:8" x14ac:dyDescent="0.25">
      <c r="A397" s="1"/>
      <c r="B397" s="42"/>
      <c r="C397" s="43"/>
      <c r="D397" s="43"/>
      <c r="E397" s="43"/>
      <c r="F397" s="50"/>
      <c r="G397" s="51"/>
      <c r="H397" s="1"/>
    </row>
    <row r="398" spans="1:8" x14ac:dyDescent="0.25">
      <c r="A398" s="1"/>
      <c r="B398" s="42"/>
      <c r="C398" s="43"/>
      <c r="D398" s="43"/>
      <c r="E398" s="43"/>
      <c r="F398" s="50"/>
      <c r="G398" s="51"/>
      <c r="H398" s="1"/>
    </row>
    <row r="399" spans="1:8" x14ac:dyDescent="0.25">
      <c r="A399" s="1"/>
      <c r="B399" s="42"/>
      <c r="C399" s="43"/>
      <c r="D399" s="43"/>
      <c r="E399" s="43"/>
      <c r="F399" s="50"/>
      <c r="G399" s="51"/>
      <c r="H399" s="1"/>
    </row>
    <row r="400" spans="1:8" x14ac:dyDescent="0.25">
      <c r="A400" s="1"/>
      <c r="B400" s="42"/>
      <c r="C400" s="43"/>
      <c r="D400" s="43"/>
      <c r="E400" s="43"/>
      <c r="F400" s="50"/>
      <c r="G400" s="51"/>
      <c r="H400" s="1"/>
    </row>
    <row r="401" spans="1:8" x14ac:dyDescent="0.25">
      <c r="A401" s="1"/>
      <c r="B401" s="42"/>
      <c r="C401" s="43"/>
      <c r="D401" s="43"/>
      <c r="E401" s="43"/>
      <c r="F401" s="50"/>
      <c r="G401" s="51"/>
      <c r="H401" s="1"/>
    </row>
    <row r="402" spans="1:8" x14ac:dyDescent="0.25">
      <c r="A402" s="1"/>
      <c r="B402" s="42"/>
      <c r="C402" s="43"/>
      <c r="D402" s="43"/>
      <c r="E402" s="43"/>
      <c r="F402" s="50"/>
      <c r="G402" s="51"/>
      <c r="H402" s="1"/>
    </row>
    <row r="403" spans="1:8" x14ac:dyDescent="0.25">
      <c r="A403" s="1"/>
      <c r="B403" s="42"/>
      <c r="C403" s="43"/>
      <c r="D403" s="43"/>
      <c r="E403" s="43"/>
      <c r="F403" s="50"/>
      <c r="G403" s="51"/>
      <c r="H403" s="1"/>
    </row>
    <row r="404" spans="1:8" x14ac:dyDescent="0.25">
      <c r="A404" s="1"/>
      <c r="B404" s="42"/>
      <c r="C404" s="43"/>
      <c r="D404" s="43"/>
      <c r="E404" s="43"/>
      <c r="F404" s="50"/>
      <c r="G404" s="51"/>
      <c r="H404" s="1"/>
    </row>
    <row r="405" spans="1:8" x14ac:dyDescent="0.25">
      <c r="A405" s="1"/>
      <c r="B405" s="42"/>
      <c r="C405" s="43"/>
      <c r="D405" s="43"/>
      <c r="E405" s="43"/>
      <c r="F405" s="50"/>
      <c r="G405" s="51"/>
      <c r="H405" s="1"/>
    </row>
    <row r="406" spans="1:8" x14ac:dyDescent="0.25">
      <c r="A406" s="1"/>
      <c r="B406" s="42"/>
      <c r="C406" s="43"/>
      <c r="D406" s="43"/>
      <c r="E406" s="43"/>
      <c r="F406" s="50"/>
      <c r="G406" s="51"/>
      <c r="H406" s="1"/>
    </row>
    <row r="407" spans="1:8" x14ac:dyDescent="0.25">
      <c r="A407" s="1"/>
      <c r="B407" s="42"/>
      <c r="C407" s="43"/>
      <c r="D407" s="43"/>
      <c r="E407" s="43"/>
      <c r="F407" s="50"/>
      <c r="G407" s="51"/>
      <c r="H407" s="1"/>
    </row>
    <row r="408" spans="1:8" x14ac:dyDescent="0.25">
      <c r="A408" s="1"/>
      <c r="B408" s="42"/>
      <c r="C408" s="43"/>
      <c r="D408" s="43"/>
      <c r="E408" s="43"/>
      <c r="F408" s="50"/>
      <c r="G408" s="51"/>
      <c r="H408" s="1"/>
    </row>
    <row r="409" spans="1:8" x14ac:dyDescent="0.25">
      <c r="A409" s="1"/>
      <c r="B409" s="42"/>
      <c r="C409" s="43"/>
      <c r="D409" s="43"/>
      <c r="E409" s="43"/>
      <c r="F409" s="50"/>
      <c r="G409" s="51"/>
      <c r="H409" s="1"/>
    </row>
    <row r="410" spans="1:8" x14ac:dyDescent="0.25">
      <c r="A410" s="1"/>
      <c r="B410" s="42"/>
      <c r="C410" s="43"/>
      <c r="D410" s="43"/>
      <c r="E410" s="43"/>
      <c r="F410" s="50"/>
      <c r="G410" s="51"/>
      <c r="H410" s="1"/>
    </row>
    <row r="411" spans="1:8" x14ac:dyDescent="0.25">
      <c r="A411" s="1"/>
      <c r="B411" s="42"/>
      <c r="C411" s="43"/>
      <c r="D411" s="43"/>
      <c r="E411" s="43"/>
      <c r="F411" s="50"/>
      <c r="G411" s="51"/>
      <c r="H411" s="1"/>
    </row>
    <row r="412" spans="1:8" x14ac:dyDescent="0.25">
      <c r="A412" s="1"/>
      <c r="B412" s="42"/>
      <c r="C412" s="43"/>
      <c r="D412" s="43"/>
      <c r="E412" s="43"/>
      <c r="F412" s="50"/>
      <c r="G412" s="51"/>
      <c r="H412" s="1"/>
    </row>
    <row r="413" spans="1:8" x14ac:dyDescent="0.25">
      <c r="A413" s="1"/>
      <c r="B413" s="42"/>
      <c r="C413" s="43"/>
      <c r="D413" s="43"/>
      <c r="E413" s="43"/>
      <c r="F413" s="50"/>
      <c r="G413" s="51"/>
      <c r="H413" s="1"/>
    </row>
    <row r="414" spans="1:8" x14ac:dyDescent="0.25">
      <c r="A414" s="1"/>
      <c r="B414" s="42"/>
      <c r="C414" s="43"/>
      <c r="D414" s="43"/>
      <c r="E414" s="43"/>
      <c r="F414" s="50"/>
      <c r="G414" s="51"/>
      <c r="H414" s="1"/>
    </row>
    <row r="415" spans="1:8" x14ac:dyDescent="0.25">
      <c r="A415" s="1"/>
      <c r="B415" s="42"/>
      <c r="C415" s="43"/>
      <c r="D415" s="43"/>
      <c r="E415" s="43"/>
      <c r="F415" s="50"/>
      <c r="G415" s="51"/>
      <c r="H415" s="1"/>
    </row>
    <row r="416" spans="1:8" x14ac:dyDescent="0.25">
      <c r="A416" s="1"/>
      <c r="B416" s="42"/>
      <c r="C416" s="43"/>
      <c r="D416" s="43"/>
      <c r="E416" s="43"/>
      <c r="F416" s="50"/>
      <c r="G416" s="51"/>
      <c r="H416" s="1"/>
    </row>
    <row r="417" spans="1:8" x14ac:dyDescent="0.25">
      <c r="A417" s="1"/>
      <c r="B417" s="42"/>
      <c r="C417" s="43"/>
      <c r="D417" s="43"/>
      <c r="E417" s="43"/>
      <c r="F417" s="50"/>
      <c r="G417" s="51"/>
      <c r="H417" s="1"/>
    </row>
    <row r="418" spans="1:8" x14ac:dyDescent="0.25">
      <c r="A418" s="1"/>
      <c r="B418" s="42"/>
      <c r="C418" s="43"/>
      <c r="D418" s="43"/>
      <c r="E418" s="43"/>
      <c r="F418" s="50"/>
      <c r="G418" s="51"/>
      <c r="H418" s="1"/>
    </row>
    <row r="419" spans="1:8" x14ac:dyDescent="0.25">
      <c r="A419" s="1"/>
      <c r="B419" s="42"/>
      <c r="C419" s="43"/>
      <c r="D419" s="43"/>
      <c r="E419" s="43"/>
      <c r="F419" s="50"/>
      <c r="G419" s="51"/>
      <c r="H419" s="1"/>
    </row>
    <row r="420" spans="1:8" x14ac:dyDescent="0.25">
      <c r="A420" s="1"/>
      <c r="B420" s="42"/>
      <c r="C420" s="43"/>
      <c r="D420" s="43"/>
      <c r="E420" s="43"/>
      <c r="F420" s="50"/>
      <c r="G420" s="51"/>
      <c r="H420" s="1"/>
    </row>
    <row r="421" spans="1:8" x14ac:dyDescent="0.25">
      <c r="A421" s="1"/>
      <c r="B421" s="42"/>
      <c r="C421" s="43"/>
      <c r="D421" s="43"/>
      <c r="E421" s="43"/>
      <c r="F421" s="50"/>
      <c r="G421" s="51"/>
      <c r="H421" s="1"/>
    </row>
    <row r="422" spans="1:8" x14ac:dyDescent="0.25">
      <c r="A422" s="1"/>
      <c r="B422" s="42"/>
      <c r="C422" s="43"/>
      <c r="D422" s="43"/>
      <c r="E422" s="43"/>
      <c r="F422" s="50"/>
      <c r="G422" s="51"/>
      <c r="H422" s="1"/>
    </row>
    <row r="423" spans="1:8" x14ac:dyDescent="0.25">
      <c r="A423" s="1"/>
      <c r="B423" s="42"/>
      <c r="C423" s="43"/>
      <c r="D423" s="43"/>
      <c r="E423" s="43"/>
      <c r="F423" s="50"/>
      <c r="G423" s="51"/>
      <c r="H423" s="1"/>
    </row>
    <row r="424" spans="1:8" x14ac:dyDescent="0.25">
      <c r="A424" s="1"/>
      <c r="B424" s="42"/>
      <c r="C424" s="43"/>
      <c r="D424" s="43"/>
      <c r="E424" s="43"/>
      <c r="F424" s="50"/>
      <c r="G424" s="51"/>
      <c r="H424" s="1"/>
    </row>
    <row r="425" spans="1:8" x14ac:dyDescent="0.25">
      <c r="A425" s="1"/>
      <c r="B425" s="42"/>
      <c r="C425" s="43"/>
      <c r="D425" s="43"/>
      <c r="E425" s="43"/>
      <c r="F425" s="50"/>
      <c r="G425" s="51"/>
      <c r="H425" s="1"/>
    </row>
    <row r="426" spans="1:8" x14ac:dyDescent="0.25">
      <c r="A426" s="1"/>
      <c r="B426" s="42"/>
      <c r="C426" s="43"/>
      <c r="D426" s="43"/>
      <c r="E426" s="43"/>
      <c r="F426" s="50"/>
      <c r="G426" s="51"/>
      <c r="H426" s="1"/>
    </row>
    <row r="427" spans="1:8" x14ac:dyDescent="0.25">
      <c r="A427" s="1"/>
      <c r="B427" s="42"/>
      <c r="C427" s="43"/>
      <c r="D427" s="43"/>
      <c r="E427" s="43"/>
      <c r="F427" s="50"/>
      <c r="G427" s="51"/>
      <c r="H427" s="1"/>
    </row>
    <row r="428" spans="1:8" x14ac:dyDescent="0.25">
      <c r="A428" s="1"/>
      <c r="B428" s="42"/>
      <c r="C428" s="43"/>
      <c r="D428" s="43"/>
      <c r="E428" s="43"/>
      <c r="F428" s="50"/>
      <c r="G428" s="51"/>
      <c r="H428" s="1"/>
    </row>
    <row r="429" spans="1:8" x14ac:dyDescent="0.25">
      <c r="A429" s="1"/>
      <c r="B429" s="42"/>
      <c r="C429" s="43"/>
      <c r="D429" s="43"/>
      <c r="E429" s="43"/>
      <c r="F429" s="50"/>
      <c r="G429" s="51"/>
      <c r="H429" s="1"/>
    </row>
    <row r="430" spans="1:8" x14ac:dyDescent="0.25">
      <c r="A430" s="1"/>
      <c r="B430" s="42"/>
      <c r="C430" s="43"/>
      <c r="D430" s="43"/>
      <c r="E430" s="43"/>
      <c r="F430" s="50"/>
      <c r="G430" s="51"/>
      <c r="H430" s="1"/>
    </row>
    <row r="431" spans="1:8" x14ac:dyDescent="0.25">
      <c r="A431" s="1"/>
      <c r="B431" s="42"/>
      <c r="C431" s="43"/>
      <c r="D431" s="43"/>
      <c r="E431" s="43"/>
      <c r="F431" s="50"/>
      <c r="G431" s="51"/>
      <c r="H431" s="1"/>
    </row>
    <row r="432" spans="1:8" x14ac:dyDescent="0.25">
      <c r="A432" s="1"/>
      <c r="B432" s="42"/>
      <c r="C432" s="43"/>
      <c r="D432" s="43"/>
      <c r="E432" s="43"/>
      <c r="F432" s="50"/>
      <c r="G432" s="51"/>
      <c r="H432" s="1"/>
    </row>
    <row r="433" spans="1:8" x14ac:dyDescent="0.25">
      <c r="A433" s="1"/>
      <c r="B433" s="42"/>
      <c r="C433" s="43"/>
      <c r="D433" s="43"/>
      <c r="E433" s="43"/>
      <c r="F433" s="50"/>
      <c r="G433" s="51"/>
      <c r="H433" s="1"/>
    </row>
    <row r="434" spans="1:8" x14ac:dyDescent="0.25">
      <c r="A434" s="1"/>
      <c r="B434" s="42"/>
      <c r="C434" s="43"/>
      <c r="D434" s="43"/>
      <c r="E434" s="43"/>
      <c r="F434" s="50"/>
      <c r="G434" s="51"/>
      <c r="H434" s="1"/>
    </row>
    <row r="435" spans="1:8" x14ac:dyDescent="0.25">
      <c r="A435" s="1"/>
      <c r="B435" s="42"/>
      <c r="C435" s="43"/>
      <c r="D435" s="43"/>
      <c r="E435" s="43"/>
      <c r="F435" s="50"/>
      <c r="G435" s="51"/>
      <c r="H435" s="1"/>
    </row>
    <row r="436" spans="1:8" x14ac:dyDescent="0.25">
      <c r="A436" s="1"/>
      <c r="B436" s="42"/>
      <c r="C436" s="43"/>
      <c r="D436" s="43"/>
      <c r="E436" s="43"/>
      <c r="F436" s="50"/>
      <c r="G436" s="51"/>
      <c r="H436" s="1"/>
    </row>
    <row r="437" spans="1:8" x14ac:dyDescent="0.25">
      <c r="A437" s="1"/>
      <c r="B437" s="42"/>
      <c r="C437" s="43"/>
      <c r="D437" s="43"/>
      <c r="E437" s="43"/>
      <c r="F437" s="50"/>
      <c r="G437" s="51"/>
      <c r="H437" s="1"/>
    </row>
    <row r="438" spans="1:8" x14ac:dyDescent="0.25">
      <c r="A438" s="1"/>
      <c r="B438" s="42"/>
      <c r="C438" s="43"/>
      <c r="D438" s="43"/>
      <c r="E438" s="43"/>
      <c r="F438" s="50"/>
      <c r="G438" s="51"/>
      <c r="H438" s="1"/>
    </row>
    <row r="439" spans="1:8" x14ac:dyDescent="0.25">
      <c r="A439" s="1"/>
      <c r="B439" s="42"/>
      <c r="C439" s="43"/>
      <c r="D439" s="43"/>
      <c r="E439" s="43"/>
      <c r="F439" s="50"/>
      <c r="G439" s="51"/>
      <c r="H439" s="1"/>
    </row>
    <row r="440" spans="1:8" x14ac:dyDescent="0.25">
      <c r="A440" s="1"/>
      <c r="B440" s="42"/>
      <c r="C440" s="43"/>
      <c r="D440" s="43"/>
      <c r="E440" s="43"/>
      <c r="F440" s="50"/>
      <c r="G440" s="51"/>
      <c r="H440" s="1"/>
    </row>
    <row r="441" spans="1:8" x14ac:dyDescent="0.25">
      <c r="A441" s="1"/>
      <c r="B441" s="42"/>
      <c r="C441" s="43"/>
      <c r="D441" s="43"/>
      <c r="E441" s="43"/>
      <c r="F441" s="50"/>
      <c r="G441" s="51"/>
      <c r="H441" s="1"/>
    </row>
    <row r="442" spans="1:8" x14ac:dyDescent="0.25">
      <c r="A442" s="1"/>
      <c r="B442" s="42"/>
      <c r="C442" s="43"/>
      <c r="D442" s="43"/>
      <c r="E442" s="43"/>
      <c r="F442" s="50"/>
      <c r="G442" s="51"/>
      <c r="H442" s="1"/>
    </row>
    <row r="443" spans="1:8" x14ac:dyDescent="0.25">
      <c r="A443" s="1"/>
      <c r="B443" s="42"/>
      <c r="C443" s="43"/>
      <c r="D443" s="43"/>
      <c r="E443" s="43"/>
      <c r="F443" s="50"/>
      <c r="G443" s="51"/>
      <c r="H443" s="1"/>
    </row>
    <row r="444" spans="1:8" x14ac:dyDescent="0.25">
      <c r="A444" s="1"/>
      <c r="B444" s="42"/>
      <c r="C444" s="49"/>
      <c r="D444" s="52"/>
      <c r="E444" s="49"/>
      <c r="F444" s="50"/>
      <c r="G444" s="51"/>
      <c r="H444" s="1"/>
    </row>
    <row r="445" spans="1:8" x14ac:dyDescent="0.25">
      <c r="A445" s="1"/>
      <c r="B445" s="42"/>
      <c r="C445" s="49"/>
      <c r="D445" s="52"/>
      <c r="E445" s="49"/>
      <c r="F445" s="50"/>
      <c r="G445" s="51"/>
      <c r="H445" s="1"/>
    </row>
    <row r="446" spans="1:8" x14ac:dyDescent="0.25">
      <c r="A446" s="1"/>
      <c r="B446" s="42"/>
      <c r="C446" s="49"/>
      <c r="D446" s="52"/>
      <c r="E446" s="49"/>
      <c r="F446" s="50"/>
      <c r="G446" s="51"/>
      <c r="H446" s="1"/>
    </row>
    <row r="447" spans="1:8" x14ac:dyDescent="0.25">
      <c r="A447" s="1"/>
      <c r="B447" s="42"/>
      <c r="C447" s="49"/>
      <c r="D447" s="52"/>
      <c r="E447" s="49"/>
      <c r="F447" s="50"/>
      <c r="G447" s="51"/>
      <c r="H447" s="1"/>
    </row>
    <row r="448" spans="1:8" x14ac:dyDescent="0.25">
      <c r="A448" s="1"/>
      <c r="B448" s="42"/>
      <c r="C448" s="49"/>
      <c r="D448" s="52"/>
      <c r="E448" s="49"/>
      <c r="F448" s="50"/>
      <c r="G448" s="51"/>
      <c r="H448" s="1"/>
    </row>
    <row r="449" spans="1:8" x14ac:dyDescent="0.25">
      <c r="A449" s="1"/>
      <c r="B449" s="42"/>
      <c r="C449" s="49"/>
      <c r="D449" s="52"/>
      <c r="E449" s="49"/>
      <c r="F449" s="50"/>
      <c r="G449" s="51"/>
      <c r="H449" s="1"/>
    </row>
    <row r="450" spans="1:8" x14ac:dyDescent="0.25">
      <c r="A450" s="1"/>
      <c r="B450" s="42"/>
      <c r="C450" s="49"/>
      <c r="D450" s="52"/>
      <c r="E450" s="49"/>
      <c r="F450" s="50"/>
      <c r="G450" s="51"/>
      <c r="H450" s="1"/>
    </row>
    <row r="451" spans="1:8" x14ac:dyDescent="0.25">
      <c r="A451" s="1"/>
      <c r="B451" s="42"/>
      <c r="C451" s="49"/>
      <c r="D451" s="52"/>
      <c r="E451" s="49"/>
      <c r="F451" s="50"/>
      <c r="G451" s="51"/>
      <c r="H451" s="1"/>
    </row>
    <row r="452" spans="1:8" x14ac:dyDescent="0.25">
      <c r="A452" s="1"/>
      <c r="B452" s="42"/>
      <c r="C452" s="49"/>
      <c r="D452" s="52"/>
      <c r="E452" s="49"/>
      <c r="F452" s="50"/>
      <c r="G452" s="51"/>
      <c r="H452" s="1"/>
    </row>
    <row r="453" spans="1:8" x14ac:dyDescent="0.25">
      <c r="A453" s="1"/>
      <c r="B453" s="42"/>
      <c r="C453" s="49"/>
      <c r="D453" s="52"/>
      <c r="E453" s="49"/>
      <c r="F453" s="50"/>
      <c r="G453" s="51"/>
      <c r="H453" s="1"/>
    </row>
    <row r="454" spans="1:8" x14ac:dyDescent="0.25">
      <c r="A454" s="1"/>
      <c r="B454" s="42"/>
      <c r="C454" s="49"/>
      <c r="D454" s="52"/>
      <c r="E454" s="49"/>
      <c r="F454" s="50"/>
      <c r="G454" s="51"/>
      <c r="H454" s="1"/>
    </row>
    <row r="455" spans="1:8" x14ac:dyDescent="0.25">
      <c r="A455" s="1"/>
      <c r="B455" s="42"/>
      <c r="C455" s="49"/>
      <c r="D455" s="52"/>
      <c r="E455" s="49"/>
      <c r="F455" s="50"/>
      <c r="G455" s="51"/>
      <c r="H455" s="1"/>
    </row>
    <row r="456" spans="1:8" x14ac:dyDescent="0.25">
      <c r="A456" s="1"/>
      <c r="B456" s="42"/>
      <c r="C456" s="49"/>
      <c r="D456" s="52"/>
      <c r="E456" s="49"/>
      <c r="F456" s="50"/>
      <c r="G456" s="51"/>
      <c r="H456" s="1"/>
    </row>
    <row r="457" spans="1:8" x14ac:dyDescent="0.25">
      <c r="A457" s="1"/>
      <c r="B457" s="42"/>
      <c r="C457" s="49"/>
      <c r="D457" s="52"/>
      <c r="E457" s="49"/>
      <c r="F457" s="50"/>
      <c r="G457" s="51"/>
      <c r="H457" s="1"/>
    </row>
    <row r="458" spans="1:8" x14ac:dyDescent="0.25">
      <c r="A458" s="1"/>
      <c r="B458" s="42"/>
      <c r="C458" s="49"/>
      <c r="D458" s="52"/>
      <c r="E458" s="49"/>
      <c r="F458" s="50"/>
      <c r="G458" s="51"/>
      <c r="H458" s="1"/>
    </row>
    <row r="459" spans="1:8" x14ac:dyDescent="0.25">
      <c r="A459" s="1"/>
      <c r="B459" s="42"/>
      <c r="C459" s="49"/>
      <c r="D459" s="52"/>
      <c r="E459" s="49"/>
      <c r="F459" s="50"/>
      <c r="G459" s="51"/>
      <c r="H459" s="1"/>
    </row>
    <row r="460" spans="1:8" x14ac:dyDescent="0.25">
      <c r="A460" s="1"/>
      <c r="B460" s="42"/>
      <c r="C460" s="49"/>
      <c r="D460" s="52"/>
      <c r="E460" s="49"/>
      <c r="F460" s="50"/>
      <c r="G460" s="51"/>
      <c r="H460" s="1"/>
    </row>
    <row r="461" spans="1:8" x14ac:dyDescent="0.25">
      <c r="A461" s="1"/>
      <c r="B461" s="42"/>
      <c r="C461" s="49"/>
      <c r="D461" s="52"/>
      <c r="E461" s="49"/>
      <c r="F461" s="50"/>
      <c r="G461" s="51"/>
      <c r="H461" s="1"/>
    </row>
    <row r="462" spans="1:8" x14ac:dyDescent="0.25">
      <c r="A462" s="1"/>
      <c r="B462" s="42"/>
      <c r="C462" s="49"/>
      <c r="D462" s="52"/>
      <c r="E462" s="49"/>
      <c r="F462" s="50"/>
      <c r="G462" s="51"/>
      <c r="H462" s="1"/>
    </row>
    <row r="463" spans="1:8" x14ac:dyDescent="0.25">
      <c r="A463" s="1"/>
      <c r="B463" s="42"/>
      <c r="C463" s="49"/>
      <c r="D463" s="52"/>
      <c r="E463" s="49"/>
      <c r="F463" s="50"/>
      <c r="G463" s="51"/>
      <c r="H463" s="1"/>
    </row>
    <row r="464" spans="1:8" x14ac:dyDescent="0.25">
      <c r="A464" s="1"/>
      <c r="B464" s="42"/>
      <c r="C464" s="49"/>
      <c r="D464" s="52"/>
      <c r="E464" s="49"/>
      <c r="F464" s="50"/>
      <c r="G464" s="51"/>
      <c r="H464" s="1"/>
    </row>
    <row r="465" spans="1:8" x14ac:dyDescent="0.25">
      <c r="A465" s="1"/>
      <c r="B465" s="42"/>
      <c r="C465" s="49"/>
      <c r="D465" s="52"/>
      <c r="E465" s="49"/>
      <c r="F465" s="50"/>
      <c r="G465" s="51"/>
      <c r="H465" s="1"/>
    </row>
    <row r="466" spans="1:8" x14ac:dyDescent="0.25">
      <c r="A466" s="1"/>
      <c r="B466" s="42"/>
      <c r="C466" s="49"/>
      <c r="D466" s="52"/>
      <c r="E466" s="49"/>
      <c r="F466" s="50"/>
      <c r="G466" s="51"/>
      <c r="H466" s="1"/>
    </row>
    <row r="467" spans="1:8" x14ac:dyDescent="0.25">
      <c r="A467" s="1"/>
      <c r="B467" s="42"/>
      <c r="C467" s="49"/>
      <c r="D467" s="52"/>
      <c r="E467" s="49"/>
      <c r="F467" s="50"/>
      <c r="G467" s="51"/>
      <c r="H467" s="1"/>
    </row>
    <row r="468" spans="1:8" x14ac:dyDescent="0.25">
      <c r="A468" s="1"/>
      <c r="B468" s="42"/>
      <c r="C468" s="49"/>
      <c r="D468" s="52"/>
      <c r="E468" s="49"/>
      <c r="F468" s="50"/>
      <c r="G468" s="51"/>
      <c r="H468" s="1"/>
    </row>
    <row r="469" spans="1:8" x14ac:dyDescent="0.25">
      <c r="A469" s="1"/>
      <c r="B469" s="42"/>
      <c r="C469" s="49"/>
      <c r="D469" s="52"/>
      <c r="E469" s="49"/>
      <c r="F469" s="50"/>
      <c r="G469" s="51"/>
      <c r="H469" s="1"/>
    </row>
    <row r="470" spans="1:8" x14ac:dyDescent="0.25">
      <c r="A470" s="1"/>
      <c r="B470" s="42"/>
      <c r="C470" s="49"/>
      <c r="D470" s="52"/>
      <c r="E470" s="49"/>
      <c r="F470" s="50"/>
      <c r="G470" s="51"/>
      <c r="H470" s="1"/>
    </row>
    <row r="471" spans="1:8" x14ac:dyDescent="0.25">
      <c r="A471" s="1"/>
      <c r="B471" s="42"/>
      <c r="C471" s="49"/>
      <c r="D471" s="52"/>
      <c r="E471" s="49"/>
      <c r="F471" s="50"/>
      <c r="G471" s="51"/>
      <c r="H471" s="1"/>
    </row>
    <row r="472" spans="1:8" x14ac:dyDescent="0.25">
      <c r="A472" s="1"/>
      <c r="B472" s="42"/>
      <c r="C472" s="49"/>
      <c r="D472" s="52"/>
      <c r="E472" s="49"/>
      <c r="F472" s="50"/>
      <c r="G472" s="51"/>
      <c r="H472" s="1"/>
    </row>
    <row r="473" spans="1:8" x14ac:dyDescent="0.25">
      <c r="A473" s="1"/>
      <c r="B473" s="42"/>
      <c r="C473" s="49"/>
      <c r="D473" s="52"/>
      <c r="E473" s="49"/>
      <c r="F473" s="50"/>
      <c r="G473" s="51"/>
      <c r="H473" s="1"/>
    </row>
    <row r="474" spans="1:8" x14ac:dyDescent="0.25">
      <c r="A474" s="1"/>
      <c r="B474" s="42"/>
      <c r="C474" s="49"/>
      <c r="D474" s="52"/>
      <c r="E474" s="49"/>
      <c r="F474" s="50"/>
      <c r="G474" s="51"/>
      <c r="H474" s="1"/>
    </row>
    <row r="475" spans="1:8" x14ac:dyDescent="0.25">
      <c r="A475" s="1"/>
      <c r="B475" s="42"/>
      <c r="C475" s="49"/>
      <c r="D475" s="52"/>
      <c r="E475" s="49"/>
      <c r="F475" s="50"/>
      <c r="G475" s="51"/>
      <c r="H475" s="1"/>
    </row>
    <row r="476" spans="1:8" x14ac:dyDescent="0.25">
      <c r="A476" s="1"/>
      <c r="B476" s="42"/>
      <c r="C476" s="49"/>
      <c r="D476" s="52"/>
      <c r="E476" s="49"/>
      <c r="F476" s="50"/>
      <c r="G476" s="51"/>
      <c r="H476" s="1"/>
    </row>
    <row r="477" spans="1:8" x14ac:dyDescent="0.25">
      <c r="A477" s="1"/>
      <c r="B477" s="42"/>
      <c r="C477" s="49"/>
      <c r="D477" s="52"/>
      <c r="E477" s="49"/>
      <c r="F477" s="50"/>
      <c r="G477" s="51"/>
      <c r="H477" s="1"/>
    </row>
  </sheetData>
  <dataValidations count="1">
    <dataValidation type="list" allowBlank="1" showInputMessage="1" showErrorMessage="1" sqref="G10 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G65546 JC65546 SY65546 ACU65546 AMQ65546 AWM65546 BGI65546 BQE65546 CAA65546 CJW65546 CTS65546 DDO65546 DNK65546 DXG65546 EHC65546 EQY65546 FAU65546 FKQ65546 FUM65546 GEI65546 GOE65546 GYA65546 HHW65546 HRS65546 IBO65546 ILK65546 IVG65546 JFC65546 JOY65546 JYU65546 KIQ65546 KSM65546 LCI65546 LME65546 LWA65546 MFW65546 MPS65546 MZO65546 NJK65546 NTG65546 ODC65546 OMY65546 OWU65546 PGQ65546 PQM65546 QAI65546 QKE65546 QUA65546 RDW65546 RNS65546 RXO65546 SHK65546 SRG65546 TBC65546 TKY65546 TUU65546 UEQ65546 UOM65546 UYI65546 VIE65546 VSA65546 WBW65546 WLS65546 WVO65546 G131082 JC131082 SY131082 ACU131082 AMQ131082 AWM131082 BGI131082 BQE131082 CAA131082 CJW131082 CTS131082 DDO131082 DNK131082 DXG131082 EHC131082 EQY131082 FAU131082 FKQ131082 FUM131082 GEI131082 GOE131082 GYA131082 HHW131082 HRS131082 IBO131082 ILK131082 IVG131082 JFC131082 JOY131082 JYU131082 KIQ131082 KSM131082 LCI131082 LME131082 LWA131082 MFW131082 MPS131082 MZO131082 NJK131082 NTG131082 ODC131082 OMY131082 OWU131082 PGQ131082 PQM131082 QAI131082 QKE131082 QUA131082 RDW131082 RNS131082 RXO131082 SHK131082 SRG131082 TBC131082 TKY131082 TUU131082 UEQ131082 UOM131082 UYI131082 VIE131082 VSA131082 WBW131082 WLS131082 WVO131082 G196618 JC196618 SY196618 ACU196618 AMQ196618 AWM196618 BGI196618 BQE196618 CAA196618 CJW196618 CTS196618 DDO196618 DNK196618 DXG196618 EHC196618 EQY196618 FAU196618 FKQ196618 FUM196618 GEI196618 GOE196618 GYA196618 HHW196618 HRS196618 IBO196618 ILK196618 IVG196618 JFC196618 JOY196618 JYU196618 KIQ196618 KSM196618 LCI196618 LME196618 LWA196618 MFW196618 MPS196618 MZO196618 NJK196618 NTG196618 ODC196618 OMY196618 OWU196618 PGQ196618 PQM196618 QAI196618 QKE196618 QUA196618 RDW196618 RNS196618 RXO196618 SHK196618 SRG196618 TBC196618 TKY196618 TUU196618 UEQ196618 UOM196618 UYI196618 VIE196618 VSA196618 WBW196618 WLS196618 WVO196618 G262154 JC262154 SY262154 ACU262154 AMQ262154 AWM262154 BGI262154 BQE262154 CAA262154 CJW262154 CTS262154 DDO262154 DNK262154 DXG262154 EHC262154 EQY262154 FAU262154 FKQ262154 FUM262154 GEI262154 GOE262154 GYA262154 HHW262154 HRS262154 IBO262154 ILK262154 IVG262154 JFC262154 JOY262154 JYU262154 KIQ262154 KSM262154 LCI262154 LME262154 LWA262154 MFW262154 MPS262154 MZO262154 NJK262154 NTG262154 ODC262154 OMY262154 OWU262154 PGQ262154 PQM262154 QAI262154 QKE262154 QUA262154 RDW262154 RNS262154 RXO262154 SHK262154 SRG262154 TBC262154 TKY262154 TUU262154 UEQ262154 UOM262154 UYI262154 VIE262154 VSA262154 WBW262154 WLS262154 WVO262154 G327690 JC327690 SY327690 ACU327690 AMQ327690 AWM327690 BGI327690 BQE327690 CAA327690 CJW327690 CTS327690 DDO327690 DNK327690 DXG327690 EHC327690 EQY327690 FAU327690 FKQ327690 FUM327690 GEI327690 GOE327690 GYA327690 HHW327690 HRS327690 IBO327690 ILK327690 IVG327690 JFC327690 JOY327690 JYU327690 KIQ327690 KSM327690 LCI327690 LME327690 LWA327690 MFW327690 MPS327690 MZO327690 NJK327690 NTG327690 ODC327690 OMY327690 OWU327690 PGQ327690 PQM327690 QAI327690 QKE327690 QUA327690 RDW327690 RNS327690 RXO327690 SHK327690 SRG327690 TBC327690 TKY327690 TUU327690 UEQ327690 UOM327690 UYI327690 VIE327690 VSA327690 WBW327690 WLS327690 WVO327690 G393226 JC393226 SY393226 ACU393226 AMQ393226 AWM393226 BGI393226 BQE393226 CAA393226 CJW393226 CTS393226 DDO393226 DNK393226 DXG393226 EHC393226 EQY393226 FAU393226 FKQ393226 FUM393226 GEI393226 GOE393226 GYA393226 HHW393226 HRS393226 IBO393226 ILK393226 IVG393226 JFC393226 JOY393226 JYU393226 KIQ393226 KSM393226 LCI393226 LME393226 LWA393226 MFW393226 MPS393226 MZO393226 NJK393226 NTG393226 ODC393226 OMY393226 OWU393226 PGQ393226 PQM393226 QAI393226 QKE393226 QUA393226 RDW393226 RNS393226 RXO393226 SHK393226 SRG393226 TBC393226 TKY393226 TUU393226 UEQ393226 UOM393226 UYI393226 VIE393226 VSA393226 WBW393226 WLS393226 WVO393226 G458762 JC458762 SY458762 ACU458762 AMQ458762 AWM458762 BGI458762 BQE458762 CAA458762 CJW458762 CTS458762 DDO458762 DNK458762 DXG458762 EHC458762 EQY458762 FAU458762 FKQ458762 FUM458762 GEI458762 GOE458762 GYA458762 HHW458762 HRS458762 IBO458762 ILK458762 IVG458762 JFC458762 JOY458762 JYU458762 KIQ458762 KSM458762 LCI458762 LME458762 LWA458762 MFW458762 MPS458762 MZO458762 NJK458762 NTG458762 ODC458762 OMY458762 OWU458762 PGQ458762 PQM458762 QAI458762 QKE458762 QUA458762 RDW458762 RNS458762 RXO458762 SHK458762 SRG458762 TBC458762 TKY458762 TUU458762 UEQ458762 UOM458762 UYI458762 VIE458762 VSA458762 WBW458762 WLS458762 WVO458762 G524298 JC524298 SY524298 ACU524298 AMQ524298 AWM524298 BGI524298 BQE524298 CAA524298 CJW524298 CTS524298 DDO524298 DNK524298 DXG524298 EHC524298 EQY524298 FAU524298 FKQ524298 FUM524298 GEI524298 GOE524298 GYA524298 HHW524298 HRS524298 IBO524298 ILK524298 IVG524298 JFC524298 JOY524298 JYU524298 KIQ524298 KSM524298 LCI524298 LME524298 LWA524298 MFW524298 MPS524298 MZO524298 NJK524298 NTG524298 ODC524298 OMY524298 OWU524298 PGQ524298 PQM524298 QAI524298 QKE524298 QUA524298 RDW524298 RNS524298 RXO524298 SHK524298 SRG524298 TBC524298 TKY524298 TUU524298 UEQ524298 UOM524298 UYI524298 VIE524298 VSA524298 WBW524298 WLS524298 WVO524298 G589834 JC589834 SY589834 ACU589834 AMQ589834 AWM589834 BGI589834 BQE589834 CAA589834 CJW589834 CTS589834 DDO589834 DNK589834 DXG589834 EHC589834 EQY589834 FAU589834 FKQ589834 FUM589834 GEI589834 GOE589834 GYA589834 HHW589834 HRS589834 IBO589834 ILK589834 IVG589834 JFC589834 JOY589834 JYU589834 KIQ589834 KSM589834 LCI589834 LME589834 LWA589834 MFW589834 MPS589834 MZO589834 NJK589834 NTG589834 ODC589834 OMY589834 OWU589834 PGQ589834 PQM589834 QAI589834 QKE589834 QUA589834 RDW589834 RNS589834 RXO589834 SHK589834 SRG589834 TBC589834 TKY589834 TUU589834 UEQ589834 UOM589834 UYI589834 VIE589834 VSA589834 WBW589834 WLS589834 WVO589834 G655370 JC655370 SY655370 ACU655370 AMQ655370 AWM655370 BGI655370 BQE655370 CAA655370 CJW655370 CTS655370 DDO655370 DNK655370 DXG655370 EHC655370 EQY655370 FAU655370 FKQ655370 FUM655370 GEI655370 GOE655370 GYA655370 HHW655370 HRS655370 IBO655370 ILK655370 IVG655370 JFC655370 JOY655370 JYU655370 KIQ655370 KSM655370 LCI655370 LME655370 LWA655370 MFW655370 MPS655370 MZO655370 NJK655370 NTG655370 ODC655370 OMY655370 OWU655370 PGQ655370 PQM655370 QAI655370 QKE655370 QUA655370 RDW655370 RNS655370 RXO655370 SHK655370 SRG655370 TBC655370 TKY655370 TUU655370 UEQ655370 UOM655370 UYI655370 VIE655370 VSA655370 WBW655370 WLS655370 WVO655370 G720906 JC720906 SY720906 ACU720906 AMQ720906 AWM720906 BGI720906 BQE720906 CAA720906 CJW720906 CTS720906 DDO720906 DNK720906 DXG720906 EHC720906 EQY720906 FAU720906 FKQ720906 FUM720906 GEI720906 GOE720906 GYA720906 HHW720906 HRS720906 IBO720906 ILK720906 IVG720906 JFC720906 JOY720906 JYU720906 KIQ720906 KSM720906 LCI720906 LME720906 LWA720906 MFW720906 MPS720906 MZO720906 NJK720906 NTG720906 ODC720906 OMY720906 OWU720906 PGQ720906 PQM720906 QAI720906 QKE720906 QUA720906 RDW720906 RNS720906 RXO720906 SHK720906 SRG720906 TBC720906 TKY720906 TUU720906 UEQ720906 UOM720906 UYI720906 VIE720906 VSA720906 WBW720906 WLS720906 WVO720906 G786442 JC786442 SY786442 ACU786442 AMQ786442 AWM786442 BGI786442 BQE786442 CAA786442 CJW786442 CTS786442 DDO786442 DNK786442 DXG786442 EHC786442 EQY786442 FAU786442 FKQ786442 FUM786442 GEI786442 GOE786442 GYA786442 HHW786442 HRS786442 IBO786442 ILK786442 IVG786442 JFC786442 JOY786442 JYU786442 KIQ786442 KSM786442 LCI786442 LME786442 LWA786442 MFW786442 MPS786442 MZO786442 NJK786442 NTG786442 ODC786442 OMY786442 OWU786442 PGQ786442 PQM786442 QAI786442 QKE786442 QUA786442 RDW786442 RNS786442 RXO786442 SHK786442 SRG786442 TBC786442 TKY786442 TUU786442 UEQ786442 UOM786442 UYI786442 VIE786442 VSA786442 WBW786442 WLS786442 WVO786442 G851978 JC851978 SY851978 ACU851978 AMQ851978 AWM851978 BGI851978 BQE851978 CAA851978 CJW851978 CTS851978 DDO851978 DNK851978 DXG851978 EHC851978 EQY851978 FAU851978 FKQ851978 FUM851978 GEI851978 GOE851978 GYA851978 HHW851978 HRS851978 IBO851978 ILK851978 IVG851978 JFC851978 JOY851978 JYU851978 KIQ851978 KSM851978 LCI851978 LME851978 LWA851978 MFW851978 MPS851978 MZO851978 NJK851978 NTG851978 ODC851978 OMY851978 OWU851978 PGQ851978 PQM851978 QAI851978 QKE851978 QUA851978 RDW851978 RNS851978 RXO851978 SHK851978 SRG851978 TBC851978 TKY851978 TUU851978 UEQ851978 UOM851978 UYI851978 VIE851978 VSA851978 WBW851978 WLS851978 WVO851978 G917514 JC917514 SY917514 ACU917514 AMQ917514 AWM917514 BGI917514 BQE917514 CAA917514 CJW917514 CTS917514 DDO917514 DNK917514 DXG917514 EHC917514 EQY917514 FAU917514 FKQ917514 FUM917514 GEI917514 GOE917514 GYA917514 HHW917514 HRS917514 IBO917514 ILK917514 IVG917514 JFC917514 JOY917514 JYU917514 KIQ917514 KSM917514 LCI917514 LME917514 LWA917514 MFW917514 MPS917514 MZO917514 NJK917514 NTG917514 ODC917514 OMY917514 OWU917514 PGQ917514 PQM917514 QAI917514 QKE917514 QUA917514 RDW917514 RNS917514 RXO917514 SHK917514 SRG917514 TBC917514 TKY917514 TUU917514 UEQ917514 UOM917514 UYI917514 VIE917514 VSA917514 WBW917514 WLS917514 WVO917514 G983050 JC983050 SY983050 ACU983050 AMQ983050 AWM983050 BGI983050 BQE983050 CAA983050 CJW983050 CTS983050 DDO983050 DNK983050 DXG983050 EHC983050 EQY983050 FAU983050 FKQ983050 FUM983050 GEI983050 GOE983050 GYA983050 HHW983050 HRS983050 IBO983050 ILK983050 IVG983050 JFC983050 JOY983050 JYU983050 KIQ983050 KSM983050 LCI983050 LME983050 LWA983050 MFW983050 MPS983050 MZO983050 NJK983050 NTG983050 ODC983050 OMY983050 OWU983050 PGQ983050 PQM983050 QAI983050 QKE983050 QUA983050 RDW983050 RNS983050 RXO983050 SHK983050 SRG983050 TBC983050 TKY983050 TUU983050 UEQ983050 UOM983050 UYI983050 VIE983050 VSA983050 WBW983050 WLS983050 WVO983050">
      <formula1>"TRUE, FALSE"</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77"/>
  <sheetViews>
    <sheetView workbookViewId="0">
      <selection activeCell="B2" sqref="B2"/>
    </sheetView>
  </sheetViews>
  <sheetFormatPr defaultRowHeight="15" x14ac:dyDescent="0.25"/>
  <cols>
    <col min="2" max="2" width="15.42578125" customWidth="1"/>
    <col min="3" max="6" width="16.85546875" style="46" customWidth="1"/>
    <col min="7" max="7" width="13.140625" style="46" customWidth="1"/>
    <col min="8" max="8" width="14" customWidth="1"/>
    <col min="258" max="258" width="15.42578125" customWidth="1"/>
    <col min="259" max="262" width="16.85546875" customWidth="1"/>
    <col min="263" max="263" width="13.140625" customWidth="1"/>
    <col min="264" max="264" width="14" customWidth="1"/>
    <col min="514" max="514" width="15.42578125" customWidth="1"/>
    <col min="515" max="518" width="16.85546875" customWidth="1"/>
    <col min="519" max="519" width="13.140625" customWidth="1"/>
    <col min="520" max="520" width="14" customWidth="1"/>
    <col min="770" max="770" width="15.42578125" customWidth="1"/>
    <col min="771" max="774" width="16.85546875" customWidth="1"/>
    <col min="775" max="775" width="13.140625" customWidth="1"/>
    <col min="776" max="776" width="14" customWidth="1"/>
    <col min="1026" max="1026" width="15.42578125" customWidth="1"/>
    <col min="1027" max="1030" width="16.85546875" customWidth="1"/>
    <col min="1031" max="1031" width="13.140625" customWidth="1"/>
    <col min="1032" max="1032" width="14" customWidth="1"/>
    <col min="1282" max="1282" width="15.42578125" customWidth="1"/>
    <col min="1283" max="1286" width="16.85546875" customWidth="1"/>
    <col min="1287" max="1287" width="13.140625" customWidth="1"/>
    <col min="1288" max="1288" width="14" customWidth="1"/>
    <col min="1538" max="1538" width="15.42578125" customWidth="1"/>
    <col min="1539" max="1542" width="16.85546875" customWidth="1"/>
    <col min="1543" max="1543" width="13.140625" customWidth="1"/>
    <col min="1544" max="1544" width="14" customWidth="1"/>
    <col min="1794" max="1794" width="15.42578125" customWidth="1"/>
    <col min="1795" max="1798" width="16.85546875" customWidth="1"/>
    <col min="1799" max="1799" width="13.140625" customWidth="1"/>
    <col min="1800" max="1800" width="14" customWidth="1"/>
    <col min="2050" max="2050" width="15.42578125" customWidth="1"/>
    <col min="2051" max="2054" width="16.85546875" customWidth="1"/>
    <col min="2055" max="2055" width="13.140625" customWidth="1"/>
    <col min="2056" max="2056" width="14" customWidth="1"/>
    <col min="2306" max="2306" width="15.42578125" customWidth="1"/>
    <col min="2307" max="2310" width="16.85546875" customWidth="1"/>
    <col min="2311" max="2311" width="13.140625" customWidth="1"/>
    <col min="2312" max="2312" width="14" customWidth="1"/>
    <col min="2562" max="2562" width="15.42578125" customWidth="1"/>
    <col min="2563" max="2566" width="16.85546875" customWidth="1"/>
    <col min="2567" max="2567" width="13.140625" customWidth="1"/>
    <col min="2568" max="2568" width="14" customWidth="1"/>
    <col min="2818" max="2818" width="15.42578125" customWidth="1"/>
    <col min="2819" max="2822" width="16.85546875" customWidth="1"/>
    <col min="2823" max="2823" width="13.140625" customWidth="1"/>
    <col min="2824" max="2824" width="14" customWidth="1"/>
    <col min="3074" max="3074" width="15.42578125" customWidth="1"/>
    <col min="3075" max="3078" width="16.85546875" customWidth="1"/>
    <col min="3079" max="3079" width="13.140625" customWidth="1"/>
    <col min="3080" max="3080" width="14" customWidth="1"/>
    <col min="3330" max="3330" width="15.42578125" customWidth="1"/>
    <col min="3331" max="3334" width="16.85546875" customWidth="1"/>
    <col min="3335" max="3335" width="13.140625" customWidth="1"/>
    <col min="3336" max="3336" width="14" customWidth="1"/>
    <col min="3586" max="3586" width="15.42578125" customWidth="1"/>
    <col min="3587" max="3590" width="16.85546875" customWidth="1"/>
    <col min="3591" max="3591" width="13.140625" customWidth="1"/>
    <col min="3592" max="3592" width="14" customWidth="1"/>
    <col min="3842" max="3842" width="15.42578125" customWidth="1"/>
    <col min="3843" max="3846" width="16.85546875" customWidth="1"/>
    <col min="3847" max="3847" width="13.140625" customWidth="1"/>
    <col min="3848" max="3848" width="14" customWidth="1"/>
    <col min="4098" max="4098" width="15.42578125" customWidth="1"/>
    <col min="4099" max="4102" width="16.85546875" customWidth="1"/>
    <col min="4103" max="4103" width="13.140625" customWidth="1"/>
    <col min="4104" max="4104" width="14" customWidth="1"/>
    <col min="4354" max="4354" width="15.42578125" customWidth="1"/>
    <col min="4355" max="4358" width="16.85546875" customWidth="1"/>
    <col min="4359" max="4359" width="13.140625" customWidth="1"/>
    <col min="4360" max="4360" width="14" customWidth="1"/>
    <col min="4610" max="4610" width="15.42578125" customWidth="1"/>
    <col min="4611" max="4614" width="16.85546875" customWidth="1"/>
    <col min="4615" max="4615" width="13.140625" customWidth="1"/>
    <col min="4616" max="4616" width="14" customWidth="1"/>
    <col min="4866" max="4866" width="15.42578125" customWidth="1"/>
    <col min="4867" max="4870" width="16.85546875" customWidth="1"/>
    <col min="4871" max="4871" width="13.140625" customWidth="1"/>
    <col min="4872" max="4872" width="14" customWidth="1"/>
    <col min="5122" max="5122" width="15.42578125" customWidth="1"/>
    <col min="5123" max="5126" width="16.85546875" customWidth="1"/>
    <col min="5127" max="5127" width="13.140625" customWidth="1"/>
    <col min="5128" max="5128" width="14" customWidth="1"/>
    <col min="5378" max="5378" width="15.42578125" customWidth="1"/>
    <col min="5379" max="5382" width="16.85546875" customWidth="1"/>
    <col min="5383" max="5383" width="13.140625" customWidth="1"/>
    <col min="5384" max="5384" width="14" customWidth="1"/>
    <col min="5634" max="5634" width="15.42578125" customWidth="1"/>
    <col min="5635" max="5638" width="16.85546875" customWidth="1"/>
    <col min="5639" max="5639" width="13.140625" customWidth="1"/>
    <col min="5640" max="5640" width="14" customWidth="1"/>
    <col min="5890" max="5890" width="15.42578125" customWidth="1"/>
    <col min="5891" max="5894" width="16.85546875" customWidth="1"/>
    <col min="5895" max="5895" width="13.140625" customWidth="1"/>
    <col min="5896" max="5896" width="14" customWidth="1"/>
    <col min="6146" max="6146" width="15.42578125" customWidth="1"/>
    <col min="6147" max="6150" width="16.85546875" customWidth="1"/>
    <col min="6151" max="6151" width="13.140625" customWidth="1"/>
    <col min="6152" max="6152" width="14" customWidth="1"/>
    <col min="6402" max="6402" width="15.42578125" customWidth="1"/>
    <col min="6403" max="6406" width="16.85546875" customWidth="1"/>
    <col min="6407" max="6407" width="13.140625" customWidth="1"/>
    <col min="6408" max="6408" width="14" customWidth="1"/>
    <col min="6658" max="6658" width="15.42578125" customWidth="1"/>
    <col min="6659" max="6662" width="16.85546875" customWidth="1"/>
    <col min="6663" max="6663" width="13.140625" customWidth="1"/>
    <col min="6664" max="6664" width="14" customWidth="1"/>
    <col min="6914" max="6914" width="15.42578125" customWidth="1"/>
    <col min="6915" max="6918" width="16.85546875" customWidth="1"/>
    <col min="6919" max="6919" width="13.140625" customWidth="1"/>
    <col min="6920" max="6920" width="14" customWidth="1"/>
    <col min="7170" max="7170" width="15.42578125" customWidth="1"/>
    <col min="7171" max="7174" width="16.85546875" customWidth="1"/>
    <col min="7175" max="7175" width="13.140625" customWidth="1"/>
    <col min="7176" max="7176" width="14" customWidth="1"/>
    <col min="7426" max="7426" width="15.42578125" customWidth="1"/>
    <col min="7427" max="7430" width="16.85546875" customWidth="1"/>
    <col min="7431" max="7431" width="13.140625" customWidth="1"/>
    <col min="7432" max="7432" width="14" customWidth="1"/>
    <col min="7682" max="7682" width="15.42578125" customWidth="1"/>
    <col min="7683" max="7686" width="16.85546875" customWidth="1"/>
    <col min="7687" max="7687" width="13.140625" customWidth="1"/>
    <col min="7688" max="7688" width="14" customWidth="1"/>
    <col min="7938" max="7938" width="15.42578125" customWidth="1"/>
    <col min="7939" max="7942" width="16.85546875" customWidth="1"/>
    <col min="7943" max="7943" width="13.140625" customWidth="1"/>
    <col min="7944" max="7944" width="14" customWidth="1"/>
    <col min="8194" max="8194" width="15.42578125" customWidth="1"/>
    <col min="8195" max="8198" width="16.85546875" customWidth="1"/>
    <col min="8199" max="8199" width="13.140625" customWidth="1"/>
    <col min="8200" max="8200" width="14" customWidth="1"/>
    <col min="8450" max="8450" width="15.42578125" customWidth="1"/>
    <col min="8451" max="8454" width="16.85546875" customWidth="1"/>
    <col min="8455" max="8455" width="13.140625" customWidth="1"/>
    <col min="8456" max="8456" width="14" customWidth="1"/>
    <col min="8706" max="8706" width="15.42578125" customWidth="1"/>
    <col min="8707" max="8710" width="16.85546875" customWidth="1"/>
    <col min="8711" max="8711" width="13.140625" customWidth="1"/>
    <col min="8712" max="8712" width="14" customWidth="1"/>
    <col min="8962" max="8962" width="15.42578125" customWidth="1"/>
    <col min="8963" max="8966" width="16.85546875" customWidth="1"/>
    <col min="8967" max="8967" width="13.140625" customWidth="1"/>
    <col min="8968" max="8968" width="14" customWidth="1"/>
    <col min="9218" max="9218" width="15.42578125" customWidth="1"/>
    <col min="9219" max="9222" width="16.85546875" customWidth="1"/>
    <col min="9223" max="9223" width="13.140625" customWidth="1"/>
    <col min="9224" max="9224" width="14" customWidth="1"/>
    <col min="9474" max="9474" width="15.42578125" customWidth="1"/>
    <col min="9475" max="9478" width="16.85546875" customWidth="1"/>
    <col min="9479" max="9479" width="13.140625" customWidth="1"/>
    <col min="9480" max="9480" width="14" customWidth="1"/>
    <col min="9730" max="9730" width="15.42578125" customWidth="1"/>
    <col min="9731" max="9734" width="16.85546875" customWidth="1"/>
    <col min="9735" max="9735" width="13.140625" customWidth="1"/>
    <col min="9736" max="9736" width="14" customWidth="1"/>
    <col min="9986" max="9986" width="15.42578125" customWidth="1"/>
    <col min="9987" max="9990" width="16.85546875" customWidth="1"/>
    <col min="9991" max="9991" width="13.140625" customWidth="1"/>
    <col min="9992" max="9992" width="14" customWidth="1"/>
    <col min="10242" max="10242" width="15.42578125" customWidth="1"/>
    <col min="10243" max="10246" width="16.85546875" customWidth="1"/>
    <col min="10247" max="10247" width="13.140625" customWidth="1"/>
    <col min="10248" max="10248" width="14" customWidth="1"/>
    <col min="10498" max="10498" width="15.42578125" customWidth="1"/>
    <col min="10499" max="10502" width="16.85546875" customWidth="1"/>
    <col min="10503" max="10503" width="13.140625" customWidth="1"/>
    <col min="10504" max="10504" width="14" customWidth="1"/>
    <col min="10754" max="10754" width="15.42578125" customWidth="1"/>
    <col min="10755" max="10758" width="16.85546875" customWidth="1"/>
    <col min="10759" max="10759" width="13.140625" customWidth="1"/>
    <col min="10760" max="10760" width="14" customWidth="1"/>
    <col min="11010" max="11010" width="15.42578125" customWidth="1"/>
    <col min="11011" max="11014" width="16.85546875" customWidth="1"/>
    <col min="11015" max="11015" width="13.140625" customWidth="1"/>
    <col min="11016" max="11016" width="14" customWidth="1"/>
    <col min="11266" max="11266" width="15.42578125" customWidth="1"/>
    <col min="11267" max="11270" width="16.85546875" customWidth="1"/>
    <col min="11271" max="11271" width="13.140625" customWidth="1"/>
    <col min="11272" max="11272" width="14" customWidth="1"/>
    <col min="11522" max="11522" width="15.42578125" customWidth="1"/>
    <col min="11523" max="11526" width="16.85546875" customWidth="1"/>
    <col min="11527" max="11527" width="13.140625" customWidth="1"/>
    <col min="11528" max="11528" width="14" customWidth="1"/>
    <col min="11778" max="11778" width="15.42578125" customWidth="1"/>
    <col min="11779" max="11782" width="16.85546875" customWidth="1"/>
    <col min="11783" max="11783" width="13.140625" customWidth="1"/>
    <col min="11784" max="11784" width="14" customWidth="1"/>
    <col min="12034" max="12034" width="15.42578125" customWidth="1"/>
    <col min="12035" max="12038" width="16.85546875" customWidth="1"/>
    <col min="12039" max="12039" width="13.140625" customWidth="1"/>
    <col min="12040" max="12040" width="14" customWidth="1"/>
    <col min="12290" max="12290" width="15.42578125" customWidth="1"/>
    <col min="12291" max="12294" width="16.85546875" customWidth="1"/>
    <col min="12295" max="12295" width="13.140625" customWidth="1"/>
    <col min="12296" max="12296" width="14" customWidth="1"/>
    <col min="12546" max="12546" width="15.42578125" customWidth="1"/>
    <col min="12547" max="12550" width="16.85546875" customWidth="1"/>
    <col min="12551" max="12551" width="13.140625" customWidth="1"/>
    <col min="12552" max="12552" width="14" customWidth="1"/>
    <col min="12802" max="12802" width="15.42578125" customWidth="1"/>
    <col min="12803" max="12806" width="16.85546875" customWidth="1"/>
    <col min="12807" max="12807" width="13.140625" customWidth="1"/>
    <col min="12808" max="12808" width="14" customWidth="1"/>
    <col min="13058" max="13058" width="15.42578125" customWidth="1"/>
    <col min="13059" max="13062" width="16.85546875" customWidth="1"/>
    <col min="13063" max="13063" width="13.140625" customWidth="1"/>
    <col min="13064" max="13064" width="14" customWidth="1"/>
    <col min="13314" max="13314" width="15.42578125" customWidth="1"/>
    <col min="13315" max="13318" width="16.85546875" customWidth="1"/>
    <col min="13319" max="13319" width="13.140625" customWidth="1"/>
    <col min="13320" max="13320" width="14" customWidth="1"/>
    <col min="13570" max="13570" width="15.42578125" customWidth="1"/>
    <col min="13571" max="13574" width="16.85546875" customWidth="1"/>
    <col min="13575" max="13575" width="13.140625" customWidth="1"/>
    <col min="13576" max="13576" width="14" customWidth="1"/>
    <col min="13826" max="13826" width="15.42578125" customWidth="1"/>
    <col min="13827" max="13830" width="16.85546875" customWidth="1"/>
    <col min="13831" max="13831" width="13.140625" customWidth="1"/>
    <col min="13832" max="13832" width="14" customWidth="1"/>
    <col min="14082" max="14082" width="15.42578125" customWidth="1"/>
    <col min="14083" max="14086" width="16.85546875" customWidth="1"/>
    <col min="14087" max="14087" width="13.140625" customWidth="1"/>
    <col min="14088" max="14088" width="14" customWidth="1"/>
    <col min="14338" max="14338" width="15.42578125" customWidth="1"/>
    <col min="14339" max="14342" width="16.85546875" customWidth="1"/>
    <col min="14343" max="14343" width="13.140625" customWidth="1"/>
    <col min="14344" max="14344" width="14" customWidth="1"/>
    <col min="14594" max="14594" width="15.42578125" customWidth="1"/>
    <col min="14595" max="14598" width="16.85546875" customWidth="1"/>
    <col min="14599" max="14599" width="13.140625" customWidth="1"/>
    <col min="14600" max="14600" width="14" customWidth="1"/>
    <col min="14850" max="14850" width="15.42578125" customWidth="1"/>
    <col min="14851" max="14854" width="16.85546875" customWidth="1"/>
    <col min="14855" max="14855" width="13.140625" customWidth="1"/>
    <col min="14856" max="14856" width="14" customWidth="1"/>
    <col min="15106" max="15106" width="15.42578125" customWidth="1"/>
    <col min="15107" max="15110" width="16.85546875" customWidth="1"/>
    <col min="15111" max="15111" width="13.140625" customWidth="1"/>
    <col min="15112" max="15112" width="14" customWidth="1"/>
    <col min="15362" max="15362" width="15.42578125" customWidth="1"/>
    <col min="15363" max="15366" width="16.85546875" customWidth="1"/>
    <col min="15367" max="15367" width="13.140625" customWidth="1"/>
    <col min="15368" max="15368" width="14" customWidth="1"/>
    <col min="15618" max="15618" width="15.42578125" customWidth="1"/>
    <col min="15619" max="15622" width="16.85546875" customWidth="1"/>
    <col min="15623" max="15623" width="13.140625" customWidth="1"/>
    <col min="15624" max="15624" width="14" customWidth="1"/>
    <col min="15874" max="15874" width="15.42578125" customWidth="1"/>
    <col min="15875" max="15878" width="16.85546875" customWidth="1"/>
    <col min="15879" max="15879" width="13.140625" customWidth="1"/>
    <col min="15880" max="15880" width="14" customWidth="1"/>
    <col min="16130" max="16130" width="15.42578125" customWidth="1"/>
    <col min="16131" max="16134" width="16.85546875" customWidth="1"/>
    <col min="16135" max="16135" width="13.140625" customWidth="1"/>
    <col min="16136" max="16136" width="14" customWidth="1"/>
  </cols>
  <sheetData>
    <row r="1" spans="1:8" x14ac:dyDescent="0.25">
      <c r="C1"/>
      <c r="D1"/>
      <c r="E1"/>
      <c r="F1"/>
      <c r="G1"/>
    </row>
    <row r="2" spans="1:8" x14ac:dyDescent="0.25">
      <c r="C2"/>
      <c r="D2"/>
      <c r="E2"/>
      <c r="F2"/>
      <c r="G2"/>
    </row>
    <row r="3" spans="1:8" x14ac:dyDescent="0.25">
      <c r="C3"/>
      <c r="D3"/>
      <c r="E3"/>
      <c r="F3"/>
      <c r="G3"/>
    </row>
    <row r="4" spans="1:8" x14ac:dyDescent="0.25">
      <c r="C4"/>
      <c r="D4"/>
      <c r="E4"/>
      <c r="F4"/>
      <c r="G4"/>
    </row>
    <row r="5" spans="1:8" x14ac:dyDescent="0.25">
      <c r="C5"/>
      <c r="D5"/>
      <c r="E5" s="11"/>
      <c r="F5"/>
      <c r="G5"/>
    </row>
    <row r="6" spans="1:8" x14ac:dyDescent="0.25">
      <c r="C6"/>
      <c r="D6"/>
      <c r="E6" s="53"/>
      <c r="F6"/>
      <c r="G6"/>
    </row>
    <row r="7" spans="1:8" x14ac:dyDescent="0.25">
      <c r="A7" s="54"/>
      <c r="C7"/>
      <c r="D7"/>
      <c r="E7" s="53"/>
      <c r="F7"/>
      <c r="G7"/>
    </row>
    <row r="8" spans="1:8" x14ac:dyDescent="0.25">
      <c r="C8"/>
      <c r="D8"/>
      <c r="E8" s="55"/>
      <c r="F8"/>
      <c r="G8"/>
    </row>
    <row r="9" spans="1:8" ht="15.75" thickBot="1" x14ac:dyDescent="0.3">
      <c r="A9" s="1"/>
      <c r="B9" s="2"/>
      <c r="C9" s="2"/>
      <c r="D9" s="3"/>
      <c r="E9" s="2"/>
      <c r="F9" s="7"/>
      <c r="G9" s="1"/>
      <c r="H9" s="1"/>
    </row>
    <row r="10" spans="1:8" ht="15.75" thickTop="1" x14ac:dyDescent="0.25">
      <c r="A10" s="1"/>
      <c r="B10" s="4" t="s">
        <v>0</v>
      </c>
      <c r="C10" s="5">
        <v>1000000</v>
      </c>
      <c r="D10" s="6"/>
      <c r="E10" s="2"/>
      <c r="F10" s="7" t="s">
        <v>13</v>
      </c>
      <c r="G10" s="1" t="b">
        <v>1</v>
      </c>
      <c r="H10" s="1"/>
    </row>
    <row r="11" spans="1:8" x14ac:dyDescent="0.25">
      <c r="A11" s="1"/>
      <c r="B11" s="8" t="s">
        <v>1</v>
      </c>
      <c r="C11" s="9">
        <v>0.06</v>
      </c>
      <c r="D11" s="10"/>
      <c r="E11" s="2"/>
      <c r="F11" s="7" t="s">
        <v>14</v>
      </c>
      <c r="G11" s="1">
        <v>12</v>
      </c>
      <c r="H11" s="1"/>
    </row>
    <row r="12" spans="1:8" x14ac:dyDescent="0.25">
      <c r="A12" s="1"/>
      <c r="B12" s="8" t="s">
        <v>2</v>
      </c>
      <c r="C12" s="12">
        <f>C11/12</f>
        <v>5.0000000000000001E-3</v>
      </c>
      <c r="D12" s="13">
        <f>(1+C11)^(1/12)-1</f>
        <v>4.8675505653430484E-3</v>
      </c>
      <c r="E12" s="2"/>
      <c r="F12" s="7"/>
      <c r="G12" s="1"/>
      <c r="H12" s="1"/>
    </row>
    <row r="13" spans="1:8" x14ac:dyDescent="0.25">
      <c r="A13" s="1"/>
      <c r="B13" s="8" t="s">
        <v>4</v>
      </c>
      <c r="C13" s="15">
        <v>25</v>
      </c>
      <c r="D13" s="13"/>
      <c r="E13" s="2"/>
      <c r="F13" s="7" t="s">
        <v>15</v>
      </c>
      <c r="G13" s="1" t="b">
        <v>1</v>
      </c>
      <c r="H13" s="1"/>
    </row>
    <row r="14" spans="1:8" ht="15.75" thickBot="1" x14ac:dyDescent="0.3">
      <c r="A14" s="1"/>
      <c r="B14" s="16" t="s">
        <v>5</v>
      </c>
      <c r="C14" s="17">
        <f>C13*12</f>
        <v>300</v>
      </c>
      <c r="D14" s="18"/>
      <c r="E14" s="2"/>
      <c r="F14" s="7" t="s">
        <v>16</v>
      </c>
      <c r="G14" s="1">
        <v>24</v>
      </c>
      <c r="H14" s="1"/>
    </row>
    <row r="15" spans="1:8" ht="15.75" thickTop="1" x14ac:dyDescent="0.25">
      <c r="A15" s="19"/>
      <c r="B15" s="20"/>
      <c r="C15" s="19"/>
      <c r="D15" s="21"/>
      <c r="E15" s="22"/>
      <c r="F15" s="23"/>
      <c r="G15" s="19"/>
      <c r="H15" s="19"/>
    </row>
    <row r="16" spans="1:8" x14ac:dyDescent="0.25">
      <c r="A16" s="19"/>
      <c r="B16" s="19"/>
      <c r="C16" s="19"/>
      <c r="D16" s="21"/>
      <c r="E16" s="22"/>
      <c r="F16" s="23" t="s">
        <v>17</v>
      </c>
      <c r="G16" s="56">
        <f>-SUM(D21:D32)/H20</f>
        <v>0.06</v>
      </c>
      <c r="H16" s="19"/>
    </row>
    <row r="17" spans="1:8" x14ac:dyDescent="0.25">
      <c r="A17" s="1"/>
      <c r="B17" s="2"/>
      <c r="C17" s="2"/>
      <c r="D17" s="3"/>
      <c r="E17" s="2"/>
      <c r="F17" s="7"/>
      <c r="G17" s="1"/>
      <c r="H17" s="1"/>
    </row>
    <row r="18" spans="1:8" x14ac:dyDescent="0.25">
      <c r="A18" s="1"/>
      <c r="B18" s="2"/>
      <c r="C18" s="2"/>
      <c r="D18" s="3"/>
      <c r="E18" s="2"/>
      <c r="F18" s="7"/>
      <c r="G18" s="1"/>
      <c r="H18" s="1"/>
    </row>
    <row r="19" spans="1:8" s="61" customFormat="1" ht="13.5" thickBot="1" x14ac:dyDescent="0.25">
      <c r="A19" s="57" t="s">
        <v>6</v>
      </c>
      <c r="B19" s="57" t="s">
        <v>7</v>
      </c>
      <c r="C19" s="57" t="s">
        <v>8</v>
      </c>
      <c r="D19" s="58" t="s">
        <v>9</v>
      </c>
      <c r="E19" s="57" t="s">
        <v>10</v>
      </c>
      <c r="F19" s="57" t="s">
        <v>11</v>
      </c>
      <c r="G19" s="59" t="s">
        <v>18</v>
      </c>
      <c r="H19" s="60" t="s">
        <v>12</v>
      </c>
    </row>
    <row r="20" spans="1:8" x14ac:dyDescent="0.25">
      <c r="A20" s="28"/>
      <c r="B20" s="29">
        <v>0</v>
      </c>
      <c r="C20" s="30"/>
      <c r="D20" s="31"/>
      <c r="E20" s="32"/>
      <c r="F20" s="32"/>
      <c r="H20" s="32">
        <f>C10</f>
        <v>1000000</v>
      </c>
    </row>
    <row r="21" spans="1:8" s="38" customFormat="1" ht="12.75" x14ac:dyDescent="0.2">
      <c r="A21" s="33">
        <v>1</v>
      </c>
      <c r="B21" s="34">
        <v>1</v>
      </c>
      <c r="C21" s="35">
        <f t="shared" ref="C21:C84" si="0">H20</f>
        <v>1000000</v>
      </c>
      <c r="D21" s="36">
        <f t="shared" ref="D21:D84" si="1">IF(C21=0,0, IF(AND($G$10, B21&lt;=$G$11), F21, PMT($C$12, $C$14, $C$10)))</f>
        <v>-5000</v>
      </c>
      <c r="E21" s="36">
        <f t="shared" ref="E21:E84" si="2">IF(AND($G$10, B21&lt;=$G$11), 0, D21-F21)</f>
        <v>0</v>
      </c>
      <c r="F21" s="36">
        <f t="shared" ref="F21:F84" si="3">-H20*$C$12</f>
        <v>-5000</v>
      </c>
      <c r="G21" s="35">
        <f t="shared" ref="G21:G84" si="4">IF(AND($G$13, B21=$G$14), C21+E21, 0)</f>
        <v>0</v>
      </c>
      <c r="H21" s="36">
        <f t="shared" ref="H21:H43" si="5">IF(C21+E21-G21&lt;=0, 0, C21+E21-G21)</f>
        <v>1000000</v>
      </c>
    </row>
    <row r="22" spans="1:8" s="38" customFormat="1" ht="12.75" x14ac:dyDescent="0.2">
      <c r="A22" s="33">
        <v>1</v>
      </c>
      <c r="B22" s="34">
        <f t="shared" ref="B22:B85" si="6">+B21+1</f>
        <v>2</v>
      </c>
      <c r="C22" s="35">
        <f t="shared" si="0"/>
        <v>1000000</v>
      </c>
      <c r="D22" s="36">
        <f t="shared" si="1"/>
        <v>-5000</v>
      </c>
      <c r="E22" s="36">
        <f t="shared" si="2"/>
        <v>0</v>
      </c>
      <c r="F22" s="36">
        <f t="shared" si="3"/>
        <v>-5000</v>
      </c>
      <c r="G22" s="35">
        <f t="shared" si="4"/>
        <v>0</v>
      </c>
      <c r="H22" s="36">
        <f t="shared" si="5"/>
        <v>1000000</v>
      </c>
    </row>
    <row r="23" spans="1:8" s="38" customFormat="1" ht="12.75" x14ac:dyDescent="0.2">
      <c r="A23" s="33">
        <v>1</v>
      </c>
      <c r="B23" s="34">
        <f t="shared" si="6"/>
        <v>3</v>
      </c>
      <c r="C23" s="35">
        <f t="shared" si="0"/>
        <v>1000000</v>
      </c>
      <c r="D23" s="36">
        <f t="shared" si="1"/>
        <v>-5000</v>
      </c>
      <c r="E23" s="36">
        <f t="shared" si="2"/>
        <v>0</v>
      </c>
      <c r="F23" s="36">
        <f t="shared" si="3"/>
        <v>-5000</v>
      </c>
      <c r="G23" s="35">
        <f t="shared" si="4"/>
        <v>0</v>
      </c>
      <c r="H23" s="36">
        <f t="shared" si="5"/>
        <v>1000000</v>
      </c>
    </row>
    <row r="24" spans="1:8" s="38" customFormat="1" ht="12.75" x14ac:dyDescent="0.2">
      <c r="A24" s="33">
        <v>1</v>
      </c>
      <c r="B24" s="34">
        <f t="shared" si="6"/>
        <v>4</v>
      </c>
      <c r="C24" s="35">
        <f t="shared" si="0"/>
        <v>1000000</v>
      </c>
      <c r="D24" s="36">
        <f t="shared" si="1"/>
        <v>-5000</v>
      </c>
      <c r="E24" s="36">
        <f t="shared" si="2"/>
        <v>0</v>
      </c>
      <c r="F24" s="36">
        <f t="shared" si="3"/>
        <v>-5000</v>
      </c>
      <c r="G24" s="35">
        <f t="shared" si="4"/>
        <v>0</v>
      </c>
      <c r="H24" s="36">
        <f t="shared" si="5"/>
        <v>1000000</v>
      </c>
    </row>
    <row r="25" spans="1:8" s="38" customFormat="1" ht="12.75" x14ac:dyDescent="0.2">
      <c r="A25" s="33">
        <v>1</v>
      </c>
      <c r="B25" s="34">
        <f t="shared" si="6"/>
        <v>5</v>
      </c>
      <c r="C25" s="35">
        <f t="shared" si="0"/>
        <v>1000000</v>
      </c>
      <c r="D25" s="36">
        <f t="shared" si="1"/>
        <v>-5000</v>
      </c>
      <c r="E25" s="36">
        <f t="shared" si="2"/>
        <v>0</v>
      </c>
      <c r="F25" s="36">
        <f t="shared" si="3"/>
        <v>-5000</v>
      </c>
      <c r="G25" s="35">
        <f t="shared" si="4"/>
        <v>0</v>
      </c>
      <c r="H25" s="36">
        <f t="shared" si="5"/>
        <v>1000000</v>
      </c>
    </row>
    <row r="26" spans="1:8" s="38" customFormat="1" ht="12.75" x14ac:dyDescent="0.2">
      <c r="A26" s="33">
        <v>1</v>
      </c>
      <c r="B26" s="39">
        <f t="shared" si="6"/>
        <v>6</v>
      </c>
      <c r="C26" s="35">
        <f t="shared" si="0"/>
        <v>1000000</v>
      </c>
      <c r="D26" s="36">
        <f t="shared" si="1"/>
        <v>-5000</v>
      </c>
      <c r="E26" s="36">
        <f t="shared" si="2"/>
        <v>0</v>
      </c>
      <c r="F26" s="36">
        <f t="shared" si="3"/>
        <v>-5000</v>
      </c>
      <c r="G26" s="35">
        <f t="shared" si="4"/>
        <v>0</v>
      </c>
      <c r="H26" s="36">
        <f t="shared" si="5"/>
        <v>1000000</v>
      </c>
    </row>
    <row r="27" spans="1:8" s="38" customFormat="1" ht="12.75" x14ac:dyDescent="0.2">
      <c r="A27" s="33">
        <v>1</v>
      </c>
      <c r="B27" s="39">
        <f t="shared" si="6"/>
        <v>7</v>
      </c>
      <c r="C27" s="35">
        <f t="shared" si="0"/>
        <v>1000000</v>
      </c>
      <c r="D27" s="36">
        <f t="shared" si="1"/>
        <v>-5000</v>
      </c>
      <c r="E27" s="36">
        <f t="shared" si="2"/>
        <v>0</v>
      </c>
      <c r="F27" s="36">
        <f t="shared" si="3"/>
        <v>-5000</v>
      </c>
      <c r="G27" s="35">
        <f t="shared" si="4"/>
        <v>0</v>
      </c>
      <c r="H27" s="36">
        <f t="shared" si="5"/>
        <v>1000000</v>
      </c>
    </row>
    <row r="28" spans="1:8" s="38" customFormat="1" ht="12.75" x14ac:dyDescent="0.2">
      <c r="A28" s="33">
        <v>1</v>
      </c>
      <c r="B28" s="39">
        <f t="shared" si="6"/>
        <v>8</v>
      </c>
      <c r="C28" s="35">
        <f t="shared" si="0"/>
        <v>1000000</v>
      </c>
      <c r="D28" s="36">
        <f t="shared" si="1"/>
        <v>-5000</v>
      </c>
      <c r="E28" s="36">
        <f t="shared" si="2"/>
        <v>0</v>
      </c>
      <c r="F28" s="36">
        <f t="shared" si="3"/>
        <v>-5000</v>
      </c>
      <c r="G28" s="35">
        <f t="shared" si="4"/>
        <v>0</v>
      </c>
      <c r="H28" s="36">
        <f t="shared" si="5"/>
        <v>1000000</v>
      </c>
    </row>
    <row r="29" spans="1:8" s="38" customFormat="1" ht="12.75" x14ac:dyDescent="0.2">
      <c r="A29" s="33">
        <v>1</v>
      </c>
      <c r="B29" s="39">
        <f t="shared" si="6"/>
        <v>9</v>
      </c>
      <c r="C29" s="35">
        <f t="shared" si="0"/>
        <v>1000000</v>
      </c>
      <c r="D29" s="36">
        <f t="shared" si="1"/>
        <v>-5000</v>
      </c>
      <c r="E29" s="36">
        <f t="shared" si="2"/>
        <v>0</v>
      </c>
      <c r="F29" s="36">
        <f t="shared" si="3"/>
        <v>-5000</v>
      </c>
      <c r="G29" s="35">
        <f t="shared" si="4"/>
        <v>0</v>
      </c>
      <c r="H29" s="36">
        <f t="shared" si="5"/>
        <v>1000000</v>
      </c>
    </row>
    <row r="30" spans="1:8" s="38" customFormat="1" ht="12.75" x14ac:dyDescent="0.2">
      <c r="A30" s="33">
        <v>1</v>
      </c>
      <c r="B30" s="39">
        <f t="shared" si="6"/>
        <v>10</v>
      </c>
      <c r="C30" s="35">
        <f t="shared" si="0"/>
        <v>1000000</v>
      </c>
      <c r="D30" s="36">
        <f t="shared" si="1"/>
        <v>-5000</v>
      </c>
      <c r="E30" s="36">
        <f t="shared" si="2"/>
        <v>0</v>
      </c>
      <c r="F30" s="36">
        <f t="shared" si="3"/>
        <v>-5000</v>
      </c>
      <c r="G30" s="35">
        <f t="shared" si="4"/>
        <v>0</v>
      </c>
      <c r="H30" s="36">
        <f t="shared" si="5"/>
        <v>1000000</v>
      </c>
    </row>
    <row r="31" spans="1:8" s="38" customFormat="1" ht="12.75" x14ac:dyDescent="0.2">
      <c r="A31" s="33">
        <v>1</v>
      </c>
      <c r="B31" s="39">
        <f t="shared" si="6"/>
        <v>11</v>
      </c>
      <c r="C31" s="35">
        <f t="shared" si="0"/>
        <v>1000000</v>
      </c>
      <c r="D31" s="36">
        <f t="shared" si="1"/>
        <v>-5000</v>
      </c>
      <c r="E31" s="36">
        <f t="shared" si="2"/>
        <v>0</v>
      </c>
      <c r="F31" s="36">
        <f t="shared" si="3"/>
        <v>-5000</v>
      </c>
      <c r="G31" s="35">
        <f t="shared" si="4"/>
        <v>0</v>
      </c>
      <c r="H31" s="36">
        <f t="shared" si="5"/>
        <v>1000000</v>
      </c>
    </row>
    <row r="32" spans="1:8" s="38" customFormat="1" ht="12.75" x14ac:dyDescent="0.2">
      <c r="A32" s="33">
        <v>1</v>
      </c>
      <c r="B32" s="39">
        <f t="shared" si="6"/>
        <v>12</v>
      </c>
      <c r="C32" s="35">
        <f t="shared" si="0"/>
        <v>1000000</v>
      </c>
      <c r="D32" s="36">
        <f t="shared" si="1"/>
        <v>-5000</v>
      </c>
      <c r="E32" s="36">
        <f t="shared" si="2"/>
        <v>0</v>
      </c>
      <c r="F32" s="36">
        <f t="shared" si="3"/>
        <v>-5000</v>
      </c>
      <c r="G32" s="35">
        <f t="shared" si="4"/>
        <v>0</v>
      </c>
      <c r="H32" s="36">
        <f t="shared" si="5"/>
        <v>1000000</v>
      </c>
    </row>
    <row r="33" spans="1:8" s="38" customFormat="1" ht="12.75" x14ac:dyDescent="0.2">
      <c r="A33" s="40">
        <f>A21+1</f>
        <v>2</v>
      </c>
      <c r="B33" s="39">
        <f t="shared" si="6"/>
        <v>13</v>
      </c>
      <c r="C33" s="35">
        <f t="shared" si="0"/>
        <v>1000000</v>
      </c>
      <c r="D33" s="36">
        <f t="shared" si="1"/>
        <v>-6443.0140148550854</v>
      </c>
      <c r="E33" s="36">
        <f t="shared" si="2"/>
        <v>-1443.0140148550854</v>
      </c>
      <c r="F33" s="36">
        <f t="shared" si="3"/>
        <v>-5000</v>
      </c>
      <c r="G33" s="35">
        <f t="shared" si="4"/>
        <v>0</v>
      </c>
      <c r="H33" s="36">
        <f t="shared" si="5"/>
        <v>998556.98598514497</v>
      </c>
    </row>
    <row r="34" spans="1:8" s="38" customFormat="1" ht="12.75" x14ac:dyDescent="0.2">
      <c r="A34" s="40">
        <f>A33</f>
        <v>2</v>
      </c>
      <c r="B34" s="39">
        <f t="shared" si="6"/>
        <v>14</v>
      </c>
      <c r="C34" s="35">
        <f t="shared" si="0"/>
        <v>998556.98598514497</v>
      </c>
      <c r="D34" s="36">
        <f t="shared" si="1"/>
        <v>-6443.0140148550854</v>
      </c>
      <c r="E34" s="36">
        <f t="shared" si="2"/>
        <v>-1450.2290849293604</v>
      </c>
      <c r="F34" s="36">
        <f t="shared" si="3"/>
        <v>-4992.784929925725</v>
      </c>
      <c r="G34" s="35">
        <f t="shared" si="4"/>
        <v>0</v>
      </c>
      <c r="H34" s="36">
        <f t="shared" si="5"/>
        <v>997106.75690021564</v>
      </c>
    </row>
    <row r="35" spans="1:8" s="38" customFormat="1" ht="12.75" x14ac:dyDescent="0.2">
      <c r="A35" s="40">
        <f t="shared" ref="A35:A44" si="7">A34</f>
        <v>2</v>
      </c>
      <c r="B35" s="39">
        <f t="shared" si="6"/>
        <v>15</v>
      </c>
      <c r="C35" s="35">
        <f t="shared" si="0"/>
        <v>997106.75690021564</v>
      </c>
      <c r="D35" s="36">
        <f t="shared" si="1"/>
        <v>-6443.0140148550854</v>
      </c>
      <c r="E35" s="36">
        <f t="shared" si="2"/>
        <v>-1457.4802303540073</v>
      </c>
      <c r="F35" s="36">
        <f t="shared" si="3"/>
        <v>-4985.5337845010781</v>
      </c>
      <c r="G35" s="35">
        <f t="shared" si="4"/>
        <v>0</v>
      </c>
      <c r="H35" s="36">
        <f t="shared" si="5"/>
        <v>995649.27666986163</v>
      </c>
    </row>
    <row r="36" spans="1:8" s="38" customFormat="1" ht="12.75" x14ac:dyDescent="0.2">
      <c r="A36" s="40">
        <f t="shared" si="7"/>
        <v>2</v>
      </c>
      <c r="B36" s="39">
        <f t="shared" si="6"/>
        <v>16</v>
      </c>
      <c r="C36" s="35">
        <f t="shared" si="0"/>
        <v>995649.27666986163</v>
      </c>
      <c r="D36" s="36">
        <f t="shared" si="1"/>
        <v>-6443.0140148550854</v>
      </c>
      <c r="E36" s="36">
        <f t="shared" si="2"/>
        <v>-1464.767631505777</v>
      </c>
      <c r="F36" s="36">
        <f t="shared" si="3"/>
        <v>-4978.2463833493084</v>
      </c>
      <c r="G36" s="35">
        <f t="shared" si="4"/>
        <v>0</v>
      </c>
      <c r="H36" s="36">
        <f t="shared" si="5"/>
        <v>994184.5090383559</v>
      </c>
    </row>
    <row r="37" spans="1:8" s="38" customFormat="1" ht="12.75" x14ac:dyDescent="0.2">
      <c r="A37" s="40">
        <f t="shared" si="7"/>
        <v>2</v>
      </c>
      <c r="B37" s="39">
        <f t="shared" si="6"/>
        <v>17</v>
      </c>
      <c r="C37" s="35">
        <f t="shared" si="0"/>
        <v>994184.5090383559</v>
      </c>
      <c r="D37" s="36">
        <f t="shared" si="1"/>
        <v>-6443.0140148550854</v>
      </c>
      <c r="E37" s="36">
        <f t="shared" si="2"/>
        <v>-1472.0914696633054</v>
      </c>
      <c r="F37" s="36">
        <f t="shared" si="3"/>
        <v>-4970.92254519178</v>
      </c>
      <c r="G37" s="35">
        <f t="shared" si="4"/>
        <v>0</v>
      </c>
      <c r="H37" s="36">
        <f t="shared" si="5"/>
        <v>992712.41756869259</v>
      </c>
    </row>
    <row r="38" spans="1:8" s="38" customFormat="1" ht="12.75" x14ac:dyDescent="0.2">
      <c r="A38" s="40">
        <f t="shared" si="7"/>
        <v>2</v>
      </c>
      <c r="B38" s="39">
        <f t="shared" si="6"/>
        <v>18</v>
      </c>
      <c r="C38" s="35">
        <f t="shared" si="0"/>
        <v>992712.41756869259</v>
      </c>
      <c r="D38" s="36">
        <f t="shared" si="1"/>
        <v>-6443.0140148550854</v>
      </c>
      <c r="E38" s="36">
        <f t="shared" si="2"/>
        <v>-1479.4519270116225</v>
      </c>
      <c r="F38" s="36">
        <f t="shared" si="3"/>
        <v>-4963.5620878434629</v>
      </c>
      <c r="G38" s="35">
        <f t="shared" si="4"/>
        <v>0</v>
      </c>
      <c r="H38" s="36">
        <f t="shared" si="5"/>
        <v>991232.96564168099</v>
      </c>
    </row>
    <row r="39" spans="1:8" s="38" customFormat="1" ht="12.75" x14ac:dyDescent="0.2">
      <c r="A39" s="40">
        <f t="shared" si="7"/>
        <v>2</v>
      </c>
      <c r="B39" s="39">
        <f t="shared" si="6"/>
        <v>19</v>
      </c>
      <c r="C39" s="35">
        <f t="shared" si="0"/>
        <v>991232.96564168099</v>
      </c>
      <c r="D39" s="36">
        <f t="shared" si="1"/>
        <v>-6443.0140148550854</v>
      </c>
      <c r="E39" s="36">
        <f t="shared" si="2"/>
        <v>-1486.8491866466802</v>
      </c>
      <c r="F39" s="36">
        <f t="shared" si="3"/>
        <v>-4956.1648282084052</v>
      </c>
      <c r="G39" s="35">
        <f t="shared" si="4"/>
        <v>0</v>
      </c>
      <c r="H39" s="36">
        <f t="shared" si="5"/>
        <v>989746.11645503435</v>
      </c>
    </row>
    <row r="40" spans="1:8" s="38" customFormat="1" ht="12.75" x14ac:dyDescent="0.2">
      <c r="A40" s="40">
        <f t="shared" si="7"/>
        <v>2</v>
      </c>
      <c r="B40" s="39">
        <f t="shared" si="6"/>
        <v>20</v>
      </c>
      <c r="C40" s="35">
        <f t="shared" si="0"/>
        <v>989746.11645503435</v>
      </c>
      <c r="D40" s="36">
        <f t="shared" si="1"/>
        <v>-6443.0140148550854</v>
      </c>
      <c r="E40" s="36">
        <f t="shared" si="2"/>
        <v>-1494.2834325799131</v>
      </c>
      <c r="F40" s="36">
        <f t="shared" si="3"/>
        <v>-4948.7305822751723</v>
      </c>
      <c r="G40" s="35">
        <f t="shared" si="4"/>
        <v>0</v>
      </c>
      <c r="H40" s="36">
        <f t="shared" si="5"/>
        <v>988251.8330224544</v>
      </c>
    </row>
    <row r="41" spans="1:8" s="38" customFormat="1" ht="12.75" x14ac:dyDescent="0.2">
      <c r="A41" s="40">
        <f t="shared" si="7"/>
        <v>2</v>
      </c>
      <c r="B41" s="39">
        <f t="shared" si="6"/>
        <v>21</v>
      </c>
      <c r="C41" s="35">
        <f t="shared" si="0"/>
        <v>988251.8330224544</v>
      </c>
      <c r="D41" s="36">
        <f t="shared" si="1"/>
        <v>-6443.0140148550854</v>
      </c>
      <c r="E41" s="36">
        <f t="shared" si="2"/>
        <v>-1501.7548497428133</v>
      </c>
      <c r="F41" s="36">
        <f t="shared" si="3"/>
        <v>-4941.2591651122721</v>
      </c>
      <c r="G41" s="35">
        <f t="shared" si="4"/>
        <v>0</v>
      </c>
      <c r="H41" s="36">
        <f t="shared" si="5"/>
        <v>986750.07817271154</v>
      </c>
    </row>
    <row r="42" spans="1:8" s="38" customFormat="1" ht="12.75" x14ac:dyDescent="0.2">
      <c r="A42" s="40">
        <f t="shared" si="7"/>
        <v>2</v>
      </c>
      <c r="B42" s="39">
        <f t="shared" si="6"/>
        <v>22</v>
      </c>
      <c r="C42" s="35">
        <f t="shared" si="0"/>
        <v>986750.07817271154</v>
      </c>
      <c r="D42" s="36">
        <f t="shared" si="1"/>
        <v>-6443.0140148550854</v>
      </c>
      <c r="E42" s="36">
        <f t="shared" si="2"/>
        <v>-1509.2636239915273</v>
      </c>
      <c r="F42" s="36">
        <f t="shared" si="3"/>
        <v>-4933.7503908635581</v>
      </c>
      <c r="G42" s="35">
        <f t="shared" si="4"/>
        <v>0</v>
      </c>
      <c r="H42" s="36">
        <f t="shared" si="5"/>
        <v>985240.81454872002</v>
      </c>
    </row>
    <row r="43" spans="1:8" s="38" customFormat="1" ht="12.75" x14ac:dyDescent="0.2">
      <c r="A43" s="40">
        <f t="shared" si="7"/>
        <v>2</v>
      </c>
      <c r="B43" s="39">
        <f t="shared" si="6"/>
        <v>23</v>
      </c>
      <c r="C43" s="35">
        <f t="shared" si="0"/>
        <v>985240.81454872002</v>
      </c>
      <c r="D43" s="36">
        <f t="shared" si="1"/>
        <v>-6443.0140148550854</v>
      </c>
      <c r="E43" s="36">
        <f t="shared" si="2"/>
        <v>-1516.8099421114848</v>
      </c>
      <c r="F43" s="36">
        <f t="shared" si="3"/>
        <v>-4926.2040727436006</v>
      </c>
      <c r="G43" s="35">
        <f t="shared" si="4"/>
        <v>0</v>
      </c>
      <c r="H43" s="36">
        <f t="shared" si="5"/>
        <v>983724.00460660853</v>
      </c>
    </row>
    <row r="44" spans="1:8" s="38" customFormat="1" ht="12.75" x14ac:dyDescent="0.2">
      <c r="A44" s="40">
        <f t="shared" si="7"/>
        <v>2</v>
      </c>
      <c r="B44" s="39">
        <f t="shared" si="6"/>
        <v>24</v>
      </c>
      <c r="C44" s="35">
        <f t="shared" si="0"/>
        <v>983724.00460660853</v>
      </c>
      <c r="D44" s="36">
        <f t="shared" si="1"/>
        <v>-6443.0140148550854</v>
      </c>
      <c r="E44" s="36">
        <f t="shared" si="2"/>
        <v>-1524.3939918220431</v>
      </c>
      <c r="F44" s="36">
        <f t="shared" si="3"/>
        <v>-4918.6200230330423</v>
      </c>
      <c r="G44" s="35">
        <f t="shared" si="4"/>
        <v>982199.61061478651</v>
      </c>
      <c r="H44" s="36">
        <f>IF(C44+E44-G44&lt;=0, 0, C44+E44-G44)</f>
        <v>0</v>
      </c>
    </row>
    <row r="45" spans="1:8" s="38" customFormat="1" ht="12.75" x14ac:dyDescent="0.2">
      <c r="A45" s="40">
        <f>A33+1</f>
        <v>3</v>
      </c>
      <c r="B45" s="39">
        <f t="shared" si="6"/>
        <v>25</v>
      </c>
      <c r="C45" s="35">
        <f t="shared" si="0"/>
        <v>0</v>
      </c>
      <c r="D45" s="36">
        <f t="shared" si="1"/>
        <v>0</v>
      </c>
      <c r="E45" s="36">
        <f t="shared" si="2"/>
        <v>0</v>
      </c>
      <c r="F45" s="36">
        <f t="shared" si="3"/>
        <v>0</v>
      </c>
      <c r="G45" s="35">
        <f t="shared" si="4"/>
        <v>0</v>
      </c>
      <c r="H45" s="36">
        <f t="shared" ref="H45:H108" si="8">IF(C45+E45-G45&lt;=0, 0, C45+E45-G45)</f>
        <v>0</v>
      </c>
    </row>
    <row r="46" spans="1:8" s="38" customFormat="1" ht="12.75" x14ac:dyDescent="0.2">
      <c r="A46" s="40">
        <f t="shared" ref="A46:A109" si="9">A45</f>
        <v>3</v>
      </c>
      <c r="B46" s="39">
        <f t="shared" si="6"/>
        <v>26</v>
      </c>
      <c r="C46" s="35">
        <f t="shared" si="0"/>
        <v>0</v>
      </c>
      <c r="D46" s="36">
        <f t="shared" si="1"/>
        <v>0</v>
      </c>
      <c r="E46" s="36">
        <f t="shared" si="2"/>
        <v>0</v>
      </c>
      <c r="F46" s="36">
        <f t="shared" si="3"/>
        <v>0</v>
      </c>
      <c r="G46" s="35">
        <f t="shared" si="4"/>
        <v>0</v>
      </c>
      <c r="H46" s="36">
        <f t="shared" si="8"/>
        <v>0</v>
      </c>
    </row>
    <row r="47" spans="1:8" s="38" customFormat="1" ht="12.75" x14ac:dyDescent="0.2">
      <c r="A47" s="40">
        <f t="shared" si="9"/>
        <v>3</v>
      </c>
      <c r="B47" s="39">
        <f t="shared" si="6"/>
        <v>27</v>
      </c>
      <c r="C47" s="35">
        <f t="shared" si="0"/>
        <v>0</v>
      </c>
      <c r="D47" s="36">
        <f t="shared" si="1"/>
        <v>0</v>
      </c>
      <c r="E47" s="36">
        <f t="shared" si="2"/>
        <v>0</v>
      </c>
      <c r="F47" s="36">
        <f t="shared" si="3"/>
        <v>0</v>
      </c>
      <c r="G47" s="35">
        <f t="shared" si="4"/>
        <v>0</v>
      </c>
      <c r="H47" s="36">
        <f t="shared" si="8"/>
        <v>0</v>
      </c>
    </row>
    <row r="48" spans="1:8" s="38" customFormat="1" ht="12.75" x14ac:dyDescent="0.2">
      <c r="A48" s="40">
        <f t="shared" si="9"/>
        <v>3</v>
      </c>
      <c r="B48" s="39">
        <f t="shared" si="6"/>
        <v>28</v>
      </c>
      <c r="C48" s="35">
        <f t="shared" si="0"/>
        <v>0</v>
      </c>
      <c r="D48" s="36">
        <f t="shared" si="1"/>
        <v>0</v>
      </c>
      <c r="E48" s="36">
        <f t="shared" si="2"/>
        <v>0</v>
      </c>
      <c r="F48" s="36">
        <f t="shared" si="3"/>
        <v>0</v>
      </c>
      <c r="G48" s="35">
        <f t="shared" si="4"/>
        <v>0</v>
      </c>
      <c r="H48" s="36">
        <f t="shared" si="8"/>
        <v>0</v>
      </c>
    </row>
    <row r="49" spans="1:8" s="38" customFormat="1" ht="12.75" x14ac:dyDescent="0.2">
      <c r="A49" s="40">
        <f t="shared" si="9"/>
        <v>3</v>
      </c>
      <c r="B49" s="39">
        <f t="shared" si="6"/>
        <v>29</v>
      </c>
      <c r="C49" s="35">
        <f t="shared" si="0"/>
        <v>0</v>
      </c>
      <c r="D49" s="36">
        <f t="shared" si="1"/>
        <v>0</v>
      </c>
      <c r="E49" s="36">
        <f t="shared" si="2"/>
        <v>0</v>
      </c>
      <c r="F49" s="36">
        <f t="shared" si="3"/>
        <v>0</v>
      </c>
      <c r="G49" s="35">
        <f t="shared" si="4"/>
        <v>0</v>
      </c>
      <c r="H49" s="36">
        <f t="shared" si="8"/>
        <v>0</v>
      </c>
    </row>
    <row r="50" spans="1:8" s="38" customFormat="1" ht="12.75" x14ac:dyDescent="0.2">
      <c r="A50" s="40">
        <f t="shared" si="9"/>
        <v>3</v>
      </c>
      <c r="B50" s="39">
        <f t="shared" si="6"/>
        <v>30</v>
      </c>
      <c r="C50" s="35">
        <f t="shared" si="0"/>
        <v>0</v>
      </c>
      <c r="D50" s="36">
        <f t="shared" si="1"/>
        <v>0</v>
      </c>
      <c r="E50" s="36">
        <f t="shared" si="2"/>
        <v>0</v>
      </c>
      <c r="F50" s="36">
        <f t="shared" si="3"/>
        <v>0</v>
      </c>
      <c r="G50" s="35">
        <f t="shared" si="4"/>
        <v>0</v>
      </c>
      <c r="H50" s="36">
        <f t="shared" si="8"/>
        <v>0</v>
      </c>
    </row>
    <row r="51" spans="1:8" s="38" customFormat="1" ht="12.75" x14ac:dyDescent="0.2">
      <c r="A51" s="40">
        <f t="shared" si="9"/>
        <v>3</v>
      </c>
      <c r="B51" s="39">
        <f t="shared" si="6"/>
        <v>31</v>
      </c>
      <c r="C51" s="35">
        <f t="shared" si="0"/>
        <v>0</v>
      </c>
      <c r="D51" s="36">
        <f t="shared" si="1"/>
        <v>0</v>
      </c>
      <c r="E51" s="36">
        <f t="shared" si="2"/>
        <v>0</v>
      </c>
      <c r="F51" s="36">
        <f t="shared" si="3"/>
        <v>0</v>
      </c>
      <c r="G51" s="35">
        <f t="shared" si="4"/>
        <v>0</v>
      </c>
      <c r="H51" s="36">
        <f t="shared" si="8"/>
        <v>0</v>
      </c>
    </row>
    <row r="52" spans="1:8" s="38" customFormat="1" ht="12.75" x14ac:dyDescent="0.2">
      <c r="A52" s="40">
        <f t="shared" si="9"/>
        <v>3</v>
      </c>
      <c r="B52" s="39">
        <f t="shared" si="6"/>
        <v>32</v>
      </c>
      <c r="C52" s="35">
        <f t="shared" si="0"/>
        <v>0</v>
      </c>
      <c r="D52" s="36">
        <f t="shared" si="1"/>
        <v>0</v>
      </c>
      <c r="E52" s="36">
        <f t="shared" si="2"/>
        <v>0</v>
      </c>
      <c r="F52" s="36">
        <f t="shared" si="3"/>
        <v>0</v>
      </c>
      <c r="G52" s="35">
        <f t="shared" si="4"/>
        <v>0</v>
      </c>
      <c r="H52" s="36">
        <f t="shared" si="8"/>
        <v>0</v>
      </c>
    </row>
    <row r="53" spans="1:8" s="38" customFormat="1" ht="12.75" x14ac:dyDescent="0.2">
      <c r="A53" s="40">
        <f t="shared" si="9"/>
        <v>3</v>
      </c>
      <c r="B53" s="39">
        <f t="shared" si="6"/>
        <v>33</v>
      </c>
      <c r="C53" s="35">
        <f t="shared" si="0"/>
        <v>0</v>
      </c>
      <c r="D53" s="36">
        <f t="shared" si="1"/>
        <v>0</v>
      </c>
      <c r="E53" s="36">
        <f t="shared" si="2"/>
        <v>0</v>
      </c>
      <c r="F53" s="36">
        <f t="shared" si="3"/>
        <v>0</v>
      </c>
      <c r="G53" s="35">
        <f t="shared" si="4"/>
        <v>0</v>
      </c>
      <c r="H53" s="36">
        <f t="shared" si="8"/>
        <v>0</v>
      </c>
    </row>
    <row r="54" spans="1:8" s="38" customFormat="1" ht="12.75" x14ac:dyDescent="0.2">
      <c r="A54" s="40">
        <f t="shared" si="9"/>
        <v>3</v>
      </c>
      <c r="B54" s="39">
        <f t="shared" si="6"/>
        <v>34</v>
      </c>
      <c r="C54" s="35">
        <f t="shared" si="0"/>
        <v>0</v>
      </c>
      <c r="D54" s="36">
        <f t="shared" si="1"/>
        <v>0</v>
      </c>
      <c r="E54" s="36">
        <f t="shared" si="2"/>
        <v>0</v>
      </c>
      <c r="F54" s="36">
        <f t="shared" si="3"/>
        <v>0</v>
      </c>
      <c r="G54" s="35">
        <f t="shared" si="4"/>
        <v>0</v>
      </c>
      <c r="H54" s="36">
        <f t="shared" si="8"/>
        <v>0</v>
      </c>
    </row>
    <row r="55" spans="1:8" s="38" customFormat="1" ht="12.75" x14ac:dyDescent="0.2">
      <c r="A55" s="40">
        <f t="shared" si="9"/>
        <v>3</v>
      </c>
      <c r="B55" s="39">
        <f t="shared" si="6"/>
        <v>35</v>
      </c>
      <c r="C55" s="35">
        <f t="shared" si="0"/>
        <v>0</v>
      </c>
      <c r="D55" s="36">
        <f t="shared" si="1"/>
        <v>0</v>
      </c>
      <c r="E55" s="36">
        <f t="shared" si="2"/>
        <v>0</v>
      </c>
      <c r="F55" s="36">
        <f t="shared" si="3"/>
        <v>0</v>
      </c>
      <c r="G55" s="35">
        <f t="shared" si="4"/>
        <v>0</v>
      </c>
      <c r="H55" s="36">
        <f t="shared" si="8"/>
        <v>0</v>
      </c>
    </row>
    <row r="56" spans="1:8" s="38" customFormat="1" ht="12.75" x14ac:dyDescent="0.2">
      <c r="A56" s="40">
        <f t="shared" si="9"/>
        <v>3</v>
      </c>
      <c r="B56" s="39">
        <f t="shared" si="6"/>
        <v>36</v>
      </c>
      <c r="C56" s="35">
        <f t="shared" si="0"/>
        <v>0</v>
      </c>
      <c r="D56" s="36">
        <f t="shared" si="1"/>
        <v>0</v>
      </c>
      <c r="E56" s="36">
        <f t="shared" si="2"/>
        <v>0</v>
      </c>
      <c r="F56" s="36">
        <f t="shared" si="3"/>
        <v>0</v>
      </c>
      <c r="G56" s="35">
        <f t="shared" si="4"/>
        <v>0</v>
      </c>
      <c r="H56" s="36">
        <f t="shared" si="8"/>
        <v>0</v>
      </c>
    </row>
    <row r="57" spans="1:8" s="38" customFormat="1" ht="12.75" x14ac:dyDescent="0.2">
      <c r="A57" s="40">
        <f>A45+1</f>
        <v>4</v>
      </c>
      <c r="B57" s="39">
        <f t="shared" si="6"/>
        <v>37</v>
      </c>
      <c r="C57" s="35">
        <f t="shared" si="0"/>
        <v>0</v>
      </c>
      <c r="D57" s="36">
        <f t="shared" si="1"/>
        <v>0</v>
      </c>
      <c r="E57" s="36">
        <f t="shared" si="2"/>
        <v>0</v>
      </c>
      <c r="F57" s="36">
        <f t="shared" si="3"/>
        <v>0</v>
      </c>
      <c r="G57" s="35">
        <f t="shared" si="4"/>
        <v>0</v>
      </c>
      <c r="H57" s="36">
        <f t="shared" si="8"/>
        <v>0</v>
      </c>
    </row>
    <row r="58" spans="1:8" s="38" customFormat="1" ht="12.75" x14ac:dyDescent="0.2">
      <c r="A58" s="40">
        <f>A57</f>
        <v>4</v>
      </c>
      <c r="B58" s="39">
        <f t="shared" si="6"/>
        <v>38</v>
      </c>
      <c r="C58" s="35">
        <f t="shared" si="0"/>
        <v>0</v>
      </c>
      <c r="D58" s="36">
        <f t="shared" si="1"/>
        <v>0</v>
      </c>
      <c r="E58" s="36">
        <f t="shared" si="2"/>
        <v>0</v>
      </c>
      <c r="F58" s="36">
        <f t="shared" si="3"/>
        <v>0</v>
      </c>
      <c r="G58" s="35">
        <f t="shared" si="4"/>
        <v>0</v>
      </c>
      <c r="H58" s="36">
        <f t="shared" si="8"/>
        <v>0</v>
      </c>
    </row>
    <row r="59" spans="1:8" s="38" customFormat="1" ht="12.75" x14ac:dyDescent="0.2">
      <c r="A59" s="40">
        <f t="shared" si="9"/>
        <v>4</v>
      </c>
      <c r="B59" s="39">
        <f t="shared" si="6"/>
        <v>39</v>
      </c>
      <c r="C59" s="35">
        <f t="shared" si="0"/>
        <v>0</v>
      </c>
      <c r="D59" s="36">
        <f t="shared" si="1"/>
        <v>0</v>
      </c>
      <c r="E59" s="36">
        <f t="shared" si="2"/>
        <v>0</v>
      </c>
      <c r="F59" s="36">
        <f t="shared" si="3"/>
        <v>0</v>
      </c>
      <c r="G59" s="35">
        <f t="shared" si="4"/>
        <v>0</v>
      </c>
      <c r="H59" s="36">
        <f t="shared" si="8"/>
        <v>0</v>
      </c>
    </row>
    <row r="60" spans="1:8" s="38" customFormat="1" ht="12.75" x14ac:dyDescent="0.2">
      <c r="A60" s="40">
        <f t="shared" si="9"/>
        <v>4</v>
      </c>
      <c r="B60" s="39">
        <f t="shared" si="6"/>
        <v>40</v>
      </c>
      <c r="C60" s="35">
        <f t="shared" si="0"/>
        <v>0</v>
      </c>
      <c r="D60" s="36">
        <f t="shared" si="1"/>
        <v>0</v>
      </c>
      <c r="E60" s="36">
        <f t="shared" si="2"/>
        <v>0</v>
      </c>
      <c r="F60" s="36">
        <f t="shared" si="3"/>
        <v>0</v>
      </c>
      <c r="G60" s="35">
        <f t="shared" si="4"/>
        <v>0</v>
      </c>
      <c r="H60" s="36">
        <f t="shared" si="8"/>
        <v>0</v>
      </c>
    </row>
    <row r="61" spans="1:8" s="38" customFormat="1" ht="12.75" x14ac:dyDescent="0.2">
      <c r="A61" s="40">
        <f t="shared" si="9"/>
        <v>4</v>
      </c>
      <c r="B61" s="39">
        <f t="shared" si="6"/>
        <v>41</v>
      </c>
      <c r="C61" s="35">
        <f t="shared" si="0"/>
        <v>0</v>
      </c>
      <c r="D61" s="36">
        <f t="shared" si="1"/>
        <v>0</v>
      </c>
      <c r="E61" s="36">
        <f t="shared" si="2"/>
        <v>0</v>
      </c>
      <c r="F61" s="36">
        <f t="shared" si="3"/>
        <v>0</v>
      </c>
      <c r="G61" s="35">
        <f t="shared" si="4"/>
        <v>0</v>
      </c>
      <c r="H61" s="36">
        <f t="shared" si="8"/>
        <v>0</v>
      </c>
    </row>
    <row r="62" spans="1:8" s="38" customFormat="1" ht="12.75" x14ac:dyDescent="0.2">
      <c r="A62" s="40">
        <f t="shared" si="9"/>
        <v>4</v>
      </c>
      <c r="B62" s="39">
        <f t="shared" si="6"/>
        <v>42</v>
      </c>
      <c r="C62" s="35">
        <f t="shared" si="0"/>
        <v>0</v>
      </c>
      <c r="D62" s="36">
        <f t="shared" si="1"/>
        <v>0</v>
      </c>
      <c r="E62" s="36">
        <f t="shared" si="2"/>
        <v>0</v>
      </c>
      <c r="F62" s="36">
        <f t="shared" si="3"/>
        <v>0</v>
      </c>
      <c r="G62" s="35">
        <f t="shared" si="4"/>
        <v>0</v>
      </c>
      <c r="H62" s="36">
        <f t="shared" si="8"/>
        <v>0</v>
      </c>
    </row>
    <row r="63" spans="1:8" s="38" customFormat="1" ht="12.75" x14ac:dyDescent="0.2">
      <c r="A63" s="40">
        <f t="shared" si="9"/>
        <v>4</v>
      </c>
      <c r="B63" s="39">
        <f t="shared" si="6"/>
        <v>43</v>
      </c>
      <c r="C63" s="35">
        <f t="shared" si="0"/>
        <v>0</v>
      </c>
      <c r="D63" s="36">
        <f t="shared" si="1"/>
        <v>0</v>
      </c>
      <c r="E63" s="36">
        <f t="shared" si="2"/>
        <v>0</v>
      </c>
      <c r="F63" s="36">
        <f t="shared" si="3"/>
        <v>0</v>
      </c>
      <c r="G63" s="35">
        <f t="shared" si="4"/>
        <v>0</v>
      </c>
      <c r="H63" s="36">
        <f t="shared" si="8"/>
        <v>0</v>
      </c>
    </row>
    <row r="64" spans="1:8" s="38" customFormat="1" ht="12.75" x14ac:dyDescent="0.2">
      <c r="A64" s="40">
        <f t="shared" si="9"/>
        <v>4</v>
      </c>
      <c r="B64" s="39">
        <f t="shared" si="6"/>
        <v>44</v>
      </c>
      <c r="C64" s="35">
        <f t="shared" si="0"/>
        <v>0</v>
      </c>
      <c r="D64" s="36">
        <f t="shared" si="1"/>
        <v>0</v>
      </c>
      <c r="E64" s="36">
        <f t="shared" si="2"/>
        <v>0</v>
      </c>
      <c r="F64" s="36">
        <f t="shared" si="3"/>
        <v>0</v>
      </c>
      <c r="G64" s="35">
        <f t="shared" si="4"/>
        <v>0</v>
      </c>
      <c r="H64" s="36">
        <f t="shared" si="8"/>
        <v>0</v>
      </c>
    </row>
    <row r="65" spans="1:8" s="38" customFormat="1" ht="12.75" x14ac:dyDescent="0.2">
      <c r="A65" s="40">
        <f t="shared" si="9"/>
        <v>4</v>
      </c>
      <c r="B65" s="39">
        <f t="shared" si="6"/>
        <v>45</v>
      </c>
      <c r="C65" s="35">
        <f t="shared" si="0"/>
        <v>0</v>
      </c>
      <c r="D65" s="36">
        <f t="shared" si="1"/>
        <v>0</v>
      </c>
      <c r="E65" s="36">
        <f t="shared" si="2"/>
        <v>0</v>
      </c>
      <c r="F65" s="36">
        <f t="shared" si="3"/>
        <v>0</v>
      </c>
      <c r="G65" s="35">
        <f t="shared" si="4"/>
        <v>0</v>
      </c>
      <c r="H65" s="36">
        <f t="shared" si="8"/>
        <v>0</v>
      </c>
    </row>
    <row r="66" spans="1:8" s="38" customFormat="1" ht="12.75" x14ac:dyDescent="0.2">
      <c r="A66" s="40">
        <f t="shared" si="9"/>
        <v>4</v>
      </c>
      <c r="B66" s="39">
        <f t="shared" si="6"/>
        <v>46</v>
      </c>
      <c r="C66" s="35">
        <f t="shared" si="0"/>
        <v>0</v>
      </c>
      <c r="D66" s="36">
        <f t="shared" si="1"/>
        <v>0</v>
      </c>
      <c r="E66" s="36">
        <f t="shared" si="2"/>
        <v>0</v>
      </c>
      <c r="F66" s="36">
        <f t="shared" si="3"/>
        <v>0</v>
      </c>
      <c r="G66" s="35">
        <f t="shared" si="4"/>
        <v>0</v>
      </c>
      <c r="H66" s="36">
        <f t="shared" si="8"/>
        <v>0</v>
      </c>
    </row>
    <row r="67" spans="1:8" s="38" customFormat="1" ht="12.75" x14ac:dyDescent="0.2">
      <c r="A67" s="40">
        <f t="shared" si="9"/>
        <v>4</v>
      </c>
      <c r="B67" s="39">
        <f t="shared" si="6"/>
        <v>47</v>
      </c>
      <c r="C67" s="35">
        <f t="shared" si="0"/>
        <v>0</v>
      </c>
      <c r="D67" s="36">
        <f t="shared" si="1"/>
        <v>0</v>
      </c>
      <c r="E67" s="36">
        <f t="shared" si="2"/>
        <v>0</v>
      </c>
      <c r="F67" s="36">
        <f t="shared" si="3"/>
        <v>0</v>
      </c>
      <c r="G67" s="35">
        <f t="shared" si="4"/>
        <v>0</v>
      </c>
      <c r="H67" s="36">
        <f t="shared" si="8"/>
        <v>0</v>
      </c>
    </row>
    <row r="68" spans="1:8" s="38" customFormat="1" ht="12.75" x14ac:dyDescent="0.2">
      <c r="A68" s="40">
        <f t="shared" si="9"/>
        <v>4</v>
      </c>
      <c r="B68" s="39">
        <f t="shared" si="6"/>
        <v>48</v>
      </c>
      <c r="C68" s="35">
        <f t="shared" si="0"/>
        <v>0</v>
      </c>
      <c r="D68" s="36">
        <f t="shared" si="1"/>
        <v>0</v>
      </c>
      <c r="E68" s="36">
        <f t="shared" si="2"/>
        <v>0</v>
      </c>
      <c r="F68" s="36">
        <f t="shared" si="3"/>
        <v>0</v>
      </c>
      <c r="G68" s="35">
        <f t="shared" si="4"/>
        <v>0</v>
      </c>
      <c r="H68" s="36">
        <f t="shared" si="8"/>
        <v>0</v>
      </c>
    </row>
    <row r="69" spans="1:8" s="38" customFormat="1" ht="12.75" x14ac:dyDescent="0.2">
      <c r="A69" s="40">
        <f>A57+1</f>
        <v>5</v>
      </c>
      <c r="B69" s="39">
        <f t="shared" si="6"/>
        <v>49</v>
      </c>
      <c r="C69" s="35">
        <f t="shared" si="0"/>
        <v>0</v>
      </c>
      <c r="D69" s="36">
        <f t="shared" si="1"/>
        <v>0</v>
      </c>
      <c r="E69" s="36">
        <f t="shared" si="2"/>
        <v>0</v>
      </c>
      <c r="F69" s="36">
        <f t="shared" si="3"/>
        <v>0</v>
      </c>
      <c r="G69" s="35">
        <f t="shared" si="4"/>
        <v>0</v>
      </c>
      <c r="H69" s="36">
        <f t="shared" si="8"/>
        <v>0</v>
      </c>
    </row>
    <row r="70" spans="1:8" s="38" customFormat="1" ht="12.75" x14ac:dyDescent="0.2">
      <c r="A70" s="40">
        <f>A69</f>
        <v>5</v>
      </c>
      <c r="B70" s="39">
        <f t="shared" si="6"/>
        <v>50</v>
      </c>
      <c r="C70" s="35">
        <f t="shared" si="0"/>
        <v>0</v>
      </c>
      <c r="D70" s="36">
        <f t="shared" si="1"/>
        <v>0</v>
      </c>
      <c r="E70" s="36">
        <f t="shared" si="2"/>
        <v>0</v>
      </c>
      <c r="F70" s="36">
        <f t="shared" si="3"/>
        <v>0</v>
      </c>
      <c r="G70" s="35">
        <f t="shared" si="4"/>
        <v>0</v>
      </c>
      <c r="H70" s="36">
        <f t="shared" si="8"/>
        <v>0</v>
      </c>
    </row>
    <row r="71" spans="1:8" s="38" customFormat="1" ht="12.75" x14ac:dyDescent="0.2">
      <c r="A71" s="40">
        <f t="shared" si="9"/>
        <v>5</v>
      </c>
      <c r="B71" s="39">
        <f t="shared" si="6"/>
        <v>51</v>
      </c>
      <c r="C71" s="35">
        <f t="shared" si="0"/>
        <v>0</v>
      </c>
      <c r="D71" s="36">
        <f t="shared" si="1"/>
        <v>0</v>
      </c>
      <c r="E71" s="36">
        <f t="shared" si="2"/>
        <v>0</v>
      </c>
      <c r="F71" s="36">
        <f t="shared" si="3"/>
        <v>0</v>
      </c>
      <c r="G71" s="35">
        <f t="shared" si="4"/>
        <v>0</v>
      </c>
      <c r="H71" s="36">
        <f t="shared" si="8"/>
        <v>0</v>
      </c>
    </row>
    <row r="72" spans="1:8" s="38" customFormat="1" ht="12.75" x14ac:dyDescent="0.2">
      <c r="A72" s="40">
        <f t="shared" si="9"/>
        <v>5</v>
      </c>
      <c r="B72" s="39">
        <f t="shared" si="6"/>
        <v>52</v>
      </c>
      <c r="C72" s="35">
        <f t="shared" si="0"/>
        <v>0</v>
      </c>
      <c r="D72" s="36">
        <f t="shared" si="1"/>
        <v>0</v>
      </c>
      <c r="E72" s="36">
        <f t="shared" si="2"/>
        <v>0</v>
      </c>
      <c r="F72" s="36">
        <f t="shared" si="3"/>
        <v>0</v>
      </c>
      <c r="G72" s="35">
        <f t="shared" si="4"/>
        <v>0</v>
      </c>
      <c r="H72" s="36">
        <f t="shared" si="8"/>
        <v>0</v>
      </c>
    </row>
    <row r="73" spans="1:8" s="38" customFormat="1" ht="12.75" x14ac:dyDescent="0.2">
      <c r="A73" s="40">
        <f t="shared" si="9"/>
        <v>5</v>
      </c>
      <c r="B73" s="39">
        <f t="shared" si="6"/>
        <v>53</v>
      </c>
      <c r="C73" s="35">
        <f t="shared" si="0"/>
        <v>0</v>
      </c>
      <c r="D73" s="36">
        <f t="shared" si="1"/>
        <v>0</v>
      </c>
      <c r="E73" s="36">
        <f t="shared" si="2"/>
        <v>0</v>
      </c>
      <c r="F73" s="36">
        <f t="shared" si="3"/>
        <v>0</v>
      </c>
      <c r="G73" s="35">
        <f t="shared" si="4"/>
        <v>0</v>
      </c>
      <c r="H73" s="36">
        <f t="shared" si="8"/>
        <v>0</v>
      </c>
    </row>
    <row r="74" spans="1:8" s="38" customFormat="1" ht="12.75" x14ac:dyDescent="0.2">
      <c r="A74" s="40">
        <f t="shared" si="9"/>
        <v>5</v>
      </c>
      <c r="B74" s="39">
        <f t="shared" si="6"/>
        <v>54</v>
      </c>
      <c r="C74" s="35">
        <f t="shared" si="0"/>
        <v>0</v>
      </c>
      <c r="D74" s="36">
        <f t="shared" si="1"/>
        <v>0</v>
      </c>
      <c r="E74" s="36">
        <f t="shared" si="2"/>
        <v>0</v>
      </c>
      <c r="F74" s="36">
        <f t="shared" si="3"/>
        <v>0</v>
      </c>
      <c r="G74" s="35">
        <f t="shared" si="4"/>
        <v>0</v>
      </c>
      <c r="H74" s="36">
        <f t="shared" si="8"/>
        <v>0</v>
      </c>
    </row>
    <row r="75" spans="1:8" s="38" customFormat="1" ht="12.75" x14ac:dyDescent="0.2">
      <c r="A75" s="40">
        <f t="shared" si="9"/>
        <v>5</v>
      </c>
      <c r="B75" s="39">
        <f t="shared" si="6"/>
        <v>55</v>
      </c>
      <c r="C75" s="35">
        <f t="shared" si="0"/>
        <v>0</v>
      </c>
      <c r="D75" s="36">
        <f t="shared" si="1"/>
        <v>0</v>
      </c>
      <c r="E75" s="36">
        <f t="shared" si="2"/>
        <v>0</v>
      </c>
      <c r="F75" s="36">
        <f t="shared" si="3"/>
        <v>0</v>
      </c>
      <c r="G75" s="35">
        <f t="shared" si="4"/>
        <v>0</v>
      </c>
      <c r="H75" s="36">
        <f t="shared" si="8"/>
        <v>0</v>
      </c>
    </row>
    <row r="76" spans="1:8" s="38" customFormat="1" ht="12.75" x14ac:dyDescent="0.2">
      <c r="A76" s="40">
        <f t="shared" si="9"/>
        <v>5</v>
      </c>
      <c r="B76" s="39">
        <f t="shared" si="6"/>
        <v>56</v>
      </c>
      <c r="C76" s="35">
        <f t="shared" si="0"/>
        <v>0</v>
      </c>
      <c r="D76" s="36">
        <f t="shared" si="1"/>
        <v>0</v>
      </c>
      <c r="E76" s="36">
        <f t="shared" si="2"/>
        <v>0</v>
      </c>
      <c r="F76" s="36">
        <f t="shared" si="3"/>
        <v>0</v>
      </c>
      <c r="G76" s="35">
        <f t="shared" si="4"/>
        <v>0</v>
      </c>
      <c r="H76" s="36">
        <f t="shared" si="8"/>
        <v>0</v>
      </c>
    </row>
    <row r="77" spans="1:8" s="38" customFormat="1" ht="12.75" x14ac:dyDescent="0.2">
      <c r="A77" s="40">
        <f t="shared" si="9"/>
        <v>5</v>
      </c>
      <c r="B77" s="39">
        <f t="shared" si="6"/>
        <v>57</v>
      </c>
      <c r="C77" s="35">
        <f t="shared" si="0"/>
        <v>0</v>
      </c>
      <c r="D77" s="36">
        <f t="shared" si="1"/>
        <v>0</v>
      </c>
      <c r="E77" s="36">
        <f t="shared" si="2"/>
        <v>0</v>
      </c>
      <c r="F77" s="36">
        <f t="shared" si="3"/>
        <v>0</v>
      </c>
      <c r="G77" s="35">
        <f t="shared" si="4"/>
        <v>0</v>
      </c>
      <c r="H77" s="36">
        <f t="shared" si="8"/>
        <v>0</v>
      </c>
    </row>
    <row r="78" spans="1:8" s="38" customFormat="1" ht="12.75" x14ac:dyDescent="0.2">
      <c r="A78" s="40">
        <f t="shared" si="9"/>
        <v>5</v>
      </c>
      <c r="B78" s="39">
        <f t="shared" si="6"/>
        <v>58</v>
      </c>
      <c r="C78" s="35">
        <f t="shared" si="0"/>
        <v>0</v>
      </c>
      <c r="D78" s="36">
        <f t="shared" si="1"/>
        <v>0</v>
      </c>
      <c r="E78" s="36">
        <f t="shared" si="2"/>
        <v>0</v>
      </c>
      <c r="F78" s="36">
        <f t="shared" si="3"/>
        <v>0</v>
      </c>
      <c r="G78" s="35">
        <f t="shared" si="4"/>
        <v>0</v>
      </c>
      <c r="H78" s="36">
        <f t="shared" si="8"/>
        <v>0</v>
      </c>
    </row>
    <row r="79" spans="1:8" s="38" customFormat="1" ht="12.75" x14ac:dyDescent="0.2">
      <c r="A79" s="40">
        <f t="shared" si="9"/>
        <v>5</v>
      </c>
      <c r="B79" s="39">
        <f t="shared" si="6"/>
        <v>59</v>
      </c>
      <c r="C79" s="35">
        <f t="shared" si="0"/>
        <v>0</v>
      </c>
      <c r="D79" s="36">
        <f t="shared" si="1"/>
        <v>0</v>
      </c>
      <c r="E79" s="36">
        <f t="shared" si="2"/>
        <v>0</v>
      </c>
      <c r="F79" s="36">
        <f t="shared" si="3"/>
        <v>0</v>
      </c>
      <c r="G79" s="35">
        <f t="shared" si="4"/>
        <v>0</v>
      </c>
      <c r="H79" s="36">
        <f t="shared" si="8"/>
        <v>0</v>
      </c>
    </row>
    <row r="80" spans="1:8" s="38" customFormat="1" ht="12.75" x14ac:dyDescent="0.2">
      <c r="A80" s="40">
        <f t="shared" si="9"/>
        <v>5</v>
      </c>
      <c r="B80" s="39">
        <f t="shared" si="6"/>
        <v>60</v>
      </c>
      <c r="C80" s="35">
        <f t="shared" si="0"/>
        <v>0</v>
      </c>
      <c r="D80" s="36">
        <f t="shared" si="1"/>
        <v>0</v>
      </c>
      <c r="E80" s="36">
        <f t="shared" si="2"/>
        <v>0</v>
      </c>
      <c r="F80" s="36">
        <f t="shared" si="3"/>
        <v>0</v>
      </c>
      <c r="G80" s="35">
        <f t="shared" si="4"/>
        <v>0</v>
      </c>
      <c r="H80" s="36">
        <f t="shared" si="8"/>
        <v>0</v>
      </c>
    </row>
    <row r="81" spans="1:8" s="38" customFormat="1" ht="12.75" x14ac:dyDescent="0.2">
      <c r="A81" s="40">
        <f>A69+1</f>
        <v>6</v>
      </c>
      <c r="B81" s="39">
        <f t="shared" si="6"/>
        <v>61</v>
      </c>
      <c r="C81" s="35">
        <f t="shared" si="0"/>
        <v>0</v>
      </c>
      <c r="D81" s="36">
        <f t="shared" si="1"/>
        <v>0</v>
      </c>
      <c r="E81" s="36">
        <f t="shared" si="2"/>
        <v>0</v>
      </c>
      <c r="F81" s="36">
        <f t="shared" si="3"/>
        <v>0</v>
      </c>
      <c r="G81" s="35">
        <f t="shared" si="4"/>
        <v>0</v>
      </c>
      <c r="H81" s="36">
        <f t="shared" si="8"/>
        <v>0</v>
      </c>
    </row>
    <row r="82" spans="1:8" s="38" customFormat="1" ht="12.75" x14ac:dyDescent="0.2">
      <c r="A82" s="40">
        <f>A81</f>
        <v>6</v>
      </c>
      <c r="B82" s="39">
        <f t="shared" si="6"/>
        <v>62</v>
      </c>
      <c r="C82" s="35">
        <f t="shared" si="0"/>
        <v>0</v>
      </c>
      <c r="D82" s="36">
        <f t="shared" si="1"/>
        <v>0</v>
      </c>
      <c r="E82" s="36">
        <f t="shared" si="2"/>
        <v>0</v>
      </c>
      <c r="F82" s="36">
        <f t="shared" si="3"/>
        <v>0</v>
      </c>
      <c r="G82" s="35">
        <f t="shared" si="4"/>
        <v>0</v>
      </c>
      <c r="H82" s="36">
        <f t="shared" si="8"/>
        <v>0</v>
      </c>
    </row>
    <row r="83" spans="1:8" s="38" customFormat="1" ht="12.75" x14ac:dyDescent="0.2">
      <c r="A83" s="40">
        <f t="shared" si="9"/>
        <v>6</v>
      </c>
      <c r="B83" s="39">
        <f t="shared" si="6"/>
        <v>63</v>
      </c>
      <c r="C83" s="35">
        <f t="shared" si="0"/>
        <v>0</v>
      </c>
      <c r="D83" s="36">
        <f t="shared" si="1"/>
        <v>0</v>
      </c>
      <c r="E83" s="36">
        <f t="shared" si="2"/>
        <v>0</v>
      </c>
      <c r="F83" s="36">
        <f t="shared" si="3"/>
        <v>0</v>
      </c>
      <c r="G83" s="35">
        <f t="shared" si="4"/>
        <v>0</v>
      </c>
      <c r="H83" s="36">
        <f t="shared" si="8"/>
        <v>0</v>
      </c>
    </row>
    <row r="84" spans="1:8" s="38" customFormat="1" ht="12.75" x14ac:dyDescent="0.2">
      <c r="A84" s="40">
        <f t="shared" si="9"/>
        <v>6</v>
      </c>
      <c r="B84" s="39">
        <f t="shared" si="6"/>
        <v>64</v>
      </c>
      <c r="C84" s="35">
        <f t="shared" si="0"/>
        <v>0</v>
      </c>
      <c r="D84" s="36">
        <f t="shared" si="1"/>
        <v>0</v>
      </c>
      <c r="E84" s="36">
        <f t="shared" si="2"/>
        <v>0</v>
      </c>
      <c r="F84" s="36">
        <f t="shared" si="3"/>
        <v>0</v>
      </c>
      <c r="G84" s="35">
        <f t="shared" si="4"/>
        <v>0</v>
      </c>
      <c r="H84" s="36">
        <f t="shared" si="8"/>
        <v>0</v>
      </c>
    </row>
    <row r="85" spans="1:8" s="38" customFormat="1" ht="12.75" x14ac:dyDescent="0.2">
      <c r="A85" s="40">
        <f t="shared" si="9"/>
        <v>6</v>
      </c>
      <c r="B85" s="39">
        <f t="shared" si="6"/>
        <v>65</v>
      </c>
      <c r="C85" s="35">
        <f t="shared" ref="C85:C148" si="10">H84</f>
        <v>0</v>
      </c>
      <c r="D85" s="36">
        <f t="shared" ref="D85:D148" si="11">IF(C85=0,0, IF(AND($G$10, B85&lt;=$G$11), F85, PMT($C$12, $C$14, $C$10)))</f>
        <v>0</v>
      </c>
      <c r="E85" s="36">
        <f t="shared" ref="E85:E148" si="12">IF(AND($G$10, B85&lt;=$G$11), 0, D85-F85)</f>
        <v>0</v>
      </c>
      <c r="F85" s="36">
        <f t="shared" ref="F85:F148" si="13">-H84*$C$12</f>
        <v>0</v>
      </c>
      <c r="G85" s="35">
        <f t="shared" ref="G85:G139" si="14">IF(AND($G$13, B85=$G$14), C85+E85, 0)</f>
        <v>0</v>
      </c>
      <c r="H85" s="36">
        <f t="shared" si="8"/>
        <v>0</v>
      </c>
    </row>
    <row r="86" spans="1:8" s="38" customFormat="1" ht="12.75" x14ac:dyDescent="0.2">
      <c r="A86" s="40">
        <f t="shared" si="9"/>
        <v>6</v>
      </c>
      <c r="B86" s="39">
        <f t="shared" ref="B86:B149" si="15">+B85+1</f>
        <v>66</v>
      </c>
      <c r="C86" s="35">
        <f t="shared" si="10"/>
        <v>0</v>
      </c>
      <c r="D86" s="36">
        <f t="shared" si="11"/>
        <v>0</v>
      </c>
      <c r="E86" s="36">
        <f t="shared" si="12"/>
        <v>0</v>
      </c>
      <c r="F86" s="36">
        <f t="shared" si="13"/>
        <v>0</v>
      </c>
      <c r="G86" s="35">
        <f t="shared" si="14"/>
        <v>0</v>
      </c>
      <c r="H86" s="36">
        <f t="shared" si="8"/>
        <v>0</v>
      </c>
    </row>
    <row r="87" spans="1:8" s="38" customFormat="1" ht="12.75" x14ac:dyDescent="0.2">
      <c r="A87" s="40">
        <f t="shared" si="9"/>
        <v>6</v>
      </c>
      <c r="B87" s="39">
        <f t="shared" si="15"/>
        <v>67</v>
      </c>
      <c r="C87" s="35">
        <f t="shared" si="10"/>
        <v>0</v>
      </c>
      <c r="D87" s="36">
        <f t="shared" si="11"/>
        <v>0</v>
      </c>
      <c r="E87" s="36">
        <f t="shared" si="12"/>
        <v>0</v>
      </c>
      <c r="F87" s="36">
        <f t="shared" si="13"/>
        <v>0</v>
      </c>
      <c r="G87" s="35">
        <f t="shared" si="14"/>
        <v>0</v>
      </c>
      <c r="H87" s="36">
        <f t="shared" si="8"/>
        <v>0</v>
      </c>
    </row>
    <row r="88" spans="1:8" s="38" customFormat="1" ht="12.75" x14ac:dyDescent="0.2">
      <c r="A88" s="40">
        <f t="shared" si="9"/>
        <v>6</v>
      </c>
      <c r="B88" s="39">
        <f t="shared" si="15"/>
        <v>68</v>
      </c>
      <c r="C88" s="35">
        <f t="shared" si="10"/>
        <v>0</v>
      </c>
      <c r="D88" s="36">
        <f t="shared" si="11"/>
        <v>0</v>
      </c>
      <c r="E88" s="36">
        <f t="shared" si="12"/>
        <v>0</v>
      </c>
      <c r="F88" s="36">
        <f t="shared" si="13"/>
        <v>0</v>
      </c>
      <c r="G88" s="35">
        <f t="shared" si="14"/>
        <v>0</v>
      </c>
      <c r="H88" s="36">
        <f t="shared" si="8"/>
        <v>0</v>
      </c>
    </row>
    <row r="89" spans="1:8" s="38" customFormat="1" ht="12.75" x14ac:dyDescent="0.2">
      <c r="A89" s="40">
        <f t="shared" si="9"/>
        <v>6</v>
      </c>
      <c r="B89" s="39">
        <f t="shared" si="15"/>
        <v>69</v>
      </c>
      <c r="C89" s="35">
        <f t="shared" si="10"/>
        <v>0</v>
      </c>
      <c r="D89" s="36">
        <f t="shared" si="11"/>
        <v>0</v>
      </c>
      <c r="E89" s="36">
        <f t="shared" si="12"/>
        <v>0</v>
      </c>
      <c r="F89" s="36">
        <f t="shared" si="13"/>
        <v>0</v>
      </c>
      <c r="G89" s="35">
        <f t="shared" si="14"/>
        <v>0</v>
      </c>
      <c r="H89" s="36">
        <f t="shared" si="8"/>
        <v>0</v>
      </c>
    </row>
    <row r="90" spans="1:8" s="38" customFormat="1" ht="12.75" x14ac:dyDescent="0.2">
      <c r="A90" s="40">
        <f t="shared" si="9"/>
        <v>6</v>
      </c>
      <c r="B90" s="39">
        <f t="shared" si="15"/>
        <v>70</v>
      </c>
      <c r="C90" s="35">
        <f t="shared" si="10"/>
        <v>0</v>
      </c>
      <c r="D90" s="36">
        <f t="shared" si="11"/>
        <v>0</v>
      </c>
      <c r="E90" s="36">
        <f t="shared" si="12"/>
        <v>0</v>
      </c>
      <c r="F90" s="36">
        <f t="shared" si="13"/>
        <v>0</v>
      </c>
      <c r="G90" s="35">
        <f t="shared" si="14"/>
        <v>0</v>
      </c>
      <c r="H90" s="36">
        <f t="shared" si="8"/>
        <v>0</v>
      </c>
    </row>
    <row r="91" spans="1:8" s="38" customFormat="1" ht="12.75" x14ac:dyDescent="0.2">
      <c r="A91" s="40">
        <f t="shared" si="9"/>
        <v>6</v>
      </c>
      <c r="B91" s="39">
        <f t="shared" si="15"/>
        <v>71</v>
      </c>
      <c r="C91" s="35">
        <f t="shared" si="10"/>
        <v>0</v>
      </c>
      <c r="D91" s="36">
        <f t="shared" si="11"/>
        <v>0</v>
      </c>
      <c r="E91" s="36">
        <f t="shared" si="12"/>
        <v>0</v>
      </c>
      <c r="F91" s="36">
        <f t="shared" si="13"/>
        <v>0</v>
      </c>
      <c r="G91" s="35">
        <f t="shared" si="14"/>
        <v>0</v>
      </c>
      <c r="H91" s="36">
        <f t="shared" si="8"/>
        <v>0</v>
      </c>
    </row>
    <row r="92" spans="1:8" s="38" customFormat="1" ht="12.75" x14ac:dyDescent="0.2">
      <c r="A92" s="40">
        <f t="shared" si="9"/>
        <v>6</v>
      </c>
      <c r="B92" s="39">
        <f t="shared" si="15"/>
        <v>72</v>
      </c>
      <c r="C92" s="35">
        <f t="shared" si="10"/>
        <v>0</v>
      </c>
      <c r="D92" s="36">
        <f t="shared" si="11"/>
        <v>0</v>
      </c>
      <c r="E92" s="36">
        <f t="shared" si="12"/>
        <v>0</v>
      </c>
      <c r="F92" s="36">
        <f t="shared" si="13"/>
        <v>0</v>
      </c>
      <c r="G92" s="35">
        <f t="shared" si="14"/>
        <v>0</v>
      </c>
      <c r="H92" s="36">
        <f t="shared" si="8"/>
        <v>0</v>
      </c>
    </row>
    <row r="93" spans="1:8" s="38" customFormat="1" ht="12.75" x14ac:dyDescent="0.2">
      <c r="A93" s="40">
        <f>A81+1</f>
        <v>7</v>
      </c>
      <c r="B93" s="39">
        <f t="shared" si="15"/>
        <v>73</v>
      </c>
      <c r="C93" s="35">
        <f t="shared" si="10"/>
        <v>0</v>
      </c>
      <c r="D93" s="36">
        <f t="shared" si="11"/>
        <v>0</v>
      </c>
      <c r="E93" s="36">
        <f t="shared" si="12"/>
        <v>0</v>
      </c>
      <c r="F93" s="36">
        <f t="shared" si="13"/>
        <v>0</v>
      </c>
      <c r="G93" s="35">
        <f t="shared" si="14"/>
        <v>0</v>
      </c>
      <c r="H93" s="36">
        <f t="shared" si="8"/>
        <v>0</v>
      </c>
    </row>
    <row r="94" spans="1:8" s="38" customFormat="1" ht="12.75" x14ac:dyDescent="0.2">
      <c r="A94" s="40">
        <f>A93</f>
        <v>7</v>
      </c>
      <c r="B94" s="39">
        <f t="shared" si="15"/>
        <v>74</v>
      </c>
      <c r="C94" s="35">
        <f t="shared" si="10"/>
        <v>0</v>
      </c>
      <c r="D94" s="36">
        <f t="shared" si="11"/>
        <v>0</v>
      </c>
      <c r="E94" s="36">
        <f t="shared" si="12"/>
        <v>0</v>
      </c>
      <c r="F94" s="36">
        <f t="shared" si="13"/>
        <v>0</v>
      </c>
      <c r="G94" s="35">
        <f t="shared" si="14"/>
        <v>0</v>
      </c>
      <c r="H94" s="36">
        <f t="shared" si="8"/>
        <v>0</v>
      </c>
    </row>
    <row r="95" spans="1:8" s="38" customFormat="1" ht="12.75" x14ac:dyDescent="0.2">
      <c r="A95" s="40">
        <f t="shared" si="9"/>
        <v>7</v>
      </c>
      <c r="B95" s="39">
        <f t="shared" si="15"/>
        <v>75</v>
      </c>
      <c r="C95" s="35">
        <f t="shared" si="10"/>
        <v>0</v>
      </c>
      <c r="D95" s="36">
        <f t="shared" si="11"/>
        <v>0</v>
      </c>
      <c r="E95" s="36">
        <f t="shared" si="12"/>
        <v>0</v>
      </c>
      <c r="F95" s="36">
        <f t="shared" si="13"/>
        <v>0</v>
      </c>
      <c r="G95" s="35">
        <f t="shared" si="14"/>
        <v>0</v>
      </c>
      <c r="H95" s="36">
        <f t="shared" si="8"/>
        <v>0</v>
      </c>
    </row>
    <row r="96" spans="1:8" s="38" customFormat="1" ht="12.75" x14ac:dyDescent="0.2">
      <c r="A96" s="40">
        <f t="shared" si="9"/>
        <v>7</v>
      </c>
      <c r="B96" s="39">
        <f t="shared" si="15"/>
        <v>76</v>
      </c>
      <c r="C96" s="35">
        <f t="shared" si="10"/>
        <v>0</v>
      </c>
      <c r="D96" s="36">
        <f t="shared" si="11"/>
        <v>0</v>
      </c>
      <c r="E96" s="36">
        <f t="shared" si="12"/>
        <v>0</v>
      </c>
      <c r="F96" s="36">
        <f t="shared" si="13"/>
        <v>0</v>
      </c>
      <c r="G96" s="35">
        <f t="shared" si="14"/>
        <v>0</v>
      </c>
      <c r="H96" s="36">
        <f t="shared" si="8"/>
        <v>0</v>
      </c>
    </row>
    <row r="97" spans="1:8" s="38" customFormat="1" ht="12.75" x14ac:dyDescent="0.2">
      <c r="A97" s="40">
        <f t="shared" si="9"/>
        <v>7</v>
      </c>
      <c r="B97" s="39">
        <f t="shared" si="15"/>
        <v>77</v>
      </c>
      <c r="C97" s="35">
        <f t="shared" si="10"/>
        <v>0</v>
      </c>
      <c r="D97" s="36">
        <f t="shared" si="11"/>
        <v>0</v>
      </c>
      <c r="E97" s="36">
        <f t="shared" si="12"/>
        <v>0</v>
      </c>
      <c r="F97" s="36">
        <f t="shared" si="13"/>
        <v>0</v>
      </c>
      <c r="G97" s="35">
        <f t="shared" si="14"/>
        <v>0</v>
      </c>
      <c r="H97" s="36">
        <f t="shared" si="8"/>
        <v>0</v>
      </c>
    </row>
    <row r="98" spans="1:8" s="38" customFormat="1" ht="12.75" x14ac:dyDescent="0.2">
      <c r="A98" s="40">
        <f t="shared" si="9"/>
        <v>7</v>
      </c>
      <c r="B98" s="39">
        <f t="shared" si="15"/>
        <v>78</v>
      </c>
      <c r="C98" s="35">
        <f t="shared" si="10"/>
        <v>0</v>
      </c>
      <c r="D98" s="36">
        <f t="shared" si="11"/>
        <v>0</v>
      </c>
      <c r="E98" s="36">
        <f t="shared" si="12"/>
        <v>0</v>
      </c>
      <c r="F98" s="36">
        <f t="shared" si="13"/>
        <v>0</v>
      </c>
      <c r="G98" s="35">
        <f t="shared" si="14"/>
        <v>0</v>
      </c>
      <c r="H98" s="36">
        <f t="shared" si="8"/>
        <v>0</v>
      </c>
    </row>
    <row r="99" spans="1:8" s="38" customFormat="1" ht="12.75" x14ac:dyDescent="0.2">
      <c r="A99" s="40">
        <f t="shared" si="9"/>
        <v>7</v>
      </c>
      <c r="B99" s="39">
        <f t="shared" si="15"/>
        <v>79</v>
      </c>
      <c r="C99" s="35">
        <f t="shared" si="10"/>
        <v>0</v>
      </c>
      <c r="D99" s="36">
        <f t="shared" si="11"/>
        <v>0</v>
      </c>
      <c r="E99" s="36">
        <f t="shared" si="12"/>
        <v>0</v>
      </c>
      <c r="F99" s="36">
        <f t="shared" si="13"/>
        <v>0</v>
      </c>
      <c r="G99" s="35">
        <f t="shared" si="14"/>
        <v>0</v>
      </c>
      <c r="H99" s="36">
        <f t="shared" si="8"/>
        <v>0</v>
      </c>
    </row>
    <row r="100" spans="1:8" s="38" customFormat="1" ht="12.75" x14ac:dyDescent="0.2">
      <c r="A100" s="40">
        <f t="shared" si="9"/>
        <v>7</v>
      </c>
      <c r="B100" s="39">
        <f t="shared" si="15"/>
        <v>80</v>
      </c>
      <c r="C100" s="35">
        <f t="shared" si="10"/>
        <v>0</v>
      </c>
      <c r="D100" s="36">
        <f t="shared" si="11"/>
        <v>0</v>
      </c>
      <c r="E100" s="36">
        <f t="shared" si="12"/>
        <v>0</v>
      </c>
      <c r="F100" s="36">
        <f t="shared" si="13"/>
        <v>0</v>
      </c>
      <c r="G100" s="35">
        <f t="shared" si="14"/>
        <v>0</v>
      </c>
      <c r="H100" s="36">
        <f t="shared" si="8"/>
        <v>0</v>
      </c>
    </row>
    <row r="101" spans="1:8" s="38" customFormat="1" ht="12.75" x14ac:dyDescent="0.2">
      <c r="A101" s="40">
        <f t="shared" si="9"/>
        <v>7</v>
      </c>
      <c r="B101" s="39">
        <f t="shared" si="15"/>
        <v>81</v>
      </c>
      <c r="C101" s="35">
        <f t="shared" si="10"/>
        <v>0</v>
      </c>
      <c r="D101" s="36">
        <f t="shared" si="11"/>
        <v>0</v>
      </c>
      <c r="E101" s="36">
        <f t="shared" si="12"/>
        <v>0</v>
      </c>
      <c r="F101" s="36">
        <f t="shared" si="13"/>
        <v>0</v>
      </c>
      <c r="G101" s="35">
        <f t="shared" si="14"/>
        <v>0</v>
      </c>
      <c r="H101" s="36">
        <f t="shared" si="8"/>
        <v>0</v>
      </c>
    </row>
    <row r="102" spans="1:8" s="38" customFormat="1" ht="12.75" x14ac:dyDescent="0.2">
      <c r="A102" s="40">
        <f t="shared" si="9"/>
        <v>7</v>
      </c>
      <c r="B102" s="39">
        <f t="shared" si="15"/>
        <v>82</v>
      </c>
      <c r="C102" s="35">
        <f t="shared" si="10"/>
        <v>0</v>
      </c>
      <c r="D102" s="36">
        <f t="shared" si="11"/>
        <v>0</v>
      </c>
      <c r="E102" s="36">
        <f t="shared" si="12"/>
        <v>0</v>
      </c>
      <c r="F102" s="36">
        <f t="shared" si="13"/>
        <v>0</v>
      </c>
      <c r="G102" s="35">
        <f t="shared" si="14"/>
        <v>0</v>
      </c>
      <c r="H102" s="36">
        <f t="shared" si="8"/>
        <v>0</v>
      </c>
    </row>
    <row r="103" spans="1:8" s="38" customFormat="1" ht="12.75" x14ac:dyDescent="0.2">
      <c r="A103" s="40">
        <f t="shared" si="9"/>
        <v>7</v>
      </c>
      <c r="B103" s="39">
        <f t="shared" si="15"/>
        <v>83</v>
      </c>
      <c r="C103" s="35">
        <f t="shared" si="10"/>
        <v>0</v>
      </c>
      <c r="D103" s="36">
        <f t="shared" si="11"/>
        <v>0</v>
      </c>
      <c r="E103" s="36">
        <f t="shared" si="12"/>
        <v>0</v>
      </c>
      <c r="F103" s="36">
        <f t="shared" si="13"/>
        <v>0</v>
      </c>
      <c r="G103" s="35">
        <f t="shared" si="14"/>
        <v>0</v>
      </c>
      <c r="H103" s="36">
        <f t="shared" si="8"/>
        <v>0</v>
      </c>
    </row>
    <row r="104" spans="1:8" s="38" customFormat="1" ht="12.75" x14ac:dyDescent="0.2">
      <c r="A104" s="40">
        <f t="shared" si="9"/>
        <v>7</v>
      </c>
      <c r="B104" s="39">
        <f t="shared" si="15"/>
        <v>84</v>
      </c>
      <c r="C104" s="35">
        <f t="shared" si="10"/>
        <v>0</v>
      </c>
      <c r="D104" s="36">
        <f t="shared" si="11"/>
        <v>0</v>
      </c>
      <c r="E104" s="36">
        <f t="shared" si="12"/>
        <v>0</v>
      </c>
      <c r="F104" s="36">
        <f t="shared" si="13"/>
        <v>0</v>
      </c>
      <c r="G104" s="35">
        <f t="shared" si="14"/>
        <v>0</v>
      </c>
      <c r="H104" s="36">
        <f t="shared" si="8"/>
        <v>0</v>
      </c>
    </row>
    <row r="105" spans="1:8" s="38" customFormat="1" ht="12.75" x14ac:dyDescent="0.2">
      <c r="A105" s="40">
        <f>A93+1</f>
        <v>8</v>
      </c>
      <c r="B105" s="39">
        <f t="shared" si="15"/>
        <v>85</v>
      </c>
      <c r="C105" s="35">
        <f t="shared" si="10"/>
        <v>0</v>
      </c>
      <c r="D105" s="36">
        <f t="shared" si="11"/>
        <v>0</v>
      </c>
      <c r="E105" s="36">
        <f t="shared" si="12"/>
        <v>0</v>
      </c>
      <c r="F105" s="36">
        <f t="shared" si="13"/>
        <v>0</v>
      </c>
      <c r="G105" s="35">
        <f t="shared" si="14"/>
        <v>0</v>
      </c>
      <c r="H105" s="36">
        <f t="shared" si="8"/>
        <v>0</v>
      </c>
    </row>
    <row r="106" spans="1:8" s="38" customFormat="1" ht="12.75" x14ac:dyDescent="0.2">
      <c r="A106" s="40">
        <f>A105</f>
        <v>8</v>
      </c>
      <c r="B106" s="39">
        <f t="shared" si="15"/>
        <v>86</v>
      </c>
      <c r="C106" s="35">
        <f t="shared" si="10"/>
        <v>0</v>
      </c>
      <c r="D106" s="36">
        <f t="shared" si="11"/>
        <v>0</v>
      </c>
      <c r="E106" s="36">
        <f t="shared" si="12"/>
        <v>0</v>
      </c>
      <c r="F106" s="36">
        <f t="shared" si="13"/>
        <v>0</v>
      </c>
      <c r="G106" s="35">
        <f t="shared" si="14"/>
        <v>0</v>
      </c>
      <c r="H106" s="36">
        <f t="shared" si="8"/>
        <v>0</v>
      </c>
    </row>
    <row r="107" spans="1:8" s="38" customFormat="1" ht="12.75" x14ac:dyDescent="0.2">
      <c r="A107" s="40">
        <f t="shared" si="9"/>
        <v>8</v>
      </c>
      <c r="B107" s="39">
        <f t="shared" si="15"/>
        <v>87</v>
      </c>
      <c r="C107" s="35">
        <f t="shared" si="10"/>
        <v>0</v>
      </c>
      <c r="D107" s="36">
        <f t="shared" si="11"/>
        <v>0</v>
      </c>
      <c r="E107" s="36">
        <f t="shared" si="12"/>
        <v>0</v>
      </c>
      <c r="F107" s="36">
        <f t="shared" si="13"/>
        <v>0</v>
      </c>
      <c r="G107" s="35">
        <f t="shared" si="14"/>
        <v>0</v>
      </c>
      <c r="H107" s="36">
        <f t="shared" si="8"/>
        <v>0</v>
      </c>
    </row>
    <row r="108" spans="1:8" s="38" customFormat="1" ht="12.75" x14ac:dyDescent="0.2">
      <c r="A108" s="40">
        <f t="shared" si="9"/>
        <v>8</v>
      </c>
      <c r="B108" s="39">
        <f t="shared" si="15"/>
        <v>88</v>
      </c>
      <c r="C108" s="35">
        <f t="shared" si="10"/>
        <v>0</v>
      </c>
      <c r="D108" s="36">
        <f t="shared" si="11"/>
        <v>0</v>
      </c>
      <c r="E108" s="36">
        <f t="shared" si="12"/>
        <v>0</v>
      </c>
      <c r="F108" s="36">
        <f t="shared" si="13"/>
        <v>0</v>
      </c>
      <c r="G108" s="35">
        <f t="shared" si="14"/>
        <v>0</v>
      </c>
      <c r="H108" s="36">
        <f t="shared" si="8"/>
        <v>0</v>
      </c>
    </row>
    <row r="109" spans="1:8" s="38" customFormat="1" ht="12.75" x14ac:dyDescent="0.2">
      <c r="A109" s="40">
        <f t="shared" si="9"/>
        <v>8</v>
      </c>
      <c r="B109" s="39">
        <f t="shared" si="15"/>
        <v>89</v>
      </c>
      <c r="C109" s="35">
        <f t="shared" si="10"/>
        <v>0</v>
      </c>
      <c r="D109" s="36">
        <f t="shared" si="11"/>
        <v>0</v>
      </c>
      <c r="E109" s="36">
        <f t="shared" si="12"/>
        <v>0</v>
      </c>
      <c r="F109" s="36">
        <f t="shared" si="13"/>
        <v>0</v>
      </c>
      <c r="G109" s="35">
        <f t="shared" si="14"/>
        <v>0</v>
      </c>
      <c r="H109" s="36">
        <f t="shared" ref="H109:H172" si="16">IF(C109+E109-G109&lt;=0, 0, C109+E109-G109)</f>
        <v>0</v>
      </c>
    </row>
    <row r="110" spans="1:8" s="38" customFormat="1" ht="12.75" x14ac:dyDescent="0.2">
      <c r="A110" s="40">
        <f t="shared" ref="A110:A173" si="17">A109</f>
        <v>8</v>
      </c>
      <c r="B110" s="39">
        <f t="shared" si="15"/>
        <v>90</v>
      </c>
      <c r="C110" s="35">
        <f t="shared" si="10"/>
        <v>0</v>
      </c>
      <c r="D110" s="36">
        <f t="shared" si="11"/>
        <v>0</v>
      </c>
      <c r="E110" s="36">
        <f t="shared" si="12"/>
        <v>0</v>
      </c>
      <c r="F110" s="36">
        <f t="shared" si="13"/>
        <v>0</v>
      </c>
      <c r="G110" s="35">
        <f t="shared" si="14"/>
        <v>0</v>
      </c>
      <c r="H110" s="36">
        <f t="shared" si="16"/>
        <v>0</v>
      </c>
    </row>
    <row r="111" spans="1:8" s="38" customFormat="1" ht="12.75" x14ac:dyDescent="0.2">
      <c r="A111" s="40">
        <f t="shared" si="17"/>
        <v>8</v>
      </c>
      <c r="B111" s="39">
        <f t="shared" si="15"/>
        <v>91</v>
      </c>
      <c r="C111" s="35">
        <f t="shared" si="10"/>
        <v>0</v>
      </c>
      <c r="D111" s="36">
        <f t="shared" si="11"/>
        <v>0</v>
      </c>
      <c r="E111" s="36">
        <f t="shared" si="12"/>
        <v>0</v>
      </c>
      <c r="F111" s="36">
        <f t="shared" si="13"/>
        <v>0</v>
      </c>
      <c r="G111" s="35">
        <f t="shared" si="14"/>
        <v>0</v>
      </c>
      <c r="H111" s="36">
        <f t="shared" si="16"/>
        <v>0</v>
      </c>
    </row>
    <row r="112" spans="1:8" s="38" customFormat="1" ht="12.75" x14ac:dyDescent="0.2">
      <c r="A112" s="40">
        <f t="shared" si="17"/>
        <v>8</v>
      </c>
      <c r="B112" s="39">
        <f t="shared" si="15"/>
        <v>92</v>
      </c>
      <c r="C112" s="35">
        <f t="shared" si="10"/>
        <v>0</v>
      </c>
      <c r="D112" s="36">
        <f t="shared" si="11"/>
        <v>0</v>
      </c>
      <c r="E112" s="36">
        <f t="shared" si="12"/>
        <v>0</v>
      </c>
      <c r="F112" s="36">
        <f t="shared" si="13"/>
        <v>0</v>
      </c>
      <c r="G112" s="35">
        <f t="shared" si="14"/>
        <v>0</v>
      </c>
      <c r="H112" s="36">
        <f t="shared" si="16"/>
        <v>0</v>
      </c>
    </row>
    <row r="113" spans="1:8" s="38" customFormat="1" ht="12.75" x14ac:dyDescent="0.2">
      <c r="A113" s="40">
        <f t="shared" si="17"/>
        <v>8</v>
      </c>
      <c r="B113" s="39">
        <f t="shared" si="15"/>
        <v>93</v>
      </c>
      <c r="C113" s="35">
        <f t="shared" si="10"/>
        <v>0</v>
      </c>
      <c r="D113" s="36">
        <f t="shared" si="11"/>
        <v>0</v>
      </c>
      <c r="E113" s="36">
        <f t="shared" si="12"/>
        <v>0</v>
      </c>
      <c r="F113" s="36">
        <f t="shared" si="13"/>
        <v>0</v>
      </c>
      <c r="G113" s="35">
        <f t="shared" si="14"/>
        <v>0</v>
      </c>
      <c r="H113" s="36">
        <f t="shared" si="16"/>
        <v>0</v>
      </c>
    </row>
    <row r="114" spans="1:8" s="38" customFormat="1" ht="12.75" x14ac:dyDescent="0.2">
      <c r="A114" s="40">
        <f t="shared" si="17"/>
        <v>8</v>
      </c>
      <c r="B114" s="39">
        <f t="shared" si="15"/>
        <v>94</v>
      </c>
      <c r="C114" s="35">
        <f t="shared" si="10"/>
        <v>0</v>
      </c>
      <c r="D114" s="36">
        <f t="shared" si="11"/>
        <v>0</v>
      </c>
      <c r="E114" s="36">
        <f t="shared" si="12"/>
        <v>0</v>
      </c>
      <c r="F114" s="36">
        <f t="shared" si="13"/>
        <v>0</v>
      </c>
      <c r="G114" s="35">
        <f t="shared" si="14"/>
        <v>0</v>
      </c>
      <c r="H114" s="36">
        <f t="shared" si="16"/>
        <v>0</v>
      </c>
    </row>
    <row r="115" spans="1:8" s="38" customFormat="1" ht="12.75" x14ac:dyDescent="0.2">
      <c r="A115" s="40">
        <f t="shared" si="17"/>
        <v>8</v>
      </c>
      <c r="B115" s="39">
        <f t="shared" si="15"/>
        <v>95</v>
      </c>
      <c r="C115" s="35">
        <f t="shared" si="10"/>
        <v>0</v>
      </c>
      <c r="D115" s="36">
        <f t="shared" si="11"/>
        <v>0</v>
      </c>
      <c r="E115" s="36">
        <f t="shared" si="12"/>
        <v>0</v>
      </c>
      <c r="F115" s="36">
        <f t="shared" si="13"/>
        <v>0</v>
      </c>
      <c r="G115" s="35">
        <f t="shared" si="14"/>
        <v>0</v>
      </c>
      <c r="H115" s="36">
        <f t="shared" si="16"/>
        <v>0</v>
      </c>
    </row>
    <row r="116" spans="1:8" s="38" customFormat="1" ht="12.75" x14ac:dyDescent="0.2">
      <c r="A116" s="40">
        <f t="shared" si="17"/>
        <v>8</v>
      </c>
      <c r="B116" s="39">
        <f t="shared" si="15"/>
        <v>96</v>
      </c>
      <c r="C116" s="35">
        <f t="shared" si="10"/>
        <v>0</v>
      </c>
      <c r="D116" s="36">
        <f t="shared" si="11"/>
        <v>0</v>
      </c>
      <c r="E116" s="36">
        <f t="shared" si="12"/>
        <v>0</v>
      </c>
      <c r="F116" s="36">
        <f t="shared" si="13"/>
        <v>0</v>
      </c>
      <c r="G116" s="35">
        <f t="shared" si="14"/>
        <v>0</v>
      </c>
      <c r="H116" s="36">
        <f t="shared" si="16"/>
        <v>0</v>
      </c>
    </row>
    <row r="117" spans="1:8" s="38" customFormat="1" ht="12.75" x14ac:dyDescent="0.2">
      <c r="A117" s="40">
        <f>A105+1</f>
        <v>9</v>
      </c>
      <c r="B117" s="39">
        <f t="shared" si="15"/>
        <v>97</v>
      </c>
      <c r="C117" s="35">
        <f t="shared" si="10"/>
        <v>0</v>
      </c>
      <c r="D117" s="36">
        <f t="shared" si="11"/>
        <v>0</v>
      </c>
      <c r="E117" s="36">
        <f t="shared" si="12"/>
        <v>0</v>
      </c>
      <c r="F117" s="36">
        <f t="shared" si="13"/>
        <v>0</v>
      </c>
      <c r="G117" s="35">
        <f t="shared" si="14"/>
        <v>0</v>
      </c>
      <c r="H117" s="36">
        <f t="shared" si="16"/>
        <v>0</v>
      </c>
    </row>
    <row r="118" spans="1:8" s="38" customFormat="1" ht="12.75" x14ac:dyDescent="0.2">
      <c r="A118" s="40">
        <f>A117</f>
        <v>9</v>
      </c>
      <c r="B118" s="39">
        <f t="shared" si="15"/>
        <v>98</v>
      </c>
      <c r="C118" s="35">
        <f t="shared" si="10"/>
        <v>0</v>
      </c>
      <c r="D118" s="36">
        <f t="shared" si="11"/>
        <v>0</v>
      </c>
      <c r="E118" s="36">
        <f t="shared" si="12"/>
        <v>0</v>
      </c>
      <c r="F118" s="36">
        <f t="shared" si="13"/>
        <v>0</v>
      </c>
      <c r="G118" s="35">
        <f t="shared" si="14"/>
        <v>0</v>
      </c>
      <c r="H118" s="36">
        <f t="shared" si="16"/>
        <v>0</v>
      </c>
    </row>
    <row r="119" spans="1:8" s="38" customFormat="1" ht="12.75" x14ac:dyDescent="0.2">
      <c r="A119" s="40">
        <f t="shared" si="17"/>
        <v>9</v>
      </c>
      <c r="B119" s="39">
        <f t="shared" si="15"/>
        <v>99</v>
      </c>
      <c r="C119" s="35">
        <f t="shared" si="10"/>
        <v>0</v>
      </c>
      <c r="D119" s="36">
        <f t="shared" si="11"/>
        <v>0</v>
      </c>
      <c r="E119" s="36">
        <f t="shared" si="12"/>
        <v>0</v>
      </c>
      <c r="F119" s="36">
        <f t="shared" si="13"/>
        <v>0</v>
      </c>
      <c r="G119" s="35">
        <f t="shared" si="14"/>
        <v>0</v>
      </c>
      <c r="H119" s="36">
        <f t="shared" si="16"/>
        <v>0</v>
      </c>
    </row>
    <row r="120" spans="1:8" s="38" customFormat="1" ht="12.75" x14ac:dyDescent="0.2">
      <c r="A120" s="40">
        <f t="shared" si="17"/>
        <v>9</v>
      </c>
      <c r="B120" s="39">
        <f t="shared" si="15"/>
        <v>100</v>
      </c>
      <c r="C120" s="35">
        <f t="shared" si="10"/>
        <v>0</v>
      </c>
      <c r="D120" s="36">
        <f t="shared" si="11"/>
        <v>0</v>
      </c>
      <c r="E120" s="36">
        <f t="shared" si="12"/>
        <v>0</v>
      </c>
      <c r="F120" s="36">
        <f t="shared" si="13"/>
        <v>0</v>
      </c>
      <c r="G120" s="35">
        <f t="shared" si="14"/>
        <v>0</v>
      </c>
      <c r="H120" s="36">
        <f t="shared" si="16"/>
        <v>0</v>
      </c>
    </row>
    <row r="121" spans="1:8" s="38" customFormat="1" ht="12.75" x14ac:dyDescent="0.2">
      <c r="A121" s="40">
        <f t="shared" si="17"/>
        <v>9</v>
      </c>
      <c r="B121" s="39">
        <f t="shared" si="15"/>
        <v>101</v>
      </c>
      <c r="C121" s="35">
        <f t="shared" si="10"/>
        <v>0</v>
      </c>
      <c r="D121" s="36">
        <f t="shared" si="11"/>
        <v>0</v>
      </c>
      <c r="E121" s="36">
        <f t="shared" si="12"/>
        <v>0</v>
      </c>
      <c r="F121" s="36">
        <f t="shared" si="13"/>
        <v>0</v>
      </c>
      <c r="G121" s="35">
        <f t="shared" si="14"/>
        <v>0</v>
      </c>
      <c r="H121" s="36">
        <f t="shared" si="16"/>
        <v>0</v>
      </c>
    </row>
    <row r="122" spans="1:8" s="38" customFormat="1" ht="12.75" x14ac:dyDescent="0.2">
      <c r="A122" s="40">
        <f t="shared" si="17"/>
        <v>9</v>
      </c>
      <c r="B122" s="39">
        <f t="shared" si="15"/>
        <v>102</v>
      </c>
      <c r="C122" s="35">
        <f t="shared" si="10"/>
        <v>0</v>
      </c>
      <c r="D122" s="36">
        <f t="shared" si="11"/>
        <v>0</v>
      </c>
      <c r="E122" s="36">
        <f t="shared" si="12"/>
        <v>0</v>
      </c>
      <c r="F122" s="36">
        <f t="shared" si="13"/>
        <v>0</v>
      </c>
      <c r="G122" s="35">
        <f t="shared" si="14"/>
        <v>0</v>
      </c>
      <c r="H122" s="36">
        <f t="shared" si="16"/>
        <v>0</v>
      </c>
    </row>
    <row r="123" spans="1:8" s="38" customFormat="1" ht="12.75" x14ac:dyDescent="0.2">
      <c r="A123" s="40">
        <f t="shared" si="17"/>
        <v>9</v>
      </c>
      <c r="B123" s="39">
        <f t="shared" si="15"/>
        <v>103</v>
      </c>
      <c r="C123" s="35">
        <f t="shared" si="10"/>
        <v>0</v>
      </c>
      <c r="D123" s="36">
        <f t="shared" si="11"/>
        <v>0</v>
      </c>
      <c r="E123" s="36">
        <f t="shared" si="12"/>
        <v>0</v>
      </c>
      <c r="F123" s="36">
        <f t="shared" si="13"/>
        <v>0</v>
      </c>
      <c r="G123" s="35">
        <f t="shared" si="14"/>
        <v>0</v>
      </c>
      <c r="H123" s="36">
        <f t="shared" si="16"/>
        <v>0</v>
      </c>
    </row>
    <row r="124" spans="1:8" s="38" customFormat="1" ht="12.75" x14ac:dyDescent="0.2">
      <c r="A124" s="40">
        <f t="shared" si="17"/>
        <v>9</v>
      </c>
      <c r="B124" s="39">
        <f t="shared" si="15"/>
        <v>104</v>
      </c>
      <c r="C124" s="35">
        <f t="shared" si="10"/>
        <v>0</v>
      </c>
      <c r="D124" s="36">
        <f t="shared" si="11"/>
        <v>0</v>
      </c>
      <c r="E124" s="36">
        <f t="shared" si="12"/>
        <v>0</v>
      </c>
      <c r="F124" s="36">
        <f t="shared" si="13"/>
        <v>0</v>
      </c>
      <c r="G124" s="35">
        <f t="shared" si="14"/>
        <v>0</v>
      </c>
      <c r="H124" s="36">
        <f t="shared" si="16"/>
        <v>0</v>
      </c>
    </row>
    <row r="125" spans="1:8" s="38" customFormat="1" ht="12.75" x14ac:dyDescent="0.2">
      <c r="A125" s="40">
        <f t="shared" si="17"/>
        <v>9</v>
      </c>
      <c r="B125" s="39">
        <f t="shared" si="15"/>
        <v>105</v>
      </c>
      <c r="C125" s="35">
        <f t="shared" si="10"/>
        <v>0</v>
      </c>
      <c r="D125" s="36">
        <f t="shared" si="11"/>
        <v>0</v>
      </c>
      <c r="E125" s="36">
        <f t="shared" si="12"/>
        <v>0</v>
      </c>
      <c r="F125" s="36">
        <f t="shared" si="13"/>
        <v>0</v>
      </c>
      <c r="G125" s="35">
        <f t="shared" si="14"/>
        <v>0</v>
      </c>
      <c r="H125" s="36">
        <f t="shared" si="16"/>
        <v>0</v>
      </c>
    </row>
    <row r="126" spans="1:8" s="38" customFormat="1" ht="12.75" x14ac:dyDescent="0.2">
      <c r="A126" s="40">
        <f t="shared" si="17"/>
        <v>9</v>
      </c>
      <c r="B126" s="39">
        <f t="shared" si="15"/>
        <v>106</v>
      </c>
      <c r="C126" s="35">
        <f t="shared" si="10"/>
        <v>0</v>
      </c>
      <c r="D126" s="36">
        <f t="shared" si="11"/>
        <v>0</v>
      </c>
      <c r="E126" s="36">
        <f t="shared" si="12"/>
        <v>0</v>
      </c>
      <c r="F126" s="36">
        <f t="shared" si="13"/>
        <v>0</v>
      </c>
      <c r="G126" s="35">
        <f t="shared" si="14"/>
        <v>0</v>
      </c>
      <c r="H126" s="36">
        <f t="shared" si="16"/>
        <v>0</v>
      </c>
    </row>
    <row r="127" spans="1:8" s="38" customFormat="1" ht="12.75" x14ac:dyDescent="0.2">
      <c r="A127" s="40">
        <f t="shared" si="17"/>
        <v>9</v>
      </c>
      <c r="B127" s="39">
        <f t="shared" si="15"/>
        <v>107</v>
      </c>
      <c r="C127" s="35">
        <f t="shared" si="10"/>
        <v>0</v>
      </c>
      <c r="D127" s="36">
        <f t="shared" si="11"/>
        <v>0</v>
      </c>
      <c r="E127" s="36">
        <f t="shared" si="12"/>
        <v>0</v>
      </c>
      <c r="F127" s="36">
        <f t="shared" si="13"/>
        <v>0</v>
      </c>
      <c r="G127" s="35">
        <f t="shared" si="14"/>
        <v>0</v>
      </c>
      <c r="H127" s="36">
        <f t="shared" si="16"/>
        <v>0</v>
      </c>
    </row>
    <row r="128" spans="1:8" s="38" customFormat="1" ht="12.75" x14ac:dyDescent="0.2">
      <c r="A128" s="40">
        <f t="shared" si="17"/>
        <v>9</v>
      </c>
      <c r="B128" s="39">
        <f t="shared" si="15"/>
        <v>108</v>
      </c>
      <c r="C128" s="35">
        <f t="shared" si="10"/>
        <v>0</v>
      </c>
      <c r="D128" s="36">
        <f t="shared" si="11"/>
        <v>0</v>
      </c>
      <c r="E128" s="36">
        <f t="shared" si="12"/>
        <v>0</v>
      </c>
      <c r="F128" s="36">
        <f t="shared" si="13"/>
        <v>0</v>
      </c>
      <c r="G128" s="35">
        <f t="shared" si="14"/>
        <v>0</v>
      </c>
      <c r="H128" s="36">
        <f t="shared" si="16"/>
        <v>0</v>
      </c>
    </row>
    <row r="129" spans="1:8" s="38" customFormat="1" ht="12.75" x14ac:dyDescent="0.2">
      <c r="A129" s="40">
        <f>A117+1</f>
        <v>10</v>
      </c>
      <c r="B129" s="39">
        <f t="shared" si="15"/>
        <v>109</v>
      </c>
      <c r="C129" s="35">
        <f t="shared" si="10"/>
        <v>0</v>
      </c>
      <c r="D129" s="36">
        <f t="shared" si="11"/>
        <v>0</v>
      </c>
      <c r="E129" s="36">
        <f t="shared" si="12"/>
        <v>0</v>
      </c>
      <c r="F129" s="36">
        <f t="shared" si="13"/>
        <v>0</v>
      </c>
      <c r="G129" s="35">
        <f t="shared" si="14"/>
        <v>0</v>
      </c>
      <c r="H129" s="36">
        <f t="shared" si="16"/>
        <v>0</v>
      </c>
    </row>
    <row r="130" spans="1:8" s="38" customFormat="1" ht="12.75" x14ac:dyDescent="0.2">
      <c r="A130" s="40">
        <f>A129</f>
        <v>10</v>
      </c>
      <c r="B130" s="39">
        <f t="shared" si="15"/>
        <v>110</v>
      </c>
      <c r="C130" s="35">
        <f t="shared" si="10"/>
        <v>0</v>
      </c>
      <c r="D130" s="36">
        <f t="shared" si="11"/>
        <v>0</v>
      </c>
      <c r="E130" s="36">
        <f t="shared" si="12"/>
        <v>0</v>
      </c>
      <c r="F130" s="36">
        <f t="shared" si="13"/>
        <v>0</v>
      </c>
      <c r="G130" s="35">
        <f t="shared" si="14"/>
        <v>0</v>
      </c>
      <c r="H130" s="36">
        <f t="shared" si="16"/>
        <v>0</v>
      </c>
    </row>
    <row r="131" spans="1:8" s="38" customFormat="1" ht="12.75" x14ac:dyDescent="0.2">
      <c r="A131" s="40">
        <f t="shared" si="17"/>
        <v>10</v>
      </c>
      <c r="B131" s="39">
        <f t="shared" si="15"/>
        <v>111</v>
      </c>
      <c r="C131" s="35">
        <f t="shared" si="10"/>
        <v>0</v>
      </c>
      <c r="D131" s="36">
        <f t="shared" si="11"/>
        <v>0</v>
      </c>
      <c r="E131" s="36">
        <f t="shared" si="12"/>
        <v>0</v>
      </c>
      <c r="F131" s="36">
        <f t="shared" si="13"/>
        <v>0</v>
      </c>
      <c r="G131" s="35">
        <f t="shared" si="14"/>
        <v>0</v>
      </c>
      <c r="H131" s="36">
        <f t="shared" si="16"/>
        <v>0</v>
      </c>
    </row>
    <row r="132" spans="1:8" s="38" customFormat="1" ht="12.75" x14ac:dyDescent="0.2">
      <c r="A132" s="40">
        <f t="shared" si="17"/>
        <v>10</v>
      </c>
      <c r="B132" s="39">
        <f t="shared" si="15"/>
        <v>112</v>
      </c>
      <c r="C132" s="35">
        <f t="shared" si="10"/>
        <v>0</v>
      </c>
      <c r="D132" s="36">
        <f t="shared" si="11"/>
        <v>0</v>
      </c>
      <c r="E132" s="36">
        <f t="shared" si="12"/>
        <v>0</v>
      </c>
      <c r="F132" s="36">
        <f t="shared" si="13"/>
        <v>0</v>
      </c>
      <c r="G132" s="35">
        <f t="shared" si="14"/>
        <v>0</v>
      </c>
      <c r="H132" s="36">
        <f t="shared" si="16"/>
        <v>0</v>
      </c>
    </row>
    <row r="133" spans="1:8" s="38" customFormat="1" ht="12.75" x14ac:dyDescent="0.2">
      <c r="A133" s="40">
        <f t="shared" si="17"/>
        <v>10</v>
      </c>
      <c r="B133" s="39">
        <f t="shared" si="15"/>
        <v>113</v>
      </c>
      <c r="C133" s="35">
        <f t="shared" si="10"/>
        <v>0</v>
      </c>
      <c r="D133" s="36">
        <f t="shared" si="11"/>
        <v>0</v>
      </c>
      <c r="E133" s="36">
        <f t="shared" si="12"/>
        <v>0</v>
      </c>
      <c r="F133" s="36">
        <f t="shared" si="13"/>
        <v>0</v>
      </c>
      <c r="G133" s="35">
        <f t="shared" si="14"/>
        <v>0</v>
      </c>
      <c r="H133" s="36">
        <f t="shared" si="16"/>
        <v>0</v>
      </c>
    </row>
    <row r="134" spans="1:8" s="38" customFormat="1" ht="12.75" x14ac:dyDescent="0.2">
      <c r="A134" s="40">
        <f t="shared" si="17"/>
        <v>10</v>
      </c>
      <c r="B134" s="39">
        <f t="shared" si="15"/>
        <v>114</v>
      </c>
      <c r="C134" s="35">
        <f t="shared" si="10"/>
        <v>0</v>
      </c>
      <c r="D134" s="36">
        <f t="shared" si="11"/>
        <v>0</v>
      </c>
      <c r="E134" s="36">
        <f t="shared" si="12"/>
        <v>0</v>
      </c>
      <c r="F134" s="36">
        <f t="shared" si="13"/>
        <v>0</v>
      </c>
      <c r="G134" s="35">
        <f t="shared" si="14"/>
        <v>0</v>
      </c>
      <c r="H134" s="36">
        <f t="shared" si="16"/>
        <v>0</v>
      </c>
    </row>
    <row r="135" spans="1:8" s="38" customFormat="1" ht="12.75" x14ac:dyDescent="0.2">
      <c r="A135" s="40">
        <f t="shared" si="17"/>
        <v>10</v>
      </c>
      <c r="B135" s="39">
        <f t="shared" si="15"/>
        <v>115</v>
      </c>
      <c r="C135" s="35">
        <f t="shared" si="10"/>
        <v>0</v>
      </c>
      <c r="D135" s="36">
        <f t="shared" si="11"/>
        <v>0</v>
      </c>
      <c r="E135" s="36">
        <f t="shared" si="12"/>
        <v>0</v>
      </c>
      <c r="F135" s="36">
        <f t="shared" si="13"/>
        <v>0</v>
      </c>
      <c r="G135" s="35">
        <f t="shared" si="14"/>
        <v>0</v>
      </c>
      <c r="H135" s="36">
        <f t="shared" si="16"/>
        <v>0</v>
      </c>
    </row>
    <row r="136" spans="1:8" s="38" customFormat="1" ht="12.75" x14ac:dyDescent="0.2">
      <c r="A136" s="40">
        <f t="shared" si="17"/>
        <v>10</v>
      </c>
      <c r="B136" s="39">
        <f t="shared" si="15"/>
        <v>116</v>
      </c>
      <c r="C136" s="35">
        <f t="shared" si="10"/>
        <v>0</v>
      </c>
      <c r="D136" s="36">
        <f t="shared" si="11"/>
        <v>0</v>
      </c>
      <c r="E136" s="36">
        <f t="shared" si="12"/>
        <v>0</v>
      </c>
      <c r="F136" s="36">
        <f t="shared" si="13"/>
        <v>0</v>
      </c>
      <c r="G136" s="35">
        <f t="shared" si="14"/>
        <v>0</v>
      </c>
      <c r="H136" s="36">
        <f t="shared" si="16"/>
        <v>0</v>
      </c>
    </row>
    <row r="137" spans="1:8" s="38" customFormat="1" ht="12.75" x14ac:dyDescent="0.2">
      <c r="A137" s="40">
        <f t="shared" si="17"/>
        <v>10</v>
      </c>
      <c r="B137" s="39">
        <f t="shared" si="15"/>
        <v>117</v>
      </c>
      <c r="C137" s="35">
        <f t="shared" si="10"/>
        <v>0</v>
      </c>
      <c r="D137" s="36">
        <f t="shared" si="11"/>
        <v>0</v>
      </c>
      <c r="E137" s="36">
        <f t="shared" si="12"/>
        <v>0</v>
      </c>
      <c r="F137" s="36">
        <f t="shared" si="13"/>
        <v>0</v>
      </c>
      <c r="G137" s="35">
        <f t="shared" si="14"/>
        <v>0</v>
      </c>
      <c r="H137" s="36">
        <f t="shared" si="16"/>
        <v>0</v>
      </c>
    </row>
    <row r="138" spans="1:8" s="38" customFormat="1" ht="12.75" x14ac:dyDescent="0.2">
      <c r="A138" s="40">
        <f t="shared" si="17"/>
        <v>10</v>
      </c>
      <c r="B138" s="39">
        <f t="shared" si="15"/>
        <v>118</v>
      </c>
      <c r="C138" s="35">
        <f t="shared" si="10"/>
        <v>0</v>
      </c>
      <c r="D138" s="36">
        <f t="shared" si="11"/>
        <v>0</v>
      </c>
      <c r="E138" s="36">
        <f t="shared" si="12"/>
        <v>0</v>
      </c>
      <c r="F138" s="36">
        <f t="shared" si="13"/>
        <v>0</v>
      </c>
      <c r="G138" s="35">
        <f t="shared" si="14"/>
        <v>0</v>
      </c>
      <c r="H138" s="36">
        <f t="shared" si="16"/>
        <v>0</v>
      </c>
    </row>
    <row r="139" spans="1:8" s="38" customFormat="1" ht="12.75" x14ac:dyDescent="0.2">
      <c r="A139" s="40">
        <f t="shared" si="17"/>
        <v>10</v>
      </c>
      <c r="B139" s="39">
        <f t="shared" si="15"/>
        <v>119</v>
      </c>
      <c r="C139" s="35">
        <f t="shared" si="10"/>
        <v>0</v>
      </c>
      <c r="D139" s="36">
        <f t="shared" si="11"/>
        <v>0</v>
      </c>
      <c r="E139" s="36">
        <f t="shared" si="12"/>
        <v>0</v>
      </c>
      <c r="F139" s="36">
        <f t="shared" si="13"/>
        <v>0</v>
      </c>
      <c r="G139" s="35">
        <f t="shared" si="14"/>
        <v>0</v>
      </c>
      <c r="H139" s="36">
        <f t="shared" si="16"/>
        <v>0</v>
      </c>
    </row>
    <row r="140" spans="1:8" s="38" customFormat="1" ht="12.75" x14ac:dyDescent="0.2">
      <c r="A140" s="40">
        <f t="shared" si="17"/>
        <v>10</v>
      </c>
      <c r="B140" s="39">
        <f t="shared" si="15"/>
        <v>120</v>
      </c>
      <c r="C140" s="35">
        <f t="shared" si="10"/>
        <v>0</v>
      </c>
      <c r="D140" s="36">
        <f t="shared" si="11"/>
        <v>0</v>
      </c>
      <c r="E140" s="36">
        <f t="shared" si="12"/>
        <v>0</v>
      </c>
      <c r="F140" s="36">
        <f t="shared" si="13"/>
        <v>0</v>
      </c>
      <c r="G140" s="35">
        <f>IF(AND($G$13, B140=$G$14), C140+E140, 0)</f>
        <v>0</v>
      </c>
      <c r="H140" s="36">
        <f t="shared" si="16"/>
        <v>0</v>
      </c>
    </row>
    <row r="141" spans="1:8" s="38" customFormat="1" ht="12.75" x14ac:dyDescent="0.2">
      <c r="A141" s="40">
        <f>A129+1</f>
        <v>11</v>
      </c>
      <c r="B141" s="39">
        <f t="shared" si="15"/>
        <v>121</v>
      </c>
      <c r="C141" s="35">
        <f t="shared" si="10"/>
        <v>0</v>
      </c>
      <c r="D141" s="36">
        <f t="shared" si="11"/>
        <v>0</v>
      </c>
      <c r="E141" s="36">
        <f t="shared" si="12"/>
        <v>0</v>
      </c>
      <c r="F141" s="36">
        <f t="shared" si="13"/>
        <v>0</v>
      </c>
      <c r="G141" s="35">
        <f t="shared" ref="G141:G204" si="18">IF(AND($G$13, B141=$G$14), C141+E141, 0)</f>
        <v>0</v>
      </c>
      <c r="H141" s="36">
        <f t="shared" si="16"/>
        <v>0</v>
      </c>
    </row>
    <row r="142" spans="1:8" s="38" customFormat="1" ht="12.75" x14ac:dyDescent="0.2">
      <c r="A142" s="40">
        <f>A141</f>
        <v>11</v>
      </c>
      <c r="B142" s="39">
        <f t="shared" si="15"/>
        <v>122</v>
      </c>
      <c r="C142" s="35">
        <f t="shared" si="10"/>
        <v>0</v>
      </c>
      <c r="D142" s="36">
        <f t="shared" si="11"/>
        <v>0</v>
      </c>
      <c r="E142" s="36">
        <f t="shared" si="12"/>
        <v>0</v>
      </c>
      <c r="F142" s="36">
        <f t="shared" si="13"/>
        <v>0</v>
      </c>
      <c r="G142" s="35">
        <f t="shared" si="18"/>
        <v>0</v>
      </c>
      <c r="H142" s="36">
        <f t="shared" si="16"/>
        <v>0</v>
      </c>
    </row>
    <row r="143" spans="1:8" s="38" customFormat="1" ht="12.75" x14ac:dyDescent="0.2">
      <c r="A143" s="40">
        <f t="shared" si="17"/>
        <v>11</v>
      </c>
      <c r="B143" s="39">
        <f t="shared" si="15"/>
        <v>123</v>
      </c>
      <c r="C143" s="35">
        <f t="shared" si="10"/>
        <v>0</v>
      </c>
      <c r="D143" s="36">
        <f t="shared" si="11"/>
        <v>0</v>
      </c>
      <c r="E143" s="36">
        <f t="shared" si="12"/>
        <v>0</v>
      </c>
      <c r="F143" s="36">
        <f t="shared" si="13"/>
        <v>0</v>
      </c>
      <c r="G143" s="35">
        <f t="shared" si="18"/>
        <v>0</v>
      </c>
      <c r="H143" s="36">
        <f t="shared" si="16"/>
        <v>0</v>
      </c>
    </row>
    <row r="144" spans="1:8" s="38" customFormat="1" ht="12.75" x14ac:dyDescent="0.2">
      <c r="A144" s="40">
        <f t="shared" si="17"/>
        <v>11</v>
      </c>
      <c r="B144" s="39">
        <f t="shared" si="15"/>
        <v>124</v>
      </c>
      <c r="C144" s="35">
        <f t="shared" si="10"/>
        <v>0</v>
      </c>
      <c r="D144" s="36">
        <f t="shared" si="11"/>
        <v>0</v>
      </c>
      <c r="E144" s="36">
        <f t="shared" si="12"/>
        <v>0</v>
      </c>
      <c r="F144" s="36">
        <f t="shared" si="13"/>
        <v>0</v>
      </c>
      <c r="G144" s="35">
        <f t="shared" si="18"/>
        <v>0</v>
      </c>
      <c r="H144" s="36">
        <f t="shared" si="16"/>
        <v>0</v>
      </c>
    </row>
    <row r="145" spans="1:8" s="38" customFormat="1" ht="12.75" x14ac:dyDescent="0.2">
      <c r="A145" s="40">
        <f t="shared" si="17"/>
        <v>11</v>
      </c>
      <c r="B145" s="39">
        <f t="shared" si="15"/>
        <v>125</v>
      </c>
      <c r="C145" s="35">
        <f t="shared" si="10"/>
        <v>0</v>
      </c>
      <c r="D145" s="36">
        <f t="shared" si="11"/>
        <v>0</v>
      </c>
      <c r="E145" s="36">
        <f t="shared" si="12"/>
        <v>0</v>
      </c>
      <c r="F145" s="36">
        <f t="shared" si="13"/>
        <v>0</v>
      </c>
      <c r="G145" s="35">
        <f t="shared" si="18"/>
        <v>0</v>
      </c>
      <c r="H145" s="36">
        <f t="shared" si="16"/>
        <v>0</v>
      </c>
    </row>
    <row r="146" spans="1:8" s="38" customFormat="1" ht="12.75" x14ac:dyDescent="0.2">
      <c r="A146" s="40">
        <f t="shared" si="17"/>
        <v>11</v>
      </c>
      <c r="B146" s="39">
        <f t="shared" si="15"/>
        <v>126</v>
      </c>
      <c r="C146" s="35">
        <f t="shared" si="10"/>
        <v>0</v>
      </c>
      <c r="D146" s="36">
        <f t="shared" si="11"/>
        <v>0</v>
      </c>
      <c r="E146" s="36">
        <f t="shared" si="12"/>
        <v>0</v>
      </c>
      <c r="F146" s="36">
        <f t="shared" si="13"/>
        <v>0</v>
      </c>
      <c r="G146" s="35">
        <f t="shared" si="18"/>
        <v>0</v>
      </c>
      <c r="H146" s="36">
        <f t="shared" si="16"/>
        <v>0</v>
      </c>
    </row>
    <row r="147" spans="1:8" s="38" customFormat="1" ht="12.75" x14ac:dyDescent="0.2">
      <c r="A147" s="40">
        <f t="shared" si="17"/>
        <v>11</v>
      </c>
      <c r="B147" s="39">
        <f t="shared" si="15"/>
        <v>127</v>
      </c>
      <c r="C147" s="35">
        <f t="shared" si="10"/>
        <v>0</v>
      </c>
      <c r="D147" s="36">
        <f t="shared" si="11"/>
        <v>0</v>
      </c>
      <c r="E147" s="36">
        <f t="shared" si="12"/>
        <v>0</v>
      </c>
      <c r="F147" s="36">
        <f t="shared" si="13"/>
        <v>0</v>
      </c>
      <c r="G147" s="35">
        <f t="shared" si="18"/>
        <v>0</v>
      </c>
      <c r="H147" s="36">
        <f t="shared" si="16"/>
        <v>0</v>
      </c>
    </row>
    <row r="148" spans="1:8" s="38" customFormat="1" ht="12.75" x14ac:dyDescent="0.2">
      <c r="A148" s="40">
        <f t="shared" si="17"/>
        <v>11</v>
      </c>
      <c r="B148" s="39">
        <f t="shared" si="15"/>
        <v>128</v>
      </c>
      <c r="C148" s="35">
        <f t="shared" si="10"/>
        <v>0</v>
      </c>
      <c r="D148" s="36">
        <f t="shared" si="11"/>
        <v>0</v>
      </c>
      <c r="E148" s="36">
        <f t="shared" si="12"/>
        <v>0</v>
      </c>
      <c r="F148" s="36">
        <f t="shared" si="13"/>
        <v>0</v>
      </c>
      <c r="G148" s="35">
        <f t="shared" si="18"/>
        <v>0</v>
      </c>
      <c r="H148" s="36">
        <f t="shared" si="16"/>
        <v>0</v>
      </c>
    </row>
    <row r="149" spans="1:8" s="38" customFormat="1" ht="12.75" x14ac:dyDescent="0.2">
      <c r="A149" s="40">
        <f t="shared" si="17"/>
        <v>11</v>
      </c>
      <c r="B149" s="39">
        <f t="shared" si="15"/>
        <v>129</v>
      </c>
      <c r="C149" s="35">
        <f t="shared" ref="C149:C212" si="19">H148</f>
        <v>0</v>
      </c>
      <c r="D149" s="36">
        <f t="shared" ref="D149:D212" si="20">IF(C149=0,0, IF(AND($G$10, B149&lt;=$G$11), F149, PMT($C$12, $C$14, $C$10)))</f>
        <v>0</v>
      </c>
      <c r="E149" s="36">
        <f t="shared" ref="E149:E212" si="21">IF(AND($G$10, B149&lt;=$G$11), 0, D149-F149)</f>
        <v>0</v>
      </c>
      <c r="F149" s="36">
        <f t="shared" ref="F149:F212" si="22">-H148*$C$12</f>
        <v>0</v>
      </c>
      <c r="G149" s="35">
        <f t="shared" si="18"/>
        <v>0</v>
      </c>
      <c r="H149" s="36">
        <f t="shared" si="16"/>
        <v>0</v>
      </c>
    </row>
    <row r="150" spans="1:8" s="38" customFormat="1" ht="12.75" x14ac:dyDescent="0.2">
      <c r="A150" s="40">
        <f t="shared" si="17"/>
        <v>11</v>
      </c>
      <c r="B150" s="39">
        <f t="shared" ref="B150:B213" si="23">+B149+1</f>
        <v>130</v>
      </c>
      <c r="C150" s="35">
        <f t="shared" si="19"/>
        <v>0</v>
      </c>
      <c r="D150" s="36">
        <f t="shared" si="20"/>
        <v>0</v>
      </c>
      <c r="E150" s="36">
        <f t="shared" si="21"/>
        <v>0</v>
      </c>
      <c r="F150" s="36">
        <f t="shared" si="22"/>
        <v>0</v>
      </c>
      <c r="G150" s="35">
        <f t="shared" si="18"/>
        <v>0</v>
      </c>
      <c r="H150" s="36">
        <f t="shared" si="16"/>
        <v>0</v>
      </c>
    </row>
    <row r="151" spans="1:8" s="38" customFormat="1" ht="12.75" x14ac:dyDescent="0.2">
      <c r="A151" s="40">
        <f t="shared" si="17"/>
        <v>11</v>
      </c>
      <c r="B151" s="39">
        <f t="shared" si="23"/>
        <v>131</v>
      </c>
      <c r="C151" s="35">
        <f t="shared" si="19"/>
        <v>0</v>
      </c>
      <c r="D151" s="36">
        <f t="shared" si="20"/>
        <v>0</v>
      </c>
      <c r="E151" s="36">
        <f t="shared" si="21"/>
        <v>0</v>
      </c>
      <c r="F151" s="36">
        <f t="shared" si="22"/>
        <v>0</v>
      </c>
      <c r="G151" s="35">
        <f t="shared" si="18"/>
        <v>0</v>
      </c>
      <c r="H151" s="36">
        <f t="shared" si="16"/>
        <v>0</v>
      </c>
    </row>
    <row r="152" spans="1:8" s="38" customFormat="1" ht="12.75" x14ac:dyDescent="0.2">
      <c r="A152" s="40">
        <f t="shared" si="17"/>
        <v>11</v>
      </c>
      <c r="B152" s="39">
        <f t="shared" si="23"/>
        <v>132</v>
      </c>
      <c r="C152" s="35">
        <f t="shared" si="19"/>
        <v>0</v>
      </c>
      <c r="D152" s="36">
        <f t="shared" si="20"/>
        <v>0</v>
      </c>
      <c r="E152" s="36">
        <f t="shared" si="21"/>
        <v>0</v>
      </c>
      <c r="F152" s="36">
        <f t="shared" si="22"/>
        <v>0</v>
      </c>
      <c r="G152" s="35">
        <f t="shared" si="18"/>
        <v>0</v>
      </c>
      <c r="H152" s="36">
        <f t="shared" si="16"/>
        <v>0</v>
      </c>
    </row>
    <row r="153" spans="1:8" s="38" customFormat="1" ht="12.75" x14ac:dyDescent="0.2">
      <c r="A153" s="40">
        <f>A141+1</f>
        <v>12</v>
      </c>
      <c r="B153" s="39">
        <f t="shared" si="23"/>
        <v>133</v>
      </c>
      <c r="C153" s="35">
        <f t="shared" si="19"/>
        <v>0</v>
      </c>
      <c r="D153" s="36">
        <f t="shared" si="20"/>
        <v>0</v>
      </c>
      <c r="E153" s="36">
        <f t="shared" si="21"/>
        <v>0</v>
      </c>
      <c r="F153" s="36">
        <f t="shared" si="22"/>
        <v>0</v>
      </c>
      <c r="G153" s="35">
        <f t="shared" si="18"/>
        <v>0</v>
      </c>
      <c r="H153" s="36">
        <f t="shared" si="16"/>
        <v>0</v>
      </c>
    </row>
    <row r="154" spans="1:8" s="38" customFormat="1" ht="12.75" x14ac:dyDescent="0.2">
      <c r="A154" s="40">
        <f>A153</f>
        <v>12</v>
      </c>
      <c r="B154" s="39">
        <f t="shared" si="23"/>
        <v>134</v>
      </c>
      <c r="C154" s="35">
        <f t="shared" si="19"/>
        <v>0</v>
      </c>
      <c r="D154" s="36">
        <f t="shared" si="20"/>
        <v>0</v>
      </c>
      <c r="E154" s="36">
        <f t="shared" si="21"/>
        <v>0</v>
      </c>
      <c r="F154" s="36">
        <f t="shared" si="22"/>
        <v>0</v>
      </c>
      <c r="G154" s="35">
        <f t="shared" si="18"/>
        <v>0</v>
      </c>
      <c r="H154" s="36">
        <f t="shared" si="16"/>
        <v>0</v>
      </c>
    </row>
    <row r="155" spans="1:8" s="38" customFormat="1" ht="12.75" x14ac:dyDescent="0.2">
      <c r="A155" s="40">
        <f t="shared" si="17"/>
        <v>12</v>
      </c>
      <c r="B155" s="39">
        <f t="shared" si="23"/>
        <v>135</v>
      </c>
      <c r="C155" s="35">
        <f t="shared" si="19"/>
        <v>0</v>
      </c>
      <c r="D155" s="36">
        <f t="shared" si="20"/>
        <v>0</v>
      </c>
      <c r="E155" s="36">
        <f t="shared" si="21"/>
        <v>0</v>
      </c>
      <c r="F155" s="36">
        <f t="shared" si="22"/>
        <v>0</v>
      </c>
      <c r="G155" s="35">
        <f t="shared" si="18"/>
        <v>0</v>
      </c>
      <c r="H155" s="36">
        <f t="shared" si="16"/>
        <v>0</v>
      </c>
    </row>
    <row r="156" spans="1:8" s="38" customFormat="1" ht="12.75" x14ac:dyDescent="0.2">
      <c r="A156" s="40">
        <f t="shared" si="17"/>
        <v>12</v>
      </c>
      <c r="B156" s="39">
        <f t="shared" si="23"/>
        <v>136</v>
      </c>
      <c r="C156" s="35">
        <f t="shared" si="19"/>
        <v>0</v>
      </c>
      <c r="D156" s="36">
        <f t="shared" si="20"/>
        <v>0</v>
      </c>
      <c r="E156" s="36">
        <f t="shared" si="21"/>
        <v>0</v>
      </c>
      <c r="F156" s="36">
        <f t="shared" si="22"/>
        <v>0</v>
      </c>
      <c r="G156" s="35">
        <f t="shared" si="18"/>
        <v>0</v>
      </c>
      <c r="H156" s="36">
        <f t="shared" si="16"/>
        <v>0</v>
      </c>
    </row>
    <row r="157" spans="1:8" s="38" customFormat="1" ht="12.75" x14ac:dyDescent="0.2">
      <c r="A157" s="40">
        <f t="shared" si="17"/>
        <v>12</v>
      </c>
      <c r="B157" s="39">
        <f t="shared" si="23"/>
        <v>137</v>
      </c>
      <c r="C157" s="35">
        <f t="shared" si="19"/>
        <v>0</v>
      </c>
      <c r="D157" s="36">
        <f t="shared" si="20"/>
        <v>0</v>
      </c>
      <c r="E157" s="36">
        <f t="shared" si="21"/>
        <v>0</v>
      </c>
      <c r="F157" s="36">
        <f t="shared" si="22"/>
        <v>0</v>
      </c>
      <c r="G157" s="35">
        <f t="shared" si="18"/>
        <v>0</v>
      </c>
      <c r="H157" s="36">
        <f t="shared" si="16"/>
        <v>0</v>
      </c>
    </row>
    <row r="158" spans="1:8" s="38" customFormat="1" ht="12.75" x14ac:dyDescent="0.2">
      <c r="A158" s="40">
        <f t="shared" si="17"/>
        <v>12</v>
      </c>
      <c r="B158" s="39">
        <f t="shared" si="23"/>
        <v>138</v>
      </c>
      <c r="C158" s="35">
        <f t="shared" si="19"/>
        <v>0</v>
      </c>
      <c r="D158" s="36">
        <f t="shared" si="20"/>
        <v>0</v>
      </c>
      <c r="E158" s="36">
        <f t="shared" si="21"/>
        <v>0</v>
      </c>
      <c r="F158" s="36">
        <f t="shared" si="22"/>
        <v>0</v>
      </c>
      <c r="G158" s="35">
        <f t="shared" si="18"/>
        <v>0</v>
      </c>
      <c r="H158" s="36">
        <f t="shared" si="16"/>
        <v>0</v>
      </c>
    </row>
    <row r="159" spans="1:8" s="38" customFormat="1" ht="12.75" x14ac:dyDescent="0.2">
      <c r="A159" s="40">
        <f t="shared" si="17"/>
        <v>12</v>
      </c>
      <c r="B159" s="39">
        <f t="shared" si="23"/>
        <v>139</v>
      </c>
      <c r="C159" s="35">
        <f t="shared" si="19"/>
        <v>0</v>
      </c>
      <c r="D159" s="36">
        <f t="shared" si="20"/>
        <v>0</v>
      </c>
      <c r="E159" s="36">
        <f t="shared" si="21"/>
        <v>0</v>
      </c>
      <c r="F159" s="36">
        <f t="shared" si="22"/>
        <v>0</v>
      </c>
      <c r="G159" s="35">
        <f t="shared" si="18"/>
        <v>0</v>
      </c>
      <c r="H159" s="36">
        <f t="shared" si="16"/>
        <v>0</v>
      </c>
    </row>
    <row r="160" spans="1:8" s="38" customFormat="1" ht="12.75" x14ac:dyDescent="0.2">
      <c r="A160" s="40">
        <f t="shared" si="17"/>
        <v>12</v>
      </c>
      <c r="B160" s="39">
        <f t="shared" si="23"/>
        <v>140</v>
      </c>
      <c r="C160" s="35">
        <f t="shared" si="19"/>
        <v>0</v>
      </c>
      <c r="D160" s="36">
        <f t="shared" si="20"/>
        <v>0</v>
      </c>
      <c r="E160" s="36">
        <f t="shared" si="21"/>
        <v>0</v>
      </c>
      <c r="F160" s="36">
        <f t="shared" si="22"/>
        <v>0</v>
      </c>
      <c r="G160" s="35">
        <f t="shared" si="18"/>
        <v>0</v>
      </c>
      <c r="H160" s="36">
        <f t="shared" si="16"/>
        <v>0</v>
      </c>
    </row>
    <row r="161" spans="1:8" s="38" customFormat="1" ht="12.75" x14ac:dyDescent="0.2">
      <c r="A161" s="40">
        <f t="shared" si="17"/>
        <v>12</v>
      </c>
      <c r="B161" s="39">
        <f t="shared" si="23"/>
        <v>141</v>
      </c>
      <c r="C161" s="35">
        <f t="shared" si="19"/>
        <v>0</v>
      </c>
      <c r="D161" s="36">
        <f t="shared" si="20"/>
        <v>0</v>
      </c>
      <c r="E161" s="36">
        <f t="shared" si="21"/>
        <v>0</v>
      </c>
      <c r="F161" s="36">
        <f t="shared" si="22"/>
        <v>0</v>
      </c>
      <c r="G161" s="35">
        <f t="shared" si="18"/>
        <v>0</v>
      </c>
      <c r="H161" s="36">
        <f t="shared" si="16"/>
        <v>0</v>
      </c>
    </row>
    <row r="162" spans="1:8" s="38" customFormat="1" ht="12.75" x14ac:dyDescent="0.2">
      <c r="A162" s="40">
        <f t="shared" si="17"/>
        <v>12</v>
      </c>
      <c r="B162" s="39">
        <f t="shared" si="23"/>
        <v>142</v>
      </c>
      <c r="C162" s="35">
        <f t="shared" si="19"/>
        <v>0</v>
      </c>
      <c r="D162" s="36">
        <f t="shared" si="20"/>
        <v>0</v>
      </c>
      <c r="E162" s="36">
        <f t="shared" si="21"/>
        <v>0</v>
      </c>
      <c r="F162" s="36">
        <f t="shared" si="22"/>
        <v>0</v>
      </c>
      <c r="G162" s="35">
        <f t="shared" si="18"/>
        <v>0</v>
      </c>
      <c r="H162" s="36">
        <f t="shared" si="16"/>
        <v>0</v>
      </c>
    </row>
    <row r="163" spans="1:8" s="38" customFormat="1" ht="12.75" x14ac:dyDescent="0.2">
      <c r="A163" s="40">
        <f t="shared" si="17"/>
        <v>12</v>
      </c>
      <c r="B163" s="39">
        <f t="shared" si="23"/>
        <v>143</v>
      </c>
      <c r="C163" s="35">
        <f t="shared" si="19"/>
        <v>0</v>
      </c>
      <c r="D163" s="36">
        <f t="shared" si="20"/>
        <v>0</v>
      </c>
      <c r="E163" s="36">
        <f t="shared" si="21"/>
        <v>0</v>
      </c>
      <c r="F163" s="36">
        <f t="shared" si="22"/>
        <v>0</v>
      </c>
      <c r="G163" s="35">
        <f t="shared" si="18"/>
        <v>0</v>
      </c>
      <c r="H163" s="36">
        <f t="shared" si="16"/>
        <v>0</v>
      </c>
    </row>
    <row r="164" spans="1:8" s="38" customFormat="1" ht="12.75" x14ac:dyDescent="0.2">
      <c r="A164" s="40">
        <f t="shared" si="17"/>
        <v>12</v>
      </c>
      <c r="B164" s="39">
        <f t="shared" si="23"/>
        <v>144</v>
      </c>
      <c r="C164" s="35">
        <f t="shared" si="19"/>
        <v>0</v>
      </c>
      <c r="D164" s="36">
        <f t="shared" si="20"/>
        <v>0</v>
      </c>
      <c r="E164" s="36">
        <f t="shared" si="21"/>
        <v>0</v>
      </c>
      <c r="F164" s="36">
        <f t="shared" si="22"/>
        <v>0</v>
      </c>
      <c r="G164" s="35">
        <f t="shared" si="18"/>
        <v>0</v>
      </c>
      <c r="H164" s="36">
        <f t="shared" si="16"/>
        <v>0</v>
      </c>
    </row>
    <row r="165" spans="1:8" s="38" customFormat="1" ht="12.75" x14ac:dyDescent="0.2">
      <c r="A165" s="40">
        <f>A153+1</f>
        <v>13</v>
      </c>
      <c r="B165" s="39">
        <f t="shared" si="23"/>
        <v>145</v>
      </c>
      <c r="C165" s="35">
        <f t="shared" si="19"/>
        <v>0</v>
      </c>
      <c r="D165" s="36">
        <f t="shared" si="20"/>
        <v>0</v>
      </c>
      <c r="E165" s="36">
        <f t="shared" si="21"/>
        <v>0</v>
      </c>
      <c r="F165" s="36">
        <f t="shared" si="22"/>
        <v>0</v>
      </c>
      <c r="G165" s="35">
        <f t="shared" si="18"/>
        <v>0</v>
      </c>
      <c r="H165" s="36">
        <f t="shared" si="16"/>
        <v>0</v>
      </c>
    </row>
    <row r="166" spans="1:8" s="38" customFormat="1" ht="12.75" x14ac:dyDescent="0.2">
      <c r="A166" s="40">
        <f>A165</f>
        <v>13</v>
      </c>
      <c r="B166" s="39">
        <f t="shared" si="23"/>
        <v>146</v>
      </c>
      <c r="C166" s="35">
        <f t="shared" si="19"/>
        <v>0</v>
      </c>
      <c r="D166" s="36">
        <f t="shared" si="20"/>
        <v>0</v>
      </c>
      <c r="E166" s="36">
        <f t="shared" si="21"/>
        <v>0</v>
      </c>
      <c r="F166" s="36">
        <f t="shared" si="22"/>
        <v>0</v>
      </c>
      <c r="G166" s="35">
        <f t="shared" si="18"/>
        <v>0</v>
      </c>
      <c r="H166" s="36">
        <f t="shared" si="16"/>
        <v>0</v>
      </c>
    </row>
    <row r="167" spans="1:8" s="38" customFormat="1" ht="12.75" x14ac:dyDescent="0.2">
      <c r="A167" s="40">
        <f t="shared" si="17"/>
        <v>13</v>
      </c>
      <c r="B167" s="39">
        <f t="shared" si="23"/>
        <v>147</v>
      </c>
      <c r="C167" s="35">
        <f t="shared" si="19"/>
        <v>0</v>
      </c>
      <c r="D167" s="36">
        <f t="shared" si="20"/>
        <v>0</v>
      </c>
      <c r="E167" s="36">
        <f t="shared" si="21"/>
        <v>0</v>
      </c>
      <c r="F167" s="36">
        <f t="shared" si="22"/>
        <v>0</v>
      </c>
      <c r="G167" s="35">
        <f t="shared" si="18"/>
        <v>0</v>
      </c>
      <c r="H167" s="36">
        <f t="shared" si="16"/>
        <v>0</v>
      </c>
    </row>
    <row r="168" spans="1:8" s="38" customFormat="1" ht="12.75" x14ac:dyDescent="0.2">
      <c r="A168" s="40">
        <f t="shared" si="17"/>
        <v>13</v>
      </c>
      <c r="B168" s="39">
        <f t="shared" si="23"/>
        <v>148</v>
      </c>
      <c r="C168" s="35">
        <f t="shared" si="19"/>
        <v>0</v>
      </c>
      <c r="D168" s="36">
        <f t="shared" si="20"/>
        <v>0</v>
      </c>
      <c r="E168" s="36">
        <f t="shared" si="21"/>
        <v>0</v>
      </c>
      <c r="F168" s="36">
        <f t="shared" si="22"/>
        <v>0</v>
      </c>
      <c r="G168" s="35">
        <f t="shared" si="18"/>
        <v>0</v>
      </c>
      <c r="H168" s="36">
        <f t="shared" si="16"/>
        <v>0</v>
      </c>
    </row>
    <row r="169" spans="1:8" s="38" customFormat="1" ht="12.75" x14ac:dyDescent="0.2">
      <c r="A169" s="40">
        <f t="shared" si="17"/>
        <v>13</v>
      </c>
      <c r="B169" s="39">
        <f t="shared" si="23"/>
        <v>149</v>
      </c>
      <c r="C169" s="35">
        <f t="shared" si="19"/>
        <v>0</v>
      </c>
      <c r="D169" s="36">
        <f t="shared" si="20"/>
        <v>0</v>
      </c>
      <c r="E169" s="36">
        <f t="shared" si="21"/>
        <v>0</v>
      </c>
      <c r="F169" s="36">
        <f t="shared" si="22"/>
        <v>0</v>
      </c>
      <c r="G169" s="35">
        <f t="shared" si="18"/>
        <v>0</v>
      </c>
      <c r="H169" s="36">
        <f t="shared" si="16"/>
        <v>0</v>
      </c>
    </row>
    <row r="170" spans="1:8" s="38" customFormat="1" ht="12.75" x14ac:dyDescent="0.2">
      <c r="A170" s="40">
        <f t="shared" si="17"/>
        <v>13</v>
      </c>
      <c r="B170" s="39">
        <f t="shared" si="23"/>
        <v>150</v>
      </c>
      <c r="C170" s="35">
        <f t="shared" si="19"/>
        <v>0</v>
      </c>
      <c r="D170" s="36">
        <f t="shared" si="20"/>
        <v>0</v>
      </c>
      <c r="E170" s="36">
        <f t="shared" si="21"/>
        <v>0</v>
      </c>
      <c r="F170" s="36">
        <f t="shared" si="22"/>
        <v>0</v>
      </c>
      <c r="G170" s="35">
        <f t="shared" si="18"/>
        <v>0</v>
      </c>
      <c r="H170" s="36">
        <f t="shared" si="16"/>
        <v>0</v>
      </c>
    </row>
    <row r="171" spans="1:8" s="38" customFormat="1" ht="12.75" x14ac:dyDescent="0.2">
      <c r="A171" s="40">
        <f t="shared" si="17"/>
        <v>13</v>
      </c>
      <c r="B171" s="39">
        <f t="shared" si="23"/>
        <v>151</v>
      </c>
      <c r="C171" s="35">
        <f t="shared" si="19"/>
        <v>0</v>
      </c>
      <c r="D171" s="36">
        <f t="shared" si="20"/>
        <v>0</v>
      </c>
      <c r="E171" s="36">
        <f t="shared" si="21"/>
        <v>0</v>
      </c>
      <c r="F171" s="36">
        <f t="shared" si="22"/>
        <v>0</v>
      </c>
      <c r="G171" s="35">
        <f t="shared" si="18"/>
        <v>0</v>
      </c>
      <c r="H171" s="36">
        <f t="shared" si="16"/>
        <v>0</v>
      </c>
    </row>
    <row r="172" spans="1:8" s="38" customFormat="1" ht="12.75" x14ac:dyDescent="0.2">
      <c r="A172" s="40">
        <f t="shared" si="17"/>
        <v>13</v>
      </c>
      <c r="B172" s="39">
        <f t="shared" si="23"/>
        <v>152</v>
      </c>
      <c r="C172" s="35">
        <f t="shared" si="19"/>
        <v>0</v>
      </c>
      <c r="D172" s="36">
        <f t="shared" si="20"/>
        <v>0</v>
      </c>
      <c r="E172" s="36">
        <f t="shared" si="21"/>
        <v>0</v>
      </c>
      <c r="F172" s="36">
        <f t="shared" si="22"/>
        <v>0</v>
      </c>
      <c r="G172" s="35">
        <f t="shared" si="18"/>
        <v>0</v>
      </c>
      <c r="H172" s="36">
        <f t="shared" si="16"/>
        <v>0</v>
      </c>
    </row>
    <row r="173" spans="1:8" s="38" customFormat="1" ht="12.75" x14ac:dyDescent="0.2">
      <c r="A173" s="40">
        <f t="shared" si="17"/>
        <v>13</v>
      </c>
      <c r="B173" s="39">
        <f t="shared" si="23"/>
        <v>153</v>
      </c>
      <c r="C173" s="35">
        <f t="shared" si="19"/>
        <v>0</v>
      </c>
      <c r="D173" s="36">
        <f t="shared" si="20"/>
        <v>0</v>
      </c>
      <c r="E173" s="36">
        <f t="shared" si="21"/>
        <v>0</v>
      </c>
      <c r="F173" s="36">
        <f t="shared" si="22"/>
        <v>0</v>
      </c>
      <c r="G173" s="35">
        <f t="shared" si="18"/>
        <v>0</v>
      </c>
      <c r="H173" s="36">
        <f t="shared" ref="H173:H236" si="24">IF(C173+E173-G173&lt;=0, 0, C173+E173-G173)</f>
        <v>0</v>
      </c>
    </row>
    <row r="174" spans="1:8" s="38" customFormat="1" ht="12.75" x14ac:dyDescent="0.2">
      <c r="A174" s="40">
        <f t="shared" ref="A174:A236" si="25">A173</f>
        <v>13</v>
      </c>
      <c r="B174" s="39">
        <f t="shared" si="23"/>
        <v>154</v>
      </c>
      <c r="C174" s="35">
        <f t="shared" si="19"/>
        <v>0</v>
      </c>
      <c r="D174" s="36">
        <f t="shared" si="20"/>
        <v>0</v>
      </c>
      <c r="E174" s="36">
        <f t="shared" si="21"/>
        <v>0</v>
      </c>
      <c r="F174" s="36">
        <f t="shared" si="22"/>
        <v>0</v>
      </c>
      <c r="G174" s="35">
        <f t="shared" si="18"/>
        <v>0</v>
      </c>
      <c r="H174" s="36">
        <f t="shared" si="24"/>
        <v>0</v>
      </c>
    </row>
    <row r="175" spans="1:8" s="38" customFormat="1" ht="12.75" x14ac:dyDescent="0.2">
      <c r="A175" s="40">
        <f t="shared" si="25"/>
        <v>13</v>
      </c>
      <c r="B175" s="39">
        <f t="shared" si="23"/>
        <v>155</v>
      </c>
      <c r="C175" s="35">
        <f t="shared" si="19"/>
        <v>0</v>
      </c>
      <c r="D175" s="36">
        <f t="shared" si="20"/>
        <v>0</v>
      </c>
      <c r="E175" s="36">
        <f t="shared" si="21"/>
        <v>0</v>
      </c>
      <c r="F175" s="36">
        <f t="shared" si="22"/>
        <v>0</v>
      </c>
      <c r="G175" s="35">
        <f t="shared" si="18"/>
        <v>0</v>
      </c>
      <c r="H175" s="36">
        <f t="shared" si="24"/>
        <v>0</v>
      </c>
    </row>
    <row r="176" spans="1:8" s="38" customFormat="1" ht="12.75" x14ac:dyDescent="0.2">
      <c r="A176" s="40">
        <f t="shared" si="25"/>
        <v>13</v>
      </c>
      <c r="B176" s="39">
        <f t="shared" si="23"/>
        <v>156</v>
      </c>
      <c r="C176" s="35">
        <f t="shared" si="19"/>
        <v>0</v>
      </c>
      <c r="D176" s="36">
        <f t="shared" si="20"/>
        <v>0</v>
      </c>
      <c r="E176" s="36">
        <f t="shared" si="21"/>
        <v>0</v>
      </c>
      <c r="F176" s="36">
        <f t="shared" si="22"/>
        <v>0</v>
      </c>
      <c r="G176" s="35">
        <f t="shared" si="18"/>
        <v>0</v>
      </c>
      <c r="H176" s="36">
        <f t="shared" si="24"/>
        <v>0</v>
      </c>
    </row>
    <row r="177" spans="1:8" s="38" customFormat="1" ht="12.75" x14ac:dyDescent="0.2">
      <c r="A177" s="40">
        <f>A165+1</f>
        <v>14</v>
      </c>
      <c r="B177" s="39">
        <f t="shared" si="23"/>
        <v>157</v>
      </c>
      <c r="C177" s="35">
        <f t="shared" si="19"/>
        <v>0</v>
      </c>
      <c r="D177" s="36">
        <f t="shared" si="20"/>
        <v>0</v>
      </c>
      <c r="E177" s="36">
        <f t="shared" si="21"/>
        <v>0</v>
      </c>
      <c r="F177" s="36">
        <f t="shared" si="22"/>
        <v>0</v>
      </c>
      <c r="G177" s="35">
        <f t="shared" si="18"/>
        <v>0</v>
      </c>
      <c r="H177" s="36">
        <f t="shared" si="24"/>
        <v>0</v>
      </c>
    </row>
    <row r="178" spans="1:8" s="38" customFormat="1" ht="12.75" x14ac:dyDescent="0.2">
      <c r="A178" s="40">
        <f>A177</f>
        <v>14</v>
      </c>
      <c r="B178" s="39">
        <f t="shared" si="23"/>
        <v>158</v>
      </c>
      <c r="C178" s="35">
        <f t="shared" si="19"/>
        <v>0</v>
      </c>
      <c r="D178" s="36">
        <f t="shared" si="20"/>
        <v>0</v>
      </c>
      <c r="E178" s="36">
        <f t="shared" si="21"/>
        <v>0</v>
      </c>
      <c r="F178" s="36">
        <f t="shared" si="22"/>
        <v>0</v>
      </c>
      <c r="G178" s="35">
        <f t="shared" si="18"/>
        <v>0</v>
      </c>
      <c r="H178" s="36">
        <f t="shared" si="24"/>
        <v>0</v>
      </c>
    </row>
    <row r="179" spans="1:8" s="38" customFormat="1" ht="12.75" x14ac:dyDescent="0.2">
      <c r="A179" s="40">
        <f t="shared" si="25"/>
        <v>14</v>
      </c>
      <c r="B179" s="39">
        <f t="shared" si="23"/>
        <v>159</v>
      </c>
      <c r="C179" s="35">
        <f t="shared" si="19"/>
        <v>0</v>
      </c>
      <c r="D179" s="36">
        <f t="shared" si="20"/>
        <v>0</v>
      </c>
      <c r="E179" s="36">
        <f t="shared" si="21"/>
        <v>0</v>
      </c>
      <c r="F179" s="36">
        <f t="shared" si="22"/>
        <v>0</v>
      </c>
      <c r="G179" s="35">
        <f t="shared" si="18"/>
        <v>0</v>
      </c>
      <c r="H179" s="36">
        <f t="shared" si="24"/>
        <v>0</v>
      </c>
    </row>
    <row r="180" spans="1:8" s="38" customFormat="1" ht="12.75" x14ac:dyDescent="0.2">
      <c r="A180" s="40">
        <f t="shared" si="25"/>
        <v>14</v>
      </c>
      <c r="B180" s="39">
        <f t="shared" si="23"/>
        <v>160</v>
      </c>
      <c r="C180" s="35">
        <f t="shared" si="19"/>
        <v>0</v>
      </c>
      <c r="D180" s="36">
        <f t="shared" si="20"/>
        <v>0</v>
      </c>
      <c r="E180" s="36">
        <f t="shared" si="21"/>
        <v>0</v>
      </c>
      <c r="F180" s="36">
        <f t="shared" si="22"/>
        <v>0</v>
      </c>
      <c r="G180" s="35">
        <f t="shared" si="18"/>
        <v>0</v>
      </c>
      <c r="H180" s="36">
        <f t="shared" si="24"/>
        <v>0</v>
      </c>
    </row>
    <row r="181" spans="1:8" s="38" customFormat="1" ht="12.75" x14ac:dyDescent="0.2">
      <c r="A181" s="40">
        <f t="shared" si="25"/>
        <v>14</v>
      </c>
      <c r="B181" s="39">
        <f t="shared" si="23"/>
        <v>161</v>
      </c>
      <c r="C181" s="35">
        <f t="shared" si="19"/>
        <v>0</v>
      </c>
      <c r="D181" s="36">
        <f t="shared" si="20"/>
        <v>0</v>
      </c>
      <c r="E181" s="36">
        <f t="shared" si="21"/>
        <v>0</v>
      </c>
      <c r="F181" s="36">
        <f t="shared" si="22"/>
        <v>0</v>
      </c>
      <c r="G181" s="35">
        <f t="shared" si="18"/>
        <v>0</v>
      </c>
      <c r="H181" s="36">
        <f t="shared" si="24"/>
        <v>0</v>
      </c>
    </row>
    <row r="182" spans="1:8" s="38" customFormat="1" ht="12.75" x14ac:dyDescent="0.2">
      <c r="A182" s="40">
        <f t="shared" si="25"/>
        <v>14</v>
      </c>
      <c r="B182" s="39">
        <f t="shared" si="23"/>
        <v>162</v>
      </c>
      <c r="C182" s="35">
        <f t="shared" si="19"/>
        <v>0</v>
      </c>
      <c r="D182" s="36">
        <f t="shared" si="20"/>
        <v>0</v>
      </c>
      <c r="E182" s="36">
        <f t="shared" si="21"/>
        <v>0</v>
      </c>
      <c r="F182" s="36">
        <f t="shared" si="22"/>
        <v>0</v>
      </c>
      <c r="G182" s="35">
        <f t="shared" si="18"/>
        <v>0</v>
      </c>
      <c r="H182" s="36">
        <f t="shared" si="24"/>
        <v>0</v>
      </c>
    </row>
    <row r="183" spans="1:8" s="38" customFormat="1" ht="12.75" x14ac:dyDescent="0.2">
      <c r="A183" s="40">
        <f t="shared" si="25"/>
        <v>14</v>
      </c>
      <c r="B183" s="39">
        <f t="shared" si="23"/>
        <v>163</v>
      </c>
      <c r="C183" s="35">
        <f t="shared" si="19"/>
        <v>0</v>
      </c>
      <c r="D183" s="36">
        <f t="shared" si="20"/>
        <v>0</v>
      </c>
      <c r="E183" s="36">
        <f t="shared" si="21"/>
        <v>0</v>
      </c>
      <c r="F183" s="36">
        <f t="shared" si="22"/>
        <v>0</v>
      </c>
      <c r="G183" s="35">
        <f t="shared" si="18"/>
        <v>0</v>
      </c>
      <c r="H183" s="36">
        <f t="shared" si="24"/>
        <v>0</v>
      </c>
    </row>
    <row r="184" spans="1:8" s="38" customFormat="1" ht="12.75" x14ac:dyDescent="0.2">
      <c r="A184" s="40">
        <f t="shared" si="25"/>
        <v>14</v>
      </c>
      <c r="B184" s="39">
        <f t="shared" si="23"/>
        <v>164</v>
      </c>
      <c r="C184" s="35">
        <f t="shared" si="19"/>
        <v>0</v>
      </c>
      <c r="D184" s="36">
        <f t="shared" si="20"/>
        <v>0</v>
      </c>
      <c r="E184" s="36">
        <f t="shared" si="21"/>
        <v>0</v>
      </c>
      <c r="F184" s="36">
        <f t="shared" si="22"/>
        <v>0</v>
      </c>
      <c r="G184" s="35">
        <f t="shared" si="18"/>
        <v>0</v>
      </c>
      <c r="H184" s="36">
        <f t="shared" si="24"/>
        <v>0</v>
      </c>
    </row>
    <row r="185" spans="1:8" s="38" customFormat="1" ht="12.75" x14ac:dyDescent="0.2">
      <c r="A185" s="40">
        <f t="shared" si="25"/>
        <v>14</v>
      </c>
      <c r="B185" s="39">
        <f t="shared" si="23"/>
        <v>165</v>
      </c>
      <c r="C185" s="35">
        <f t="shared" si="19"/>
        <v>0</v>
      </c>
      <c r="D185" s="36">
        <f t="shared" si="20"/>
        <v>0</v>
      </c>
      <c r="E185" s="36">
        <f t="shared" si="21"/>
        <v>0</v>
      </c>
      <c r="F185" s="36">
        <f t="shared" si="22"/>
        <v>0</v>
      </c>
      <c r="G185" s="35">
        <f t="shared" si="18"/>
        <v>0</v>
      </c>
      <c r="H185" s="36">
        <f t="shared" si="24"/>
        <v>0</v>
      </c>
    </row>
    <row r="186" spans="1:8" s="38" customFormat="1" ht="12.75" x14ac:dyDescent="0.2">
      <c r="A186" s="40">
        <f t="shared" si="25"/>
        <v>14</v>
      </c>
      <c r="B186" s="39">
        <f t="shared" si="23"/>
        <v>166</v>
      </c>
      <c r="C186" s="35">
        <f t="shared" si="19"/>
        <v>0</v>
      </c>
      <c r="D186" s="36">
        <f t="shared" si="20"/>
        <v>0</v>
      </c>
      <c r="E186" s="36">
        <f t="shared" si="21"/>
        <v>0</v>
      </c>
      <c r="F186" s="36">
        <f t="shared" si="22"/>
        <v>0</v>
      </c>
      <c r="G186" s="35">
        <f t="shared" si="18"/>
        <v>0</v>
      </c>
      <c r="H186" s="36">
        <f t="shared" si="24"/>
        <v>0</v>
      </c>
    </row>
    <row r="187" spans="1:8" s="38" customFormat="1" ht="12.75" x14ac:dyDescent="0.2">
      <c r="A187" s="40">
        <f t="shared" si="25"/>
        <v>14</v>
      </c>
      <c r="B187" s="39">
        <f t="shared" si="23"/>
        <v>167</v>
      </c>
      <c r="C187" s="35">
        <f t="shared" si="19"/>
        <v>0</v>
      </c>
      <c r="D187" s="36">
        <f t="shared" si="20"/>
        <v>0</v>
      </c>
      <c r="E187" s="36">
        <f t="shared" si="21"/>
        <v>0</v>
      </c>
      <c r="F187" s="36">
        <f t="shared" si="22"/>
        <v>0</v>
      </c>
      <c r="G187" s="35">
        <f t="shared" si="18"/>
        <v>0</v>
      </c>
      <c r="H187" s="36">
        <f t="shared" si="24"/>
        <v>0</v>
      </c>
    </row>
    <row r="188" spans="1:8" s="38" customFormat="1" ht="12.75" x14ac:dyDescent="0.2">
      <c r="A188" s="40">
        <f t="shared" si="25"/>
        <v>14</v>
      </c>
      <c r="B188" s="39">
        <f t="shared" si="23"/>
        <v>168</v>
      </c>
      <c r="C188" s="35">
        <f t="shared" si="19"/>
        <v>0</v>
      </c>
      <c r="D188" s="36">
        <f t="shared" si="20"/>
        <v>0</v>
      </c>
      <c r="E188" s="36">
        <f t="shared" si="21"/>
        <v>0</v>
      </c>
      <c r="F188" s="36">
        <f t="shared" si="22"/>
        <v>0</v>
      </c>
      <c r="G188" s="35">
        <f t="shared" si="18"/>
        <v>0</v>
      </c>
      <c r="H188" s="36">
        <f t="shared" si="24"/>
        <v>0</v>
      </c>
    </row>
    <row r="189" spans="1:8" s="38" customFormat="1" ht="12.75" x14ac:dyDescent="0.2">
      <c r="A189" s="40">
        <f>A177+1</f>
        <v>15</v>
      </c>
      <c r="B189" s="39">
        <f t="shared" si="23"/>
        <v>169</v>
      </c>
      <c r="C189" s="35">
        <f t="shared" si="19"/>
        <v>0</v>
      </c>
      <c r="D189" s="36">
        <f t="shared" si="20"/>
        <v>0</v>
      </c>
      <c r="E189" s="36">
        <f t="shared" si="21"/>
        <v>0</v>
      </c>
      <c r="F189" s="36">
        <f t="shared" si="22"/>
        <v>0</v>
      </c>
      <c r="G189" s="35">
        <f t="shared" si="18"/>
        <v>0</v>
      </c>
      <c r="H189" s="36">
        <f t="shared" si="24"/>
        <v>0</v>
      </c>
    </row>
    <row r="190" spans="1:8" s="38" customFormat="1" ht="12.75" x14ac:dyDescent="0.2">
      <c r="A190" s="40">
        <f>A189</f>
        <v>15</v>
      </c>
      <c r="B190" s="39">
        <f t="shared" si="23"/>
        <v>170</v>
      </c>
      <c r="C190" s="35">
        <f t="shared" si="19"/>
        <v>0</v>
      </c>
      <c r="D190" s="36">
        <f t="shared" si="20"/>
        <v>0</v>
      </c>
      <c r="E190" s="36">
        <f t="shared" si="21"/>
        <v>0</v>
      </c>
      <c r="F190" s="36">
        <f t="shared" si="22"/>
        <v>0</v>
      </c>
      <c r="G190" s="35">
        <f t="shared" si="18"/>
        <v>0</v>
      </c>
      <c r="H190" s="36">
        <f t="shared" si="24"/>
        <v>0</v>
      </c>
    </row>
    <row r="191" spans="1:8" s="38" customFormat="1" ht="12.75" x14ac:dyDescent="0.2">
      <c r="A191" s="40">
        <f t="shared" si="25"/>
        <v>15</v>
      </c>
      <c r="B191" s="39">
        <f t="shared" si="23"/>
        <v>171</v>
      </c>
      <c r="C191" s="35">
        <f t="shared" si="19"/>
        <v>0</v>
      </c>
      <c r="D191" s="36">
        <f t="shared" si="20"/>
        <v>0</v>
      </c>
      <c r="E191" s="36">
        <f t="shared" si="21"/>
        <v>0</v>
      </c>
      <c r="F191" s="36">
        <f t="shared" si="22"/>
        <v>0</v>
      </c>
      <c r="G191" s="35">
        <f t="shared" si="18"/>
        <v>0</v>
      </c>
      <c r="H191" s="36">
        <f t="shared" si="24"/>
        <v>0</v>
      </c>
    </row>
    <row r="192" spans="1:8" s="38" customFormat="1" ht="12.75" x14ac:dyDescent="0.2">
      <c r="A192" s="40">
        <f t="shared" si="25"/>
        <v>15</v>
      </c>
      <c r="B192" s="39">
        <f t="shared" si="23"/>
        <v>172</v>
      </c>
      <c r="C192" s="35">
        <f t="shared" si="19"/>
        <v>0</v>
      </c>
      <c r="D192" s="36">
        <f t="shared" si="20"/>
        <v>0</v>
      </c>
      <c r="E192" s="36">
        <f t="shared" si="21"/>
        <v>0</v>
      </c>
      <c r="F192" s="36">
        <f t="shared" si="22"/>
        <v>0</v>
      </c>
      <c r="G192" s="35">
        <f t="shared" si="18"/>
        <v>0</v>
      </c>
      <c r="H192" s="36">
        <f t="shared" si="24"/>
        <v>0</v>
      </c>
    </row>
    <row r="193" spans="1:8" s="38" customFormat="1" ht="12.75" x14ac:dyDescent="0.2">
      <c r="A193" s="40">
        <f t="shared" si="25"/>
        <v>15</v>
      </c>
      <c r="B193" s="39">
        <f t="shared" si="23"/>
        <v>173</v>
      </c>
      <c r="C193" s="35">
        <f t="shared" si="19"/>
        <v>0</v>
      </c>
      <c r="D193" s="36">
        <f t="shared" si="20"/>
        <v>0</v>
      </c>
      <c r="E193" s="36">
        <f t="shared" si="21"/>
        <v>0</v>
      </c>
      <c r="F193" s="36">
        <f t="shared" si="22"/>
        <v>0</v>
      </c>
      <c r="G193" s="35">
        <f t="shared" si="18"/>
        <v>0</v>
      </c>
      <c r="H193" s="36">
        <f t="shared" si="24"/>
        <v>0</v>
      </c>
    </row>
    <row r="194" spans="1:8" s="38" customFormat="1" ht="12.75" x14ac:dyDescent="0.2">
      <c r="A194" s="40">
        <f t="shared" si="25"/>
        <v>15</v>
      </c>
      <c r="B194" s="39">
        <f t="shared" si="23"/>
        <v>174</v>
      </c>
      <c r="C194" s="35">
        <f t="shared" si="19"/>
        <v>0</v>
      </c>
      <c r="D194" s="36">
        <f t="shared" si="20"/>
        <v>0</v>
      </c>
      <c r="E194" s="36">
        <f t="shared" si="21"/>
        <v>0</v>
      </c>
      <c r="F194" s="36">
        <f t="shared" si="22"/>
        <v>0</v>
      </c>
      <c r="G194" s="35">
        <f t="shared" si="18"/>
        <v>0</v>
      </c>
      <c r="H194" s="36">
        <f t="shared" si="24"/>
        <v>0</v>
      </c>
    </row>
    <row r="195" spans="1:8" s="38" customFormat="1" ht="12.75" x14ac:dyDescent="0.2">
      <c r="A195" s="40">
        <f t="shared" si="25"/>
        <v>15</v>
      </c>
      <c r="B195" s="39">
        <f t="shared" si="23"/>
        <v>175</v>
      </c>
      <c r="C195" s="35">
        <f t="shared" si="19"/>
        <v>0</v>
      </c>
      <c r="D195" s="36">
        <f t="shared" si="20"/>
        <v>0</v>
      </c>
      <c r="E195" s="36">
        <f t="shared" si="21"/>
        <v>0</v>
      </c>
      <c r="F195" s="36">
        <f t="shared" si="22"/>
        <v>0</v>
      </c>
      <c r="G195" s="35">
        <f t="shared" si="18"/>
        <v>0</v>
      </c>
      <c r="H195" s="36">
        <f t="shared" si="24"/>
        <v>0</v>
      </c>
    </row>
    <row r="196" spans="1:8" s="38" customFormat="1" ht="12.75" x14ac:dyDescent="0.2">
      <c r="A196" s="40">
        <f t="shared" si="25"/>
        <v>15</v>
      </c>
      <c r="B196" s="39">
        <f t="shared" si="23"/>
        <v>176</v>
      </c>
      <c r="C196" s="35">
        <f t="shared" si="19"/>
        <v>0</v>
      </c>
      <c r="D196" s="36">
        <f t="shared" si="20"/>
        <v>0</v>
      </c>
      <c r="E196" s="36">
        <f t="shared" si="21"/>
        <v>0</v>
      </c>
      <c r="F196" s="36">
        <f t="shared" si="22"/>
        <v>0</v>
      </c>
      <c r="G196" s="35">
        <f t="shared" si="18"/>
        <v>0</v>
      </c>
      <c r="H196" s="36">
        <f t="shared" si="24"/>
        <v>0</v>
      </c>
    </row>
    <row r="197" spans="1:8" s="38" customFormat="1" ht="12.75" x14ac:dyDescent="0.2">
      <c r="A197" s="40">
        <f t="shared" si="25"/>
        <v>15</v>
      </c>
      <c r="B197" s="39">
        <f t="shared" si="23"/>
        <v>177</v>
      </c>
      <c r="C197" s="35">
        <f t="shared" si="19"/>
        <v>0</v>
      </c>
      <c r="D197" s="36">
        <f t="shared" si="20"/>
        <v>0</v>
      </c>
      <c r="E197" s="36">
        <f t="shared" si="21"/>
        <v>0</v>
      </c>
      <c r="F197" s="36">
        <f t="shared" si="22"/>
        <v>0</v>
      </c>
      <c r="G197" s="35">
        <f t="shared" si="18"/>
        <v>0</v>
      </c>
      <c r="H197" s="36">
        <f t="shared" si="24"/>
        <v>0</v>
      </c>
    </row>
    <row r="198" spans="1:8" s="38" customFormat="1" ht="12.75" x14ac:dyDescent="0.2">
      <c r="A198" s="40">
        <f t="shared" si="25"/>
        <v>15</v>
      </c>
      <c r="B198" s="39">
        <f t="shared" si="23"/>
        <v>178</v>
      </c>
      <c r="C198" s="35">
        <f t="shared" si="19"/>
        <v>0</v>
      </c>
      <c r="D198" s="36">
        <f t="shared" si="20"/>
        <v>0</v>
      </c>
      <c r="E198" s="36">
        <f t="shared" si="21"/>
        <v>0</v>
      </c>
      <c r="F198" s="36">
        <f t="shared" si="22"/>
        <v>0</v>
      </c>
      <c r="G198" s="35">
        <f t="shared" si="18"/>
        <v>0</v>
      </c>
      <c r="H198" s="36">
        <f t="shared" si="24"/>
        <v>0</v>
      </c>
    </row>
    <row r="199" spans="1:8" s="38" customFormat="1" ht="12.75" x14ac:dyDescent="0.2">
      <c r="A199" s="40">
        <f t="shared" si="25"/>
        <v>15</v>
      </c>
      <c r="B199" s="39">
        <f t="shared" si="23"/>
        <v>179</v>
      </c>
      <c r="C199" s="35">
        <f t="shared" si="19"/>
        <v>0</v>
      </c>
      <c r="D199" s="36">
        <f t="shared" si="20"/>
        <v>0</v>
      </c>
      <c r="E199" s="36">
        <f t="shared" si="21"/>
        <v>0</v>
      </c>
      <c r="F199" s="36">
        <f t="shared" si="22"/>
        <v>0</v>
      </c>
      <c r="G199" s="35">
        <f t="shared" si="18"/>
        <v>0</v>
      </c>
      <c r="H199" s="36">
        <f t="shared" si="24"/>
        <v>0</v>
      </c>
    </row>
    <row r="200" spans="1:8" s="38" customFormat="1" ht="12.75" x14ac:dyDescent="0.2">
      <c r="A200" s="40">
        <f t="shared" si="25"/>
        <v>15</v>
      </c>
      <c r="B200" s="39">
        <f t="shared" si="23"/>
        <v>180</v>
      </c>
      <c r="C200" s="35">
        <f t="shared" si="19"/>
        <v>0</v>
      </c>
      <c r="D200" s="36">
        <f t="shared" si="20"/>
        <v>0</v>
      </c>
      <c r="E200" s="36">
        <f t="shared" si="21"/>
        <v>0</v>
      </c>
      <c r="F200" s="36">
        <f t="shared" si="22"/>
        <v>0</v>
      </c>
      <c r="G200" s="35">
        <f t="shared" si="18"/>
        <v>0</v>
      </c>
      <c r="H200" s="36">
        <f t="shared" si="24"/>
        <v>0</v>
      </c>
    </row>
    <row r="201" spans="1:8" s="38" customFormat="1" ht="12.75" x14ac:dyDescent="0.2">
      <c r="A201" s="40">
        <f>A189+1</f>
        <v>16</v>
      </c>
      <c r="B201" s="39">
        <f t="shared" si="23"/>
        <v>181</v>
      </c>
      <c r="C201" s="35">
        <f t="shared" si="19"/>
        <v>0</v>
      </c>
      <c r="D201" s="36">
        <f t="shared" si="20"/>
        <v>0</v>
      </c>
      <c r="E201" s="36">
        <f t="shared" si="21"/>
        <v>0</v>
      </c>
      <c r="F201" s="36">
        <f t="shared" si="22"/>
        <v>0</v>
      </c>
      <c r="G201" s="35">
        <f t="shared" si="18"/>
        <v>0</v>
      </c>
      <c r="H201" s="36">
        <f t="shared" si="24"/>
        <v>0</v>
      </c>
    </row>
    <row r="202" spans="1:8" s="38" customFormat="1" ht="12.75" x14ac:dyDescent="0.2">
      <c r="A202" s="40">
        <f>A201</f>
        <v>16</v>
      </c>
      <c r="B202" s="39">
        <f t="shared" si="23"/>
        <v>182</v>
      </c>
      <c r="C202" s="35">
        <f t="shared" si="19"/>
        <v>0</v>
      </c>
      <c r="D202" s="36">
        <f t="shared" si="20"/>
        <v>0</v>
      </c>
      <c r="E202" s="36">
        <f t="shared" si="21"/>
        <v>0</v>
      </c>
      <c r="F202" s="36">
        <f t="shared" si="22"/>
        <v>0</v>
      </c>
      <c r="G202" s="35">
        <f t="shared" si="18"/>
        <v>0</v>
      </c>
      <c r="H202" s="36">
        <f t="shared" si="24"/>
        <v>0</v>
      </c>
    </row>
    <row r="203" spans="1:8" s="38" customFormat="1" ht="12.75" x14ac:dyDescent="0.2">
      <c r="A203" s="40">
        <f t="shared" si="25"/>
        <v>16</v>
      </c>
      <c r="B203" s="39">
        <f t="shared" si="23"/>
        <v>183</v>
      </c>
      <c r="C203" s="35">
        <f t="shared" si="19"/>
        <v>0</v>
      </c>
      <c r="D203" s="36">
        <f t="shared" si="20"/>
        <v>0</v>
      </c>
      <c r="E203" s="36">
        <f t="shared" si="21"/>
        <v>0</v>
      </c>
      <c r="F203" s="36">
        <f t="shared" si="22"/>
        <v>0</v>
      </c>
      <c r="G203" s="35">
        <f t="shared" si="18"/>
        <v>0</v>
      </c>
      <c r="H203" s="36">
        <f t="shared" si="24"/>
        <v>0</v>
      </c>
    </row>
    <row r="204" spans="1:8" s="38" customFormat="1" ht="12.75" x14ac:dyDescent="0.2">
      <c r="A204" s="40">
        <f t="shared" si="25"/>
        <v>16</v>
      </c>
      <c r="B204" s="39">
        <f t="shared" si="23"/>
        <v>184</v>
      </c>
      <c r="C204" s="35">
        <f t="shared" si="19"/>
        <v>0</v>
      </c>
      <c r="D204" s="36">
        <f t="shared" si="20"/>
        <v>0</v>
      </c>
      <c r="E204" s="36">
        <f t="shared" si="21"/>
        <v>0</v>
      </c>
      <c r="F204" s="36">
        <f t="shared" si="22"/>
        <v>0</v>
      </c>
      <c r="G204" s="35">
        <f t="shared" si="18"/>
        <v>0</v>
      </c>
      <c r="H204" s="36">
        <f t="shared" si="24"/>
        <v>0</v>
      </c>
    </row>
    <row r="205" spans="1:8" s="38" customFormat="1" ht="12.75" x14ac:dyDescent="0.2">
      <c r="A205" s="40">
        <f t="shared" si="25"/>
        <v>16</v>
      </c>
      <c r="B205" s="39">
        <f t="shared" si="23"/>
        <v>185</v>
      </c>
      <c r="C205" s="35">
        <f t="shared" si="19"/>
        <v>0</v>
      </c>
      <c r="D205" s="36">
        <f t="shared" si="20"/>
        <v>0</v>
      </c>
      <c r="E205" s="36">
        <f t="shared" si="21"/>
        <v>0</v>
      </c>
      <c r="F205" s="36">
        <f t="shared" si="22"/>
        <v>0</v>
      </c>
      <c r="G205" s="35">
        <f t="shared" ref="G205:G268" si="26">IF(AND($G$13, B205=$G$14), C205+E205, 0)</f>
        <v>0</v>
      </c>
      <c r="H205" s="36">
        <f t="shared" si="24"/>
        <v>0</v>
      </c>
    </row>
    <row r="206" spans="1:8" s="38" customFormat="1" ht="12.75" x14ac:dyDescent="0.2">
      <c r="A206" s="40">
        <f t="shared" si="25"/>
        <v>16</v>
      </c>
      <c r="B206" s="39">
        <f t="shared" si="23"/>
        <v>186</v>
      </c>
      <c r="C206" s="35">
        <f t="shared" si="19"/>
        <v>0</v>
      </c>
      <c r="D206" s="36">
        <f t="shared" si="20"/>
        <v>0</v>
      </c>
      <c r="E206" s="36">
        <f t="shared" si="21"/>
        <v>0</v>
      </c>
      <c r="F206" s="36">
        <f t="shared" si="22"/>
        <v>0</v>
      </c>
      <c r="G206" s="35">
        <f t="shared" si="26"/>
        <v>0</v>
      </c>
      <c r="H206" s="36">
        <f t="shared" si="24"/>
        <v>0</v>
      </c>
    </row>
    <row r="207" spans="1:8" s="38" customFormat="1" ht="12.75" x14ac:dyDescent="0.2">
      <c r="A207" s="40">
        <f t="shared" si="25"/>
        <v>16</v>
      </c>
      <c r="B207" s="39">
        <f t="shared" si="23"/>
        <v>187</v>
      </c>
      <c r="C207" s="35">
        <f t="shared" si="19"/>
        <v>0</v>
      </c>
      <c r="D207" s="36">
        <f t="shared" si="20"/>
        <v>0</v>
      </c>
      <c r="E207" s="36">
        <f t="shared" si="21"/>
        <v>0</v>
      </c>
      <c r="F207" s="36">
        <f t="shared" si="22"/>
        <v>0</v>
      </c>
      <c r="G207" s="35">
        <f t="shared" si="26"/>
        <v>0</v>
      </c>
      <c r="H207" s="36">
        <f t="shared" si="24"/>
        <v>0</v>
      </c>
    </row>
    <row r="208" spans="1:8" s="38" customFormat="1" ht="12.75" x14ac:dyDescent="0.2">
      <c r="A208" s="40">
        <f t="shared" si="25"/>
        <v>16</v>
      </c>
      <c r="B208" s="39">
        <f t="shared" si="23"/>
        <v>188</v>
      </c>
      <c r="C208" s="35">
        <f t="shared" si="19"/>
        <v>0</v>
      </c>
      <c r="D208" s="36">
        <f t="shared" si="20"/>
        <v>0</v>
      </c>
      <c r="E208" s="36">
        <f t="shared" si="21"/>
        <v>0</v>
      </c>
      <c r="F208" s="36">
        <f t="shared" si="22"/>
        <v>0</v>
      </c>
      <c r="G208" s="35">
        <f t="shared" si="26"/>
        <v>0</v>
      </c>
      <c r="H208" s="36">
        <f t="shared" si="24"/>
        <v>0</v>
      </c>
    </row>
    <row r="209" spans="1:8" s="38" customFormat="1" ht="12.75" x14ac:dyDescent="0.2">
      <c r="A209" s="40">
        <f t="shared" si="25"/>
        <v>16</v>
      </c>
      <c r="B209" s="39">
        <f t="shared" si="23"/>
        <v>189</v>
      </c>
      <c r="C209" s="35">
        <f t="shared" si="19"/>
        <v>0</v>
      </c>
      <c r="D209" s="36">
        <f t="shared" si="20"/>
        <v>0</v>
      </c>
      <c r="E209" s="36">
        <f t="shared" si="21"/>
        <v>0</v>
      </c>
      <c r="F209" s="36">
        <f t="shared" si="22"/>
        <v>0</v>
      </c>
      <c r="G209" s="35">
        <f t="shared" si="26"/>
        <v>0</v>
      </c>
      <c r="H209" s="36">
        <f t="shared" si="24"/>
        <v>0</v>
      </c>
    </row>
    <row r="210" spans="1:8" s="38" customFormat="1" ht="12.75" x14ac:dyDescent="0.2">
      <c r="A210" s="40">
        <f t="shared" si="25"/>
        <v>16</v>
      </c>
      <c r="B210" s="39">
        <f t="shared" si="23"/>
        <v>190</v>
      </c>
      <c r="C210" s="35">
        <f t="shared" si="19"/>
        <v>0</v>
      </c>
      <c r="D210" s="36">
        <f t="shared" si="20"/>
        <v>0</v>
      </c>
      <c r="E210" s="36">
        <f t="shared" si="21"/>
        <v>0</v>
      </c>
      <c r="F210" s="36">
        <f t="shared" si="22"/>
        <v>0</v>
      </c>
      <c r="G210" s="35">
        <f t="shared" si="26"/>
        <v>0</v>
      </c>
      <c r="H210" s="36">
        <f t="shared" si="24"/>
        <v>0</v>
      </c>
    </row>
    <row r="211" spans="1:8" s="38" customFormat="1" ht="12.75" x14ac:dyDescent="0.2">
      <c r="A211" s="40">
        <f t="shared" si="25"/>
        <v>16</v>
      </c>
      <c r="B211" s="39">
        <f t="shared" si="23"/>
        <v>191</v>
      </c>
      <c r="C211" s="35">
        <f t="shared" si="19"/>
        <v>0</v>
      </c>
      <c r="D211" s="36">
        <f t="shared" si="20"/>
        <v>0</v>
      </c>
      <c r="E211" s="36">
        <f t="shared" si="21"/>
        <v>0</v>
      </c>
      <c r="F211" s="36">
        <f t="shared" si="22"/>
        <v>0</v>
      </c>
      <c r="G211" s="35">
        <f t="shared" si="26"/>
        <v>0</v>
      </c>
      <c r="H211" s="36">
        <f t="shared" si="24"/>
        <v>0</v>
      </c>
    </row>
    <row r="212" spans="1:8" s="38" customFormat="1" ht="12.75" x14ac:dyDescent="0.2">
      <c r="A212" s="40">
        <f t="shared" si="25"/>
        <v>16</v>
      </c>
      <c r="B212" s="39">
        <f t="shared" si="23"/>
        <v>192</v>
      </c>
      <c r="C212" s="35">
        <f t="shared" si="19"/>
        <v>0</v>
      </c>
      <c r="D212" s="36">
        <f t="shared" si="20"/>
        <v>0</v>
      </c>
      <c r="E212" s="36">
        <f t="shared" si="21"/>
        <v>0</v>
      </c>
      <c r="F212" s="36">
        <f t="shared" si="22"/>
        <v>0</v>
      </c>
      <c r="G212" s="35">
        <f t="shared" si="26"/>
        <v>0</v>
      </c>
      <c r="H212" s="36">
        <f t="shared" si="24"/>
        <v>0</v>
      </c>
    </row>
    <row r="213" spans="1:8" s="38" customFormat="1" ht="12.75" x14ac:dyDescent="0.2">
      <c r="A213" s="40">
        <f>A201+1</f>
        <v>17</v>
      </c>
      <c r="B213" s="39">
        <f t="shared" si="23"/>
        <v>193</v>
      </c>
      <c r="C213" s="35">
        <f t="shared" ref="C213:C276" si="27">H212</f>
        <v>0</v>
      </c>
      <c r="D213" s="36">
        <f t="shared" ref="D213:D276" si="28">IF(C213=0,0, IF(AND($G$10, B213&lt;=$G$11), F213, PMT($C$12, $C$14, $C$10)))</f>
        <v>0</v>
      </c>
      <c r="E213" s="36">
        <f t="shared" ref="E213:E276" si="29">IF(AND($G$10, B213&lt;=$G$11), 0, D213-F213)</f>
        <v>0</v>
      </c>
      <c r="F213" s="36">
        <f t="shared" ref="F213:F276" si="30">-H212*$C$12</f>
        <v>0</v>
      </c>
      <c r="G213" s="35">
        <f t="shared" si="26"/>
        <v>0</v>
      </c>
      <c r="H213" s="36">
        <f t="shared" si="24"/>
        <v>0</v>
      </c>
    </row>
    <row r="214" spans="1:8" s="38" customFormat="1" ht="12.75" x14ac:dyDescent="0.2">
      <c r="A214" s="40">
        <f>A213</f>
        <v>17</v>
      </c>
      <c r="B214" s="39">
        <f t="shared" ref="B214:B277" si="31">+B213+1</f>
        <v>194</v>
      </c>
      <c r="C214" s="35">
        <f t="shared" si="27"/>
        <v>0</v>
      </c>
      <c r="D214" s="36">
        <f t="shared" si="28"/>
        <v>0</v>
      </c>
      <c r="E214" s="36">
        <f t="shared" si="29"/>
        <v>0</v>
      </c>
      <c r="F214" s="36">
        <f t="shared" si="30"/>
        <v>0</v>
      </c>
      <c r="G214" s="35">
        <f t="shared" si="26"/>
        <v>0</v>
      </c>
      <c r="H214" s="36">
        <f t="shared" si="24"/>
        <v>0</v>
      </c>
    </row>
    <row r="215" spans="1:8" s="38" customFormat="1" ht="12.75" x14ac:dyDescent="0.2">
      <c r="A215" s="40">
        <f t="shared" si="25"/>
        <v>17</v>
      </c>
      <c r="B215" s="39">
        <f t="shared" si="31"/>
        <v>195</v>
      </c>
      <c r="C215" s="35">
        <f t="shared" si="27"/>
        <v>0</v>
      </c>
      <c r="D215" s="36">
        <f t="shared" si="28"/>
        <v>0</v>
      </c>
      <c r="E215" s="36">
        <f t="shared" si="29"/>
        <v>0</v>
      </c>
      <c r="F215" s="36">
        <f t="shared" si="30"/>
        <v>0</v>
      </c>
      <c r="G215" s="35">
        <f t="shared" si="26"/>
        <v>0</v>
      </c>
      <c r="H215" s="36">
        <f t="shared" si="24"/>
        <v>0</v>
      </c>
    </row>
    <row r="216" spans="1:8" s="38" customFormat="1" ht="12.75" x14ac:dyDescent="0.2">
      <c r="A216" s="40">
        <f t="shared" si="25"/>
        <v>17</v>
      </c>
      <c r="B216" s="39">
        <f t="shared" si="31"/>
        <v>196</v>
      </c>
      <c r="C216" s="35">
        <f t="shared" si="27"/>
        <v>0</v>
      </c>
      <c r="D216" s="36">
        <f t="shared" si="28"/>
        <v>0</v>
      </c>
      <c r="E216" s="36">
        <f t="shared" si="29"/>
        <v>0</v>
      </c>
      <c r="F216" s="36">
        <f t="shared" si="30"/>
        <v>0</v>
      </c>
      <c r="G216" s="35">
        <f t="shared" si="26"/>
        <v>0</v>
      </c>
      <c r="H216" s="36">
        <f t="shared" si="24"/>
        <v>0</v>
      </c>
    </row>
    <row r="217" spans="1:8" s="38" customFormat="1" ht="12.75" x14ac:dyDescent="0.2">
      <c r="A217" s="40">
        <f t="shared" si="25"/>
        <v>17</v>
      </c>
      <c r="B217" s="39">
        <f t="shared" si="31"/>
        <v>197</v>
      </c>
      <c r="C217" s="35">
        <f t="shared" si="27"/>
        <v>0</v>
      </c>
      <c r="D217" s="36">
        <f t="shared" si="28"/>
        <v>0</v>
      </c>
      <c r="E217" s="36">
        <f t="shared" si="29"/>
        <v>0</v>
      </c>
      <c r="F217" s="36">
        <f t="shared" si="30"/>
        <v>0</v>
      </c>
      <c r="G217" s="35">
        <f t="shared" si="26"/>
        <v>0</v>
      </c>
      <c r="H217" s="36">
        <f t="shared" si="24"/>
        <v>0</v>
      </c>
    </row>
    <row r="218" spans="1:8" s="38" customFormat="1" ht="12.75" x14ac:dyDescent="0.2">
      <c r="A218" s="40">
        <f t="shared" si="25"/>
        <v>17</v>
      </c>
      <c r="B218" s="39">
        <f t="shared" si="31"/>
        <v>198</v>
      </c>
      <c r="C218" s="35">
        <f t="shared" si="27"/>
        <v>0</v>
      </c>
      <c r="D218" s="36">
        <f t="shared" si="28"/>
        <v>0</v>
      </c>
      <c r="E218" s="36">
        <f t="shared" si="29"/>
        <v>0</v>
      </c>
      <c r="F218" s="36">
        <f t="shared" si="30"/>
        <v>0</v>
      </c>
      <c r="G218" s="35">
        <f t="shared" si="26"/>
        <v>0</v>
      </c>
      <c r="H218" s="36">
        <f t="shared" si="24"/>
        <v>0</v>
      </c>
    </row>
    <row r="219" spans="1:8" s="38" customFormat="1" ht="12.75" x14ac:dyDescent="0.2">
      <c r="A219" s="40">
        <f t="shared" si="25"/>
        <v>17</v>
      </c>
      <c r="B219" s="39">
        <f t="shared" si="31"/>
        <v>199</v>
      </c>
      <c r="C219" s="35">
        <f t="shared" si="27"/>
        <v>0</v>
      </c>
      <c r="D219" s="36">
        <f t="shared" si="28"/>
        <v>0</v>
      </c>
      <c r="E219" s="36">
        <f t="shared" si="29"/>
        <v>0</v>
      </c>
      <c r="F219" s="36">
        <f t="shared" si="30"/>
        <v>0</v>
      </c>
      <c r="G219" s="35">
        <f t="shared" si="26"/>
        <v>0</v>
      </c>
      <c r="H219" s="36">
        <f t="shared" si="24"/>
        <v>0</v>
      </c>
    </row>
    <row r="220" spans="1:8" s="38" customFormat="1" ht="12.75" x14ac:dyDescent="0.2">
      <c r="A220" s="40">
        <f t="shared" si="25"/>
        <v>17</v>
      </c>
      <c r="B220" s="39">
        <f t="shared" si="31"/>
        <v>200</v>
      </c>
      <c r="C220" s="35">
        <f t="shared" si="27"/>
        <v>0</v>
      </c>
      <c r="D220" s="36">
        <f t="shared" si="28"/>
        <v>0</v>
      </c>
      <c r="E220" s="36">
        <f t="shared" si="29"/>
        <v>0</v>
      </c>
      <c r="F220" s="36">
        <f t="shared" si="30"/>
        <v>0</v>
      </c>
      <c r="G220" s="35">
        <f t="shared" si="26"/>
        <v>0</v>
      </c>
      <c r="H220" s="36">
        <f t="shared" si="24"/>
        <v>0</v>
      </c>
    </row>
    <row r="221" spans="1:8" s="38" customFormat="1" ht="12.75" x14ac:dyDescent="0.2">
      <c r="A221" s="40">
        <f t="shared" si="25"/>
        <v>17</v>
      </c>
      <c r="B221" s="39">
        <f t="shared" si="31"/>
        <v>201</v>
      </c>
      <c r="C221" s="35">
        <f t="shared" si="27"/>
        <v>0</v>
      </c>
      <c r="D221" s="36">
        <f t="shared" si="28"/>
        <v>0</v>
      </c>
      <c r="E221" s="36">
        <f t="shared" si="29"/>
        <v>0</v>
      </c>
      <c r="F221" s="36">
        <f t="shared" si="30"/>
        <v>0</v>
      </c>
      <c r="G221" s="35">
        <f t="shared" si="26"/>
        <v>0</v>
      </c>
      <c r="H221" s="36">
        <f t="shared" si="24"/>
        <v>0</v>
      </c>
    </row>
    <row r="222" spans="1:8" s="38" customFormat="1" ht="12.75" x14ac:dyDescent="0.2">
      <c r="A222" s="40">
        <f t="shared" si="25"/>
        <v>17</v>
      </c>
      <c r="B222" s="39">
        <f t="shared" si="31"/>
        <v>202</v>
      </c>
      <c r="C222" s="35">
        <f t="shared" si="27"/>
        <v>0</v>
      </c>
      <c r="D222" s="36">
        <f t="shared" si="28"/>
        <v>0</v>
      </c>
      <c r="E222" s="36">
        <f t="shared" si="29"/>
        <v>0</v>
      </c>
      <c r="F222" s="36">
        <f t="shared" si="30"/>
        <v>0</v>
      </c>
      <c r="G222" s="35">
        <f t="shared" si="26"/>
        <v>0</v>
      </c>
      <c r="H222" s="36">
        <f t="shared" si="24"/>
        <v>0</v>
      </c>
    </row>
    <row r="223" spans="1:8" s="38" customFormat="1" ht="12.75" x14ac:dyDescent="0.2">
      <c r="A223" s="40">
        <f t="shared" si="25"/>
        <v>17</v>
      </c>
      <c r="B223" s="39">
        <f t="shared" si="31"/>
        <v>203</v>
      </c>
      <c r="C223" s="35">
        <f t="shared" si="27"/>
        <v>0</v>
      </c>
      <c r="D223" s="36">
        <f t="shared" si="28"/>
        <v>0</v>
      </c>
      <c r="E223" s="36">
        <f t="shared" si="29"/>
        <v>0</v>
      </c>
      <c r="F223" s="36">
        <f t="shared" si="30"/>
        <v>0</v>
      </c>
      <c r="G223" s="35">
        <f t="shared" si="26"/>
        <v>0</v>
      </c>
      <c r="H223" s="36">
        <f t="shared" si="24"/>
        <v>0</v>
      </c>
    </row>
    <row r="224" spans="1:8" s="38" customFormat="1" ht="12.75" x14ac:dyDescent="0.2">
      <c r="A224" s="40">
        <f t="shared" si="25"/>
        <v>17</v>
      </c>
      <c r="B224" s="39">
        <f t="shared" si="31"/>
        <v>204</v>
      </c>
      <c r="C224" s="35">
        <f t="shared" si="27"/>
        <v>0</v>
      </c>
      <c r="D224" s="36">
        <f t="shared" si="28"/>
        <v>0</v>
      </c>
      <c r="E224" s="36">
        <f t="shared" si="29"/>
        <v>0</v>
      </c>
      <c r="F224" s="36">
        <f t="shared" si="30"/>
        <v>0</v>
      </c>
      <c r="G224" s="35">
        <f t="shared" si="26"/>
        <v>0</v>
      </c>
      <c r="H224" s="36">
        <f t="shared" si="24"/>
        <v>0</v>
      </c>
    </row>
    <row r="225" spans="1:8" s="38" customFormat="1" ht="12.75" x14ac:dyDescent="0.2">
      <c r="A225" s="40">
        <f>A213+1</f>
        <v>18</v>
      </c>
      <c r="B225" s="39">
        <f t="shared" si="31"/>
        <v>205</v>
      </c>
      <c r="C225" s="35">
        <f t="shared" si="27"/>
        <v>0</v>
      </c>
      <c r="D225" s="36">
        <f t="shared" si="28"/>
        <v>0</v>
      </c>
      <c r="E225" s="36">
        <f t="shared" si="29"/>
        <v>0</v>
      </c>
      <c r="F225" s="36">
        <f t="shared" si="30"/>
        <v>0</v>
      </c>
      <c r="G225" s="35">
        <f t="shared" si="26"/>
        <v>0</v>
      </c>
      <c r="H225" s="36">
        <f t="shared" si="24"/>
        <v>0</v>
      </c>
    </row>
    <row r="226" spans="1:8" s="38" customFormat="1" ht="12.75" x14ac:dyDescent="0.2">
      <c r="A226" s="40">
        <f>A225</f>
        <v>18</v>
      </c>
      <c r="B226" s="39">
        <f t="shared" si="31"/>
        <v>206</v>
      </c>
      <c r="C226" s="35">
        <f t="shared" si="27"/>
        <v>0</v>
      </c>
      <c r="D226" s="36">
        <f t="shared" si="28"/>
        <v>0</v>
      </c>
      <c r="E226" s="36">
        <f t="shared" si="29"/>
        <v>0</v>
      </c>
      <c r="F226" s="36">
        <f t="shared" si="30"/>
        <v>0</v>
      </c>
      <c r="G226" s="35">
        <f t="shared" si="26"/>
        <v>0</v>
      </c>
      <c r="H226" s="36">
        <f t="shared" si="24"/>
        <v>0</v>
      </c>
    </row>
    <row r="227" spans="1:8" s="38" customFormat="1" ht="12.75" x14ac:dyDescent="0.2">
      <c r="A227" s="40">
        <f t="shared" si="25"/>
        <v>18</v>
      </c>
      <c r="B227" s="39">
        <f t="shared" si="31"/>
        <v>207</v>
      </c>
      <c r="C227" s="35">
        <f t="shared" si="27"/>
        <v>0</v>
      </c>
      <c r="D227" s="36">
        <f t="shared" si="28"/>
        <v>0</v>
      </c>
      <c r="E227" s="36">
        <f t="shared" si="29"/>
        <v>0</v>
      </c>
      <c r="F227" s="36">
        <f t="shared" si="30"/>
        <v>0</v>
      </c>
      <c r="G227" s="35">
        <f t="shared" si="26"/>
        <v>0</v>
      </c>
      <c r="H227" s="36">
        <f t="shared" si="24"/>
        <v>0</v>
      </c>
    </row>
    <row r="228" spans="1:8" s="38" customFormat="1" ht="12.75" x14ac:dyDescent="0.2">
      <c r="A228" s="40">
        <f t="shared" si="25"/>
        <v>18</v>
      </c>
      <c r="B228" s="39">
        <f t="shared" si="31"/>
        <v>208</v>
      </c>
      <c r="C228" s="35">
        <f t="shared" si="27"/>
        <v>0</v>
      </c>
      <c r="D228" s="36">
        <f t="shared" si="28"/>
        <v>0</v>
      </c>
      <c r="E228" s="36">
        <f t="shared" si="29"/>
        <v>0</v>
      </c>
      <c r="F228" s="36">
        <f t="shared" si="30"/>
        <v>0</v>
      </c>
      <c r="G228" s="35">
        <f t="shared" si="26"/>
        <v>0</v>
      </c>
      <c r="H228" s="36">
        <f t="shared" si="24"/>
        <v>0</v>
      </c>
    </row>
    <row r="229" spans="1:8" s="38" customFormat="1" ht="12.75" x14ac:dyDescent="0.2">
      <c r="A229" s="40">
        <f t="shared" si="25"/>
        <v>18</v>
      </c>
      <c r="B229" s="39">
        <f t="shared" si="31"/>
        <v>209</v>
      </c>
      <c r="C229" s="35">
        <f t="shared" si="27"/>
        <v>0</v>
      </c>
      <c r="D229" s="36">
        <f t="shared" si="28"/>
        <v>0</v>
      </c>
      <c r="E229" s="36">
        <f t="shared" si="29"/>
        <v>0</v>
      </c>
      <c r="F229" s="36">
        <f t="shared" si="30"/>
        <v>0</v>
      </c>
      <c r="G229" s="35">
        <f t="shared" si="26"/>
        <v>0</v>
      </c>
      <c r="H229" s="36">
        <f t="shared" si="24"/>
        <v>0</v>
      </c>
    </row>
    <row r="230" spans="1:8" s="38" customFormat="1" ht="12.75" x14ac:dyDescent="0.2">
      <c r="A230" s="40">
        <f t="shared" si="25"/>
        <v>18</v>
      </c>
      <c r="B230" s="39">
        <f t="shared" si="31"/>
        <v>210</v>
      </c>
      <c r="C230" s="35">
        <f t="shared" si="27"/>
        <v>0</v>
      </c>
      <c r="D230" s="36">
        <f t="shared" si="28"/>
        <v>0</v>
      </c>
      <c r="E230" s="36">
        <f t="shared" si="29"/>
        <v>0</v>
      </c>
      <c r="F230" s="36">
        <f t="shared" si="30"/>
        <v>0</v>
      </c>
      <c r="G230" s="35">
        <f t="shared" si="26"/>
        <v>0</v>
      </c>
      <c r="H230" s="36">
        <f t="shared" si="24"/>
        <v>0</v>
      </c>
    </row>
    <row r="231" spans="1:8" s="38" customFormat="1" ht="12.75" x14ac:dyDescent="0.2">
      <c r="A231" s="40">
        <f t="shared" si="25"/>
        <v>18</v>
      </c>
      <c r="B231" s="39">
        <f t="shared" si="31"/>
        <v>211</v>
      </c>
      <c r="C231" s="35">
        <f t="shared" si="27"/>
        <v>0</v>
      </c>
      <c r="D231" s="36">
        <f t="shared" si="28"/>
        <v>0</v>
      </c>
      <c r="E231" s="36">
        <f t="shared" si="29"/>
        <v>0</v>
      </c>
      <c r="F231" s="36">
        <f t="shared" si="30"/>
        <v>0</v>
      </c>
      <c r="G231" s="35">
        <f t="shared" si="26"/>
        <v>0</v>
      </c>
      <c r="H231" s="36">
        <f t="shared" si="24"/>
        <v>0</v>
      </c>
    </row>
    <row r="232" spans="1:8" s="38" customFormat="1" ht="12.75" x14ac:dyDescent="0.2">
      <c r="A232" s="40">
        <f t="shared" si="25"/>
        <v>18</v>
      </c>
      <c r="B232" s="39">
        <f t="shared" si="31"/>
        <v>212</v>
      </c>
      <c r="C232" s="35">
        <f t="shared" si="27"/>
        <v>0</v>
      </c>
      <c r="D232" s="36">
        <f t="shared" si="28"/>
        <v>0</v>
      </c>
      <c r="E232" s="36">
        <f t="shared" si="29"/>
        <v>0</v>
      </c>
      <c r="F232" s="36">
        <f t="shared" si="30"/>
        <v>0</v>
      </c>
      <c r="G232" s="35">
        <f t="shared" si="26"/>
        <v>0</v>
      </c>
      <c r="H232" s="36">
        <f t="shared" si="24"/>
        <v>0</v>
      </c>
    </row>
    <row r="233" spans="1:8" s="38" customFormat="1" ht="12.75" x14ac:dyDescent="0.2">
      <c r="A233" s="40">
        <f t="shared" si="25"/>
        <v>18</v>
      </c>
      <c r="B233" s="39">
        <f t="shared" si="31"/>
        <v>213</v>
      </c>
      <c r="C233" s="35">
        <f t="shared" si="27"/>
        <v>0</v>
      </c>
      <c r="D233" s="36">
        <f t="shared" si="28"/>
        <v>0</v>
      </c>
      <c r="E233" s="36">
        <f t="shared" si="29"/>
        <v>0</v>
      </c>
      <c r="F233" s="36">
        <f t="shared" si="30"/>
        <v>0</v>
      </c>
      <c r="G233" s="35">
        <f t="shared" si="26"/>
        <v>0</v>
      </c>
      <c r="H233" s="36">
        <f t="shared" si="24"/>
        <v>0</v>
      </c>
    </row>
    <row r="234" spans="1:8" s="38" customFormat="1" ht="12.75" x14ac:dyDescent="0.2">
      <c r="A234" s="40">
        <f t="shared" si="25"/>
        <v>18</v>
      </c>
      <c r="B234" s="39">
        <f t="shared" si="31"/>
        <v>214</v>
      </c>
      <c r="C234" s="35">
        <f t="shared" si="27"/>
        <v>0</v>
      </c>
      <c r="D234" s="36">
        <f t="shared" si="28"/>
        <v>0</v>
      </c>
      <c r="E234" s="36">
        <f t="shared" si="29"/>
        <v>0</v>
      </c>
      <c r="F234" s="36">
        <f t="shared" si="30"/>
        <v>0</v>
      </c>
      <c r="G234" s="35">
        <f t="shared" si="26"/>
        <v>0</v>
      </c>
      <c r="H234" s="36">
        <f t="shared" si="24"/>
        <v>0</v>
      </c>
    </row>
    <row r="235" spans="1:8" s="38" customFormat="1" ht="12.75" x14ac:dyDescent="0.2">
      <c r="A235" s="40">
        <f t="shared" si="25"/>
        <v>18</v>
      </c>
      <c r="B235" s="39">
        <f t="shared" si="31"/>
        <v>215</v>
      </c>
      <c r="C235" s="35">
        <f t="shared" si="27"/>
        <v>0</v>
      </c>
      <c r="D235" s="36">
        <f t="shared" si="28"/>
        <v>0</v>
      </c>
      <c r="E235" s="36">
        <f t="shared" si="29"/>
        <v>0</v>
      </c>
      <c r="F235" s="36">
        <f t="shared" si="30"/>
        <v>0</v>
      </c>
      <c r="G235" s="35">
        <f t="shared" si="26"/>
        <v>0</v>
      </c>
      <c r="H235" s="36">
        <f t="shared" si="24"/>
        <v>0</v>
      </c>
    </row>
    <row r="236" spans="1:8" s="38" customFormat="1" ht="12.75" x14ac:dyDescent="0.2">
      <c r="A236" s="40">
        <f t="shared" si="25"/>
        <v>18</v>
      </c>
      <c r="B236" s="39">
        <f t="shared" si="31"/>
        <v>216</v>
      </c>
      <c r="C236" s="35">
        <f t="shared" si="27"/>
        <v>0</v>
      </c>
      <c r="D236" s="36">
        <f t="shared" si="28"/>
        <v>0</v>
      </c>
      <c r="E236" s="36">
        <f t="shared" si="29"/>
        <v>0</v>
      </c>
      <c r="F236" s="36">
        <f t="shared" si="30"/>
        <v>0</v>
      </c>
      <c r="G236" s="35">
        <f t="shared" si="26"/>
        <v>0</v>
      </c>
      <c r="H236" s="36">
        <f t="shared" si="24"/>
        <v>0</v>
      </c>
    </row>
    <row r="237" spans="1:8" s="38" customFormat="1" ht="12.75" x14ac:dyDescent="0.2">
      <c r="A237" s="40">
        <f>A225+1</f>
        <v>19</v>
      </c>
      <c r="B237" s="39">
        <f t="shared" si="31"/>
        <v>217</v>
      </c>
      <c r="C237" s="35">
        <f t="shared" si="27"/>
        <v>0</v>
      </c>
      <c r="D237" s="36">
        <f t="shared" si="28"/>
        <v>0</v>
      </c>
      <c r="E237" s="36">
        <f t="shared" si="29"/>
        <v>0</v>
      </c>
      <c r="F237" s="36">
        <f t="shared" si="30"/>
        <v>0</v>
      </c>
      <c r="G237" s="35">
        <f t="shared" si="26"/>
        <v>0</v>
      </c>
      <c r="H237" s="36">
        <f t="shared" ref="H237:H300" si="32">IF(C237+E237-G237&lt;=0, 0, C237+E237-G237)</f>
        <v>0</v>
      </c>
    </row>
    <row r="238" spans="1:8" s="38" customFormat="1" ht="12.75" x14ac:dyDescent="0.2">
      <c r="A238" s="40">
        <f t="shared" ref="A238:A301" si="33">A237</f>
        <v>19</v>
      </c>
      <c r="B238" s="39">
        <f t="shared" si="31"/>
        <v>218</v>
      </c>
      <c r="C238" s="35">
        <f t="shared" si="27"/>
        <v>0</v>
      </c>
      <c r="D238" s="36">
        <f t="shared" si="28"/>
        <v>0</v>
      </c>
      <c r="E238" s="36">
        <f t="shared" si="29"/>
        <v>0</v>
      </c>
      <c r="F238" s="36">
        <f t="shared" si="30"/>
        <v>0</v>
      </c>
      <c r="G238" s="35">
        <f t="shared" si="26"/>
        <v>0</v>
      </c>
      <c r="H238" s="36">
        <f t="shared" si="32"/>
        <v>0</v>
      </c>
    </row>
    <row r="239" spans="1:8" s="38" customFormat="1" ht="12.75" x14ac:dyDescent="0.2">
      <c r="A239" s="40">
        <f t="shared" si="33"/>
        <v>19</v>
      </c>
      <c r="B239" s="39">
        <f t="shared" si="31"/>
        <v>219</v>
      </c>
      <c r="C239" s="35">
        <f t="shared" si="27"/>
        <v>0</v>
      </c>
      <c r="D239" s="36">
        <f t="shared" si="28"/>
        <v>0</v>
      </c>
      <c r="E239" s="36">
        <f t="shared" si="29"/>
        <v>0</v>
      </c>
      <c r="F239" s="36">
        <f t="shared" si="30"/>
        <v>0</v>
      </c>
      <c r="G239" s="35">
        <f t="shared" si="26"/>
        <v>0</v>
      </c>
      <c r="H239" s="36">
        <f t="shared" si="32"/>
        <v>0</v>
      </c>
    </row>
    <row r="240" spans="1:8" s="38" customFormat="1" ht="12.75" x14ac:dyDescent="0.2">
      <c r="A240" s="40">
        <f t="shared" si="33"/>
        <v>19</v>
      </c>
      <c r="B240" s="39">
        <f t="shared" si="31"/>
        <v>220</v>
      </c>
      <c r="C240" s="35">
        <f t="shared" si="27"/>
        <v>0</v>
      </c>
      <c r="D240" s="36">
        <f t="shared" si="28"/>
        <v>0</v>
      </c>
      <c r="E240" s="36">
        <f t="shared" si="29"/>
        <v>0</v>
      </c>
      <c r="F240" s="36">
        <f t="shared" si="30"/>
        <v>0</v>
      </c>
      <c r="G240" s="35">
        <f t="shared" si="26"/>
        <v>0</v>
      </c>
      <c r="H240" s="36">
        <f t="shared" si="32"/>
        <v>0</v>
      </c>
    </row>
    <row r="241" spans="1:8" s="38" customFormat="1" ht="12.75" x14ac:dyDescent="0.2">
      <c r="A241" s="40">
        <f t="shared" si="33"/>
        <v>19</v>
      </c>
      <c r="B241" s="39">
        <f t="shared" si="31"/>
        <v>221</v>
      </c>
      <c r="C241" s="35">
        <f t="shared" si="27"/>
        <v>0</v>
      </c>
      <c r="D241" s="36">
        <f t="shared" si="28"/>
        <v>0</v>
      </c>
      <c r="E241" s="36">
        <f t="shared" si="29"/>
        <v>0</v>
      </c>
      <c r="F241" s="36">
        <f t="shared" si="30"/>
        <v>0</v>
      </c>
      <c r="G241" s="35">
        <f t="shared" si="26"/>
        <v>0</v>
      </c>
      <c r="H241" s="36">
        <f t="shared" si="32"/>
        <v>0</v>
      </c>
    </row>
    <row r="242" spans="1:8" s="38" customFormat="1" ht="12.75" x14ac:dyDescent="0.2">
      <c r="A242" s="40">
        <f t="shared" si="33"/>
        <v>19</v>
      </c>
      <c r="B242" s="39">
        <f t="shared" si="31"/>
        <v>222</v>
      </c>
      <c r="C242" s="35">
        <f t="shared" si="27"/>
        <v>0</v>
      </c>
      <c r="D242" s="36">
        <f t="shared" si="28"/>
        <v>0</v>
      </c>
      <c r="E242" s="36">
        <f t="shared" si="29"/>
        <v>0</v>
      </c>
      <c r="F242" s="36">
        <f t="shared" si="30"/>
        <v>0</v>
      </c>
      <c r="G242" s="35">
        <f t="shared" si="26"/>
        <v>0</v>
      </c>
      <c r="H242" s="36">
        <f t="shared" si="32"/>
        <v>0</v>
      </c>
    </row>
    <row r="243" spans="1:8" s="38" customFormat="1" ht="12.75" x14ac:dyDescent="0.2">
      <c r="A243" s="40">
        <f t="shared" si="33"/>
        <v>19</v>
      </c>
      <c r="B243" s="39">
        <f t="shared" si="31"/>
        <v>223</v>
      </c>
      <c r="C243" s="35">
        <f t="shared" si="27"/>
        <v>0</v>
      </c>
      <c r="D243" s="36">
        <f t="shared" si="28"/>
        <v>0</v>
      </c>
      <c r="E243" s="36">
        <f t="shared" si="29"/>
        <v>0</v>
      </c>
      <c r="F243" s="36">
        <f t="shared" si="30"/>
        <v>0</v>
      </c>
      <c r="G243" s="35">
        <f t="shared" si="26"/>
        <v>0</v>
      </c>
      <c r="H243" s="36">
        <f t="shared" si="32"/>
        <v>0</v>
      </c>
    </row>
    <row r="244" spans="1:8" s="38" customFormat="1" ht="12.75" x14ac:dyDescent="0.2">
      <c r="A244" s="40">
        <f t="shared" si="33"/>
        <v>19</v>
      </c>
      <c r="B244" s="39">
        <f t="shared" si="31"/>
        <v>224</v>
      </c>
      <c r="C244" s="35">
        <f t="shared" si="27"/>
        <v>0</v>
      </c>
      <c r="D244" s="36">
        <f t="shared" si="28"/>
        <v>0</v>
      </c>
      <c r="E244" s="36">
        <f t="shared" si="29"/>
        <v>0</v>
      </c>
      <c r="F244" s="36">
        <f t="shared" si="30"/>
        <v>0</v>
      </c>
      <c r="G244" s="35">
        <f t="shared" si="26"/>
        <v>0</v>
      </c>
      <c r="H244" s="36">
        <f t="shared" si="32"/>
        <v>0</v>
      </c>
    </row>
    <row r="245" spans="1:8" s="38" customFormat="1" ht="12.75" x14ac:dyDescent="0.2">
      <c r="A245" s="40">
        <f t="shared" si="33"/>
        <v>19</v>
      </c>
      <c r="B245" s="39">
        <f t="shared" si="31"/>
        <v>225</v>
      </c>
      <c r="C245" s="35">
        <f t="shared" si="27"/>
        <v>0</v>
      </c>
      <c r="D245" s="36">
        <f t="shared" si="28"/>
        <v>0</v>
      </c>
      <c r="E245" s="36">
        <f t="shared" si="29"/>
        <v>0</v>
      </c>
      <c r="F245" s="36">
        <f t="shared" si="30"/>
        <v>0</v>
      </c>
      <c r="G245" s="35">
        <f t="shared" si="26"/>
        <v>0</v>
      </c>
      <c r="H245" s="36">
        <f t="shared" si="32"/>
        <v>0</v>
      </c>
    </row>
    <row r="246" spans="1:8" s="38" customFormat="1" ht="12.75" x14ac:dyDescent="0.2">
      <c r="A246" s="40">
        <f t="shared" si="33"/>
        <v>19</v>
      </c>
      <c r="B246" s="39">
        <f t="shared" si="31"/>
        <v>226</v>
      </c>
      <c r="C246" s="35">
        <f t="shared" si="27"/>
        <v>0</v>
      </c>
      <c r="D246" s="36">
        <f t="shared" si="28"/>
        <v>0</v>
      </c>
      <c r="E246" s="36">
        <f t="shared" si="29"/>
        <v>0</v>
      </c>
      <c r="F246" s="36">
        <f t="shared" si="30"/>
        <v>0</v>
      </c>
      <c r="G246" s="35">
        <f t="shared" si="26"/>
        <v>0</v>
      </c>
      <c r="H246" s="36">
        <f t="shared" si="32"/>
        <v>0</v>
      </c>
    </row>
    <row r="247" spans="1:8" s="38" customFormat="1" ht="12.75" x14ac:dyDescent="0.2">
      <c r="A247" s="40">
        <f t="shared" si="33"/>
        <v>19</v>
      </c>
      <c r="B247" s="39">
        <f t="shared" si="31"/>
        <v>227</v>
      </c>
      <c r="C247" s="35">
        <f t="shared" si="27"/>
        <v>0</v>
      </c>
      <c r="D247" s="36">
        <f t="shared" si="28"/>
        <v>0</v>
      </c>
      <c r="E247" s="36">
        <f t="shared" si="29"/>
        <v>0</v>
      </c>
      <c r="F247" s="36">
        <f t="shared" si="30"/>
        <v>0</v>
      </c>
      <c r="G247" s="35">
        <f t="shared" si="26"/>
        <v>0</v>
      </c>
      <c r="H247" s="36">
        <f t="shared" si="32"/>
        <v>0</v>
      </c>
    </row>
    <row r="248" spans="1:8" s="38" customFormat="1" ht="12.75" x14ac:dyDescent="0.2">
      <c r="A248" s="40">
        <f t="shared" si="33"/>
        <v>19</v>
      </c>
      <c r="B248" s="39">
        <f t="shared" si="31"/>
        <v>228</v>
      </c>
      <c r="C248" s="35">
        <f t="shared" si="27"/>
        <v>0</v>
      </c>
      <c r="D248" s="36">
        <f t="shared" si="28"/>
        <v>0</v>
      </c>
      <c r="E248" s="36">
        <f t="shared" si="29"/>
        <v>0</v>
      </c>
      <c r="F248" s="36">
        <f t="shared" si="30"/>
        <v>0</v>
      </c>
      <c r="G248" s="35">
        <f t="shared" si="26"/>
        <v>0</v>
      </c>
      <c r="H248" s="36">
        <f t="shared" si="32"/>
        <v>0</v>
      </c>
    </row>
    <row r="249" spans="1:8" s="38" customFormat="1" ht="12.75" x14ac:dyDescent="0.2">
      <c r="A249" s="40">
        <f>A237+1</f>
        <v>20</v>
      </c>
      <c r="B249" s="39">
        <f t="shared" si="31"/>
        <v>229</v>
      </c>
      <c r="C249" s="35">
        <f t="shared" si="27"/>
        <v>0</v>
      </c>
      <c r="D249" s="36">
        <f t="shared" si="28"/>
        <v>0</v>
      </c>
      <c r="E249" s="36">
        <f t="shared" si="29"/>
        <v>0</v>
      </c>
      <c r="F249" s="36">
        <f t="shared" si="30"/>
        <v>0</v>
      </c>
      <c r="G249" s="35">
        <f t="shared" si="26"/>
        <v>0</v>
      </c>
      <c r="H249" s="36">
        <f t="shared" si="32"/>
        <v>0</v>
      </c>
    </row>
    <row r="250" spans="1:8" s="38" customFormat="1" ht="12.75" x14ac:dyDescent="0.2">
      <c r="A250" s="40">
        <f>A249</f>
        <v>20</v>
      </c>
      <c r="B250" s="39">
        <f t="shared" si="31"/>
        <v>230</v>
      </c>
      <c r="C250" s="35">
        <f t="shared" si="27"/>
        <v>0</v>
      </c>
      <c r="D250" s="36">
        <f t="shared" si="28"/>
        <v>0</v>
      </c>
      <c r="E250" s="36">
        <f t="shared" si="29"/>
        <v>0</v>
      </c>
      <c r="F250" s="36">
        <f t="shared" si="30"/>
        <v>0</v>
      </c>
      <c r="G250" s="35">
        <f t="shared" si="26"/>
        <v>0</v>
      </c>
      <c r="H250" s="36">
        <f t="shared" si="32"/>
        <v>0</v>
      </c>
    </row>
    <row r="251" spans="1:8" s="38" customFormat="1" ht="12.75" x14ac:dyDescent="0.2">
      <c r="A251" s="40">
        <f t="shared" si="33"/>
        <v>20</v>
      </c>
      <c r="B251" s="39">
        <f t="shared" si="31"/>
        <v>231</v>
      </c>
      <c r="C251" s="35">
        <f t="shared" si="27"/>
        <v>0</v>
      </c>
      <c r="D251" s="36">
        <f t="shared" si="28"/>
        <v>0</v>
      </c>
      <c r="E251" s="36">
        <f t="shared" si="29"/>
        <v>0</v>
      </c>
      <c r="F251" s="36">
        <f t="shared" si="30"/>
        <v>0</v>
      </c>
      <c r="G251" s="35">
        <f t="shared" si="26"/>
        <v>0</v>
      </c>
      <c r="H251" s="36">
        <f t="shared" si="32"/>
        <v>0</v>
      </c>
    </row>
    <row r="252" spans="1:8" s="38" customFormat="1" ht="12.75" x14ac:dyDescent="0.2">
      <c r="A252" s="40">
        <f t="shared" si="33"/>
        <v>20</v>
      </c>
      <c r="B252" s="39">
        <f t="shared" si="31"/>
        <v>232</v>
      </c>
      <c r="C252" s="35">
        <f t="shared" si="27"/>
        <v>0</v>
      </c>
      <c r="D252" s="36">
        <f t="shared" si="28"/>
        <v>0</v>
      </c>
      <c r="E252" s="36">
        <f t="shared" si="29"/>
        <v>0</v>
      </c>
      <c r="F252" s="36">
        <f t="shared" si="30"/>
        <v>0</v>
      </c>
      <c r="G252" s="35">
        <f t="shared" si="26"/>
        <v>0</v>
      </c>
      <c r="H252" s="36">
        <f t="shared" si="32"/>
        <v>0</v>
      </c>
    </row>
    <row r="253" spans="1:8" s="38" customFormat="1" ht="12.75" x14ac:dyDescent="0.2">
      <c r="A253" s="40">
        <f t="shared" si="33"/>
        <v>20</v>
      </c>
      <c r="B253" s="39">
        <f t="shared" si="31"/>
        <v>233</v>
      </c>
      <c r="C253" s="35">
        <f t="shared" si="27"/>
        <v>0</v>
      </c>
      <c r="D253" s="36">
        <f t="shared" si="28"/>
        <v>0</v>
      </c>
      <c r="E253" s="36">
        <f t="shared" si="29"/>
        <v>0</v>
      </c>
      <c r="F253" s="36">
        <f t="shared" si="30"/>
        <v>0</v>
      </c>
      <c r="G253" s="35">
        <f t="shared" si="26"/>
        <v>0</v>
      </c>
      <c r="H253" s="36">
        <f t="shared" si="32"/>
        <v>0</v>
      </c>
    </row>
    <row r="254" spans="1:8" s="38" customFormat="1" ht="12.75" x14ac:dyDescent="0.2">
      <c r="A254" s="40">
        <f t="shared" si="33"/>
        <v>20</v>
      </c>
      <c r="B254" s="39">
        <f t="shared" si="31"/>
        <v>234</v>
      </c>
      <c r="C254" s="35">
        <f t="shared" si="27"/>
        <v>0</v>
      </c>
      <c r="D254" s="36">
        <f t="shared" si="28"/>
        <v>0</v>
      </c>
      <c r="E254" s="36">
        <f t="shared" si="29"/>
        <v>0</v>
      </c>
      <c r="F254" s="36">
        <f t="shared" si="30"/>
        <v>0</v>
      </c>
      <c r="G254" s="35">
        <f t="shared" si="26"/>
        <v>0</v>
      </c>
      <c r="H254" s="36">
        <f t="shared" si="32"/>
        <v>0</v>
      </c>
    </row>
    <row r="255" spans="1:8" s="38" customFormat="1" ht="12.75" x14ac:dyDescent="0.2">
      <c r="A255" s="40">
        <f t="shared" si="33"/>
        <v>20</v>
      </c>
      <c r="B255" s="39">
        <f t="shared" si="31"/>
        <v>235</v>
      </c>
      <c r="C255" s="35">
        <f t="shared" si="27"/>
        <v>0</v>
      </c>
      <c r="D255" s="36">
        <f t="shared" si="28"/>
        <v>0</v>
      </c>
      <c r="E255" s="36">
        <f t="shared" si="29"/>
        <v>0</v>
      </c>
      <c r="F255" s="36">
        <f t="shared" si="30"/>
        <v>0</v>
      </c>
      <c r="G255" s="35">
        <f t="shared" si="26"/>
        <v>0</v>
      </c>
      <c r="H255" s="36">
        <f t="shared" si="32"/>
        <v>0</v>
      </c>
    </row>
    <row r="256" spans="1:8" s="38" customFormat="1" ht="12.75" x14ac:dyDescent="0.2">
      <c r="A256" s="40">
        <f t="shared" si="33"/>
        <v>20</v>
      </c>
      <c r="B256" s="39">
        <f t="shared" si="31"/>
        <v>236</v>
      </c>
      <c r="C256" s="35">
        <f t="shared" si="27"/>
        <v>0</v>
      </c>
      <c r="D256" s="36">
        <f t="shared" si="28"/>
        <v>0</v>
      </c>
      <c r="E256" s="36">
        <f t="shared" si="29"/>
        <v>0</v>
      </c>
      <c r="F256" s="36">
        <f t="shared" si="30"/>
        <v>0</v>
      </c>
      <c r="G256" s="35">
        <f t="shared" si="26"/>
        <v>0</v>
      </c>
      <c r="H256" s="36">
        <f t="shared" si="32"/>
        <v>0</v>
      </c>
    </row>
    <row r="257" spans="1:8" s="38" customFormat="1" ht="12.75" x14ac:dyDescent="0.2">
      <c r="A257" s="40">
        <f t="shared" si="33"/>
        <v>20</v>
      </c>
      <c r="B257" s="39">
        <f t="shared" si="31"/>
        <v>237</v>
      </c>
      <c r="C257" s="35">
        <f t="shared" si="27"/>
        <v>0</v>
      </c>
      <c r="D257" s="36">
        <f t="shared" si="28"/>
        <v>0</v>
      </c>
      <c r="E257" s="36">
        <f t="shared" si="29"/>
        <v>0</v>
      </c>
      <c r="F257" s="36">
        <f t="shared" si="30"/>
        <v>0</v>
      </c>
      <c r="G257" s="35">
        <f t="shared" si="26"/>
        <v>0</v>
      </c>
      <c r="H257" s="36">
        <f t="shared" si="32"/>
        <v>0</v>
      </c>
    </row>
    <row r="258" spans="1:8" s="38" customFormat="1" ht="12.75" x14ac:dyDescent="0.2">
      <c r="A258" s="40">
        <f t="shared" si="33"/>
        <v>20</v>
      </c>
      <c r="B258" s="39">
        <f t="shared" si="31"/>
        <v>238</v>
      </c>
      <c r="C258" s="35">
        <f t="shared" si="27"/>
        <v>0</v>
      </c>
      <c r="D258" s="36">
        <f t="shared" si="28"/>
        <v>0</v>
      </c>
      <c r="E258" s="36">
        <f t="shared" si="29"/>
        <v>0</v>
      </c>
      <c r="F258" s="36">
        <f t="shared" si="30"/>
        <v>0</v>
      </c>
      <c r="G258" s="35">
        <f t="shared" si="26"/>
        <v>0</v>
      </c>
      <c r="H258" s="36">
        <f t="shared" si="32"/>
        <v>0</v>
      </c>
    </row>
    <row r="259" spans="1:8" s="38" customFormat="1" ht="12.75" x14ac:dyDescent="0.2">
      <c r="A259" s="40">
        <f t="shared" si="33"/>
        <v>20</v>
      </c>
      <c r="B259" s="39">
        <f t="shared" si="31"/>
        <v>239</v>
      </c>
      <c r="C259" s="35">
        <f t="shared" si="27"/>
        <v>0</v>
      </c>
      <c r="D259" s="36">
        <f t="shared" si="28"/>
        <v>0</v>
      </c>
      <c r="E259" s="36">
        <f t="shared" si="29"/>
        <v>0</v>
      </c>
      <c r="F259" s="36">
        <f t="shared" si="30"/>
        <v>0</v>
      </c>
      <c r="G259" s="35">
        <f t="shared" si="26"/>
        <v>0</v>
      </c>
      <c r="H259" s="36">
        <f t="shared" si="32"/>
        <v>0</v>
      </c>
    </row>
    <row r="260" spans="1:8" s="38" customFormat="1" ht="12.75" x14ac:dyDescent="0.2">
      <c r="A260" s="40">
        <f t="shared" si="33"/>
        <v>20</v>
      </c>
      <c r="B260" s="39">
        <f t="shared" si="31"/>
        <v>240</v>
      </c>
      <c r="C260" s="35">
        <f t="shared" si="27"/>
        <v>0</v>
      </c>
      <c r="D260" s="36">
        <f t="shared" si="28"/>
        <v>0</v>
      </c>
      <c r="E260" s="36">
        <f t="shared" si="29"/>
        <v>0</v>
      </c>
      <c r="F260" s="36">
        <f t="shared" si="30"/>
        <v>0</v>
      </c>
      <c r="G260" s="35">
        <f t="shared" si="26"/>
        <v>0</v>
      </c>
      <c r="H260" s="36">
        <f t="shared" si="32"/>
        <v>0</v>
      </c>
    </row>
    <row r="261" spans="1:8" s="38" customFormat="1" ht="12.75" x14ac:dyDescent="0.2">
      <c r="A261" s="40">
        <f>A249+1</f>
        <v>21</v>
      </c>
      <c r="B261" s="39">
        <f t="shared" si="31"/>
        <v>241</v>
      </c>
      <c r="C261" s="35">
        <f t="shared" si="27"/>
        <v>0</v>
      </c>
      <c r="D261" s="36">
        <f t="shared" si="28"/>
        <v>0</v>
      </c>
      <c r="E261" s="36">
        <f t="shared" si="29"/>
        <v>0</v>
      </c>
      <c r="F261" s="36">
        <f t="shared" si="30"/>
        <v>0</v>
      </c>
      <c r="G261" s="35">
        <f t="shared" si="26"/>
        <v>0</v>
      </c>
      <c r="H261" s="36">
        <f t="shared" si="32"/>
        <v>0</v>
      </c>
    </row>
    <row r="262" spans="1:8" s="38" customFormat="1" ht="12.75" x14ac:dyDescent="0.2">
      <c r="A262" s="40">
        <f>A261</f>
        <v>21</v>
      </c>
      <c r="B262" s="39">
        <f t="shared" si="31"/>
        <v>242</v>
      </c>
      <c r="C262" s="35">
        <f t="shared" si="27"/>
        <v>0</v>
      </c>
      <c r="D262" s="36">
        <f t="shared" si="28"/>
        <v>0</v>
      </c>
      <c r="E262" s="36">
        <f t="shared" si="29"/>
        <v>0</v>
      </c>
      <c r="F262" s="36">
        <f t="shared" si="30"/>
        <v>0</v>
      </c>
      <c r="G262" s="35">
        <f t="shared" si="26"/>
        <v>0</v>
      </c>
      <c r="H262" s="36">
        <f t="shared" si="32"/>
        <v>0</v>
      </c>
    </row>
    <row r="263" spans="1:8" s="38" customFormat="1" ht="12.75" x14ac:dyDescent="0.2">
      <c r="A263" s="40">
        <f t="shared" si="33"/>
        <v>21</v>
      </c>
      <c r="B263" s="39">
        <f t="shared" si="31"/>
        <v>243</v>
      </c>
      <c r="C263" s="35">
        <f t="shared" si="27"/>
        <v>0</v>
      </c>
      <c r="D263" s="36">
        <f t="shared" si="28"/>
        <v>0</v>
      </c>
      <c r="E263" s="36">
        <f t="shared" si="29"/>
        <v>0</v>
      </c>
      <c r="F263" s="36">
        <f t="shared" si="30"/>
        <v>0</v>
      </c>
      <c r="G263" s="35">
        <f t="shared" si="26"/>
        <v>0</v>
      </c>
      <c r="H263" s="36">
        <f t="shared" si="32"/>
        <v>0</v>
      </c>
    </row>
    <row r="264" spans="1:8" s="38" customFormat="1" ht="12.75" x14ac:dyDescent="0.2">
      <c r="A264" s="40">
        <f t="shared" si="33"/>
        <v>21</v>
      </c>
      <c r="B264" s="39">
        <f t="shared" si="31"/>
        <v>244</v>
      </c>
      <c r="C264" s="35">
        <f t="shared" si="27"/>
        <v>0</v>
      </c>
      <c r="D264" s="36">
        <f t="shared" si="28"/>
        <v>0</v>
      </c>
      <c r="E264" s="36">
        <f t="shared" si="29"/>
        <v>0</v>
      </c>
      <c r="F264" s="36">
        <f t="shared" si="30"/>
        <v>0</v>
      </c>
      <c r="G264" s="35">
        <f t="shared" si="26"/>
        <v>0</v>
      </c>
      <c r="H264" s="36">
        <f t="shared" si="32"/>
        <v>0</v>
      </c>
    </row>
    <row r="265" spans="1:8" s="38" customFormat="1" ht="12.75" x14ac:dyDescent="0.2">
      <c r="A265" s="40">
        <f t="shared" si="33"/>
        <v>21</v>
      </c>
      <c r="B265" s="39">
        <f t="shared" si="31"/>
        <v>245</v>
      </c>
      <c r="C265" s="35">
        <f t="shared" si="27"/>
        <v>0</v>
      </c>
      <c r="D265" s="36">
        <f t="shared" si="28"/>
        <v>0</v>
      </c>
      <c r="E265" s="36">
        <f t="shared" si="29"/>
        <v>0</v>
      </c>
      <c r="F265" s="36">
        <f t="shared" si="30"/>
        <v>0</v>
      </c>
      <c r="G265" s="35">
        <f t="shared" si="26"/>
        <v>0</v>
      </c>
      <c r="H265" s="36">
        <f t="shared" si="32"/>
        <v>0</v>
      </c>
    </row>
    <row r="266" spans="1:8" s="38" customFormat="1" ht="12.75" x14ac:dyDescent="0.2">
      <c r="A266" s="40">
        <f t="shared" si="33"/>
        <v>21</v>
      </c>
      <c r="B266" s="39">
        <f t="shared" si="31"/>
        <v>246</v>
      </c>
      <c r="C266" s="35">
        <f t="shared" si="27"/>
        <v>0</v>
      </c>
      <c r="D266" s="36">
        <f t="shared" si="28"/>
        <v>0</v>
      </c>
      <c r="E266" s="36">
        <f t="shared" si="29"/>
        <v>0</v>
      </c>
      <c r="F266" s="36">
        <f t="shared" si="30"/>
        <v>0</v>
      </c>
      <c r="G266" s="35">
        <f t="shared" si="26"/>
        <v>0</v>
      </c>
      <c r="H266" s="36">
        <f t="shared" si="32"/>
        <v>0</v>
      </c>
    </row>
    <row r="267" spans="1:8" s="38" customFormat="1" ht="12.75" x14ac:dyDescent="0.2">
      <c r="A267" s="40">
        <f t="shared" si="33"/>
        <v>21</v>
      </c>
      <c r="B267" s="39">
        <f t="shared" si="31"/>
        <v>247</v>
      </c>
      <c r="C267" s="35">
        <f t="shared" si="27"/>
        <v>0</v>
      </c>
      <c r="D267" s="36">
        <f t="shared" si="28"/>
        <v>0</v>
      </c>
      <c r="E267" s="36">
        <f t="shared" si="29"/>
        <v>0</v>
      </c>
      <c r="F267" s="36">
        <f t="shared" si="30"/>
        <v>0</v>
      </c>
      <c r="G267" s="35">
        <f t="shared" si="26"/>
        <v>0</v>
      </c>
      <c r="H267" s="36">
        <f t="shared" si="32"/>
        <v>0</v>
      </c>
    </row>
    <row r="268" spans="1:8" s="38" customFormat="1" ht="12.75" x14ac:dyDescent="0.2">
      <c r="A268" s="40">
        <f t="shared" si="33"/>
        <v>21</v>
      </c>
      <c r="B268" s="39">
        <f t="shared" si="31"/>
        <v>248</v>
      </c>
      <c r="C268" s="35">
        <f t="shared" si="27"/>
        <v>0</v>
      </c>
      <c r="D268" s="36">
        <f t="shared" si="28"/>
        <v>0</v>
      </c>
      <c r="E268" s="36">
        <f t="shared" si="29"/>
        <v>0</v>
      </c>
      <c r="F268" s="36">
        <f t="shared" si="30"/>
        <v>0</v>
      </c>
      <c r="G268" s="35">
        <f t="shared" si="26"/>
        <v>0</v>
      </c>
      <c r="H268" s="36">
        <f t="shared" si="32"/>
        <v>0</v>
      </c>
    </row>
    <row r="269" spans="1:8" s="38" customFormat="1" ht="12.75" x14ac:dyDescent="0.2">
      <c r="A269" s="40">
        <f t="shared" si="33"/>
        <v>21</v>
      </c>
      <c r="B269" s="39">
        <f t="shared" si="31"/>
        <v>249</v>
      </c>
      <c r="C269" s="35">
        <f t="shared" si="27"/>
        <v>0</v>
      </c>
      <c r="D269" s="36">
        <f t="shared" si="28"/>
        <v>0</v>
      </c>
      <c r="E269" s="36">
        <f t="shared" si="29"/>
        <v>0</v>
      </c>
      <c r="F269" s="36">
        <f t="shared" si="30"/>
        <v>0</v>
      </c>
      <c r="G269" s="35">
        <f t="shared" ref="G269:G320" si="34">IF(AND($G$13, B269=$G$14), C269+E269, 0)</f>
        <v>0</v>
      </c>
      <c r="H269" s="36">
        <f t="shared" si="32"/>
        <v>0</v>
      </c>
    </row>
    <row r="270" spans="1:8" s="38" customFormat="1" ht="12.75" x14ac:dyDescent="0.2">
      <c r="A270" s="40">
        <f t="shared" si="33"/>
        <v>21</v>
      </c>
      <c r="B270" s="39">
        <f t="shared" si="31"/>
        <v>250</v>
      </c>
      <c r="C270" s="35">
        <f t="shared" si="27"/>
        <v>0</v>
      </c>
      <c r="D270" s="36">
        <f t="shared" si="28"/>
        <v>0</v>
      </c>
      <c r="E270" s="36">
        <f t="shared" si="29"/>
        <v>0</v>
      </c>
      <c r="F270" s="36">
        <f t="shared" si="30"/>
        <v>0</v>
      </c>
      <c r="G270" s="35">
        <f t="shared" si="34"/>
        <v>0</v>
      </c>
      <c r="H270" s="36">
        <f t="shared" si="32"/>
        <v>0</v>
      </c>
    </row>
    <row r="271" spans="1:8" s="38" customFormat="1" ht="12.75" x14ac:dyDescent="0.2">
      <c r="A271" s="40">
        <f t="shared" si="33"/>
        <v>21</v>
      </c>
      <c r="B271" s="39">
        <f t="shared" si="31"/>
        <v>251</v>
      </c>
      <c r="C271" s="35">
        <f t="shared" si="27"/>
        <v>0</v>
      </c>
      <c r="D271" s="36">
        <f t="shared" si="28"/>
        <v>0</v>
      </c>
      <c r="E271" s="36">
        <f t="shared" si="29"/>
        <v>0</v>
      </c>
      <c r="F271" s="36">
        <f t="shared" si="30"/>
        <v>0</v>
      </c>
      <c r="G271" s="35">
        <f t="shared" si="34"/>
        <v>0</v>
      </c>
      <c r="H271" s="36">
        <f t="shared" si="32"/>
        <v>0</v>
      </c>
    </row>
    <row r="272" spans="1:8" s="38" customFormat="1" ht="12.75" x14ac:dyDescent="0.2">
      <c r="A272" s="40">
        <f t="shared" si="33"/>
        <v>21</v>
      </c>
      <c r="B272" s="39">
        <f t="shared" si="31"/>
        <v>252</v>
      </c>
      <c r="C272" s="35">
        <f t="shared" si="27"/>
        <v>0</v>
      </c>
      <c r="D272" s="36">
        <f t="shared" si="28"/>
        <v>0</v>
      </c>
      <c r="E272" s="36">
        <f t="shared" si="29"/>
        <v>0</v>
      </c>
      <c r="F272" s="36">
        <f t="shared" si="30"/>
        <v>0</v>
      </c>
      <c r="G272" s="35">
        <f t="shared" si="34"/>
        <v>0</v>
      </c>
      <c r="H272" s="36">
        <f t="shared" si="32"/>
        <v>0</v>
      </c>
    </row>
    <row r="273" spans="1:8" s="38" customFormat="1" ht="12.75" x14ac:dyDescent="0.2">
      <c r="A273" s="40">
        <f>A261+1</f>
        <v>22</v>
      </c>
      <c r="B273" s="39">
        <f t="shared" si="31"/>
        <v>253</v>
      </c>
      <c r="C273" s="35">
        <f t="shared" si="27"/>
        <v>0</v>
      </c>
      <c r="D273" s="36">
        <f t="shared" si="28"/>
        <v>0</v>
      </c>
      <c r="E273" s="36">
        <f t="shared" si="29"/>
        <v>0</v>
      </c>
      <c r="F273" s="36">
        <f t="shared" si="30"/>
        <v>0</v>
      </c>
      <c r="G273" s="35">
        <f t="shared" si="34"/>
        <v>0</v>
      </c>
      <c r="H273" s="36">
        <f t="shared" si="32"/>
        <v>0</v>
      </c>
    </row>
    <row r="274" spans="1:8" s="38" customFormat="1" ht="12.75" x14ac:dyDescent="0.2">
      <c r="A274" s="40">
        <f>A273</f>
        <v>22</v>
      </c>
      <c r="B274" s="39">
        <f t="shared" si="31"/>
        <v>254</v>
      </c>
      <c r="C274" s="35">
        <f t="shared" si="27"/>
        <v>0</v>
      </c>
      <c r="D274" s="36">
        <f t="shared" si="28"/>
        <v>0</v>
      </c>
      <c r="E274" s="36">
        <f t="shared" si="29"/>
        <v>0</v>
      </c>
      <c r="F274" s="36">
        <f t="shared" si="30"/>
        <v>0</v>
      </c>
      <c r="G274" s="35">
        <f t="shared" si="34"/>
        <v>0</v>
      </c>
      <c r="H274" s="36">
        <f t="shared" si="32"/>
        <v>0</v>
      </c>
    </row>
    <row r="275" spans="1:8" s="38" customFormat="1" ht="12.75" x14ac:dyDescent="0.2">
      <c r="A275" s="40">
        <f t="shared" si="33"/>
        <v>22</v>
      </c>
      <c r="B275" s="39">
        <f t="shared" si="31"/>
        <v>255</v>
      </c>
      <c r="C275" s="35">
        <f t="shared" si="27"/>
        <v>0</v>
      </c>
      <c r="D275" s="36">
        <f t="shared" si="28"/>
        <v>0</v>
      </c>
      <c r="E275" s="36">
        <f t="shared" si="29"/>
        <v>0</v>
      </c>
      <c r="F275" s="36">
        <f t="shared" si="30"/>
        <v>0</v>
      </c>
      <c r="G275" s="35">
        <f t="shared" si="34"/>
        <v>0</v>
      </c>
      <c r="H275" s="36">
        <f t="shared" si="32"/>
        <v>0</v>
      </c>
    </row>
    <row r="276" spans="1:8" s="38" customFormat="1" ht="12.75" x14ac:dyDescent="0.2">
      <c r="A276" s="40">
        <f t="shared" si="33"/>
        <v>22</v>
      </c>
      <c r="B276" s="39">
        <f t="shared" si="31"/>
        <v>256</v>
      </c>
      <c r="C276" s="35">
        <f t="shared" si="27"/>
        <v>0</v>
      </c>
      <c r="D276" s="36">
        <f t="shared" si="28"/>
        <v>0</v>
      </c>
      <c r="E276" s="36">
        <f t="shared" si="29"/>
        <v>0</v>
      </c>
      <c r="F276" s="36">
        <f t="shared" si="30"/>
        <v>0</v>
      </c>
      <c r="G276" s="35">
        <f t="shared" si="34"/>
        <v>0</v>
      </c>
      <c r="H276" s="36">
        <f t="shared" si="32"/>
        <v>0</v>
      </c>
    </row>
    <row r="277" spans="1:8" s="38" customFormat="1" ht="12.75" x14ac:dyDescent="0.2">
      <c r="A277" s="40">
        <f t="shared" si="33"/>
        <v>22</v>
      </c>
      <c r="B277" s="39">
        <f t="shared" si="31"/>
        <v>257</v>
      </c>
      <c r="C277" s="35">
        <f t="shared" ref="C277:C320" si="35">H276</f>
        <v>0</v>
      </c>
      <c r="D277" s="36">
        <f t="shared" ref="D277:D320" si="36">IF(C277=0,0, IF(AND($G$10, B277&lt;=$G$11), F277, PMT($C$12, $C$14, $C$10)))</f>
        <v>0</v>
      </c>
      <c r="E277" s="36">
        <f t="shared" ref="E277:E320" si="37">IF(AND($G$10, B277&lt;=$G$11), 0, D277-F277)</f>
        <v>0</v>
      </c>
      <c r="F277" s="36">
        <f t="shared" ref="F277:F320" si="38">-H276*$C$12</f>
        <v>0</v>
      </c>
      <c r="G277" s="35">
        <f t="shared" si="34"/>
        <v>0</v>
      </c>
      <c r="H277" s="36">
        <f t="shared" si="32"/>
        <v>0</v>
      </c>
    </row>
    <row r="278" spans="1:8" s="38" customFormat="1" ht="12.75" x14ac:dyDescent="0.2">
      <c r="A278" s="40">
        <f t="shared" si="33"/>
        <v>22</v>
      </c>
      <c r="B278" s="39">
        <f t="shared" ref="B278:B320" si="39">+B277+1</f>
        <v>258</v>
      </c>
      <c r="C278" s="35">
        <f t="shared" si="35"/>
        <v>0</v>
      </c>
      <c r="D278" s="36">
        <f t="shared" si="36"/>
        <v>0</v>
      </c>
      <c r="E278" s="36">
        <f t="shared" si="37"/>
        <v>0</v>
      </c>
      <c r="F278" s="36">
        <f t="shared" si="38"/>
        <v>0</v>
      </c>
      <c r="G278" s="35">
        <f t="shared" si="34"/>
        <v>0</v>
      </c>
      <c r="H278" s="36">
        <f t="shared" si="32"/>
        <v>0</v>
      </c>
    </row>
    <row r="279" spans="1:8" s="38" customFormat="1" ht="12.75" x14ac:dyDescent="0.2">
      <c r="A279" s="40">
        <f t="shared" si="33"/>
        <v>22</v>
      </c>
      <c r="B279" s="39">
        <f t="shared" si="39"/>
        <v>259</v>
      </c>
      <c r="C279" s="35">
        <f t="shared" si="35"/>
        <v>0</v>
      </c>
      <c r="D279" s="36">
        <f t="shared" si="36"/>
        <v>0</v>
      </c>
      <c r="E279" s="36">
        <f t="shared" si="37"/>
        <v>0</v>
      </c>
      <c r="F279" s="36">
        <f t="shared" si="38"/>
        <v>0</v>
      </c>
      <c r="G279" s="35">
        <f t="shared" si="34"/>
        <v>0</v>
      </c>
      <c r="H279" s="36">
        <f t="shared" si="32"/>
        <v>0</v>
      </c>
    </row>
    <row r="280" spans="1:8" s="38" customFormat="1" ht="12.75" x14ac:dyDescent="0.2">
      <c r="A280" s="40">
        <f t="shared" si="33"/>
        <v>22</v>
      </c>
      <c r="B280" s="39">
        <f t="shared" si="39"/>
        <v>260</v>
      </c>
      <c r="C280" s="35">
        <f t="shared" si="35"/>
        <v>0</v>
      </c>
      <c r="D280" s="36">
        <f t="shared" si="36"/>
        <v>0</v>
      </c>
      <c r="E280" s="36">
        <f t="shared" si="37"/>
        <v>0</v>
      </c>
      <c r="F280" s="36">
        <f t="shared" si="38"/>
        <v>0</v>
      </c>
      <c r="G280" s="35">
        <f t="shared" si="34"/>
        <v>0</v>
      </c>
      <c r="H280" s="36">
        <f t="shared" si="32"/>
        <v>0</v>
      </c>
    </row>
    <row r="281" spans="1:8" s="38" customFormat="1" ht="12.75" x14ac:dyDescent="0.2">
      <c r="A281" s="40">
        <f t="shared" si="33"/>
        <v>22</v>
      </c>
      <c r="B281" s="39">
        <f t="shared" si="39"/>
        <v>261</v>
      </c>
      <c r="C281" s="35">
        <f t="shared" si="35"/>
        <v>0</v>
      </c>
      <c r="D281" s="36">
        <f t="shared" si="36"/>
        <v>0</v>
      </c>
      <c r="E281" s="36">
        <f t="shared" si="37"/>
        <v>0</v>
      </c>
      <c r="F281" s="36">
        <f t="shared" si="38"/>
        <v>0</v>
      </c>
      <c r="G281" s="35">
        <f t="shared" si="34"/>
        <v>0</v>
      </c>
      <c r="H281" s="36">
        <f t="shared" si="32"/>
        <v>0</v>
      </c>
    </row>
    <row r="282" spans="1:8" s="38" customFormat="1" ht="12.75" x14ac:dyDescent="0.2">
      <c r="A282" s="40">
        <f t="shared" si="33"/>
        <v>22</v>
      </c>
      <c r="B282" s="39">
        <f t="shared" si="39"/>
        <v>262</v>
      </c>
      <c r="C282" s="35">
        <f t="shared" si="35"/>
        <v>0</v>
      </c>
      <c r="D282" s="36">
        <f t="shared" si="36"/>
        <v>0</v>
      </c>
      <c r="E282" s="36">
        <f t="shared" si="37"/>
        <v>0</v>
      </c>
      <c r="F282" s="36">
        <f t="shared" si="38"/>
        <v>0</v>
      </c>
      <c r="G282" s="35">
        <f t="shared" si="34"/>
        <v>0</v>
      </c>
      <c r="H282" s="36">
        <f t="shared" si="32"/>
        <v>0</v>
      </c>
    </row>
    <row r="283" spans="1:8" s="38" customFormat="1" ht="12.75" x14ac:dyDescent="0.2">
      <c r="A283" s="40">
        <f t="shared" si="33"/>
        <v>22</v>
      </c>
      <c r="B283" s="39">
        <f t="shared" si="39"/>
        <v>263</v>
      </c>
      <c r="C283" s="35">
        <f t="shared" si="35"/>
        <v>0</v>
      </c>
      <c r="D283" s="36">
        <f t="shared" si="36"/>
        <v>0</v>
      </c>
      <c r="E283" s="36">
        <f t="shared" si="37"/>
        <v>0</v>
      </c>
      <c r="F283" s="36">
        <f t="shared" si="38"/>
        <v>0</v>
      </c>
      <c r="G283" s="35">
        <f t="shared" si="34"/>
        <v>0</v>
      </c>
      <c r="H283" s="36">
        <f t="shared" si="32"/>
        <v>0</v>
      </c>
    </row>
    <row r="284" spans="1:8" s="38" customFormat="1" ht="12.75" x14ac:dyDescent="0.2">
      <c r="A284" s="40">
        <f t="shared" si="33"/>
        <v>22</v>
      </c>
      <c r="B284" s="39">
        <f t="shared" si="39"/>
        <v>264</v>
      </c>
      <c r="C284" s="35">
        <f t="shared" si="35"/>
        <v>0</v>
      </c>
      <c r="D284" s="36">
        <f t="shared" si="36"/>
        <v>0</v>
      </c>
      <c r="E284" s="36">
        <f t="shared" si="37"/>
        <v>0</v>
      </c>
      <c r="F284" s="36">
        <f t="shared" si="38"/>
        <v>0</v>
      </c>
      <c r="G284" s="35">
        <f t="shared" si="34"/>
        <v>0</v>
      </c>
      <c r="H284" s="36">
        <f t="shared" si="32"/>
        <v>0</v>
      </c>
    </row>
    <row r="285" spans="1:8" s="38" customFormat="1" ht="12.75" x14ac:dyDescent="0.2">
      <c r="A285" s="40">
        <f>A273+1</f>
        <v>23</v>
      </c>
      <c r="B285" s="39">
        <f t="shared" si="39"/>
        <v>265</v>
      </c>
      <c r="C285" s="35">
        <f t="shared" si="35"/>
        <v>0</v>
      </c>
      <c r="D285" s="36">
        <f t="shared" si="36"/>
        <v>0</v>
      </c>
      <c r="E285" s="36">
        <f t="shared" si="37"/>
        <v>0</v>
      </c>
      <c r="F285" s="36">
        <f t="shared" si="38"/>
        <v>0</v>
      </c>
      <c r="G285" s="35">
        <f t="shared" si="34"/>
        <v>0</v>
      </c>
      <c r="H285" s="36">
        <f t="shared" si="32"/>
        <v>0</v>
      </c>
    </row>
    <row r="286" spans="1:8" s="38" customFormat="1" ht="12.75" x14ac:dyDescent="0.2">
      <c r="A286" s="40">
        <f>A285</f>
        <v>23</v>
      </c>
      <c r="B286" s="39">
        <f t="shared" si="39"/>
        <v>266</v>
      </c>
      <c r="C286" s="35">
        <f t="shared" si="35"/>
        <v>0</v>
      </c>
      <c r="D286" s="36">
        <f t="shared" si="36"/>
        <v>0</v>
      </c>
      <c r="E286" s="36">
        <f t="shared" si="37"/>
        <v>0</v>
      </c>
      <c r="F286" s="36">
        <f t="shared" si="38"/>
        <v>0</v>
      </c>
      <c r="G286" s="35">
        <f t="shared" si="34"/>
        <v>0</v>
      </c>
      <c r="H286" s="36">
        <f t="shared" si="32"/>
        <v>0</v>
      </c>
    </row>
    <row r="287" spans="1:8" s="38" customFormat="1" ht="12.75" x14ac:dyDescent="0.2">
      <c r="A287" s="40">
        <f t="shared" si="33"/>
        <v>23</v>
      </c>
      <c r="B287" s="39">
        <f t="shared" si="39"/>
        <v>267</v>
      </c>
      <c r="C287" s="35">
        <f t="shared" si="35"/>
        <v>0</v>
      </c>
      <c r="D287" s="36">
        <f t="shared" si="36"/>
        <v>0</v>
      </c>
      <c r="E287" s="36">
        <f t="shared" si="37"/>
        <v>0</v>
      </c>
      <c r="F287" s="36">
        <f t="shared" si="38"/>
        <v>0</v>
      </c>
      <c r="G287" s="35">
        <f t="shared" si="34"/>
        <v>0</v>
      </c>
      <c r="H287" s="36">
        <f t="shared" si="32"/>
        <v>0</v>
      </c>
    </row>
    <row r="288" spans="1:8" s="38" customFormat="1" ht="12.75" x14ac:dyDescent="0.2">
      <c r="A288" s="40">
        <f t="shared" si="33"/>
        <v>23</v>
      </c>
      <c r="B288" s="39">
        <f t="shared" si="39"/>
        <v>268</v>
      </c>
      <c r="C288" s="35">
        <f t="shared" si="35"/>
        <v>0</v>
      </c>
      <c r="D288" s="36">
        <f t="shared" si="36"/>
        <v>0</v>
      </c>
      <c r="E288" s="36">
        <f t="shared" si="37"/>
        <v>0</v>
      </c>
      <c r="F288" s="36">
        <f t="shared" si="38"/>
        <v>0</v>
      </c>
      <c r="G288" s="35">
        <f t="shared" si="34"/>
        <v>0</v>
      </c>
      <c r="H288" s="36">
        <f t="shared" si="32"/>
        <v>0</v>
      </c>
    </row>
    <row r="289" spans="1:8" s="38" customFormat="1" ht="12.75" x14ac:dyDescent="0.2">
      <c r="A289" s="40">
        <f t="shared" si="33"/>
        <v>23</v>
      </c>
      <c r="B289" s="39">
        <f t="shared" si="39"/>
        <v>269</v>
      </c>
      <c r="C289" s="35">
        <f t="shared" si="35"/>
        <v>0</v>
      </c>
      <c r="D289" s="36">
        <f t="shared" si="36"/>
        <v>0</v>
      </c>
      <c r="E289" s="36">
        <f t="shared" si="37"/>
        <v>0</v>
      </c>
      <c r="F289" s="36">
        <f t="shared" si="38"/>
        <v>0</v>
      </c>
      <c r="G289" s="35">
        <f t="shared" si="34"/>
        <v>0</v>
      </c>
      <c r="H289" s="36">
        <f t="shared" si="32"/>
        <v>0</v>
      </c>
    </row>
    <row r="290" spans="1:8" s="38" customFormat="1" ht="12.75" x14ac:dyDescent="0.2">
      <c r="A290" s="40">
        <f t="shared" si="33"/>
        <v>23</v>
      </c>
      <c r="B290" s="39">
        <f t="shared" si="39"/>
        <v>270</v>
      </c>
      <c r="C290" s="35">
        <f t="shared" si="35"/>
        <v>0</v>
      </c>
      <c r="D290" s="36">
        <f t="shared" si="36"/>
        <v>0</v>
      </c>
      <c r="E290" s="36">
        <f t="shared" si="37"/>
        <v>0</v>
      </c>
      <c r="F290" s="36">
        <f t="shared" si="38"/>
        <v>0</v>
      </c>
      <c r="G290" s="35">
        <f t="shared" si="34"/>
        <v>0</v>
      </c>
      <c r="H290" s="36">
        <f t="shared" si="32"/>
        <v>0</v>
      </c>
    </row>
    <row r="291" spans="1:8" s="38" customFormat="1" ht="12.75" x14ac:dyDescent="0.2">
      <c r="A291" s="40">
        <f t="shared" si="33"/>
        <v>23</v>
      </c>
      <c r="B291" s="39">
        <f t="shared" si="39"/>
        <v>271</v>
      </c>
      <c r="C291" s="35">
        <f t="shared" si="35"/>
        <v>0</v>
      </c>
      <c r="D291" s="36">
        <f t="shared" si="36"/>
        <v>0</v>
      </c>
      <c r="E291" s="36">
        <f t="shared" si="37"/>
        <v>0</v>
      </c>
      <c r="F291" s="36">
        <f t="shared" si="38"/>
        <v>0</v>
      </c>
      <c r="G291" s="35">
        <f t="shared" si="34"/>
        <v>0</v>
      </c>
      <c r="H291" s="36">
        <f t="shared" si="32"/>
        <v>0</v>
      </c>
    </row>
    <row r="292" spans="1:8" s="38" customFormat="1" ht="12.75" x14ac:dyDescent="0.2">
      <c r="A292" s="40">
        <f t="shared" si="33"/>
        <v>23</v>
      </c>
      <c r="B292" s="39">
        <f t="shared" si="39"/>
        <v>272</v>
      </c>
      <c r="C292" s="35">
        <f t="shared" si="35"/>
        <v>0</v>
      </c>
      <c r="D292" s="36">
        <f t="shared" si="36"/>
        <v>0</v>
      </c>
      <c r="E292" s="36">
        <f t="shared" si="37"/>
        <v>0</v>
      </c>
      <c r="F292" s="36">
        <f t="shared" si="38"/>
        <v>0</v>
      </c>
      <c r="G292" s="35">
        <f t="shared" si="34"/>
        <v>0</v>
      </c>
      <c r="H292" s="36">
        <f t="shared" si="32"/>
        <v>0</v>
      </c>
    </row>
    <row r="293" spans="1:8" s="38" customFormat="1" ht="12.75" x14ac:dyDescent="0.2">
      <c r="A293" s="40">
        <f t="shared" si="33"/>
        <v>23</v>
      </c>
      <c r="B293" s="39">
        <f t="shared" si="39"/>
        <v>273</v>
      </c>
      <c r="C293" s="35">
        <f t="shared" si="35"/>
        <v>0</v>
      </c>
      <c r="D293" s="36">
        <f t="shared" si="36"/>
        <v>0</v>
      </c>
      <c r="E293" s="36">
        <f t="shared" si="37"/>
        <v>0</v>
      </c>
      <c r="F293" s="36">
        <f t="shared" si="38"/>
        <v>0</v>
      </c>
      <c r="G293" s="35">
        <f t="shared" si="34"/>
        <v>0</v>
      </c>
      <c r="H293" s="36">
        <f t="shared" si="32"/>
        <v>0</v>
      </c>
    </row>
    <row r="294" spans="1:8" s="38" customFormat="1" ht="12.75" x14ac:dyDescent="0.2">
      <c r="A294" s="40">
        <f t="shared" si="33"/>
        <v>23</v>
      </c>
      <c r="B294" s="39">
        <f t="shared" si="39"/>
        <v>274</v>
      </c>
      <c r="C294" s="35">
        <f t="shared" si="35"/>
        <v>0</v>
      </c>
      <c r="D294" s="36">
        <f t="shared" si="36"/>
        <v>0</v>
      </c>
      <c r="E294" s="36">
        <f t="shared" si="37"/>
        <v>0</v>
      </c>
      <c r="F294" s="36">
        <f t="shared" si="38"/>
        <v>0</v>
      </c>
      <c r="G294" s="35">
        <f t="shared" si="34"/>
        <v>0</v>
      </c>
      <c r="H294" s="36">
        <f t="shared" si="32"/>
        <v>0</v>
      </c>
    </row>
    <row r="295" spans="1:8" s="38" customFormat="1" ht="12.75" x14ac:dyDescent="0.2">
      <c r="A295" s="40">
        <f t="shared" si="33"/>
        <v>23</v>
      </c>
      <c r="B295" s="39">
        <f t="shared" si="39"/>
        <v>275</v>
      </c>
      <c r="C295" s="35">
        <f t="shared" si="35"/>
        <v>0</v>
      </c>
      <c r="D295" s="36">
        <f t="shared" si="36"/>
        <v>0</v>
      </c>
      <c r="E295" s="36">
        <f t="shared" si="37"/>
        <v>0</v>
      </c>
      <c r="F295" s="36">
        <f t="shared" si="38"/>
        <v>0</v>
      </c>
      <c r="G295" s="35">
        <f t="shared" si="34"/>
        <v>0</v>
      </c>
      <c r="H295" s="36">
        <f t="shared" si="32"/>
        <v>0</v>
      </c>
    </row>
    <row r="296" spans="1:8" s="38" customFormat="1" ht="12.75" x14ac:dyDescent="0.2">
      <c r="A296" s="40">
        <f t="shared" si="33"/>
        <v>23</v>
      </c>
      <c r="B296" s="39">
        <f t="shared" si="39"/>
        <v>276</v>
      </c>
      <c r="C296" s="35">
        <f t="shared" si="35"/>
        <v>0</v>
      </c>
      <c r="D296" s="36">
        <f t="shared" si="36"/>
        <v>0</v>
      </c>
      <c r="E296" s="36">
        <f t="shared" si="37"/>
        <v>0</v>
      </c>
      <c r="F296" s="36">
        <f t="shared" si="38"/>
        <v>0</v>
      </c>
      <c r="G296" s="35">
        <f t="shared" si="34"/>
        <v>0</v>
      </c>
      <c r="H296" s="36">
        <f t="shared" si="32"/>
        <v>0</v>
      </c>
    </row>
    <row r="297" spans="1:8" s="38" customFormat="1" ht="12.75" x14ac:dyDescent="0.2">
      <c r="A297" s="40">
        <f>A285+1</f>
        <v>24</v>
      </c>
      <c r="B297" s="39">
        <f t="shared" si="39"/>
        <v>277</v>
      </c>
      <c r="C297" s="35">
        <f t="shared" si="35"/>
        <v>0</v>
      </c>
      <c r="D297" s="36">
        <f t="shared" si="36"/>
        <v>0</v>
      </c>
      <c r="E297" s="36">
        <f t="shared" si="37"/>
        <v>0</v>
      </c>
      <c r="F297" s="36">
        <f t="shared" si="38"/>
        <v>0</v>
      </c>
      <c r="G297" s="35">
        <f t="shared" si="34"/>
        <v>0</v>
      </c>
      <c r="H297" s="36">
        <f t="shared" si="32"/>
        <v>0</v>
      </c>
    </row>
    <row r="298" spans="1:8" s="38" customFormat="1" ht="12.75" x14ac:dyDescent="0.2">
      <c r="A298" s="40">
        <f>A297</f>
        <v>24</v>
      </c>
      <c r="B298" s="39">
        <f t="shared" si="39"/>
        <v>278</v>
      </c>
      <c r="C298" s="35">
        <f t="shared" si="35"/>
        <v>0</v>
      </c>
      <c r="D298" s="36">
        <f t="shared" si="36"/>
        <v>0</v>
      </c>
      <c r="E298" s="36">
        <f t="shared" si="37"/>
        <v>0</v>
      </c>
      <c r="F298" s="36">
        <f t="shared" si="38"/>
        <v>0</v>
      </c>
      <c r="G298" s="35">
        <f t="shared" si="34"/>
        <v>0</v>
      </c>
      <c r="H298" s="36">
        <f t="shared" si="32"/>
        <v>0</v>
      </c>
    </row>
    <row r="299" spans="1:8" s="38" customFormat="1" ht="12.75" x14ac:dyDescent="0.2">
      <c r="A299" s="40">
        <f t="shared" si="33"/>
        <v>24</v>
      </c>
      <c r="B299" s="39">
        <f t="shared" si="39"/>
        <v>279</v>
      </c>
      <c r="C299" s="35">
        <f t="shared" si="35"/>
        <v>0</v>
      </c>
      <c r="D299" s="36">
        <f t="shared" si="36"/>
        <v>0</v>
      </c>
      <c r="E299" s="36">
        <f t="shared" si="37"/>
        <v>0</v>
      </c>
      <c r="F299" s="36">
        <f t="shared" si="38"/>
        <v>0</v>
      </c>
      <c r="G299" s="35">
        <f t="shared" si="34"/>
        <v>0</v>
      </c>
      <c r="H299" s="36">
        <f t="shared" si="32"/>
        <v>0</v>
      </c>
    </row>
    <row r="300" spans="1:8" s="38" customFormat="1" ht="12.75" x14ac:dyDescent="0.2">
      <c r="A300" s="40">
        <f t="shared" si="33"/>
        <v>24</v>
      </c>
      <c r="B300" s="39">
        <f t="shared" si="39"/>
        <v>280</v>
      </c>
      <c r="C300" s="35">
        <f t="shared" si="35"/>
        <v>0</v>
      </c>
      <c r="D300" s="36">
        <f t="shared" si="36"/>
        <v>0</v>
      </c>
      <c r="E300" s="36">
        <f t="shared" si="37"/>
        <v>0</v>
      </c>
      <c r="F300" s="36">
        <f t="shared" si="38"/>
        <v>0</v>
      </c>
      <c r="G300" s="35">
        <f t="shared" si="34"/>
        <v>0</v>
      </c>
      <c r="H300" s="36">
        <f t="shared" si="32"/>
        <v>0</v>
      </c>
    </row>
    <row r="301" spans="1:8" s="38" customFormat="1" ht="12.75" x14ac:dyDescent="0.2">
      <c r="A301" s="40">
        <f t="shared" si="33"/>
        <v>24</v>
      </c>
      <c r="B301" s="39">
        <f t="shared" si="39"/>
        <v>281</v>
      </c>
      <c r="C301" s="35">
        <f t="shared" si="35"/>
        <v>0</v>
      </c>
      <c r="D301" s="36">
        <f t="shared" si="36"/>
        <v>0</v>
      </c>
      <c r="E301" s="36">
        <f t="shared" si="37"/>
        <v>0</v>
      </c>
      <c r="F301" s="36">
        <f t="shared" si="38"/>
        <v>0</v>
      </c>
      <c r="G301" s="35">
        <f t="shared" si="34"/>
        <v>0</v>
      </c>
      <c r="H301" s="36">
        <f t="shared" ref="H301:H320" si="40">IF(C301+E301-G301&lt;=0, 0, C301+E301-G301)</f>
        <v>0</v>
      </c>
    </row>
    <row r="302" spans="1:8" s="38" customFormat="1" ht="12.75" x14ac:dyDescent="0.2">
      <c r="A302" s="40">
        <f t="shared" ref="A302:A320" si="41">A301</f>
        <v>24</v>
      </c>
      <c r="B302" s="39">
        <f t="shared" si="39"/>
        <v>282</v>
      </c>
      <c r="C302" s="35">
        <f t="shared" si="35"/>
        <v>0</v>
      </c>
      <c r="D302" s="36">
        <f t="shared" si="36"/>
        <v>0</v>
      </c>
      <c r="E302" s="36">
        <f t="shared" si="37"/>
        <v>0</v>
      </c>
      <c r="F302" s="36">
        <f t="shared" si="38"/>
        <v>0</v>
      </c>
      <c r="G302" s="35">
        <f t="shared" si="34"/>
        <v>0</v>
      </c>
      <c r="H302" s="36">
        <f t="shared" si="40"/>
        <v>0</v>
      </c>
    </row>
    <row r="303" spans="1:8" s="38" customFormat="1" ht="12.75" x14ac:dyDescent="0.2">
      <c r="A303" s="40">
        <f t="shared" si="41"/>
        <v>24</v>
      </c>
      <c r="B303" s="39">
        <f t="shared" si="39"/>
        <v>283</v>
      </c>
      <c r="C303" s="35">
        <f t="shared" si="35"/>
        <v>0</v>
      </c>
      <c r="D303" s="36">
        <f t="shared" si="36"/>
        <v>0</v>
      </c>
      <c r="E303" s="36">
        <f t="shared" si="37"/>
        <v>0</v>
      </c>
      <c r="F303" s="36">
        <f t="shared" si="38"/>
        <v>0</v>
      </c>
      <c r="G303" s="35">
        <f t="shared" si="34"/>
        <v>0</v>
      </c>
      <c r="H303" s="36">
        <f t="shared" si="40"/>
        <v>0</v>
      </c>
    </row>
    <row r="304" spans="1:8" s="38" customFormat="1" ht="12.75" x14ac:dyDescent="0.2">
      <c r="A304" s="40">
        <f t="shared" si="41"/>
        <v>24</v>
      </c>
      <c r="B304" s="39">
        <f t="shared" si="39"/>
        <v>284</v>
      </c>
      <c r="C304" s="35">
        <f t="shared" si="35"/>
        <v>0</v>
      </c>
      <c r="D304" s="36">
        <f t="shared" si="36"/>
        <v>0</v>
      </c>
      <c r="E304" s="36">
        <f t="shared" si="37"/>
        <v>0</v>
      </c>
      <c r="F304" s="36">
        <f t="shared" si="38"/>
        <v>0</v>
      </c>
      <c r="G304" s="35">
        <f t="shared" si="34"/>
        <v>0</v>
      </c>
      <c r="H304" s="36">
        <f t="shared" si="40"/>
        <v>0</v>
      </c>
    </row>
    <row r="305" spans="1:8" s="38" customFormat="1" ht="12.75" x14ac:dyDescent="0.2">
      <c r="A305" s="40">
        <f t="shared" si="41"/>
        <v>24</v>
      </c>
      <c r="B305" s="39">
        <f t="shared" si="39"/>
        <v>285</v>
      </c>
      <c r="C305" s="35">
        <f t="shared" si="35"/>
        <v>0</v>
      </c>
      <c r="D305" s="36">
        <f t="shared" si="36"/>
        <v>0</v>
      </c>
      <c r="E305" s="36">
        <f t="shared" si="37"/>
        <v>0</v>
      </c>
      <c r="F305" s="36">
        <f t="shared" si="38"/>
        <v>0</v>
      </c>
      <c r="G305" s="35">
        <f t="shared" si="34"/>
        <v>0</v>
      </c>
      <c r="H305" s="36">
        <f t="shared" si="40"/>
        <v>0</v>
      </c>
    </row>
    <row r="306" spans="1:8" s="38" customFormat="1" ht="12.75" x14ac:dyDescent="0.2">
      <c r="A306" s="40">
        <f t="shared" si="41"/>
        <v>24</v>
      </c>
      <c r="B306" s="39">
        <f t="shared" si="39"/>
        <v>286</v>
      </c>
      <c r="C306" s="35">
        <f t="shared" si="35"/>
        <v>0</v>
      </c>
      <c r="D306" s="36">
        <f t="shared" si="36"/>
        <v>0</v>
      </c>
      <c r="E306" s="36">
        <f t="shared" si="37"/>
        <v>0</v>
      </c>
      <c r="F306" s="36">
        <f t="shared" si="38"/>
        <v>0</v>
      </c>
      <c r="G306" s="35">
        <f t="shared" si="34"/>
        <v>0</v>
      </c>
      <c r="H306" s="36">
        <f t="shared" si="40"/>
        <v>0</v>
      </c>
    </row>
    <row r="307" spans="1:8" s="38" customFormat="1" ht="12.75" x14ac:dyDescent="0.2">
      <c r="A307" s="40">
        <f t="shared" si="41"/>
        <v>24</v>
      </c>
      <c r="B307" s="39">
        <f t="shared" si="39"/>
        <v>287</v>
      </c>
      <c r="C307" s="35">
        <f t="shared" si="35"/>
        <v>0</v>
      </c>
      <c r="D307" s="36">
        <f t="shared" si="36"/>
        <v>0</v>
      </c>
      <c r="E307" s="36">
        <f t="shared" si="37"/>
        <v>0</v>
      </c>
      <c r="F307" s="36">
        <f t="shared" si="38"/>
        <v>0</v>
      </c>
      <c r="G307" s="35">
        <f t="shared" si="34"/>
        <v>0</v>
      </c>
      <c r="H307" s="36">
        <f t="shared" si="40"/>
        <v>0</v>
      </c>
    </row>
    <row r="308" spans="1:8" s="38" customFormat="1" ht="12.75" x14ac:dyDescent="0.2">
      <c r="A308" s="40">
        <f t="shared" si="41"/>
        <v>24</v>
      </c>
      <c r="B308" s="39">
        <f t="shared" si="39"/>
        <v>288</v>
      </c>
      <c r="C308" s="35">
        <f t="shared" si="35"/>
        <v>0</v>
      </c>
      <c r="D308" s="36">
        <f t="shared" si="36"/>
        <v>0</v>
      </c>
      <c r="E308" s="36">
        <f t="shared" si="37"/>
        <v>0</v>
      </c>
      <c r="F308" s="36">
        <f t="shared" si="38"/>
        <v>0</v>
      </c>
      <c r="G308" s="35">
        <f t="shared" si="34"/>
        <v>0</v>
      </c>
      <c r="H308" s="36">
        <f t="shared" si="40"/>
        <v>0</v>
      </c>
    </row>
    <row r="309" spans="1:8" s="38" customFormat="1" ht="12.75" x14ac:dyDescent="0.2">
      <c r="A309" s="40">
        <f>A297+1</f>
        <v>25</v>
      </c>
      <c r="B309" s="39">
        <f t="shared" si="39"/>
        <v>289</v>
      </c>
      <c r="C309" s="35">
        <f t="shared" si="35"/>
        <v>0</v>
      </c>
      <c r="D309" s="36">
        <f t="shared" si="36"/>
        <v>0</v>
      </c>
      <c r="E309" s="36">
        <f t="shared" si="37"/>
        <v>0</v>
      </c>
      <c r="F309" s="36">
        <f t="shared" si="38"/>
        <v>0</v>
      </c>
      <c r="G309" s="35">
        <f t="shared" si="34"/>
        <v>0</v>
      </c>
      <c r="H309" s="36">
        <f t="shared" si="40"/>
        <v>0</v>
      </c>
    </row>
    <row r="310" spans="1:8" s="38" customFormat="1" ht="12.75" x14ac:dyDescent="0.2">
      <c r="A310" s="40">
        <f>A309</f>
        <v>25</v>
      </c>
      <c r="B310" s="39">
        <f t="shared" si="39"/>
        <v>290</v>
      </c>
      <c r="C310" s="35">
        <f t="shared" si="35"/>
        <v>0</v>
      </c>
      <c r="D310" s="36">
        <f t="shared" si="36"/>
        <v>0</v>
      </c>
      <c r="E310" s="36">
        <f t="shared" si="37"/>
        <v>0</v>
      </c>
      <c r="F310" s="36">
        <f t="shared" si="38"/>
        <v>0</v>
      </c>
      <c r="G310" s="35">
        <f t="shared" si="34"/>
        <v>0</v>
      </c>
      <c r="H310" s="36">
        <f t="shared" si="40"/>
        <v>0</v>
      </c>
    </row>
    <row r="311" spans="1:8" s="38" customFormat="1" ht="12.75" x14ac:dyDescent="0.2">
      <c r="A311" s="40">
        <f t="shared" si="41"/>
        <v>25</v>
      </c>
      <c r="B311" s="39">
        <f t="shared" si="39"/>
        <v>291</v>
      </c>
      <c r="C311" s="35">
        <f t="shared" si="35"/>
        <v>0</v>
      </c>
      <c r="D311" s="36">
        <f t="shared" si="36"/>
        <v>0</v>
      </c>
      <c r="E311" s="36">
        <f t="shared" si="37"/>
        <v>0</v>
      </c>
      <c r="F311" s="36">
        <f t="shared" si="38"/>
        <v>0</v>
      </c>
      <c r="G311" s="35">
        <f t="shared" si="34"/>
        <v>0</v>
      </c>
      <c r="H311" s="36">
        <f t="shared" si="40"/>
        <v>0</v>
      </c>
    </row>
    <row r="312" spans="1:8" s="38" customFormat="1" ht="12.75" x14ac:dyDescent="0.2">
      <c r="A312" s="40">
        <f t="shared" si="41"/>
        <v>25</v>
      </c>
      <c r="B312" s="39">
        <f t="shared" si="39"/>
        <v>292</v>
      </c>
      <c r="C312" s="35">
        <f t="shared" si="35"/>
        <v>0</v>
      </c>
      <c r="D312" s="36">
        <f t="shared" si="36"/>
        <v>0</v>
      </c>
      <c r="E312" s="36">
        <f t="shared" si="37"/>
        <v>0</v>
      </c>
      <c r="F312" s="36">
        <f t="shared" si="38"/>
        <v>0</v>
      </c>
      <c r="G312" s="35">
        <f t="shared" si="34"/>
        <v>0</v>
      </c>
      <c r="H312" s="36">
        <f t="shared" si="40"/>
        <v>0</v>
      </c>
    </row>
    <row r="313" spans="1:8" s="38" customFormat="1" ht="12.75" x14ac:dyDescent="0.2">
      <c r="A313" s="40">
        <f t="shared" si="41"/>
        <v>25</v>
      </c>
      <c r="B313" s="39">
        <f t="shared" si="39"/>
        <v>293</v>
      </c>
      <c r="C313" s="35">
        <f t="shared" si="35"/>
        <v>0</v>
      </c>
      <c r="D313" s="36">
        <f t="shared" si="36"/>
        <v>0</v>
      </c>
      <c r="E313" s="36">
        <f t="shared" si="37"/>
        <v>0</v>
      </c>
      <c r="F313" s="36">
        <f t="shared" si="38"/>
        <v>0</v>
      </c>
      <c r="G313" s="35">
        <f t="shared" si="34"/>
        <v>0</v>
      </c>
      <c r="H313" s="36">
        <f t="shared" si="40"/>
        <v>0</v>
      </c>
    </row>
    <row r="314" spans="1:8" s="38" customFormat="1" ht="12.75" x14ac:dyDescent="0.2">
      <c r="A314" s="40">
        <f t="shared" si="41"/>
        <v>25</v>
      </c>
      <c r="B314" s="39">
        <f t="shared" si="39"/>
        <v>294</v>
      </c>
      <c r="C314" s="35">
        <f t="shared" si="35"/>
        <v>0</v>
      </c>
      <c r="D314" s="36">
        <f t="shared" si="36"/>
        <v>0</v>
      </c>
      <c r="E314" s="36">
        <f t="shared" si="37"/>
        <v>0</v>
      </c>
      <c r="F314" s="36">
        <f t="shared" si="38"/>
        <v>0</v>
      </c>
      <c r="G314" s="35">
        <f t="shared" si="34"/>
        <v>0</v>
      </c>
      <c r="H314" s="36">
        <f t="shared" si="40"/>
        <v>0</v>
      </c>
    </row>
    <row r="315" spans="1:8" s="38" customFormat="1" ht="12.75" x14ac:dyDescent="0.2">
      <c r="A315" s="40">
        <f t="shared" si="41"/>
        <v>25</v>
      </c>
      <c r="B315" s="39">
        <f t="shared" si="39"/>
        <v>295</v>
      </c>
      <c r="C315" s="35">
        <f t="shared" si="35"/>
        <v>0</v>
      </c>
      <c r="D315" s="36">
        <f t="shared" si="36"/>
        <v>0</v>
      </c>
      <c r="E315" s="36">
        <f t="shared" si="37"/>
        <v>0</v>
      </c>
      <c r="F315" s="36">
        <f t="shared" si="38"/>
        <v>0</v>
      </c>
      <c r="G315" s="35">
        <f t="shared" si="34"/>
        <v>0</v>
      </c>
      <c r="H315" s="36">
        <f t="shared" si="40"/>
        <v>0</v>
      </c>
    </row>
    <row r="316" spans="1:8" s="38" customFormat="1" ht="12.75" x14ac:dyDescent="0.2">
      <c r="A316" s="40">
        <f t="shared" si="41"/>
        <v>25</v>
      </c>
      <c r="B316" s="39">
        <f t="shared" si="39"/>
        <v>296</v>
      </c>
      <c r="C316" s="35">
        <f t="shared" si="35"/>
        <v>0</v>
      </c>
      <c r="D316" s="36">
        <f t="shared" si="36"/>
        <v>0</v>
      </c>
      <c r="E316" s="36">
        <f t="shared" si="37"/>
        <v>0</v>
      </c>
      <c r="F316" s="36">
        <f t="shared" si="38"/>
        <v>0</v>
      </c>
      <c r="G316" s="35">
        <f t="shared" si="34"/>
        <v>0</v>
      </c>
      <c r="H316" s="36">
        <f t="shared" si="40"/>
        <v>0</v>
      </c>
    </row>
    <row r="317" spans="1:8" s="38" customFormat="1" ht="12.75" x14ac:dyDescent="0.2">
      <c r="A317" s="40">
        <f t="shared" si="41"/>
        <v>25</v>
      </c>
      <c r="B317" s="39">
        <f t="shared" si="39"/>
        <v>297</v>
      </c>
      <c r="C317" s="35">
        <f t="shared" si="35"/>
        <v>0</v>
      </c>
      <c r="D317" s="36">
        <f t="shared" si="36"/>
        <v>0</v>
      </c>
      <c r="E317" s="36">
        <f t="shared" si="37"/>
        <v>0</v>
      </c>
      <c r="F317" s="36">
        <f t="shared" si="38"/>
        <v>0</v>
      </c>
      <c r="G317" s="35">
        <f t="shared" si="34"/>
        <v>0</v>
      </c>
      <c r="H317" s="36">
        <f t="shared" si="40"/>
        <v>0</v>
      </c>
    </row>
    <row r="318" spans="1:8" s="38" customFormat="1" ht="12.75" x14ac:dyDescent="0.2">
      <c r="A318" s="40">
        <f t="shared" si="41"/>
        <v>25</v>
      </c>
      <c r="B318" s="39">
        <f t="shared" si="39"/>
        <v>298</v>
      </c>
      <c r="C318" s="35">
        <f t="shared" si="35"/>
        <v>0</v>
      </c>
      <c r="D318" s="36">
        <f t="shared" si="36"/>
        <v>0</v>
      </c>
      <c r="E318" s="36">
        <f t="shared" si="37"/>
        <v>0</v>
      </c>
      <c r="F318" s="36">
        <f t="shared" si="38"/>
        <v>0</v>
      </c>
      <c r="G318" s="35">
        <f t="shared" si="34"/>
        <v>0</v>
      </c>
      <c r="H318" s="36">
        <f t="shared" si="40"/>
        <v>0</v>
      </c>
    </row>
    <row r="319" spans="1:8" s="38" customFormat="1" ht="12.75" x14ac:dyDescent="0.2">
      <c r="A319" s="40">
        <f t="shared" si="41"/>
        <v>25</v>
      </c>
      <c r="B319" s="39">
        <f t="shared" si="39"/>
        <v>299</v>
      </c>
      <c r="C319" s="35">
        <f t="shared" si="35"/>
        <v>0</v>
      </c>
      <c r="D319" s="36">
        <f t="shared" si="36"/>
        <v>0</v>
      </c>
      <c r="E319" s="36">
        <f t="shared" si="37"/>
        <v>0</v>
      </c>
      <c r="F319" s="36">
        <f t="shared" si="38"/>
        <v>0</v>
      </c>
      <c r="G319" s="35">
        <f t="shared" si="34"/>
        <v>0</v>
      </c>
      <c r="H319" s="36">
        <f t="shared" si="40"/>
        <v>0</v>
      </c>
    </row>
    <row r="320" spans="1:8" s="38" customFormat="1" ht="12.75" x14ac:dyDescent="0.2">
      <c r="A320" s="40">
        <f t="shared" si="41"/>
        <v>25</v>
      </c>
      <c r="B320" s="39">
        <f t="shared" si="39"/>
        <v>300</v>
      </c>
      <c r="C320" s="35">
        <f t="shared" si="35"/>
        <v>0</v>
      </c>
      <c r="D320" s="36">
        <f t="shared" si="36"/>
        <v>0</v>
      </c>
      <c r="E320" s="36">
        <f t="shared" si="37"/>
        <v>0</v>
      </c>
      <c r="F320" s="36">
        <f t="shared" si="38"/>
        <v>0</v>
      </c>
      <c r="G320" s="35">
        <f t="shared" si="34"/>
        <v>0</v>
      </c>
      <c r="H320" s="36">
        <f t="shared" si="40"/>
        <v>0</v>
      </c>
    </row>
    <row r="321" spans="1:8" x14ac:dyDescent="0.25">
      <c r="A321" s="1"/>
      <c r="B321" s="42"/>
      <c r="C321" s="43"/>
      <c r="D321" s="43"/>
      <c r="E321" s="43"/>
      <c r="F321" s="43"/>
      <c r="G321" s="44"/>
      <c r="H321" s="45"/>
    </row>
    <row r="322" spans="1:8" x14ac:dyDescent="0.25">
      <c r="A322" s="1"/>
      <c r="B322" s="42"/>
      <c r="C322" s="43"/>
      <c r="D322" s="43"/>
      <c r="E322" s="43"/>
      <c r="F322" s="43"/>
      <c r="G322" s="44"/>
      <c r="H322" s="45"/>
    </row>
    <row r="323" spans="1:8" x14ac:dyDescent="0.25">
      <c r="E323" s="43"/>
      <c r="F323" s="43"/>
      <c r="G323" s="44"/>
      <c r="H323" s="45"/>
    </row>
    <row r="324" spans="1:8" x14ac:dyDescent="0.25">
      <c r="E324" s="43"/>
      <c r="F324" s="47"/>
      <c r="G324" s="48"/>
      <c r="H324" s="45"/>
    </row>
    <row r="325" spans="1:8" x14ac:dyDescent="0.25">
      <c r="E325" s="49"/>
      <c r="F325" s="43"/>
      <c r="G325" s="44"/>
      <c r="H325" s="45"/>
    </row>
    <row r="326" spans="1:8" x14ac:dyDescent="0.25">
      <c r="E326" s="43"/>
      <c r="F326" s="43"/>
      <c r="G326" s="44"/>
      <c r="H326" s="45"/>
    </row>
    <row r="327" spans="1:8" x14ac:dyDescent="0.25">
      <c r="E327" s="43"/>
      <c r="F327" s="43"/>
      <c r="G327" s="44"/>
      <c r="H327" s="45"/>
    </row>
    <row r="328" spans="1:8" x14ac:dyDescent="0.25">
      <c r="E328" s="43"/>
      <c r="F328" s="43"/>
      <c r="G328" s="44"/>
      <c r="H328" s="45"/>
    </row>
    <row r="329" spans="1:8" x14ac:dyDescent="0.25">
      <c r="E329" s="43"/>
      <c r="F329" s="43"/>
      <c r="G329" s="44"/>
      <c r="H329" s="45"/>
    </row>
    <row r="330" spans="1:8" x14ac:dyDescent="0.25">
      <c r="E330" s="43"/>
      <c r="F330" s="43"/>
      <c r="G330" s="44"/>
      <c r="H330" s="45"/>
    </row>
    <row r="331" spans="1:8" x14ac:dyDescent="0.25">
      <c r="A331" s="1"/>
      <c r="F331" s="43"/>
      <c r="G331" s="44"/>
      <c r="H331" s="45"/>
    </row>
    <row r="332" spans="1:8" x14ac:dyDescent="0.25">
      <c r="A332" s="1"/>
      <c r="F332" s="43"/>
      <c r="G332" s="44"/>
      <c r="H332" s="45"/>
    </row>
    <row r="333" spans="1:8" x14ac:dyDescent="0.25">
      <c r="A333" s="1"/>
      <c r="F333" s="43"/>
      <c r="G333" s="44"/>
      <c r="H333" s="45"/>
    </row>
    <row r="334" spans="1:8" x14ac:dyDescent="0.25">
      <c r="A334" s="1"/>
      <c r="F334" s="43"/>
      <c r="G334" s="44"/>
      <c r="H334" s="45"/>
    </row>
    <row r="335" spans="1:8" x14ac:dyDescent="0.25">
      <c r="A335" s="1"/>
      <c r="F335" s="43"/>
      <c r="G335" s="44"/>
      <c r="H335" s="45"/>
    </row>
    <row r="336" spans="1:8" x14ac:dyDescent="0.25">
      <c r="A336" s="1"/>
      <c r="F336" s="43"/>
      <c r="G336" s="44"/>
      <c r="H336" s="45"/>
    </row>
    <row r="337" spans="1:8" x14ac:dyDescent="0.25">
      <c r="A337" s="1"/>
      <c r="F337" s="43"/>
      <c r="G337" s="44"/>
      <c r="H337" s="45"/>
    </row>
    <row r="338" spans="1:8" x14ac:dyDescent="0.25">
      <c r="A338" s="1"/>
      <c r="F338" s="43"/>
      <c r="G338" s="44"/>
      <c r="H338" s="45"/>
    </row>
    <row r="339" spans="1:8" x14ac:dyDescent="0.25">
      <c r="A339" s="1"/>
      <c r="F339" s="43"/>
      <c r="G339" s="44"/>
      <c r="H339" s="45"/>
    </row>
    <row r="340" spans="1:8" x14ac:dyDescent="0.25">
      <c r="A340" s="1"/>
      <c r="F340" s="43"/>
      <c r="G340" s="44"/>
      <c r="H340" s="45"/>
    </row>
    <row r="341" spans="1:8" x14ac:dyDescent="0.25">
      <c r="A341" s="1"/>
      <c r="F341" s="43"/>
      <c r="G341" s="44"/>
      <c r="H341" s="45"/>
    </row>
    <row r="342" spans="1:8" x14ac:dyDescent="0.25">
      <c r="A342" s="1"/>
      <c r="F342" s="43"/>
      <c r="G342" s="44"/>
      <c r="H342" s="45"/>
    </row>
    <row r="343" spans="1:8" x14ac:dyDescent="0.25">
      <c r="A343" s="1"/>
      <c r="F343" s="43"/>
      <c r="G343" s="44"/>
      <c r="H343" s="45"/>
    </row>
    <row r="344" spans="1:8" x14ac:dyDescent="0.25">
      <c r="A344" s="1"/>
      <c r="F344" s="43"/>
      <c r="G344" s="44"/>
      <c r="H344" s="45"/>
    </row>
    <row r="345" spans="1:8" x14ac:dyDescent="0.25">
      <c r="A345" s="1"/>
      <c r="F345" s="43"/>
      <c r="G345" s="44"/>
      <c r="H345" s="45"/>
    </row>
    <row r="346" spans="1:8" x14ac:dyDescent="0.25">
      <c r="A346" s="1"/>
      <c r="F346" s="43"/>
      <c r="G346" s="44"/>
      <c r="H346" s="45"/>
    </row>
    <row r="347" spans="1:8" x14ac:dyDescent="0.25">
      <c r="A347" s="1"/>
      <c r="F347" s="43"/>
      <c r="G347" s="44"/>
      <c r="H347" s="45"/>
    </row>
    <row r="348" spans="1:8" x14ac:dyDescent="0.25">
      <c r="A348" s="1"/>
      <c r="F348" s="43"/>
      <c r="G348" s="44"/>
      <c r="H348" s="45"/>
    </row>
    <row r="349" spans="1:8" x14ac:dyDescent="0.25">
      <c r="A349" s="1"/>
      <c r="F349" s="43"/>
      <c r="G349" s="44"/>
      <c r="H349" s="45"/>
    </row>
    <row r="350" spans="1:8" x14ac:dyDescent="0.25">
      <c r="A350" s="1"/>
      <c r="F350" s="43"/>
      <c r="G350" s="44"/>
      <c r="H350" s="45"/>
    </row>
    <row r="351" spans="1:8" x14ac:dyDescent="0.25">
      <c r="A351" s="1"/>
      <c r="F351" s="43"/>
      <c r="G351" s="44"/>
      <c r="H351" s="45"/>
    </row>
    <row r="352" spans="1:8" x14ac:dyDescent="0.25">
      <c r="A352" s="1"/>
      <c r="F352" s="43"/>
      <c r="G352" s="44"/>
      <c r="H352" s="45"/>
    </row>
    <row r="353" spans="1:8" x14ac:dyDescent="0.25">
      <c r="A353" s="1"/>
      <c r="F353" s="43"/>
      <c r="G353" s="44"/>
      <c r="H353" s="45"/>
    </row>
    <row r="354" spans="1:8" x14ac:dyDescent="0.25">
      <c r="A354" s="1"/>
      <c r="F354" s="43"/>
      <c r="G354" s="44"/>
      <c r="H354" s="45"/>
    </row>
    <row r="355" spans="1:8" x14ac:dyDescent="0.25">
      <c r="A355" s="1"/>
      <c r="F355" s="43"/>
      <c r="G355" s="44"/>
      <c r="H355" s="45"/>
    </row>
    <row r="356" spans="1:8" x14ac:dyDescent="0.25">
      <c r="A356" s="1"/>
      <c r="F356" s="43"/>
      <c r="G356" s="44"/>
      <c r="H356" s="45"/>
    </row>
    <row r="357" spans="1:8" x14ac:dyDescent="0.25">
      <c r="A357" s="1"/>
      <c r="B357" s="42"/>
      <c r="C357" s="43"/>
      <c r="D357" s="43"/>
      <c r="E357" s="43"/>
      <c r="F357" s="43"/>
      <c r="G357" s="44"/>
      <c r="H357" s="45"/>
    </row>
    <row r="358" spans="1:8" x14ac:dyDescent="0.25">
      <c r="A358" s="1"/>
      <c r="B358" s="42"/>
      <c r="C358" s="43"/>
      <c r="D358" s="43"/>
      <c r="E358" s="43"/>
      <c r="F358" s="43"/>
      <c r="G358" s="44"/>
      <c r="H358" s="45"/>
    </row>
    <row r="359" spans="1:8" x14ac:dyDescent="0.25">
      <c r="A359" s="1"/>
      <c r="B359" s="42"/>
      <c r="C359" s="43"/>
      <c r="D359" s="43"/>
      <c r="E359" s="43"/>
      <c r="F359" s="43"/>
      <c r="G359" s="44"/>
      <c r="H359" s="45"/>
    </row>
    <row r="360" spans="1:8" x14ac:dyDescent="0.25">
      <c r="A360" s="1"/>
      <c r="B360" s="42"/>
      <c r="C360" s="43"/>
      <c r="D360" s="43"/>
      <c r="E360" s="43"/>
      <c r="F360" s="50"/>
      <c r="G360" s="51"/>
      <c r="H360" s="1"/>
    </row>
    <row r="361" spans="1:8" x14ac:dyDescent="0.25">
      <c r="A361" s="1"/>
      <c r="B361" s="42"/>
      <c r="C361" s="43"/>
      <c r="D361" s="43"/>
      <c r="E361" s="43"/>
      <c r="F361" s="50"/>
      <c r="G361" s="51"/>
      <c r="H361" s="1"/>
    </row>
    <row r="362" spans="1:8" x14ac:dyDescent="0.25">
      <c r="A362" s="1"/>
      <c r="B362" s="42"/>
      <c r="C362" s="43"/>
      <c r="D362" s="43"/>
      <c r="E362" s="43"/>
      <c r="F362" s="50"/>
      <c r="G362" s="51"/>
      <c r="H362" s="1"/>
    </row>
    <row r="363" spans="1:8" x14ac:dyDescent="0.25">
      <c r="A363" s="1"/>
      <c r="B363" s="42"/>
      <c r="C363" s="43"/>
      <c r="D363" s="43"/>
      <c r="E363" s="43"/>
      <c r="F363" s="50"/>
      <c r="G363" s="51"/>
      <c r="H363" s="1"/>
    </row>
    <row r="364" spans="1:8" x14ac:dyDescent="0.25">
      <c r="A364" s="1"/>
      <c r="B364" s="42"/>
      <c r="C364" s="43"/>
      <c r="D364" s="43"/>
      <c r="E364" s="43"/>
      <c r="F364" s="50"/>
      <c r="G364" s="51"/>
      <c r="H364" s="1"/>
    </row>
    <row r="365" spans="1:8" x14ac:dyDescent="0.25">
      <c r="A365" s="1"/>
      <c r="B365" s="42"/>
      <c r="C365" s="43"/>
      <c r="D365" s="43"/>
      <c r="E365" s="43"/>
      <c r="F365" s="50"/>
      <c r="G365" s="51"/>
      <c r="H365" s="1"/>
    </row>
    <row r="366" spans="1:8" x14ac:dyDescent="0.25">
      <c r="A366" s="1"/>
      <c r="B366" s="42"/>
      <c r="C366" s="43"/>
      <c r="D366" s="43"/>
      <c r="E366" s="43"/>
      <c r="F366" s="50"/>
      <c r="G366" s="51"/>
      <c r="H366" s="1"/>
    </row>
    <row r="367" spans="1:8" x14ac:dyDescent="0.25">
      <c r="A367" s="1"/>
      <c r="B367" s="42"/>
      <c r="C367" s="43"/>
      <c r="D367" s="43"/>
      <c r="E367" s="43"/>
      <c r="F367" s="50"/>
      <c r="G367" s="51"/>
      <c r="H367" s="1"/>
    </row>
    <row r="368" spans="1:8" x14ac:dyDescent="0.25">
      <c r="A368" s="1"/>
      <c r="B368" s="42"/>
      <c r="C368" s="43"/>
      <c r="D368" s="43"/>
      <c r="E368" s="43"/>
      <c r="F368" s="50"/>
      <c r="G368" s="51"/>
      <c r="H368" s="1"/>
    </row>
    <row r="369" spans="1:8" x14ac:dyDescent="0.25">
      <c r="A369" s="1"/>
      <c r="B369" s="42"/>
      <c r="C369" s="43"/>
      <c r="D369" s="43"/>
      <c r="E369" s="43"/>
      <c r="F369" s="50"/>
      <c r="G369" s="51"/>
      <c r="H369" s="1"/>
    </row>
    <row r="370" spans="1:8" x14ac:dyDescent="0.25">
      <c r="A370" s="1"/>
      <c r="B370" s="42"/>
      <c r="C370" s="43"/>
      <c r="D370" s="43"/>
      <c r="E370" s="43"/>
      <c r="F370" s="50"/>
      <c r="G370" s="51"/>
      <c r="H370" s="1"/>
    </row>
    <row r="371" spans="1:8" x14ac:dyDescent="0.25">
      <c r="A371" s="1"/>
      <c r="B371" s="42"/>
      <c r="C371" s="43"/>
      <c r="D371" s="43"/>
      <c r="E371" s="43"/>
      <c r="F371" s="50"/>
      <c r="G371" s="51"/>
      <c r="H371" s="1"/>
    </row>
    <row r="372" spans="1:8" x14ac:dyDescent="0.25">
      <c r="A372" s="1"/>
      <c r="B372" s="42"/>
      <c r="C372" s="43"/>
      <c r="D372" s="43"/>
      <c r="E372" s="43"/>
      <c r="F372" s="50"/>
      <c r="G372" s="51"/>
      <c r="H372" s="1"/>
    </row>
    <row r="373" spans="1:8" x14ac:dyDescent="0.25">
      <c r="A373" s="1"/>
      <c r="B373" s="42"/>
      <c r="C373" s="43"/>
      <c r="D373" s="43"/>
      <c r="E373" s="43"/>
      <c r="F373" s="50"/>
      <c r="G373" s="51"/>
      <c r="H373" s="1"/>
    </row>
    <row r="374" spans="1:8" x14ac:dyDescent="0.25">
      <c r="A374" s="1"/>
      <c r="B374" s="42"/>
      <c r="C374" s="43"/>
      <c r="D374" s="43"/>
      <c r="E374" s="43"/>
      <c r="F374" s="50"/>
      <c r="G374" s="51"/>
      <c r="H374" s="1"/>
    </row>
    <row r="375" spans="1:8" x14ac:dyDescent="0.25">
      <c r="A375" s="1"/>
      <c r="B375" s="42"/>
      <c r="C375" s="43"/>
      <c r="D375" s="43"/>
      <c r="E375" s="43"/>
      <c r="F375" s="50"/>
      <c r="G375" s="51"/>
      <c r="H375" s="1"/>
    </row>
    <row r="376" spans="1:8" x14ac:dyDescent="0.25">
      <c r="A376" s="1"/>
      <c r="B376" s="42"/>
      <c r="C376" s="43"/>
      <c r="D376" s="43"/>
      <c r="E376" s="43"/>
      <c r="F376" s="50"/>
      <c r="G376" s="51"/>
      <c r="H376" s="1"/>
    </row>
    <row r="377" spans="1:8" x14ac:dyDescent="0.25">
      <c r="A377" s="1"/>
      <c r="B377" s="42"/>
      <c r="C377" s="43"/>
      <c r="D377" s="43"/>
      <c r="E377" s="43"/>
      <c r="F377" s="50"/>
      <c r="G377" s="51"/>
      <c r="H377" s="1"/>
    </row>
    <row r="378" spans="1:8" x14ac:dyDescent="0.25">
      <c r="A378" s="1"/>
      <c r="B378" s="42"/>
      <c r="C378" s="43"/>
      <c r="D378" s="43"/>
      <c r="E378" s="43"/>
      <c r="F378" s="50"/>
      <c r="G378" s="51"/>
      <c r="H378" s="1"/>
    </row>
    <row r="379" spans="1:8" x14ac:dyDescent="0.25">
      <c r="A379" s="1"/>
      <c r="B379" s="42"/>
      <c r="C379" s="43"/>
      <c r="D379" s="43"/>
      <c r="E379" s="43"/>
      <c r="F379" s="50"/>
      <c r="G379" s="51"/>
      <c r="H379" s="1"/>
    </row>
    <row r="380" spans="1:8" x14ac:dyDescent="0.25">
      <c r="A380" s="1"/>
      <c r="B380" s="42"/>
      <c r="C380" s="43"/>
      <c r="D380" s="43"/>
      <c r="E380" s="43"/>
      <c r="F380" s="50"/>
      <c r="G380" s="51"/>
      <c r="H380" s="1"/>
    </row>
    <row r="381" spans="1:8" x14ac:dyDescent="0.25">
      <c r="A381" s="1"/>
      <c r="B381" s="42"/>
      <c r="C381" s="43"/>
      <c r="D381" s="43"/>
      <c r="E381" s="43"/>
      <c r="F381" s="50"/>
      <c r="G381" s="51"/>
      <c r="H381" s="1"/>
    </row>
    <row r="382" spans="1:8" x14ac:dyDescent="0.25">
      <c r="A382" s="1"/>
      <c r="B382" s="42"/>
      <c r="C382" s="43"/>
      <c r="D382" s="43"/>
      <c r="E382" s="43"/>
      <c r="F382" s="50"/>
      <c r="G382" s="51"/>
      <c r="H382" s="1"/>
    </row>
    <row r="383" spans="1:8" x14ac:dyDescent="0.25">
      <c r="A383" s="1"/>
      <c r="B383" s="42"/>
      <c r="C383" s="43"/>
      <c r="D383" s="43"/>
      <c r="E383" s="43"/>
      <c r="F383" s="50"/>
      <c r="G383" s="51"/>
      <c r="H383" s="1"/>
    </row>
    <row r="384" spans="1:8" x14ac:dyDescent="0.25">
      <c r="A384" s="1"/>
      <c r="B384" s="42"/>
      <c r="C384" s="43"/>
      <c r="D384" s="43"/>
      <c r="E384" s="43"/>
      <c r="F384" s="50"/>
      <c r="G384" s="51"/>
      <c r="H384" s="1"/>
    </row>
    <row r="385" spans="1:8" x14ac:dyDescent="0.25">
      <c r="A385" s="1"/>
      <c r="B385" s="42"/>
      <c r="C385" s="43"/>
      <c r="D385" s="43"/>
      <c r="E385" s="43"/>
      <c r="F385" s="50"/>
      <c r="G385" s="51"/>
      <c r="H385" s="1"/>
    </row>
    <row r="386" spans="1:8" x14ac:dyDescent="0.25">
      <c r="A386" s="1"/>
      <c r="B386" s="42"/>
      <c r="C386" s="43"/>
      <c r="D386" s="43"/>
      <c r="E386" s="43"/>
      <c r="F386" s="50"/>
      <c r="G386" s="51"/>
      <c r="H386" s="1"/>
    </row>
    <row r="387" spans="1:8" x14ac:dyDescent="0.25">
      <c r="A387" s="1"/>
      <c r="B387" s="42"/>
      <c r="C387" s="43"/>
      <c r="D387" s="43"/>
      <c r="E387" s="43"/>
      <c r="F387" s="50"/>
      <c r="G387" s="51"/>
      <c r="H387" s="1"/>
    </row>
    <row r="388" spans="1:8" x14ac:dyDescent="0.25">
      <c r="A388" s="1"/>
      <c r="B388" s="42"/>
      <c r="C388" s="43"/>
      <c r="D388" s="43"/>
      <c r="E388" s="43"/>
      <c r="F388" s="50"/>
      <c r="G388" s="51"/>
      <c r="H388" s="1"/>
    </row>
    <row r="389" spans="1:8" x14ac:dyDescent="0.25">
      <c r="A389" s="1"/>
      <c r="B389" s="42"/>
      <c r="C389" s="43"/>
      <c r="D389" s="43"/>
      <c r="E389" s="43"/>
      <c r="F389" s="50"/>
      <c r="G389" s="51"/>
      <c r="H389" s="1"/>
    </row>
    <row r="390" spans="1:8" x14ac:dyDescent="0.25">
      <c r="A390" s="1"/>
      <c r="B390" s="42"/>
      <c r="C390" s="43"/>
      <c r="D390" s="43"/>
      <c r="E390" s="43"/>
      <c r="F390" s="50"/>
      <c r="G390" s="51"/>
      <c r="H390" s="1"/>
    </row>
    <row r="391" spans="1:8" x14ac:dyDescent="0.25">
      <c r="A391" s="1"/>
      <c r="B391" s="42"/>
      <c r="C391" s="43"/>
      <c r="D391" s="43"/>
      <c r="E391" s="43"/>
      <c r="F391" s="50"/>
      <c r="G391" s="51"/>
      <c r="H391" s="1"/>
    </row>
    <row r="392" spans="1:8" x14ac:dyDescent="0.25">
      <c r="A392" s="1"/>
      <c r="B392" s="42"/>
      <c r="C392" s="43"/>
      <c r="D392" s="43"/>
      <c r="E392" s="43"/>
      <c r="F392" s="50"/>
      <c r="G392" s="51"/>
      <c r="H392" s="1"/>
    </row>
    <row r="393" spans="1:8" x14ac:dyDescent="0.25">
      <c r="A393" s="1"/>
      <c r="B393" s="42"/>
      <c r="C393" s="43"/>
      <c r="D393" s="43"/>
      <c r="E393" s="43"/>
      <c r="F393" s="50"/>
      <c r="G393" s="51"/>
      <c r="H393" s="1"/>
    </row>
    <row r="394" spans="1:8" x14ac:dyDescent="0.25">
      <c r="A394" s="1"/>
      <c r="B394" s="42"/>
      <c r="C394" s="43"/>
      <c r="D394" s="43"/>
      <c r="E394" s="43"/>
      <c r="F394" s="50"/>
      <c r="G394" s="51"/>
      <c r="H394" s="1"/>
    </row>
    <row r="395" spans="1:8" x14ac:dyDescent="0.25">
      <c r="A395" s="1"/>
      <c r="B395" s="42"/>
      <c r="C395" s="43"/>
      <c r="D395" s="43"/>
      <c r="E395" s="43"/>
      <c r="F395" s="50"/>
      <c r="G395" s="51"/>
      <c r="H395" s="1"/>
    </row>
    <row r="396" spans="1:8" x14ac:dyDescent="0.25">
      <c r="A396" s="1"/>
      <c r="B396" s="42"/>
      <c r="C396" s="43"/>
      <c r="D396" s="43"/>
      <c r="E396" s="43"/>
      <c r="F396" s="50"/>
      <c r="G396" s="51"/>
      <c r="H396" s="1"/>
    </row>
    <row r="397" spans="1:8" x14ac:dyDescent="0.25">
      <c r="A397" s="1"/>
      <c r="B397" s="42"/>
      <c r="C397" s="43"/>
      <c r="D397" s="43"/>
      <c r="E397" s="43"/>
      <c r="F397" s="50"/>
      <c r="G397" s="51"/>
      <c r="H397" s="1"/>
    </row>
    <row r="398" spans="1:8" x14ac:dyDescent="0.25">
      <c r="A398" s="1"/>
      <c r="B398" s="42"/>
      <c r="C398" s="43"/>
      <c r="D398" s="43"/>
      <c r="E398" s="43"/>
      <c r="F398" s="50"/>
      <c r="G398" s="51"/>
      <c r="H398" s="1"/>
    </row>
    <row r="399" spans="1:8" x14ac:dyDescent="0.25">
      <c r="A399" s="1"/>
      <c r="B399" s="42"/>
      <c r="C399" s="43"/>
      <c r="D399" s="43"/>
      <c r="E399" s="43"/>
      <c r="F399" s="50"/>
      <c r="G399" s="51"/>
      <c r="H399" s="1"/>
    </row>
    <row r="400" spans="1:8" x14ac:dyDescent="0.25">
      <c r="A400" s="1"/>
      <c r="B400" s="42"/>
      <c r="C400" s="43"/>
      <c r="D400" s="43"/>
      <c r="E400" s="43"/>
      <c r="F400" s="50"/>
      <c r="G400" s="51"/>
      <c r="H400" s="1"/>
    </row>
    <row r="401" spans="1:8" x14ac:dyDescent="0.25">
      <c r="A401" s="1"/>
      <c r="B401" s="42"/>
      <c r="C401" s="43"/>
      <c r="D401" s="43"/>
      <c r="E401" s="43"/>
      <c r="F401" s="50"/>
      <c r="G401" s="51"/>
      <c r="H401" s="1"/>
    </row>
    <row r="402" spans="1:8" x14ac:dyDescent="0.25">
      <c r="A402" s="1"/>
      <c r="B402" s="42"/>
      <c r="C402" s="43"/>
      <c r="D402" s="43"/>
      <c r="E402" s="43"/>
      <c r="F402" s="50"/>
      <c r="G402" s="51"/>
      <c r="H402" s="1"/>
    </row>
    <row r="403" spans="1:8" x14ac:dyDescent="0.25">
      <c r="A403" s="1"/>
      <c r="B403" s="42"/>
      <c r="C403" s="43"/>
      <c r="D403" s="43"/>
      <c r="E403" s="43"/>
      <c r="F403" s="50"/>
      <c r="G403" s="51"/>
      <c r="H403" s="1"/>
    </row>
    <row r="404" spans="1:8" x14ac:dyDescent="0.25">
      <c r="A404" s="1"/>
      <c r="B404" s="42"/>
      <c r="C404" s="43"/>
      <c r="D404" s="43"/>
      <c r="E404" s="43"/>
      <c r="F404" s="50"/>
      <c r="G404" s="51"/>
      <c r="H404" s="1"/>
    </row>
    <row r="405" spans="1:8" x14ac:dyDescent="0.25">
      <c r="A405" s="1"/>
      <c r="B405" s="42"/>
      <c r="C405" s="43"/>
      <c r="D405" s="43"/>
      <c r="E405" s="43"/>
      <c r="F405" s="50"/>
      <c r="G405" s="51"/>
      <c r="H405" s="1"/>
    </row>
    <row r="406" spans="1:8" x14ac:dyDescent="0.25">
      <c r="A406" s="1"/>
      <c r="B406" s="42"/>
      <c r="C406" s="43"/>
      <c r="D406" s="43"/>
      <c r="E406" s="43"/>
      <c r="F406" s="50"/>
      <c r="G406" s="51"/>
      <c r="H406" s="1"/>
    </row>
    <row r="407" spans="1:8" x14ac:dyDescent="0.25">
      <c r="A407" s="1"/>
      <c r="B407" s="42"/>
      <c r="C407" s="43"/>
      <c r="D407" s="43"/>
      <c r="E407" s="43"/>
      <c r="F407" s="50"/>
      <c r="G407" s="51"/>
      <c r="H407" s="1"/>
    </row>
    <row r="408" spans="1:8" x14ac:dyDescent="0.25">
      <c r="A408" s="1"/>
      <c r="B408" s="42"/>
      <c r="C408" s="43"/>
      <c r="D408" s="43"/>
      <c r="E408" s="43"/>
      <c r="F408" s="50"/>
      <c r="G408" s="51"/>
      <c r="H408" s="1"/>
    </row>
    <row r="409" spans="1:8" x14ac:dyDescent="0.25">
      <c r="A409" s="1"/>
      <c r="B409" s="42"/>
      <c r="C409" s="43"/>
      <c r="D409" s="43"/>
      <c r="E409" s="43"/>
      <c r="F409" s="50"/>
      <c r="G409" s="51"/>
      <c r="H409" s="1"/>
    </row>
    <row r="410" spans="1:8" x14ac:dyDescent="0.25">
      <c r="A410" s="1"/>
      <c r="B410" s="42"/>
      <c r="C410" s="43"/>
      <c r="D410" s="43"/>
      <c r="E410" s="43"/>
      <c r="F410" s="50"/>
      <c r="G410" s="51"/>
      <c r="H410" s="1"/>
    </row>
    <row r="411" spans="1:8" x14ac:dyDescent="0.25">
      <c r="A411" s="1"/>
      <c r="B411" s="42"/>
      <c r="C411" s="43"/>
      <c r="D411" s="43"/>
      <c r="E411" s="43"/>
      <c r="F411" s="50"/>
      <c r="G411" s="51"/>
      <c r="H411" s="1"/>
    </row>
    <row r="412" spans="1:8" x14ac:dyDescent="0.25">
      <c r="A412" s="1"/>
      <c r="B412" s="42"/>
      <c r="C412" s="43"/>
      <c r="D412" s="43"/>
      <c r="E412" s="43"/>
      <c r="F412" s="50"/>
      <c r="G412" s="51"/>
      <c r="H412" s="1"/>
    </row>
    <row r="413" spans="1:8" x14ac:dyDescent="0.25">
      <c r="A413" s="1"/>
      <c r="B413" s="42"/>
      <c r="C413" s="43"/>
      <c r="D413" s="43"/>
      <c r="E413" s="43"/>
      <c r="F413" s="50"/>
      <c r="G413" s="51"/>
      <c r="H413" s="1"/>
    </row>
    <row r="414" spans="1:8" x14ac:dyDescent="0.25">
      <c r="A414" s="1"/>
      <c r="B414" s="42"/>
      <c r="C414" s="43"/>
      <c r="D414" s="43"/>
      <c r="E414" s="43"/>
      <c r="F414" s="50"/>
      <c r="G414" s="51"/>
      <c r="H414" s="1"/>
    </row>
    <row r="415" spans="1:8" x14ac:dyDescent="0.25">
      <c r="A415" s="1"/>
      <c r="B415" s="42"/>
      <c r="C415" s="43"/>
      <c r="D415" s="43"/>
      <c r="E415" s="43"/>
      <c r="F415" s="50"/>
      <c r="G415" s="51"/>
      <c r="H415" s="1"/>
    </row>
    <row r="416" spans="1:8" x14ac:dyDescent="0.25">
      <c r="A416" s="1"/>
      <c r="B416" s="42"/>
      <c r="C416" s="43"/>
      <c r="D416" s="43"/>
      <c r="E416" s="43"/>
      <c r="F416" s="50"/>
      <c r="G416" s="51"/>
      <c r="H416" s="1"/>
    </row>
    <row r="417" spans="1:8" x14ac:dyDescent="0.25">
      <c r="A417" s="1"/>
      <c r="B417" s="42"/>
      <c r="C417" s="43"/>
      <c r="D417" s="43"/>
      <c r="E417" s="43"/>
      <c r="F417" s="50"/>
      <c r="G417" s="51"/>
      <c r="H417" s="1"/>
    </row>
    <row r="418" spans="1:8" x14ac:dyDescent="0.25">
      <c r="A418" s="1"/>
      <c r="B418" s="42"/>
      <c r="C418" s="43"/>
      <c r="D418" s="43"/>
      <c r="E418" s="43"/>
      <c r="F418" s="50"/>
      <c r="G418" s="51"/>
      <c r="H418" s="1"/>
    </row>
    <row r="419" spans="1:8" x14ac:dyDescent="0.25">
      <c r="A419" s="1"/>
      <c r="B419" s="42"/>
      <c r="C419" s="43"/>
      <c r="D419" s="43"/>
      <c r="E419" s="43"/>
      <c r="F419" s="50"/>
      <c r="G419" s="51"/>
      <c r="H419" s="1"/>
    </row>
    <row r="420" spans="1:8" x14ac:dyDescent="0.25">
      <c r="A420" s="1"/>
      <c r="B420" s="42"/>
      <c r="C420" s="43"/>
      <c r="D420" s="43"/>
      <c r="E420" s="43"/>
      <c r="F420" s="50"/>
      <c r="G420" s="51"/>
      <c r="H420" s="1"/>
    </row>
    <row r="421" spans="1:8" x14ac:dyDescent="0.25">
      <c r="A421" s="1"/>
      <c r="B421" s="42"/>
      <c r="C421" s="43"/>
      <c r="D421" s="43"/>
      <c r="E421" s="43"/>
      <c r="F421" s="50"/>
      <c r="G421" s="51"/>
      <c r="H421" s="1"/>
    </row>
    <row r="422" spans="1:8" x14ac:dyDescent="0.25">
      <c r="A422" s="1"/>
      <c r="B422" s="42"/>
      <c r="C422" s="43"/>
      <c r="D422" s="43"/>
      <c r="E422" s="43"/>
      <c r="F422" s="50"/>
      <c r="G422" s="51"/>
      <c r="H422" s="1"/>
    </row>
    <row r="423" spans="1:8" x14ac:dyDescent="0.25">
      <c r="A423" s="1"/>
      <c r="B423" s="42"/>
      <c r="C423" s="43"/>
      <c r="D423" s="43"/>
      <c r="E423" s="43"/>
      <c r="F423" s="50"/>
      <c r="G423" s="51"/>
      <c r="H423" s="1"/>
    </row>
    <row r="424" spans="1:8" x14ac:dyDescent="0.25">
      <c r="A424" s="1"/>
      <c r="B424" s="42"/>
      <c r="C424" s="43"/>
      <c r="D424" s="43"/>
      <c r="E424" s="43"/>
      <c r="F424" s="50"/>
      <c r="G424" s="51"/>
      <c r="H424" s="1"/>
    </row>
    <row r="425" spans="1:8" x14ac:dyDescent="0.25">
      <c r="A425" s="1"/>
      <c r="B425" s="42"/>
      <c r="C425" s="43"/>
      <c r="D425" s="43"/>
      <c r="E425" s="43"/>
      <c r="F425" s="50"/>
      <c r="G425" s="51"/>
      <c r="H425" s="1"/>
    </row>
    <row r="426" spans="1:8" x14ac:dyDescent="0.25">
      <c r="A426" s="1"/>
      <c r="B426" s="42"/>
      <c r="C426" s="43"/>
      <c r="D426" s="43"/>
      <c r="E426" s="43"/>
      <c r="F426" s="50"/>
      <c r="G426" s="51"/>
      <c r="H426" s="1"/>
    </row>
    <row r="427" spans="1:8" x14ac:dyDescent="0.25">
      <c r="A427" s="1"/>
      <c r="B427" s="42"/>
      <c r="C427" s="43"/>
      <c r="D427" s="43"/>
      <c r="E427" s="43"/>
      <c r="F427" s="50"/>
      <c r="G427" s="51"/>
      <c r="H427" s="1"/>
    </row>
    <row r="428" spans="1:8" x14ac:dyDescent="0.25">
      <c r="A428" s="1"/>
      <c r="B428" s="42"/>
      <c r="C428" s="43"/>
      <c r="D428" s="43"/>
      <c r="E428" s="43"/>
      <c r="F428" s="50"/>
      <c r="G428" s="51"/>
      <c r="H428" s="1"/>
    </row>
    <row r="429" spans="1:8" x14ac:dyDescent="0.25">
      <c r="A429" s="1"/>
      <c r="B429" s="42"/>
      <c r="C429" s="43"/>
      <c r="D429" s="43"/>
      <c r="E429" s="43"/>
      <c r="F429" s="50"/>
      <c r="G429" s="51"/>
      <c r="H429" s="1"/>
    </row>
    <row r="430" spans="1:8" x14ac:dyDescent="0.25">
      <c r="A430" s="1"/>
      <c r="B430" s="42"/>
      <c r="C430" s="43"/>
      <c r="D430" s="43"/>
      <c r="E430" s="43"/>
      <c r="F430" s="50"/>
      <c r="G430" s="51"/>
      <c r="H430" s="1"/>
    </row>
    <row r="431" spans="1:8" x14ac:dyDescent="0.25">
      <c r="A431" s="1"/>
      <c r="B431" s="42"/>
      <c r="C431" s="43"/>
      <c r="D431" s="43"/>
      <c r="E431" s="43"/>
      <c r="F431" s="50"/>
      <c r="G431" s="51"/>
      <c r="H431" s="1"/>
    </row>
    <row r="432" spans="1:8" x14ac:dyDescent="0.25">
      <c r="A432" s="1"/>
      <c r="B432" s="42"/>
      <c r="C432" s="43"/>
      <c r="D432" s="43"/>
      <c r="E432" s="43"/>
      <c r="F432" s="50"/>
      <c r="G432" s="51"/>
      <c r="H432" s="1"/>
    </row>
    <row r="433" spans="1:8" x14ac:dyDescent="0.25">
      <c r="A433" s="1"/>
      <c r="B433" s="42"/>
      <c r="C433" s="43"/>
      <c r="D433" s="43"/>
      <c r="E433" s="43"/>
      <c r="F433" s="50"/>
      <c r="G433" s="51"/>
      <c r="H433" s="1"/>
    </row>
    <row r="434" spans="1:8" x14ac:dyDescent="0.25">
      <c r="A434" s="1"/>
      <c r="B434" s="42"/>
      <c r="C434" s="43"/>
      <c r="D434" s="43"/>
      <c r="E434" s="43"/>
      <c r="F434" s="50"/>
      <c r="G434" s="51"/>
      <c r="H434" s="1"/>
    </row>
    <row r="435" spans="1:8" x14ac:dyDescent="0.25">
      <c r="A435" s="1"/>
      <c r="B435" s="42"/>
      <c r="C435" s="43"/>
      <c r="D435" s="43"/>
      <c r="E435" s="43"/>
      <c r="F435" s="50"/>
      <c r="G435" s="51"/>
      <c r="H435" s="1"/>
    </row>
    <row r="436" spans="1:8" x14ac:dyDescent="0.25">
      <c r="A436" s="1"/>
      <c r="B436" s="42"/>
      <c r="C436" s="43"/>
      <c r="D436" s="43"/>
      <c r="E436" s="43"/>
      <c r="F436" s="50"/>
      <c r="G436" s="51"/>
      <c r="H436" s="1"/>
    </row>
    <row r="437" spans="1:8" x14ac:dyDescent="0.25">
      <c r="A437" s="1"/>
      <c r="B437" s="42"/>
      <c r="C437" s="43"/>
      <c r="D437" s="43"/>
      <c r="E437" s="43"/>
      <c r="F437" s="50"/>
      <c r="G437" s="51"/>
      <c r="H437" s="1"/>
    </row>
    <row r="438" spans="1:8" x14ac:dyDescent="0.25">
      <c r="A438" s="1"/>
      <c r="B438" s="42"/>
      <c r="C438" s="43"/>
      <c r="D438" s="43"/>
      <c r="E438" s="43"/>
      <c r="F438" s="50"/>
      <c r="G438" s="51"/>
      <c r="H438" s="1"/>
    </row>
    <row r="439" spans="1:8" x14ac:dyDescent="0.25">
      <c r="A439" s="1"/>
      <c r="B439" s="42"/>
      <c r="C439" s="43"/>
      <c r="D439" s="43"/>
      <c r="E439" s="43"/>
      <c r="F439" s="50"/>
      <c r="G439" s="51"/>
      <c r="H439" s="1"/>
    </row>
    <row r="440" spans="1:8" x14ac:dyDescent="0.25">
      <c r="A440" s="1"/>
      <c r="B440" s="42"/>
      <c r="C440" s="43"/>
      <c r="D440" s="43"/>
      <c r="E440" s="43"/>
      <c r="F440" s="50"/>
      <c r="G440" s="51"/>
      <c r="H440" s="1"/>
    </row>
    <row r="441" spans="1:8" x14ac:dyDescent="0.25">
      <c r="A441" s="1"/>
      <c r="B441" s="42"/>
      <c r="C441" s="43"/>
      <c r="D441" s="43"/>
      <c r="E441" s="43"/>
      <c r="F441" s="50"/>
      <c r="G441" s="51"/>
      <c r="H441" s="1"/>
    </row>
    <row r="442" spans="1:8" x14ac:dyDescent="0.25">
      <c r="A442" s="1"/>
      <c r="B442" s="42"/>
      <c r="C442" s="43"/>
      <c r="D442" s="43"/>
      <c r="E442" s="43"/>
      <c r="F442" s="50"/>
      <c r="G442" s="51"/>
      <c r="H442" s="1"/>
    </row>
    <row r="443" spans="1:8" x14ac:dyDescent="0.25">
      <c r="A443" s="1"/>
      <c r="B443" s="42"/>
      <c r="C443" s="43"/>
      <c r="D443" s="43"/>
      <c r="E443" s="43"/>
      <c r="F443" s="50"/>
      <c r="G443" s="51"/>
      <c r="H443" s="1"/>
    </row>
    <row r="444" spans="1:8" x14ac:dyDescent="0.25">
      <c r="A444" s="1"/>
      <c r="B444" s="42"/>
      <c r="C444" s="49"/>
      <c r="D444" s="52"/>
      <c r="E444" s="49"/>
      <c r="F444" s="50"/>
      <c r="G444" s="51"/>
      <c r="H444" s="1"/>
    </row>
    <row r="445" spans="1:8" x14ac:dyDescent="0.25">
      <c r="A445" s="1"/>
      <c r="B445" s="42"/>
      <c r="C445" s="49"/>
      <c r="D445" s="52"/>
      <c r="E445" s="49"/>
      <c r="F445" s="50"/>
      <c r="G445" s="51"/>
      <c r="H445" s="1"/>
    </row>
    <row r="446" spans="1:8" x14ac:dyDescent="0.25">
      <c r="A446" s="1"/>
      <c r="B446" s="42"/>
      <c r="C446" s="49"/>
      <c r="D446" s="52"/>
      <c r="E446" s="49"/>
      <c r="F446" s="50"/>
      <c r="G446" s="51"/>
      <c r="H446" s="1"/>
    </row>
    <row r="447" spans="1:8" x14ac:dyDescent="0.25">
      <c r="A447" s="1"/>
      <c r="B447" s="42"/>
      <c r="C447" s="49"/>
      <c r="D447" s="52"/>
      <c r="E447" s="49"/>
      <c r="F447" s="50"/>
      <c r="G447" s="51"/>
      <c r="H447" s="1"/>
    </row>
    <row r="448" spans="1:8" x14ac:dyDescent="0.25">
      <c r="A448" s="1"/>
      <c r="B448" s="42"/>
      <c r="C448" s="49"/>
      <c r="D448" s="52"/>
      <c r="E448" s="49"/>
      <c r="F448" s="50"/>
      <c r="G448" s="51"/>
      <c r="H448" s="1"/>
    </row>
    <row r="449" spans="1:8" x14ac:dyDescent="0.25">
      <c r="A449" s="1"/>
      <c r="B449" s="42"/>
      <c r="C449" s="49"/>
      <c r="D449" s="52"/>
      <c r="E449" s="49"/>
      <c r="F449" s="50"/>
      <c r="G449" s="51"/>
      <c r="H449" s="1"/>
    </row>
    <row r="450" spans="1:8" x14ac:dyDescent="0.25">
      <c r="A450" s="1"/>
      <c r="B450" s="42"/>
      <c r="C450" s="49"/>
      <c r="D450" s="52"/>
      <c r="E450" s="49"/>
      <c r="F450" s="50"/>
      <c r="G450" s="51"/>
      <c r="H450" s="1"/>
    </row>
    <row r="451" spans="1:8" x14ac:dyDescent="0.25">
      <c r="A451" s="1"/>
      <c r="B451" s="42"/>
      <c r="C451" s="49"/>
      <c r="D451" s="52"/>
      <c r="E451" s="49"/>
      <c r="F451" s="50"/>
      <c r="G451" s="51"/>
      <c r="H451" s="1"/>
    </row>
    <row r="452" spans="1:8" x14ac:dyDescent="0.25">
      <c r="A452" s="1"/>
      <c r="B452" s="42"/>
      <c r="C452" s="49"/>
      <c r="D452" s="52"/>
      <c r="E452" s="49"/>
      <c r="F452" s="50"/>
      <c r="G452" s="51"/>
      <c r="H452" s="1"/>
    </row>
    <row r="453" spans="1:8" x14ac:dyDescent="0.25">
      <c r="A453" s="1"/>
      <c r="B453" s="42"/>
      <c r="C453" s="49"/>
      <c r="D453" s="52"/>
      <c r="E453" s="49"/>
      <c r="F453" s="50"/>
      <c r="G453" s="51"/>
      <c r="H453" s="1"/>
    </row>
    <row r="454" spans="1:8" x14ac:dyDescent="0.25">
      <c r="A454" s="1"/>
      <c r="B454" s="42"/>
      <c r="C454" s="49"/>
      <c r="D454" s="52"/>
      <c r="E454" s="49"/>
      <c r="F454" s="50"/>
      <c r="G454" s="51"/>
      <c r="H454" s="1"/>
    </row>
    <row r="455" spans="1:8" x14ac:dyDescent="0.25">
      <c r="A455" s="1"/>
      <c r="B455" s="42"/>
      <c r="C455" s="49"/>
      <c r="D455" s="52"/>
      <c r="E455" s="49"/>
      <c r="F455" s="50"/>
      <c r="G455" s="51"/>
      <c r="H455" s="1"/>
    </row>
    <row r="456" spans="1:8" x14ac:dyDescent="0.25">
      <c r="A456" s="1"/>
      <c r="B456" s="42"/>
      <c r="C456" s="49"/>
      <c r="D456" s="52"/>
      <c r="E456" s="49"/>
      <c r="F456" s="50"/>
      <c r="G456" s="51"/>
      <c r="H456" s="1"/>
    </row>
    <row r="457" spans="1:8" x14ac:dyDescent="0.25">
      <c r="A457" s="1"/>
      <c r="B457" s="42"/>
      <c r="C457" s="49"/>
      <c r="D457" s="52"/>
      <c r="E457" s="49"/>
      <c r="F457" s="50"/>
      <c r="G457" s="51"/>
      <c r="H457" s="1"/>
    </row>
    <row r="458" spans="1:8" x14ac:dyDescent="0.25">
      <c r="A458" s="1"/>
      <c r="B458" s="42"/>
      <c r="C458" s="49"/>
      <c r="D458" s="52"/>
      <c r="E458" s="49"/>
      <c r="F458" s="50"/>
      <c r="G458" s="51"/>
      <c r="H458" s="1"/>
    </row>
    <row r="459" spans="1:8" x14ac:dyDescent="0.25">
      <c r="A459" s="1"/>
      <c r="B459" s="42"/>
      <c r="C459" s="49"/>
      <c r="D459" s="52"/>
      <c r="E459" s="49"/>
      <c r="F459" s="50"/>
      <c r="G459" s="51"/>
      <c r="H459" s="1"/>
    </row>
    <row r="460" spans="1:8" x14ac:dyDescent="0.25">
      <c r="A460" s="1"/>
      <c r="B460" s="42"/>
      <c r="C460" s="49"/>
      <c r="D460" s="52"/>
      <c r="E460" s="49"/>
      <c r="F460" s="50"/>
      <c r="G460" s="51"/>
      <c r="H460" s="1"/>
    </row>
    <row r="461" spans="1:8" x14ac:dyDescent="0.25">
      <c r="A461" s="1"/>
      <c r="B461" s="42"/>
      <c r="C461" s="49"/>
      <c r="D461" s="52"/>
      <c r="E461" s="49"/>
      <c r="F461" s="50"/>
      <c r="G461" s="51"/>
      <c r="H461" s="1"/>
    </row>
    <row r="462" spans="1:8" x14ac:dyDescent="0.25">
      <c r="A462" s="1"/>
      <c r="B462" s="42"/>
      <c r="C462" s="49"/>
      <c r="D462" s="52"/>
      <c r="E462" s="49"/>
      <c r="F462" s="50"/>
      <c r="G462" s="51"/>
      <c r="H462" s="1"/>
    </row>
    <row r="463" spans="1:8" x14ac:dyDescent="0.25">
      <c r="A463" s="1"/>
      <c r="B463" s="42"/>
      <c r="C463" s="49"/>
      <c r="D463" s="52"/>
      <c r="E463" s="49"/>
      <c r="F463" s="50"/>
      <c r="G463" s="51"/>
      <c r="H463" s="1"/>
    </row>
    <row r="464" spans="1:8" x14ac:dyDescent="0.25">
      <c r="A464" s="1"/>
      <c r="B464" s="42"/>
      <c r="C464" s="49"/>
      <c r="D464" s="52"/>
      <c r="E464" s="49"/>
      <c r="F464" s="50"/>
      <c r="G464" s="51"/>
      <c r="H464" s="1"/>
    </row>
    <row r="465" spans="1:8" x14ac:dyDescent="0.25">
      <c r="A465" s="1"/>
      <c r="B465" s="42"/>
      <c r="C465" s="49"/>
      <c r="D465" s="52"/>
      <c r="E465" s="49"/>
      <c r="F465" s="50"/>
      <c r="G465" s="51"/>
      <c r="H465" s="1"/>
    </row>
    <row r="466" spans="1:8" x14ac:dyDescent="0.25">
      <c r="A466" s="1"/>
      <c r="B466" s="42"/>
      <c r="C466" s="49"/>
      <c r="D466" s="52"/>
      <c r="E466" s="49"/>
      <c r="F466" s="50"/>
      <c r="G466" s="51"/>
      <c r="H466" s="1"/>
    </row>
    <row r="467" spans="1:8" x14ac:dyDescent="0.25">
      <c r="A467" s="1"/>
      <c r="B467" s="42"/>
      <c r="C467" s="49"/>
      <c r="D467" s="52"/>
      <c r="E467" s="49"/>
      <c r="F467" s="50"/>
      <c r="G467" s="51"/>
      <c r="H467" s="1"/>
    </row>
    <row r="468" spans="1:8" x14ac:dyDescent="0.25">
      <c r="A468" s="1"/>
      <c r="B468" s="42"/>
      <c r="C468" s="49"/>
      <c r="D468" s="52"/>
      <c r="E468" s="49"/>
      <c r="F468" s="50"/>
      <c r="G468" s="51"/>
      <c r="H468" s="1"/>
    </row>
    <row r="469" spans="1:8" x14ac:dyDescent="0.25">
      <c r="A469" s="1"/>
      <c r="B469" s="42"/>
      <c r="C469" s="49"/>
      <c r="D469" s="52"/>
      <c r="E469" s="49"/>
      <c r="F469" s="50"/>
      <c r="G469" s="51"/>
      <c r="H469" s="1"/>
    </row>
    <row r="470" spans="1:8" x14ac:dyDescent="0.25">
      <c r="A470" s="1"/>
      <c r="B470" s="42"/>
      <c r="C470" s="49"/>
      <c r="D470" s="52"/>
      <c r="E470" s="49"/>
      <c r="F470" s="50"/>
      <c r="G470" s="51"/>
      <c r="H470" s="1"/>
    </row>
    <row r="471" spans="1:8" x14ac:dyDescent="0.25">
      <c r="A471" s="1"/>
      <c r="B471" s="42"/>
      <c r="C471" s="49"/>
      <c r="D471" s="52"/>
      <c r="E471" s="49"/>
      <c r="F471" s="50"/>
      <c r="G471" s="51"/>
      <c r="H471" s="1"/>
    </row>
    <row r="472" spans="1:8" x14ac:dyDescent="0.25">
      <c r="A472" s="1"/>
      <c r="B472" s="42"/>
      <c r="C472" s="49"/>
      <c r="D472" s="52"/>
      <c r="E472" s="49"/>
      <c r="F472" s="50"/>
      <c r="G472" s="51"/>
      <c r="H472" s="1"/>
    </row>
    <row r="473" spans="1:8" x14ac:dyDescent="0.25">
      <c r="A473" s="1"/>
      <c r="B473" s="42"/>
      <c r="C473" s="49"/>
      <c r="D473" s="52"/>
      <c r="E473" s="49"/>
      <c r="F473" s="50"/>
      <c r="G473" s="51"/>
      <c r="H473" s="1"/>
    </row>
    <row r="474" spans="1:8" x14ac:dyDescent="0.25">
      <c r="A474" s="1"/>
      <c r="B474" s="42"/>
      <c r="C474" s="49"/>
      <c r="D474" s="52"/>
      <c r="E474" s="49"/>
      <c r="F474" s="50"/>
      <c r="G474" s="51"/>
      <c r="H474" s="1"/>
    </row>
    <row r="475" spans="1:8" x14ac:dyDescent="0.25">
      <c r="A475" s="1"/>
      <c r="B475" s="42"/>
      <c r="C475" s="49"/>
      <c r="D475" s="52"/>
      <c r="E475" s="49"/>
      <c r="F475" s="50"/>
      <c r="G475" s="51"/>
      <c r="H475" s="1"/>
    </row>
    <row r="476" spans="1:8" x14ac:dyDescent="0.25">
      <c r="A476" s="1"/>
      <c r="B476" s="42"/>
      <c r="C476" s="49"/>
      <c r="D476" s="52"/>
      <c r="E476" s="49"/>
      <c r="F476" s="50"/>
      <c r="G476" s="51"/>
      <c r="H476" s="1"/>
    </row>
    <row r="477" spans="1:8" x14ac:dyDescent="0.25">
      <c r="A477" s="1"/>
      <c r="B477" s="42"/>
      <c r="C477" s="49"/>
      <c r="D477" s="52"/>
      <c r="E477" s="49"/>
      <c r="F477" s="50"/>
      <c r="G477" s="51"/>
      <c r="H477" s="1"/>
    </row>
  </sheetData>
  <conditionalFormatting sqref="G11">
    <cfRule type="expression" dxfId="1" priority="1" stopIfTrue="1">
      <formula>$G$10=FALSE</formula>
    </cfRule>
  </conditionalFormatting>
  <dataValidations count="1">
    <dataValidation type="list" allowBlank="1" showInputMessage="1" showErrorMessage="1" sqref="G10 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G65546 JC65546 SY65546 ACU65546 AMQ65546 AWM65546 BGI65546 BQE65546 CAA65546 CJW65546 CTS65546 DDO65546 DNK65546 DXG65546 EHC65546 EQY65546 FAU65546 FKQ65546 FUM65546 GEI65546 GOE65546 GYA65546 HHW65546 HRS65546 IBO65546 ILK65546 IVG65546 JFC65546 JOY65546 JYU65546 KIQ65546 KSM65546 LCI65546 LME65546 LWA65546 MFW65546 MPS65546 MZO65546 NJK65546 NTG65546 ODC65546 OMY65546 OWU65546 PGQ65546 PQM65546 QAI65546 QKE65546 QUA65546 RDW65546 RNS65546 RXO65546 SHK65546 SRG65546 TBC65546 TKY65546 TUU65546 UEQ65546 UOM65546 UYI65546 VIE65546 VSA65546 WBW65546 WLS65546 WVO65546 G131082 JC131082 SY131082 ACU131082 AMQ131082 AWM131082 BGI131082 BQE131082 CAA131082 CJW131082 CTS131082 DDO131082 DNK131082 DXG131082 EHC131082 EQY131082 FAU131082 FKQ131082 FUM131082 GEI131082 GOE131082 GYA131082 HHW131082 HRS131082 IBO131082 ILK131082 IVG131082 JFC131082 JOY131082 JYU131082 KIQ131082 KSM131082 LCI131082 LME131082 LWA131082 MFW131082 MPS131082 MZO131082 NJK131082 NTG131082 ODC131082 OMY131082 OWU131082 PGQ131082 PQM131082 QAI131082 QKE131082 QUA131082 RDW131082 RNS131082 RXO131082 SHK131082 SRG131082 TBC131082 TKY131082 TUU131082 UEQ131082 UOM131082 UYI131082 VIE131082 VSA131082 WBW131082 WLS131082 WVO131082 G196618 JC196618 SY196618 ACU196618 AMQ196618 AWM196618 BGI196618 BQE196618 CAA196618 CJW196618 CTS196618 DDO196618 DNK196618 DXG196618 EHC196618 EQY196618 FAU196618 FKQ196618 FUM196618 GEI196618 GOE196618 GYA196618 HHW196618 HRS196618 IBO196618 ILK196618 IVG196618 JFC196618 JOY196618 JYU196618 KIQ196618 KSM196618 LCI196618 LME196618 LWA196618 MFW196618 MPS196618 MZO196618 NJK196618 NTG196618 ODC196618 OMY196618 OWU196618 PGQ196618 PQM196618 QAI196618 QKE196618 QUA196618 RDW196618 RNS196618 RXO196618 SHK196618 SRG196618 TBC196618 TKY196618 TUU196618 UEQ196618 UOM196618 UYI196618 VIE196618 VSA196618 WBW196618 WLS196618 WVO196618 G262154 JC262154 SY262154 ACU262154 AMQ262154 AWM262154 BGI262154 BQE262154 CAA262154 CJW262154 CTS262154 DDO262154 DNK262154 DXG262154 EHC262154 EQY262154 FAU262154 FKQ262154 FUM262154 GEI262154 GOE262154 GYA262154 HHW262154 HRS262154 IBO262154 ILK262154 IVG262154 JFC262154 JOY262154 JYU262154 KIQ262154 KSM262154 LCI262154 LME262154 LWA262154 MFW262154 MPS262154 MZO262154 NJK262154 NTG262154 ODC262154 OMY262154 OWU262154 PGQ262154 PQM262154 QAI262154 QKE262154 QUA262154 RDW262154 RNS262154 RXO262154 SHK262154 SRG262154 TBC262154 TKY262154 TUU262154 UEQ262154 UOM262154 UYI262154 VIE262154 VSA262154 WBW262154 WLS262154 WVO262154 G327690 JC327690 SY327690 ACU327690 AMQ327690 AWM327690 BGI327690 BQE327690 CAA327690 CJW327690 CTS327690 DDO327690 DNK327690 DXG327690 EHC327690 EQY327690 FAU327690 FKQ327690 FUM327690 GEI327690 GOE327690 GYA327690 HHW327690 HRS327690 IBO327690 ILK327690 IVG327690 JFC327690 JOY327690 JYU327690 KIQ327690 KSM327690 LCI327690 LME327690 LWA327690 MFW327690 MPS327690 MZO327690 NJK327690 NTG327690 ODC327690 OMY327690 OWU327690 PGQ327690 PQM327690 QAI327690 QKE327690 QUA327690 RDW327690 RNS327690 RXO327690 SHK327690 SRG327690 TBC327690 TKY327690 TUU327690 UEQ327690 UOM327690 UYI327690 VIE327690 VSA327690 WBW327690 WLS327690 WVO327690 G393226 JC393226 SY393226 ACU393226 AMQ393226 AWM393226 BGI393226 BQE393226 CAA393226 CJW393226 CTS393226 DDO393226 DNK393226 DXG393226 EHC393226 EQY393226 FAU393226 FKQ393226 FUM393226 GEI393226 GOE393226 GYA393226 HHW393226 HRS393226 IBO393226 ILK393226 IVG393226 JFC393226 JOY393226 JYU393226 KIQ393226 KSM393226 LCI393226 LME393226 LWA393226 MFW393226 MPS393226 MZO393226 NJK393226 NTG393226 ODC393226 OMY393226 OWU393226 PGQ393226 PQM393226 QAI393226 QKE393226 QUA393226 RDW393226 RNS393226 RXO393226 SHK393226 SRG393226 TBC393226 TKY393226 TUU393226 UEQ393226 UOM393226 UYI393226 VIE393226 VSA393226 WBW393226 WLS393226 WVO393226 G458762 JC458762 SY458762 ACU458762 AMQ458762 AWM458762 BGI458762 BQE458762 CAA458762 CJW458762 CTS458762 DDO458762 DNK458762 DXG458762 EHC458762 EQY458762 FAU458762 FKQ458762 FUM458762 GEI458762 GOE458762 GYA458762 HHW458762 HRS458762 IBO458762 ILK458762 IVG458762 JFC458762 JOY458762 JYU458762 KIQ458762 KSM458762 LCI458762 LME458762 LWA458762 MFW458762 MPS458762 MZO458762 NJK458762 NTG458762 ODC458762 OMY458762 OWU458762 PGQ458762 PQM458762 QAI458762 QKE458762 QUA458762 RDW458762 RNS458762 RXO458762 SHK458762 SRG458762 TBC458762 TKY458762 TUU458762 UEQ458762 UOM458762 UYI458762 VIE458762 VSA458762 WBW458762 WLS458762 WVO458762 G524298 JC524298 SY524298 ACU524298 AMQ524298 AWM524298 BGI524298 BQE524298 CAA524298 CJW524298 CTS524298 DDO524298 DNK524298 DXG524298 EHC524298 EQY524298 FAU524298 FKQ524298 FUM524298 GEI524298 GOE524298 GYA524298 HHW524298 HRS524298 IBO524298 ILK524298 IVG524298 JFC524298 JOY524298 JYU524298 KIQ524298 KSM524298 LCI524298 LME524298 LWA524298 MFW524298 MPS524298 MZO524298 NJK524298 NTG524298 ODC524298 OMY524298 OWU524298 PGQ524298 PQM524298 QAI524298 QKE524298 QUA524298 RDW524298 RNS524298 RXO524298 SHK524298 SRG524298 TBC524298 TKY524298 TUU524298 UEQ524298 UOM524298 UYI524298 VIE524298 VSA524298 WBW524298 WLS524298 WVO524298 G589834 JC589834 SY589834 ACU589834 AMQ589834 AWM589834 BGI589834 BQE589834 CAA589834 CJW589834 CTS589834 DDO589834 DNK589834 DXG589834 EHC589834 EQY589834 FAU589834 FKQ589834 FUM589834 GEI589834 GOE589834 GYA589834 HHW589834 HRS589834 IBO589834 ILK589834 IVG589834 JFC589834 JOY589834 JYU589834 KIQ589834 KSM589834 LCI589834 LME589834 LWA589834 MFW589834 MPS589834 MZO589834 NJK589834 NTG589834 ODC589834 OMY589834 OWU589834 PGQ589834 PQM589834 QAI589834 QKE589834 QUA589834 RDW589834 RNS589834 RXO589834 SHK589834 SRG589834 TBC589834 TKY589834 TUU589834 UEQ589834 UOM589834 UYI589834 VIE589834 VSA589834 WBW589834 WLS589834 WVO589834 G655370 JC655370 SY655370 ACU655370 AMQ655370 AWM655370 BGI655370 BQE655370 CAA655370 CJW655370 CTS655370 DDO655370 DNK655370 DXG655370 EHC655370 EQY655370 FAU655370 FKQ655370 FUM655370 GEI655370 GOE655370 GYA655370 HHW655370 HRS655370 IBO655370 ILK655370 IVG655370 JFC655370 JOY655370 JYU655370 KIQ655370 KSM655370 LCI655370 LME655370 LWA655370 MFW655370 MPS655370 MZO655370 NJK655370 NTG655370 ODC655370 OMY655370 OWU655370 PGQ655370 PQM655370 QAI655370 QKE655370 QUA655370 RDW655370 RNS655370 RXO655370 SHK655370 SRG655370 TBC655370 TKY655370 TUU655370 UEQ655370 UOM655370 UYI655370 VIE655370 VSA655370 WBW655370 WLS655370 WVO655370 G720906 JC720906 SY720906 ACU720906 AMQ720906 AWM720906 BGI720906 BQE720906 CAA720906 CJW720906 CTS720906 DDO720906 DNK720906 DXG720906 EHC720906 EQY720906 FAU720906 FKQ720906 FUM720906 GEI720906 GOE720906 GYA720906 HHW720906 HRS720906 IBO720906 ILK720906 IVG720906 JFC720906 JOY720906 JYU720906 KIQ720906 KSM720906 LCI720906 LME720906 LWA720906 MFW720906 MPS720906 MZO720906 NJK720906 NTG720906 ODC720906 OMY720906 OWU720906 PGQ720906 PQM720906 QAI720906 QKE720906 QUA720906 RDW720906 RNS720906 RXO720906 SHK720906 SRG720906 TBC720906 TKY720906 TUU720906 UEQ720906 UOM720906 UYI720906 VIE720906 VSA720906 WBW720906 WLS720906 WVO720906 G786442 JC786442 SY786442 ACU786442 AMQ786442 AWM786442 BGI786442 BQE786442 CAA786442 CJW786442 CTS786442 DDO786442 DNK786442 DXG786442 EHC786442 EQY786442 FAU786442 FKQ786442 FUM786442 GEI786442 GOE786442 GYA786442 HHW786442 HRS786442 IBO786442 ILK786442 IVG786442 JFC786442 JOY786442 JYU786442 KIQ786442 KSM786442 LCI786442 LME786442 LWA786442 MFW786442 MPS786442 MZO786442 NJK786442 NTG786442 ODC786442 OMY786442 OWU786442 PGQ786442 PQM786442 QAI786442 QKE786442 QUA786442 RDW786442 RNS786442 RXO786442 SHK786442 SRG786442 TBC786442 TKY786442 TUU786442 UEQ786442 UOM786442 UYI786442 VIE786442 VSA786442 WBW786442 WLS786442 WVO786442 G851978 JC851978 SY851978 ACU851978 AMQ851978 AWM851978 BGI851978 BQE851978 CAA851978 CJW851978 CTS851978 DDO851978 DNK851978 DXG851978 EHC851978 EQY851978 FAU851978 FKQ851978 FUM851978 GEI851978 GOE851978 GYA851978 HHW851978 HRS851978 IBO851978 ILK851978 IVG851978 JFC851978 JOY851978 JYU851978 KIQ851978 KSM851978 LCI851978 LME851978 LWA851978 MFW851978 MPS851978 MZO851978 NJK851978 NTG851978 ODC851978 OMY851978 OWU851978 PGQ851978 PQM851978 QAI851978 QKE851978 QUA851978 RDW851978 RNS851978 RXO851978 SHK851978 SRG851978 TBC851978 TKY851978 TUU851978 UEQ851978 UOM851978 UYI851978 VIE851978 VSA851978 WBW851978 WLS851978 WVO851978 G917514 JC917514 SY917514 ACU917514 AMQ917514 AWM917514 BGI917514 BQE917514 CAA917514 CJW917514 CTS917514 DDO917514 DNK917514 DXG917514 EHC917514 EQY917514 FAU917514 FKQ917514 FUM917514 GEI917514 GOE917514 GYA917514 HHW917514 HRS917514 IBO917514 ILK917514 IVG917514 JFC917514 JOY917514 JYU917514 KIQ917514 KSM917514 LCI917514 LME917514 LWA917514 MFW917514 MPS917514 MZO917514 NJK917514 NTG917514 ODC917514 OMY917514 OWU917514 PGQ917514 PQM917514 QAI917514 QKE917514 QUA917514 RDW917514 RNS917514 RXO917514 SHK917514 SRG917514 TBC917514 TKY917514 TUU917514 UEQ917514 UOM917514 UYI917514 VIE917514 VSA917514 WBW917514 WLS917514 WVO917514 G983050 JC983050 SY983050 ACU983050 AMQ983050 AWM983050 BGI983050 BQE983050 CAA983050 CJW983050 CTS983050 DDO983050 DNK983050 DXG983050 EHC983050 EQY983050 FAU983050 FKQ983050 FUM983050 GEI983050 GOE983050 GYA983050 HHW983050 HRS983050 IBO983050 ILK983050 IVG983050 JFC983050 JOY983050 JYU983050 KIQ983050 KSM983050 LCI983050 LME983050 LWA983050 MFW983050 MPS983050 MZO983050 NJK983050 NTG983050 ODC983050 OMY983050 OWU983050 PGQ983050 PQM983050 QAI983050 QKE983050 QUA983050 RDW983050 RNS983050 RXO983050 SHK983050 SRG983050 TBC983050 TKY983050 TUU983050 UEQ983050 UOM983050 UYI983050 VIE983050 VSA983050 WBW983050 WLS983050 WVO983050 G13 JC13 SY13 ACU13 AMQ13 AWM13 BGI13 BQE13 CAA13 CJW13 CTS13 DDO13 DNK13 DXG13 EHC13 EQY13 FAU13 FKQ13 FUM13 GEI13 GOE13 GYA13 HHW13 HRS13 IBO13 ILK13 IVG13 JFC13 JOY13 JYU13 KIQ13 KSM13 LCI13 LME13 LWA13 MFW13 MPS13 MZO13 NJK13 NTG13 ODC13 OMY13 OWU13 PGQ13 PQM13 QAI13 QKE13 QUA13 RDW13 RNS13 RXO13 SHK13 SRG13 TBC13 TKY13 TUU13 UEQ13 UOM13 UYI13 VIE13 VSA13 WBW13 WLS13 WVO13 G65549 JC65549 SY65549 ACU65549 AMQ65549 AWM65549 BGI65549 BQE65549 CAA65549 CJW65549 CTS65549 DDO65549 DNK65549 DXG65549 EHC65549 EQY65549 FAU65549 FKQ65549 FUM65549 GEI65549 GOE65549 GYA65549 HHW65549 HRS65549 IBO65549 ILK65549 IVG65549 JFC65549 JOY65549 JYU65549 KIQ65549 KSM65549 LCI65549 LME65549 LWA65549 MFW65549 MPS65549 MZO65549 NJK65549 NTG65549 ODC65549 OMY65549 OWU65549 PGQ65549 PQM65549 QAI65549 QKE65549 QUA65549 RDW65549 RNS65549 RXO65549 SHK65549 SRG65549 TBC65549 TKY65549 TUU65549 UEQ65549 UOM65549 UYI65549 VIE65549 VSA65549 WBW65549 WLS65549 WVO65549 G131085 JC131085 SY131085 ACU131085 AMQ131085 AWM131085 BGI131085 BQE131085 CAA131085 CJW131085 CTS131085 DDO131085 DNK131085 DXG131085 EHC131085 EQY131085 FAU131085 FKQ131085 FUM131085 GEI131085 GOE131085 GYA131085 HHW131085 HRS131085 IBO131085 ILK131085 IVG131085 JFC131085 JOY131085 JYU131085 KIQ131085 KSM131085 LCI131085 LME131085 LWA131085 MFW131085 MPS131085 MZO131085 NJK131085 NTG131085 ODC131085 OMY131085 OWU131085 PGQ131085 PQM131085 QAI131085 QKE131085 QUA131085 RDW131085 RNS131085 RXO131085 SHK131085 SRG131085 TBC131085 TKY131085 TUU131085 UEQ131085 UOM131085 UYI131085 VIE131085 VSA131085 WBW131085 WLS131085 WVO131085 G196621 JC196621 SY196621 ACU196621 AMQ196621 AWM196621 BGI196621 BQE196621 CAA196621 CJW196621 CTS196621 DDO196621 DNK196621 DXG196621 EHC196621 EQY196621 FAU196621 FKQ196621 FUM196621 GEI196621 GOE196621 GYA196621 HHW196621 HRS196621 IBO196621 ILK196621 IVG196621 JFC196621 JOY196621 JYU196621 KIQ196621 KSM196621 LCI196621 LME196621 LWA196621 MFW196621 MPS196621 MZO196621 NJK196621 NTG196621 ODC196621 OMY196621 OWU196621 PGQ196621 PQM196621 QAI196621 QKE196621 QUA196621 RDW196621 RNS196621 RXO196621 SHK196621 SRG196621 TBC196621 TKY196621 TUU196621 UEQ196621 UOM196621 UYI196621 VIE196621 VSA196621 WBW196621 WLS196621 WVO196621 G262157 JC262157 SY262157 ACU262157 AMQ262157 AWM262157 BGI262157 BQE262157 CAA262157 CJW262157 CTS262157 DDO262157 DNK262157 DXG262157 EHC262157 EQY262157 FAU262157 FKQ262157 FUM262157 GEI262157 GOE262157 GYA262157 HHW262157 HRS262157 IBO262157 ILK262157 IVG262157 JFC262157 JOY262157 JYU262157 KIQ262157 KSM262157 LCI262157 LME262157 LWA262157 MFW262157 MPS262157 MZO262157 NJK262157 NTG262157 ODC262157 OMY262157 OWU262157 PGQ262157 PQM262157 QAI262157 QKE262157 QUA262157 RDW262157 RNS262157 RXO262157 SHK262157 SRG262157 TBC262157 TKY262157 TUU262157 UEQ262157 UOM262157 UYI262157 VIE262157 VSA262157 WBW262157 WLS262157 WVO262157 G327693 JC327693 SY327693 ACU327693 AMQ327693 AWM327693 BGI327693 BQE327693 CAA327693 CJW327693 CTS327693 DDO327693 DNK327693 DXG327693 EHC327693 EQY327693 FAU327693 FKQ327693 FUM327693 GEI327693 GOE327693 GYA327693 HHW327693 HRS327693 IBO327693 ILK327693 IVG327693 JFC327693 JOY327693 JYU327693 KIQ327693 KSM327693 LCI327693 LME327693 LWA327693 MFW327693 MPS327693 MZO327693 NJK327693 NTG327693 ODC327693 OMY327693 OWU327693 PGQ327693 PQM327693 QAI327693 QKE327693 QUA327693 RDW327693 RNS327693 RXO327693 SHK327693 SRG327693 TBC327693 TKY327693 TUU327693 UEQ327693 UOM327693 UYI327693 VIE327693 VSA327693 WBW327693 WLS327693 WVO327693 G393229 JC393229 SY393229 ACU393229 AMQ393229 AWM393229 BGI393229 BQE393229 CAA393229 CJW393229 CTS393229 DDO393229 DNK393229 DXG393229 EHC393229 EQY393229 FAU393229 FKQ393229 FUM393229 GEI393229 GOE393229 GYA393229 HHW393229 HRS393229 IBO393229 ILK393229 IVG393229 JFC393229 JOY393229 JYU393229 KIQ393229 KSM393229 LCI393229 LME393229 LWA393229 MFW393229 MPS393229 MZO393229 NJK393229 NTG393229 ODC393229 OMY393229 OWU393229 PGQ393229 PQM393229 QAI393229 QKE393229 QUA393229 RDW393229 RNS393229 RXO393229 SHK393229 SRG393229 TBC393229 TKY393229 TUU393229 UEQ393229 UOM393229 UYI393229 VIE393229 VSA393229 WBW393229 WLS393229 WVO393229 G458765 JC458765 SY458765 ACU458765 AMQ458765 AWM458765 BGI458765 BQE458765 CAA458765 CJW458765 CTS458765 DDO458765 DNK458765 DXG458765 EHC458765 EQY458765 FAU458765 FKQ458765 FUM458765 GEI458765 GOE458765 GYA458765 HHW458765 HRS458765 IBO458765 ILK458765 IVG458765 JFC458765 JOY458765 JYU458765 KIQ458765 KSM458765 LCI458765 LME458765 LWA458765 MFW458765 MPS458765 MZO458765 NJK458765 NTG458765 ODC458765 OMY458765 OWU458765 PGQ458765 PQM458765 QAI458765 QKE458765 QUA458765 RDW458765 RNS458765 RXO458765 SHK458765 SRG458765 TBC458765 TKY458765 TUU458765 UEQ458765 UOM458765 UYI458765 VIE458765 VSA458765 WBW458765 WLS458765 WVO458765 G524301 JC524301 SY524301 ACU524301 AMQ524301 AWM524301 BGI524301 BQE524301 CAA524301 CJW524301 CTS524301 DDO524301 DNK524301 DXG524301 EHC524301 EQY524301 FAU524301 FKQ524301 FUM524301 GEI524301 GOE524301 GYA524301 HHW524301 HRS524301 IBO524301 ILK524301 IVG524301 JFC524301 JOY524301 JYU524301 KIQ524301 KSM524301 LCI524301 LME524301 LWA524301 MFW524301 MPS524301 MZO524301 NJK524301 NTG524301 ODC524301 OMY524301 OWU524301 PGQ524301 PQM524301 QAI524301 QKE524301 QUA524301 RDW524301 RNS524301 RXO524301 SHK524301 SRG524301 TBC524301 TKY524301 TUU524301 UEQ524301 UOM524301 UYI524301 VIE524301 VSA524301 WBW524301 WLS524301 WVO524301 G589837 JC589837 SY589837 ACU589837 AMQ589837 AWM589837 BGI589837 BQE589837 CAA589837 CJW589837 CTS589837 DDO589837 DNK589837 DXG589837 EHC589837 EQY589837 FAU589837 FKQ589837 FUM589837 GEI589837 GOE589837 GYA589837 HHW589837 HRS589837 IBO589837 ILK589837 IVG589837 JFC589837 JOY589837 JYU589837 KIQ589837 KSM589837 LCI589837 LME589837 LWA589837 MFW589837 MPS589837 MZO589837 NJK589837 NTG589837 ODC589837 OMY589837 OWU589837 PGQ589837 PQM589837 QAI589837 QKE589837 QUA589837 RDW589837 RNS589837 RXO589837 SHK589837 SRG589837 TBC589837 TKY589837 TUU589837 UEQ589837 UOM589837 UYI589837 VIE589837 VSA589837 WBW589837 WLS589837 WVO589837 G655373 JC655373 SY655373 ACU655373 AMQ655373 AWM655373 BGI655373 BQE655373 CAA655373 CJW655373 CTS655373 DDO655373 DNK655373 DXG655373 EHC655373 EQY655373 FAU655373 FKQ655373 FUM655373 GEI655373 GOE655373 GYA655373 HHW655373 HRS655373 IBO655373 ILK655373 IVG655373 JFC655373 JOY655373 JYU655373 KIQ655373 KSM655373 LCI655373 LME655373 LWA655373 MFW655373 MPS655373 MZO655373 NJK655373 NTG655373 ODC655373 OMY655373 OWU655373 PGQ655373 PQM655373 QAI655373 QKE655373 QUA655373 RDW655373 RNS655373 RXO655373 SHK655373 SRG655373 TBC655373 TKY655373 TUU655373 UEQ655373 UOM655373 UYI655373 VIE655373 VSA655373 WBW655373 WLS655373 WVO655373 G720909 JC720909 SY720909 ACU720909 AMQ720909 AWM720909 BGI720909 BQE720909 CAA720909 CJW720909 CTS720909 DDO720909 DNK720909 DXG720909 EHC720909 EQY720909 FAU720909 FKQ720909 FUM720909 GEI720909 GOE720909 GYA720909 HHW720909 HRS720909 IBO720909 ILK720909 IVG720909 JFC720909 JOY720909 JYU720909 KIQ720909 KSM720909 LCI720909 LME720909 LWA720909 MFW720909 MPS720909 MZO720909 NJK720909 NTG720909 ODC720909 OMY720909 OWU720909 PGQ720909 PQM720909 QAI720909 QKE720909 QUA720909 RDW720909 RNS720909 RXO720909 SHK720909 SRG720909 TBC720909 TKY720909 TUU720909 UEQ720909 UOM720909 UYI720909 VIE720909 VSA720909 WBW720909 WLS720909 WVO720909 G786445 JC786445 SY786445 ACU786445 AMQ786445 AWM786445 BGI786445 BQE786445 CAA786445 CJW786445 CTS786445 DDO786445 DNK786445 DXG786445 EHC786445 EQY786445 FAU786445 FKQ786445 FUM786445 GEI786445 GOE786445 GYA786445 HHW786445 HRS786445 IBO786445 ILK786445 IVG786445 JFC786445 JOY786445 JYU786445 KIQ786445 KSM786445 LCI786445 LME786445 LWA786445 MFW786445 MPS786445 MZO786445 NJK786445 NTG786445 ODC786445 OMY786445 OWU786445 PGQ786445 PQM786445 QAI786445 QKE786445 QUA786445 RDW786445 RNS786445 RXO786445 SHK786445 SRG786445 TBC786445 TKY786445 TUU786445 UEQ786445 UOM786445 UYI786445 VIE786445 VSA786445 WBW786445 WLS786445 WVO786445 G851981 JC851981 SY851981 ACU851981 AMQ851981 AWM851981 BGI851981 BQE851981 CAA851981 CJW851981 CTS851981 DDO851981 DNK851981 DXG851981 EHC851981 EQY851981 FAU851981 FKQ851981 FUM851981 GEI851981 GOE851981 GYA851981 HHW851981 HRS851981 IBO851981 ILK851981 IVG851981 JFC851981 JOY851981 JYU851981 KIQ851981 KSM851981 LCI851981 LME851981 LWA851981 MFW851981 MPS851981 MZO851981 NJK851981 NTG851981 ODC851981 OMY851981 OWU851981 PGQ851981 PQM851981 QAI851981 QKE851981 QUA851981 RDW851981 RNS851981 RXO851981 SHK851981 SRG851981 TBC851981 TKY851981 TUU851981 UEQ851981 UOM851981 UYI851981 VIE851981 VSA851981 WBW851981 WLS851981 WVO851981 G917517 JC917517 SY917517 ACU917517 AMQ917517 AWM917517 BGI917517 BQE917517 CAA917517 CJW917517 CTS917517 DDO917517 DNK917517 DXG917517 EHC917517 EQY917517 FAU917517 FKQ917517 FUM917517 GEI917517 GOE917517 GYA917517 HHW917517 HRS917517 IBO917517 ILK917517 IVG917517 JFC917517 JOY917517 JYU917517 KIQ917517 KSM917517 LCI917517 LME917517 LWA917517 MFW917517 MPS917517 MZO917517 NJK917517 NTG917517 ODC917517 OMY917517 OWU917517 PGQ917517 PQM917517 QAI917517 QKE917517 QUA917517 RDW917517 RNS917517 RXO917517 SHK917517 SRG917517 TBC917517 TKY917517 TUU917517 UEQ917517 UOM917517 UYI917517 VIE917517 VSA917517 WBW917517 WLS917517 WVO917517 G983053 JC983053 SY983053 ACU983053 AMQ983053 AWM983053 BGI983053 BQE983053 CAA983053 CJW983053 CTS983053 DDO983053 DNK983053 DXG983053 EHC983053 EQY983053 FAU983053 FKQ983053 FUM983053 GEI983053 GOE983053 GYA983053 HHW983053 HRS983053 IBO983053 ILK983053 IVG983053 JFC983053 JOY983053 JYU983053 KIQ983053 KSM983053 LCI983053 LME983053 LWA983053 MFW983053 MPS983053 MZO983053 NJK983053 NTG983053 ODC983053 OMY983053 OWU983053 PGQ983053 PQM983053 QAI983053 QKE983053 QUA983053 RDW983053 RNS983053 RXO983053 SHK983053 SRG983053 TBC983053 TKY983053 TUU983053 UEQ983053 UOM983053 UYI983053 VIE983053 VSA983053 WBW983053 WLS983053 WVO983053">
      <formula1>"TRUE, FALSE"</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77"/>
  <sheetViews>
    <sheetView workbookViewId="0">
      <selection activeCell="B2" sqref="B2"/>
    </sheetView>
  </sheetViews>
  <sheetFormatPr defaultRowHeight="15" x14ac:dyDescent="0.25"/>
  <cols>
    <col min="2" max="2" width="15.42578125" customWidth="1"/>
    <col min="3" max="6" width="16.85546875" style="46" customWidth="1"/>
    <col min="7" max="7" width="13.140625" style="46" customWidth="1"/>
    <col min="8" max="8" width="14" customWidth="1"/>
    <col min="9" max="9" width="12.5703125" customWidth="1"/>
    <col min="10" max="10" width="12.42578125" customWidth="1"/>
    <col min="11" max="11" width="14.5703125" customWidth="1"/>
    <col min="13" max="13" width="13.7109375" customWidth="1"/>
    <col min="258" max="258" width="15.42578125" customWidth="1"/>
    <col min="259" max="262" width="16.85546875" customWidth="1"/>
    <col min="263" max="263" width="13.140625" customWidth="1"/>
    <col min="264" max="264" width="14" customWidth="1"/>
    <col min="265" max="265" width="12.5703125" customWidth="1"/>
    <col min="266" max="266" width="12.42578125" customWidth="1"/>
    <col min="267" max="267" width="14.5703125" customWidth="1"/>
    <col min="269" max="269" width="13.7109375" customWidth="1"/>
    <col min="514" max="514" width="15.42578125" customWidth="1"/>
    <col min="515" max="518" width="16.85546875" customWidth="1"/>
    <col min="519" max="519" width="13.140625" customWidth="1"/>
    <col min="520" max="520" width="14" customWidth="1"/>
    <col min="521" max="521" width="12.5703125" customWidth="1"/>
    <col min="522" max="522" width="12.42578125" customWidth="1"/>
    <col min="523" max="523" width="14.5703125" customWidth="1"/>
    <col min="525" max="525" width="13.7109375" customWidth="1"/>
    <col min="770" max="770" width="15.42578125" customWidth="1"/>
    <col min="771" max="774" width="16.85546875" customWidth="1"/>
    <col min="775" max="775" width="13.140625" customWidth="1"/>
    <col min="776" max="776" width="14" customWidth="1"/>
    <col min="777" max="777" width="12.5703125" customWidth="1"/>
    <col min="778" max="778" width="12.42578125" customWidth="1"/>
    <col min="779" max="779" width="14.5703125" customWidth="1"/>
    <col min="781" max="781" width="13.7109375" customWidth="1"/>
    <col min="1026" max="1026" width="15.42578125" customWidth="1"/>
    <col min="1027" max="1030" width="16.85546875" customWidth="1"/>
    <col min="1031" max="1031" width="13.140625" customWidth="1"/>
    <col min="1032" max="1032" width="14" customWidth="1"/>
    <col min="1033" max="1033" width="12.5703125" customWidth="1"/>
    <col min="1034" max="1034" width="12.42578125" customWidth="1"/>
    <col min="1035" max="1035" width="14.5703125" customWidth="1"/>
    <col min="1037" max="1037" width="13.7109375" customWidth="1"/>
    <col min="1282" max="1282" width="15.42578125" customWidth="1"/>
    <col min="1283" max="1286" width="16.85546875" customWidth="1"/>
    <col min="1287" max="1287" width="13.140625" customWidth="1"/>
    <col min="1288" max="1288" width="14" customWidth="1"/>
    <col min="1289" max="1289" width="12.5703125" customWidth="1"/>
    <col min="1290" max="1290" width="12.42578125" customWidth="1"/>
    <col min="1291" max="1291" width="14.5703125" customWidth="1"/>
    <col min="1293" max="1293" width="13.7109375" customWidth="1"/>
    <col min="1538" max="1538" width="15.42578125" customWidth="1"/>
    <col min="1539" max="1542" width="16.85546875" customWidth="1"/>
    <col min="1543" max="1543" width="13.140625" customWidth="1"/>
    <col min="1544" max="1544" width="14" customWidth="1"/>
    <col min="1545" max="1545" width="12.5703125" customWidth="1"/>
    <col min="1546" max="1546" width="12.42578125" customWidth="1"/>
    <col min="1547" max="1547" width="14.5703125" customWidth="1"/>
    <col min="1549" max="1549" width="13.7109375" customWidth="1"/>
    <col min="1794" max="1794" width="15.42578125" customWidth="1"/>
    <col min="1795" max="1798" width="16.85546875" customWidth="1"/>
    <col min="1799" max="1799" width="13.140625" customWidth="1"/>
    <col min="1800" max="1800" width="14" customWidth="1"/>
    <col min="1801" max="1801" width="12.5703125" customWidth="1"/>
    <col min="1802" max="1802" width="12.42578125" customWidth="1"/>
    <col min="1803" max="1803" width="14.5703125" customWidth="1"/>
    <col min="1805" max="1805" width="13.7109375" customWidth="1"/>
    <col min="2050" max="2050" width="15.42578125" customWidth="1"/>
    <col min="2051" max="2054" width="16.85546875" customWidth="1"/>
    <col min="2055" max="2055" width="13.140625" customWidth="1"/>
    <col min="2056" max="2056" width="14" customWidth="1"/>
    <col min="2057" max="2057" width="12.5703125" customWidth="1"/>
    <col min="2058" max="2058" width="12.42578125" customWidth="1"/>
    <col min="2059" max="2059" width="14.5703125" customWidth="1"/>
    <col min="2061" max="2061" width="13.7109375" customWidth="1"/>
    <col min="2306" max="2306" width="15.42578125" customWidth="1"/>
    <col min="2307" max="2310" width="16.85546875" customWidth="1"/>
    <col min="2311" max="2311" width="13.140625" customWidth="1"/>
    <col min="2312" max="2312" width="14" customWidth="1"/>
    <col min="2313" max="2313" width="12.5703125" customWidth="1"/>
    <col min="2314" max="2314" width="12.42578125" customWidth="1"/>
    <col min="2315" max="2315" width="14.5703125" customWidth="1"/>
    <col min="2317" max="2317" width="13.7109375" customWidth="1"/>
    <col min="2562" max="2562" width="15.42578125" customWidth="1"/>
    <col min="2563" max="2566" width="16.85546875" customWidth="1"/>
    <col min="2567" max="2567" width="13.140625" customWidth="1"/>
    <col min="2568" max="2568" width="14" customWidth="1"/>
    <col min="2569" max="2569" width="12.5703125" customWidth="1"/>
    <col min="2570" max="2570" width="12.42578125" customWidth="1"/>
    <col min="2571" max="2571" width="14.5703125" customWidth="1"/>
    <col min="2573" max="2573" width="13.7109375" customWidth="1"/>
    <col min="2818" max="2818" width="15.42578125" customWidth="1"/>
    <col min="2819" max="2822" width="16.85546875" customWidth="1"/>
    <col min="2823" max="2823" width="13.140625" customWidth="1"/>
    <col min="2824" max="2824" width="14" customWidth="1"/>
    <col min="2825" max="2825" width="12.5703125" customWidth="1"/>
    <col min="2826" max="2826" width="12.42578125" customWidth="1"/>
    <col min="2827" max="2827" width="14.5703125" customWidth="1"/>
    <col min="2829" max="2829" width="13.7109375" customWidth="1"/>
    <col min="3074" max="3074" width="15.42578125" customWidth="1"/>
    <col min="3075" max="3078" width="16.85546875" customWidth="1"/>
    <col min="3079" max="3079" width="13.140625" customWidth="1"/>
    <col min="3080" max="3080" width="14" customWidth="1"/>
    <col min="3081" max="3081" width="12.5703125" customWidth="1"/>
    <col min="3082" max="3082" width="12.42578125" customWidth="1"/>
    <col min="3083" max="3083" width="14.5703125" customWidth="1"/>
    <col min="3085" max="3085" width="13.7109375" customWidth="1"/>
    <col min="3330" max="3330" width="15.42578125" customWidth="1"/>
    <col min="3331" max="3334" width="16.85546875" customWidth="1"/>
    <col min="3335" max="3335" width="13.140625" customWidth="1"/>
    <col min="3336" max="3336" width="14" customWidth="1"/>
    <col min="3337" max="3337" width="12.5703125" customWidth="1"/>
    <col min="3338" max="3338" width="12.42578125" customWidth="1"/>
    <col min="3339" max="3339" width="14.5703125" customWidth="1"/>
    <col min="3341" max="3341" width="13.7109375" customWidth="1"/>
    <col min="3586" max="3586" width="15.42578125" customWidth="1"/>
    <col min="3587" max="3590" width="16.85546875" customWidth="1"/>
    <col min="3591" max="3591" width="13.140625" customWidth="1"/>
    <col min="3592" max="3592" width="14" customWidth="1"/>
    <col min="3593" max="3593" width="12.5703125" customWidth="1"/>
    <col min="3594" max="3594" width="12.42578125" customWidth="1"/>
    <col min="3595" max="3595" width="14.5703125" customWidth="1"/>
    <col min="3597" max="3597" width="13.7109375" customWidth="1"/>
    <col min="3842" max="3842" width="15.42578125" customWidth="1"/>
    <col min="3843" max="3846" width="16.85546875" customWidth="1"/>
    <col min="3847" max="3847" width="13.140625" customWidth="1"/>
    <col min="3848" max="3848" width="14" customWidth="1"/>
    <col min="3849" max="3849" width="12.5703125" customWidth="1"/>
    <col min="3850" max="3850" width="12.42578125" customWidth="1"/>
    <col min="3851" max="3851" width="14.5703125" customWidth="1"/>
    <col min="3853" max="3853" width="13.7109375" customWidth="1"/>
    <col min="4098" max="4098" width="15.42578125" customWidth="1"/>
    <col min="4099" max="4102" width="16.85546875" customWidth="1"/>
    <col min="4103" max="4103" width="13.140625" customWidth="1"/>
    <col min="4104" max="4104" width="14" customWidth="1"/>
    <col min="4105" max="4105" width="12.5703125" customWidth="1"/>
    <col min="4106" max="4106" width="12.42578125" customWidth="1"/>
    <col min="4107" max="4107" width="14.5703125" customWidth="1"/>
    <col min="4109" max="4109" width="13.7109375" customWidth="1"/>
    <col min="4354" max="4354" width="15.42578125" customWidth="1"/>
    <col min="4355" max="4358" width="16.85546875" customWidth="1"/>
    <col min="4359" max="4359" width="13.140625" customWidth="1"/>
    <col min="4360" max="4360" width="14" customWidth="1"/>
    <col min="4361" max="4361" width="12.5703125" customWidth="1"/>
    <col min="4362" max="4362" width="12.42578125" customWidth="1"/>
    <col min="4363" max="4363" width="14.5703125" customWidth="1"/>
    <col min="4365" max="4365" width="13.7109375" customWidth="1"/>
    <col min="4610" max="4610" width="15.42578125" customWidth="1"/>
    <col min="4611" max="4614" width="16.85546875" customWidth="1"/>
    <col min="4615" max="4615" width="13.140625" customWidth="1"/>
    <col min="4616" max="4616" width="14" customWidth="1"/>
    <col min="4617" max="4617" width="12.5703125" customWidth="1"/>
    <col min="4618" max="4618" width="12.42578125" customWidth="1"/>
    <col min="4619" max="4619" width="14.5703125" customWidth="1"/>
    <col min="4621" max="4621" width="13.7109375" customWidth="1"/>
    <col min="4866" max="4866" width="15.42578125" customWidth="1"/>
    <col min="4867" max="4870" width="16.85546875" customWidth="1"/>
    <col min="4871" max="4871" width="13.140625" customWidth="1"/>
    <col min="4872" max="4872" width="14" customWidth="1"/>
    <col min="4873" max="4873" width="12.5703125" customWidth="1"/>
    <col min="4874" max="4874" width="12.42578125" customWidth="1"/>
    <col min="4875" max="4875" width="14.5703125" customWidth="1"/>
    <col min="4877" max="4877" width="13.7109375" customWidth="1"/>
    <col min="5122" max="5122" width="15.42578125" customWidth="1"/>
    <col min="5123" max="5126" width="16.85546875" customWidth="1"/>
    <col min="5127" max="5127" width="13.140625" customWidth="1"/>
    <col min="5128" max="5128" width="14" customWidth="1"/>
    <col min="5129" max="5129" width="12.5703125" customWidth="1"/>
    <col min="5130" max="5130" width="12.42578125" customWidth="1"/>
    <col min="5131" max="5131" width="14.5703125" customWidth="1"/>
    <col min="5133" max="5133" width="13.7109375" customWidth="1"/>
    <col min="5378" max="5378" width="15.42578125" customWidth="1"/>
    <col min="5379" max="5382" width="16.85546875" customWidth="1"/>
    <col min="5383" max="5383" width="13.140625" customWidth="1"/>
    <col min="5384" max="5384" width="14" customWidth="1"/>
    <col min="5385" max="5385" width="12.5703125" customWidth="1"/>
    <col min="5386" max="5386" width="12.42578125" customWidth="1"/>
    <col min="5387" max="5387" width="14.5703125" customWidth="1"/>
    <col min="5389" max="5389" width="13.7109375" customWidth="1"/>
    <col min="5634" max="5634" width="15.42578125" customWidth="1"/>
    <col min="5635" max="5638" width="16.85546875" customWidth="1"/>
    <col min="5639" max="5639" width="13.140625" customWidth="1"/>
    <col min="5640" max="5640" width="14" customWidth="1"/>
    <col min="5641" max="5641" width="12.5703125" customWidth="1"/>
    <col min="5642" max="5642" width="12.42578125" customWidth="1"/>
    <col min="5643" max="5643" width="14.5703125" customWidth="1"/>
    <col min="5645" max="5645" width="13.7109375" customWidth="1"/>
    <col min="5890" max="5890" width="15.42578125" customWidth="1"/>
    <col min="5891" max="5894" width="16.85546875" customWidth="1"/>
    <col min="5895" max="5895" width="13.140625" customWidth="1"/>
    <col min="5896" max="5896" width="14" customWidth="1"/>
    <col min="5897" max="5897" width="12.5703125" customWidth="1"/>
    <col min="5898" max="5898" width="12.42578125" customWidth="1"/>
    <col min="5899" max="5899" width="14.5703125" customWidth="1"/>
    <col min="5901" max="5901" width="13.7109375" customWidth="1"/>
    <col min="6146" max="6146" width="15.42578125" customWidth="1"/>
    <col min="6147" max="6150" width="16.85546875" customWidth="1"/>
    <col min="6151" max="6151" width="13.140625" customWidth="1"/>
    <col min="6152" max="6152" width="14" customWidth="1"/>
    <col min="6153" max="6153" width="12.5703125" customWidth="1"/>
    <col min="6154" max="6154" width="12.42578125" customWidth="1"/>
    <col min="6155" max="6155" width="14.5703125" customWidth="1"/>
    <col min="6157" max="6157" width="13.7109375" customWidth="1"/>
    <col min="6402" max="6402" width="15.42578125" customWidth="1"/>
    <col min="6403" max="6406" width="16.85546875" customWidth="1"/>
    <col min="6407" max="6407" width="13.140625" customWidth="1"/>
    <col min="6408" max="6408" width="14" customWidth="1"/>
    <col min="6409" max="6409" width="12.5703125" customWidth="1"/>
    <col min="6410" max="6410" width="12.42578125" customWidth="1"/>
    <col min="6411" max="6411" width="14.5703125" customWidth="1"/>
    <col min="6413" max="6413" width="13.7109375" customWidth="1"/>
    <col min="6658" max="6658" width="15.42578125" customWidth="1"/>
    <col min="6659" max="6662" width="16.85546875" customWidth="1"/>
    <col min="6663" max="6663" width="13.140625" customWidth="1"/>
    <col min="6664" max="6664" width="14" customWidth="1"/>
    <col min="6665" max="6665" width="12.5703125" customWidth="1"/>
    <col min="6666" max="6666" width="12.42578125" customWidth="1"/>
    <col min="6667" max="6667" width="14.5703125" customWidth="1"/>
    <col min="6669" max="6669" width="13.7109375" customWidth="1"/>
    <col min="6914" max="6914" width="15.42578125" customWidth="1"/>
    <col min="6915" max="6918" width="16.85546875" customWidth="1"/>
    <col min="6919" max="6919" width="13.140625" customWidth="1"/>
    <col min="6920" max="6920" width="14" customWidth="1"/>
    <col min="6921" max="6921" width="12.5703125" customWidth="1"/>
    <col min="6922" max="6922" width="12.42578125" customWidth="1"/>
    <col min="6923" max="6923" width="14.5703125" customWidth="1"/>
    <col min="6925" max="6925" width="13.7109375" customWidth="1"/>
    <col min="7170" max="7170" width="15.42578125" customWidth="1"/>
    <col min="7171" max="7174" width="16.85546875" customWidth="1"/>
    <col min="7175" max="7175" width="13.140625" customWidth="1"/>
    <col min="7176" max="7176" width="14" customWidth="1"/>
    <col min="7177" max="7177" width="12.5703125" customWidth="1"/>
    <col min="7178" max="7178" width="12.42578125" customWidth="1"/>
    <col min="7179" max="7179" width="14.5703125" customWidth="1"/>
    <col min="7181" max="7181" width="13.7109375" customWidth="1"/>
    <col min="7426" max="7426" width="15.42578125" customWidth="1"/>
    <col min="7427" max="7430" width="16.85546875" customWidth="1"/>
    <col min="7431" max="7431" width="13.140625" customWidth="1"/>
    <col min="7432" max="7432" width="14" customWidth="1"/>
    <col min="7433" max="7433" width="12.5703125" customWidth="1"/>
    <col min="7434" max="7434" width="12.42578125" customWidth="1"/>
    <col min="7435" max="7435" width="14.5703125" customWidth="1"/>
    <col min="7437" max="7437" width="13.7109375" customWidth="1"/>
    <col min="7682" max="7682" width="15.42578125" customWidth="1"/>
    <col min="7683" max="7686" width="16.85546875" customWidth="1"/>
    <col min="7687" max="7687" width="13.140625" customWidth="1"/>
    <col min="7688" max="7688" width="14" customWidth="1"/>
    <col min="7689" max="7689" width="12.5703125" customWidth="1"/>
    <col min="7690" max="7690" width="12.42578125" customWidth="1"/>
    <col min="7691" max="7691" width="14.5703125" customWidth="1"/>
    <col min="7693" max="7693" width="13.7109375" customWidth="1"/>
    <col min="7938" max="7938" width="15.42578125" customWidth="1"/>
    <col min="7939" max="7942" width="16.85546875" customWidth="1"/>
    <col min="7943" max="7943" width="13.140625" customWidth="1"/>
    <col min="7944" max="7944" width="14" customWidth="1"/>
    <col min="7945" max="7945" width="12.5703125" customWidth="1"/>
    <col min="7946" max="7946" width="12.42578125" customWidth="1"/>
    <col min="7947" max="7947" width="14.5703125" customWidth="1"/>
    <col min="7949" max="7949" width="13.7109375" customWidth="1"/>
    <col min="8194" max="8194" width="15.42578125" customWidth="1"/>
    <col min="8195" max="8198" width="16.85546875" customWidth="1"/>
    <col min="8199" max="8199" width="13.140625" customWidth="1"/>
    <col min="8200" max="8200" width="14" customWidth="1"/>
    <col min="8201" max="8201" width="12.5703125" customWidth="1"/>
    <col min="8202" max="8202" width="12.42578125" customWidth="1"/>
    <col min="8203" max="8203" width="14.5703125" customWidth="1"/>
    <col min="8205" max="8205" width="13.7109375" customWidth="1"/>
    <col min="8450" max="8450" width="15.42578125" customWidth="1"/>
    <col min="8451" max="8454" width="16.85546875" customWidth="1"/>
    <col min="8455" max="8455" width="13.140625" customWidth="1"/>
    <col min="8456" max="8456" width="14" customWidth="1"/>
    <col min="8457" max="8457" width="12.5703125" customWidth="1"/>
    <col min="8458" max="8458" width="12.42578125" customWidth="1"/>
    <col min="8459" max="8459" width="14.5703125" customWidth="1"/>
    <col min="8461" max="8461" width="13.7109375" customWidth="1"/>
    <col min="8706" max="8706" width="15.42578125" customWidth="1"/>
    <col min="8707" max="8710" width="16.85546875" customWidth="1"/>
    <col min="8711" max="8711" width="13.140625" customWidth="1"/>
    <col min="8712" max="8712" width="14" customWidth="1"/>
    <col min="8713" max="8713" width="12.5703125" customWidth="1"/>
    <col min="8714" max="8714" width="12.42578125" customWidth="1"/>
    <col min="8715" max="8715" width="14.5703125" customWidth="1"/>
    <col min="8717" max="8717" width="13.7109375" customWidth="1"/>
    <col min="8962" max="8962" width="15.42578125" customWidth="1"/>
    <col min="8963" max="8966" width="16.85546875" customWidth="1"/>
    <col min="8967" max="8967" width="13.140625" customWidth="1"/>
    <col min="8968" max="8968" width="14" customWidth="1"/>
    <col min="8969" max="8969" width="12.5703125" customWidth="1"/>
    <col min="8970" max="8970" width="12.42578125" customWidth="1"/>
    <col min="8971" max="8971" width="14.5703125" customWidth="1"/>
    <col min="8973" max="8973" width="13.7109375" customWidth="1"/>
    <col min="9218" max="9218" width="15.42578125" customWidth="1"/>
    <col min="9219" max="9222" width="16.85546875" customWidth="1"/>
    <col min="9223" max="9223" width="13.140625" customWidth="1"/>
    <col min="9224" max="9224" width="14" customWidth="1"/>
    <col min="9225" max="9225" width="12.5703125" customWidth="1"/>
    <col min="9226" max="9226" width="12.42578125" customWidth="1"/>
    <col min="9227" max="9227" width="14.5703125" customWidth="1"/>
    <col min="9229" max="9229" width="13.7109375" customWidth="1"/>
    <col min="9474" max="9474" width="15.42578125" customWidth="1"/>
    <col min="9475" max="9478" width="16.85546875" customWidth="1"/>
    <col min="9479" max="9479" width="13.140625" customWidth="1"/>
    <col min="9480" max="9480" width="14" customWidth="1"/>
    <col min="9481" max="9481" width="12.5703125" customWidth="1"/>
    <col min="9482" max="9482" width="12.42578125" customWidth="1"/>
    <col min="9483" max="9483" width="14.5703125" customWidth="1"/>
    <col min="9485" max="9485" width="13.7109375" customWidth="1"/>
    <col min="9730" max="9730" width="15.42578125" customWidth="1"/>
    <col min="9731" max="9734" width="16.85546875" customWidth="1"/>
    <col min="9735" max="9735" width="13.140625" customWidth="1"/>
    <col min="9736" max="9736" width="14" customWidth="1"/>
    <col min="9737" max="9737" width="12.5703125" customWidth="1"/>
    <col min="9738" max="9738" width="12.42578125" customWidth="1"/>
    <col min="9739" max="9739" width="14.5703125" customWidth="1"/>
    <col min="9741" max="9741" width="13.7109375" customWidth="1"/>
    <col min="9986" max="9986" width="15.42578125" customWidth="1"/>
    <col min="9987" max="9990" width="16.85546875" customWidth="1"/>
    <col min="9991" max="9991" width="13.140625" customWidth="1"/>
    <col min="9992" max="9992" width="14" customWidth="1"/>
    <col min="9993" max="9993" width="12.5703125" customWidth="1"/>
    <col min="9994" max="9994" width="12.42578125" customWidth="1"/>
    <col min="9995" max="9995" width="14.5703125" customWidth="1"/>
    <col min="9997" max="9997" width="13.7109375" customWidth="1"/>
    <col min="10242" max="10242" width="15.42578125" customWidth="1"/>
    <col min="10243" max="10246" width="16.85546875" customWidth="1"/>
    <col min="10247" max="10247" width="13.140625" customWidth="1"/>
    <col min="10248" max="10248" width="14" customWidth="1"/>
    <col min="10249" max="10249" width="12.5703125" customWidth="1"/>
    <col min="10250" max="10250" width="12.42578125" customWidth="1"/>
    <col min="10251" max="10251" width="14.5703125" customWidth="1"/>
    <col min="10253" max="10253" width="13.7109375" customWidth="1"/>
    <col min="10498" max="10498" width="15.42578125" customWidth="1"/>
    <col min="10499" max="10502" width="16.85546875" customWidth="1"/>
    <col min="10503" max="10503" width="13.140625" customWidth="1"/>
    <col min="10504" max="10504" width="14" customWidth="1"/>
    <col min="10505" max="10505" width="12.5703125" customWidth="1"/>
    <col min="10506" max="10506" width="12.42578125" customWidth="1"/>
    <col min="10507" max="10507" width="14.5703125" customWidth="1"/>
    <col min="10509" max="10509" width="13.7109375" customWidth="1"/>
    <col min="10754" max="10754" width="15.42578125" customWidth="1"/>
    <col min="10755" max="10758" width="16.85546875" customWidth="1"/>
    <col min="10759" max="10759" width="13.140625" customWidth="1"/>
    <col min="10760" max="10760" width="14" customWidth="1"/>
    <col min="10761" max="10761" width="12.5703125" customWidth="1"/>
    <col min="10762" max="10762" width="12.42578125" customWidth="1"/>
    <col min="10763" max="10763" width="14.5703125" customWidth="1"/>
    <col min="10765" max="10765" width="13.7109375" customWidth="1"/>
    <col min="11010" max="11010" width="15.42578125" customWidth="1"/>
    <col min="11011" max="11014" width="16.85546875" customWidth="1"/>
    <col min="11015" max="11015" width="13.140625" customWidth="1"/>
    <col min="11016" max="11016" width="14" customWidth="1"/>
    <col min="11017" max="11017" width="12.5703125" customWidth="1"/>
    <col min="11018" max="11018" width="12.42578125" customWidth="1"/>
    <col min="11019" max="11019" width="14.5703125" customWidth="1"/>
    <col min="11021" max="11021" width="13.7109375" customWidth="1"/>
    <col min="11266" max="11266" width="15.42578125" customWidth="1"/>
    <col min="11267" max="11270" width="16.85546875" customWidth="1"/>
    <col min="11271" max="11271" width="13.140625" customWidth="1"/>
    <col min="11272" max="11272" width="14" customWidth="1"/>
    <col min="11273" max="11273" width="12.5703125" customWidth="1"/>
    <col min="11274" max="11274" width="12.42578125" customWidth="1"/>
    <col min="11275" max="11275" width="14.5703125" customWidth="1"/>
    <col min="11277" max="11277" width="13.7109375" customWidth="1"/>
    <col min="11522" max="11522" width="15.42578125" customWidth="1"/>
    <col min="11523" max="11526" width="16.85546875" customWidth="1"/>
    <col min="11527" max="11527" width="13.140625" customWidth="1"/>
    <col min="11528" max="11528" width="14" customWidth="1"/>
    <col min="11529" max="11529" width="12.5703125" customWidth="1"/>
    <col min="11530" max="11530" width="12.42578125" customWidth="1"/>
    <col min="11531" max="11531" width="14.5703125" customWidth="1"/>
    <col min="11533" max="11533" width="13.7109375" customWidth="1"/>
    <col min="11778" max="11778" width="15.42578125" customWidth="1"/>
    <col min="11779" max="11782" width="16.85546875" customWidth="1"/>
    <col min="11783" max="11783" width="13.140625" customWidth="1"/>
    <col min="11784" max="11784" width="14" customWidth="1"/>
    <col min="11785" max="11785" width="12.5703125" customWidth="1"/>
    <col min="11786" max="11786" width="12.42578125" customWidth="1"/>
    <col min="11787" max="11787" width="14.5703125" customWidth="1"/>
    <col min="11789" max="11789" width="13.7109375" customWidth="1"/>
    <col min="12034" max="12034" width="15.42578125" customWidth="1"/>
    <col min="12035" max="12038" width="16.85546875" customWidth="1"/>
    <col min="12039" max="12039" width="13.140625" customWidth="1"/>
    <col min="12040" max="12040" width="14" customWidth="1"/>
    <col min="12041" max="12041" width="12.5703125" customWidth="1"/>
    <col min="12042" max="12042" width="12.42578125" customWidth="1"/>
    <col min="12043" max="12043" width="14.5703125" customWidth="1"/>
    <col min="12045" max="12045" width="13.7109375" customWidth="1"/>
    <col min="12290" max="12290" width="15.42578125" customWidth="1"/>
    <col min="12291" max="12294" width="16.85546875" customWidth="1"/>
    <col min="12295" max="12295" width="13.140625" customWidth="1"/>
    <col min="12296" max="12296" width="14" customWidth="1"/>
    <col min="12297" max="12297" width="12.5703125" customWidth="1"/>
    <col min="12298" max="12298" width="12.42578125" customWidth="1"/>
    <col min="12299" max="12299" width="14.5703125" customWidth="1"/>
    <col min="12301" max="12301" width="13.7109375" customWidth="1"/>
    <col min="12546" max="12546" width="15.42578125" customWidth="1"/>
    <col min="12547" max="12550" width="16.85546875" customWidth="1"/>
    <col min="12551" max="12551" width="13.140625" customWidth="1"/>
    <col min="12552" max="12552" width="14" customWidth="1"/>
    <col min="12553" max="12553" width="12.5703125" customWidth="1"/>
    <col min="12554" max="12554" width="12.42578125" customWidth="1"/>
    <col min="12555" max="12555" width="14.5703125" customWidth="1"/>
    <col min="12557" max="12557" width="13.7109375" customWidth="1"/>
    <col min="12802" max="12802" width="15.42578125" customWidth="1"/>
    <col min="12803" max="12806" width="16.85546875" customWidth="1"/>
    <col min="12807" max="12807" width="13.140625" customWidth="1"/>
    <col min="12808" max="12808" width="14" customWidth="1"/>
    <col min="12809" max="12809" width="12.5703125" customWidth="1"/>
    <col min="12810" max="12810" width="12.42578125" customWidth="1"/>
    <col min="12811" max="12811" width="14.5703125" customWidth="1"/>
    <col min="12813" max="12813" width="13.7109375" customWidth="1"/>
    <col min="13058" max="13058" width="15.42578125" customWidth="1"/>
    <col min="13059" max="13062" width="16.85546875" customWidth="1"/>
    <col min="13063" max="13063" width="13.140625" customWidth="1"/>
    <col min="13064" max="13064" width="14" customWidth="1"/>
    <col min="13065" max="13065" width="12.5703125" customWidth="1"/>
    <col min="13066" max="13066" width="12.42578125" customWidth="1"/>
    <col min="13067" max="13067" width="14.5703125" customWidth="1"/>
    <col min="13069" max="13069" width="13.7109375" customWidth="1"/>
    <col min="13314" max="13314" width="15.42578125" customWidth="1"/>
    <col min="13315" max="13318" width="16.85546875" customWidth="1"/>
    <col min="13319" max="13319" width="13.140625" customWidth="1"/>
    <col min="13320" max="13320" width="14" customWidth="1"/>
    <col min="13321" max="13321" width="12.5703125" customWidth="1"/>
    <col min="13322" max="13322" width="12.42578125" customWidth="1"/>
    <col min="13323" max="13323" width="14.5703125" customWidth="1"/>
    <col min="13325" max="13325" width="13.7109375" customWidth="1"/>
    <col min="13570" max="13570" width="15.42578125" customWidth="1"/>
    <col min="13571" max="13574" width="16.85546875" customWidth="1"/>
    <col min="13575" max="13575" width="13.140625" customWidth="1"/>
    <col min="13576" max="13576" width="14" customWidth="1"/>
    <col min="13577" max="13577" width="12.5703125" customWidth="1"/>
    <col min="13578" max="13578" width="12.42578125" customWidth="1"/>
    <col min="13579" max="13579" width="14.5703125" customWidth="1"/>
    <col min="13581" max="13581" width="13.7109375" customWidth="1"/>
    <col min="13826" max="13826" width="15.42578125" customWidth="1"/>
    <col min="13827" max="13830" width="16.85546875" customWidth="1"/>
    <col min="13831" max="13831" width="13.140625" customWidth="1"/>
    <col min="13832" max="13832" width="14" customWidth="1"/>
    <col min="13833" max="13833" width="12.5703125" customWidth="1"/>
    <col min="13834" max="13834" width="12.42578125" customWidth="1"/>
    <col min="13835" max="13835" width="14.5703125" customWidth="1"/>
    <col min="13837" max="13837" width="13.7109375" customWidth="1"/>
    <col min="14082" max="14082" width="15.42578125" customWidth="1"/>
    <col min="14083" max="14086" width="16.85546875" customWidth="1"/>
    <col min="14087" max="14087" width="13.140625" customWidth="1"/>
    <col min="14088" max="14088" width="14" customWidth="1"/>
    <col min="14089" max="14089" width="12.5703125" customWidth="1"/>
    <col min="14090" max="14090" width="12.42578125" customWidth="1"/>
    <col min="14091" max="14091" width="14.5703125" customWidth="1"/>
    <col min="14093" max="14093" width="13.7109375" customWidth="1"/>
    <col min="14338" max="14338" width="15.42578125" customWidth="1"/>
    <col min="14339" max="14342" width="16.85546875" customWidth="1"/>
    <col min="14343" max="14343" width="13.140625" customWidth="1"/>
    <col min="14344" max="14344" width="14" customWidth="1"/>
    <col min="14345" max="14345" width="12.5703125" customWidth="1"/>
    <col min="14346" max="14346" width="12.42578125" customWidth="1"/>
    <col min="14347" max="14347" width="14.5703125" customWidth="1"/>
    <col min="14349" max="14349" width="13.7109375" customWidth="1"/>
    <col min="14594" max="14594" width="15.42578125" customWidth="1"/>
    <col min="14595" max="14598" width="16.85546875" customWidth="1"/>
    <col min="14599" max="14599" width="13.140625" customWidth="1"/>
    <col min="14600" max="14600" width="14" customWidth="1"/>
    <col min="14601" max="14601" width="12.5703125" customWidth="1"/>
    <col min="14602" max="14602" width="12.42578125" customWidth="1"/>
    <col min="14603" max="14603" width="14.5703125" customWidth="1"/>
    <col min="14605" max="14605" width="13.7109375" customWidth="1"/>
    <col min="14850" max="14850" width="15.42578125" customWidth="1"/>
    <col min="14851" max="14854" width="16.85546875" customWidth="1"/>
    <col min="14855" max="14855" width="13.140625" customWidth="1"/>
    <col min="14856" max="14856" width="14" customWidth="1"/>
    <col min="14857" max="14857" width="12.5703125" customWidth="1"/>
    <col min="14858" max="14858" width="12.42578125" customWidth="1"/>
    <col min="14859" max="14859" width="14.5703125" customWidth="1"/>
    <col min="14861" max="14861" width="13.7109375" customWidth="1"/>
    <col min="15106" max="15106" width="15.42578125" customWidth="1"/>
    <col min="15107" max="15110" width="16.85546875" customWidth="1"/>
    <col min="15111" max="15111" width="13.140625" customWidth="1"/>
    <col min="15112" max="15112" width="14" customWidth="1"/>
    <col min="15113" max="15113" width="12.5703125" customWidth="1"/>
    <col min="15114" max="15114" width="12.42578125" customWidth="1"/>
    <col min="15115" max="15115" width="14.5703125" customWidth="1"/>
    <col min="15117" max="15117" width="13.7109375" customWidth="1"/>
    <col min="15362" max="15362" width="15.42578125" customWidth="1"/>
    <col min="15363" max="15366" width="16.85546875" customWidth="1"/>
    <col min="15367" max="15367" width="13.140625" customWidth="1"/>
    <col min="15368" max="15368" width="14" customWidth="1"/>
    <col min="15369" max="15369" width="12.5703125" customWidth="1"/>
    <col min="15370" max="15370" width="12.42578125" customWidth="1"/>
    <col min="15371" max="15371" width="14.5703125" customWidth="1"/>
    <col min="15373" max="15373" width="13.7109375" customWidth="1"/>
    <col min="15618" max="15618" width="15.42578125" customWidth="1"/>
    <col min="15619" max="15622" width="16.85546875" customWidth="1"/>
    <col min="15623" max="15623" width="13.140625" customWidth="1"/>
    <col min="15624" max="15624" width="14" customWidth="1"/>
    <col min="15625" max="15625" width="12.5703125" customWidth="1"/>
    <col min="15626" max="15626" width="12.42578125" customWidth="1"/>
    <col min="15627" max="15627" width="14.5703125" customWidth="1"/>
    <col min="15629" max="15629" width="13.7109375" customWidth="1"/>
    <col min="15874" max="15874" width="15.42578125" customWidth="1"/>
    <col min="15875" max="15878" width="16.85546875" customWidth="1"/>
    <col min="15879" max="15879" width="13.140625" customWidth="1"/>
    <col min="15880" max="15880" width="14" customWidth="1"/>
    <col min="15881" max="15881" width="12.5703125" customWidth="1"/>
    <col min="15882" max="15882" width="12.42578125" customWidth="1"/>
    <col min="15883" max="15883" width="14.5703125" customWidth="1"/>
    <col min="15885" max="15885" width="13.7109375" customWidth="1"/>
    <col min="16130" max="16130" width="15.42578125" customWidth="1"/>
    <col min="16131" max="16134" width="16.85546875" customWidth="1"/>
    <col min="16135" max="16135" width="13.140625" customWidth="1"/>
    <col min="16136" max="16136" width="14" customWidth="1"/>
    <col min="16137" max="16137" width="12.5703125" customWidth="1"/>
    <col min="16138" max="16138" width="12.42578125" customWidth="1"/>
    <col min="16139" max="16139" width="14.5703125" customWidth="1"/>
    <col min="16141" max="16141" width="13.7109375" customWidth="1"/>
  </cols>
  <sheetData>
    <row r="1" spans="1:14" x14ac:dyDescent="0.25">
      <c r="C1"/>
      <c r="D1"/>
      <c r="E1"/>
      <c r="F1"/>
      <c r="G1"/>
    </row>
    <row r="2" spans="1:14" x14ac:dyDescent="0.25">
      <c r="C2"/>
      <c r="D2"/>
      <c r="E2"/>
      <c r="F2" s="7" t="s">
        <v>13</v>
      </c>
      <c r="G2" s="1" t="b">
        <v>1</v>
      </c>
      <c r="I2" t="s">
        <v>19</v>
      </c>
      <c r="M2" t="s">
        <v>20</v>
      </c>
    </row>
    <row r="3" spans="1:14" x14ac:dyDescent="0.25">
      <c r="C3"/>
      <c r="D3"/>
      <c r="E3"/>
      <c r="F3" s="7" t="s">
        <v>14</v>
      </c>
      <c r="G3" s="1">
        <v>12</v>
      </c>
    </row>
    <row r="4" spans="1:14" x14ac:dyDescent="0.25">
      <c r="C4"/>
      <c r="D4"/>
      <c r="E4"/>
      <c r="F4" s="7"/>
      <c r="G4" s="1"/>
      <c r="I4" s="62">
        <f>SUM(I20:I320)</f>
        <v>119515.77879304695</v>
      </c>
      <c r="J4" t="s">
        <v>21</v>
      </c>
      <c r="M4" s="62">
        <f>SUM(K20:K320)</f>
        <v>154248.77295226872</v>
      </c>
      <c r="N4" t="s">
        <v>21</v>
      </c>
    </row>
    <row r="5" spans="1:14" x14ac:dyDescent="0.25">
      <c r="C5"/>
      <c r="D5"/>
      <c r="E5" s="11"/>
      <c r="F5" s="7" t="s">
        <v>15</v>
      </c>
      <c r="G5" s="1" t="b">
        <v>1</v>
      </c>
      <c r="I5" s="63">
        <f>IRR(I20:I320)</f>
        <v>4.9999999999998934E-3</v>
      </c>
      <c r="J5" s="38" t="s">
        <v>22</v>
      </c>
      <c r="M5" s="63">
        <f>IRR(K20:K320)</f>
        <v>6.4775031194896915E-3</v>
      </c>
      <c r="N5" s="38" t="s">
        <v>22</v>
      </c>
    </row>
    <row r="6" spans="1:14" x14ac:dyDescent="0.25">
      <c r="C6"/>
      <c r="D6"/>
      <c r="E6" s="53"/>
      <c r="F6" s="7" t="s">
        <v>16</v>
      </c>
      <c r="G6" s="1">
        <v>24</v>
      </c>
      <c r="I6" s="63">
        <f>I5*12</f>
        <v>5.9999999999998721E-2</v>
      </c>
      <c r="J6" s="38" t="s">
        <v>23</v>
      </c>
      <c r="M6" s="63">
        <f>M5*12</f>
        <v>7.7730037433876298E-2</v>
      </c>
      <c r="N6" s="38" t="s">
        <v>23</v>
      </c>
    </row>
    <row r="7" spans="1:14" x14ac:dyDescent="0.25">
      <c r="A7" s="54"/>
      <c r="C7"/>
      <c r="D7"/>
      <c r="E7" s="53"/>
      <c r="F7" s="23"/>
      <c r="G7" s="19"/>
      <c r="I7" s="63">
        <f>(1+I5)^12-1</f>
        <v>6.1677811864497611E-2</v>
      </c>
      <c r="J7" s="38" t="s">
        <v>24</v>
      </c>
      <c r="M7" s="63">
        <f>(1+M5)^12-1</f>
        <v>8.0559941393483436E-2</v>
      </c>
      <c r="N7" s="38" t="s">
        <v>24</v>
      </c>
    </row>
    <row r="8" spans="1:14" x14ac:dyDescent="0.25">
      <c r="C8"/>
      <c r="D8"/>
      <c r="E8" s="55"/>
      <c r="F8" s="23" t="s">
        <v>17</v>
      </c>
      <c r="G8" s="56">
        <f>-SUM(D21:D32)/H20</f>
        <v>0.06</v>
      </c>
    </row>
    <row r="9" spans="1:14" ht="15.75" thickBot="1" x14ac:dyDescent="0.3">
      <c r="A9" s="1"/>
      <c r="B9" s="2"/>
      <c r="C9" s="2"/>
      <c r="D9" s="3"/>
      <c r="E9" s="2"/>
      <c r="H9" s="1"/>
      <c r="I9" s="64">
        <v>0.12</v>
      </c>
      <c r="J9" t="s">
        <v>25</v>
      </c>
      <c r="M9" s="64">
        <v>0.12</v>
      </c>
      <c r="N9" t="s">
        <v>25</v>
      </c>
    </row>
    <row r="10" spans="1:14" ht="15.75" thickTop="1" x14ac:dyDescent="0.25">
      <c r="A10" s="1"/>
      <c r="B10" s="4" t="s">
        <v>0</v>
      </c>
      <c r="C10" s="5">
        <v>1000000</v>
      </c>
      <c r="D10" s="6"/>
      <c r="E10" s="2"/>
      <c r="H10" s="1"/>
      <c r="I10" s="64">
        <f>I9/12</f>
        <v>0.01</v>
      </c>
      <c r="J10" t="s">
        <v>26</v>
      </c>
      <c r="M10" s="64">
        <f>M9/12</f>
        <v>0.01</v>
      </c>
      <c r="N10" t="s">
        <v>26</v>
      </c>
    </row>
    <row r="11" spans="1:14" x14ac:dyDescent="0.25">
      <c r="A11" s="1"/>
      <c r="B11" s="8" t="s">
        <v>1</v>
      </c>
      <c r="C11" s="9">
        <v>0.06</v>
      </c>
      <c r="D11" s="10"/>
      <c r="E11" s="2"/>
      <c r="F11" s="46" t="s">
        <v>27</v>
      </c>
      <c r="G11" s="63">
        <v>0.02</v>
      </c>
      <c r="H11" s="1"/>
      <c r="I11" s="65">
        <f>NPV(I10, I20:I320)</f>
        <v>-104774.90001945919</v>
      </c>
      <c r="J11" t="s">
        <v>28</v>
      </c>
      <c r="M11" s="65">
        <f>NPV(M10, K20:K320)</f>
        <v>-73484.595905266484</v>
      </c>
      <c r="N11" t="s">
        <v>28</v>
      </c>
    </row>
    <row r="12" spans="1:14" x14ac:dyDescent="0.25">
      <c r="A12" s="1"/>
      <c r="B12" s="8" t="s">
        <v>2</v>
      </c>
      <c r="C12" s="12">
        <f>C11/12</f>
        <v>5.0000000000000001E-3</v>
      </c>
      <c r="D12" s="13">
        <f>(1+C11)^(1/12)-1</f>
        <v>4.8675505653430484E-3</v>
      </c>
      <c r="E12" s="2"/>
      <c r="F12" s="46" t="s">
        <v>29</v>
      </c>
      <c r="G12" s="66">
        <v>1.4999999999999999E-2</v>
      </c>
      <c r="H12" s="1"/>
    </row>
    <row r="13" spans="1:14" x14ac:dyDescent="0.25">
      <c r="A13" s="1"/>
      <c r="B13" s="8" t="s">
        <v>4</v>
      </c>
      <c r="C13" s="15">
        <v>25</v>
      </c>
      <c r="D13" s="13"/>
      <c r="E13" s="2"/>
      <c r="H13" s="1"/>
    </row>
    <row r="14" spans="1:14" ht="15.75" thickBot="1" x14ac:dyDescent="0.3">
      <c r="A14" s="1"/>
      <c r="B14" s="16" t="s">
        <v>5</v>
      </c>
      <c r="C14" s="17">
        <f>C13*12</f>
        <v>300</v>
      </c>
      <c r="D14" s="18"/>
      <c r="E14" s="2"/>
      <c r="H14" s="1"/>
    </row>
    <row r="15" spans="1:14" ht="15.75" thickTop="1" x14ac:dyDescent="0.25">
      <c r="A15" s="19"/>
      <c r="B15" s="20"/>
      <c r="C15" s="19"/>
      <c r="D15" s="21"/>
      <c r="E15" s="22"/>
      <c r="H15" s="19"/>
    </row>
    <row r="16" spans="1:14" x14ac:dyDescent="0.25">
      <c r="A16" s="19"/>
      <c r="B16" s="19"/>
      <c r="C16" s="19"/>
      <c r="D16" s="21"/>
      <c r="E16" s="22"/>
      <c r="H16" s="19"/>
    </row>
    <row r="17" spans="1:11" x14ac:dyDescent="0.25">
      <c r="A17" s="1"/>
      <c r="B17" s="2"/>
      <c r="C17" s="2"/>
      <c r="D17" s="3"/>
      <c r="E17" s="2"/>
      <c r="F17" s="7"/>
      <c r="G17" s="1"/>
      <c r="H17" s="1"/>
    </row>
    <row r="18" spans="1:11" x14ac:dyDescent="0.25">
      <c r="A18" s="1"/>
      <c r="B18" s="2"/>
      <c r="C18" s="2"/>
      <c r="D18" s="3"/>
      <c r="E18" s="2"/>
      <c r="F18" s="7"/>
      <c r="G18" s="1"/>
      <c r="H18" s="1"/>
    </row>
    <row r="19" spans="1:11" s="71" customFormat="1" ht="26.25" thickBot="1" x14ac:dyDescent="0.25">
      <c r="A19" s="67" t="s">
        <v>6</v>
      </c>
      <c r="B19" s="67" t="s">
        <v>7</v>
      </c>
      <c r="C19" s="67" t="s">
        <v>8</v>
      </c>
      <c r="D19" s="68" t="s">
        <v>9</v>
      </c>
      <c r="E19" s="67" t="s">
        <v>10</v>
      </c>
      <c r="F19" s="67" t="s">
        <v>11</v>
      </c>
      <c r="G19" s="69" t="s">
        <v>18</v>
      </c>
      <c r="H19" s="70" t="s">
        <v>12</v>
      </c>
      <c r="I19" s="67" t="s">
        <v>30</v>
      </c>
      <c r="J19" s="67" t="s">
        <v>31</v>
      </c>
      <c r="K19" s="67" t="s">
        <v>32</v>
      </c>
    </row>
    <row r="20" spans="1:11" x14ac:dyDescent="0.25">
      <c r="A20" s="28"/>
      <c r="B20" s="29">
        <v>0</v>
      </c>
      <c r="C20" s="30"/>
      <c r="D20" s="31"/>
      <c r="E20" s="32"/>
      <c r="F20" s="32"/>
      <c r="H20" s="32">
        <f>C10</f>
        <v>1000000</v>
      </c>
      <c r="I20" s="46">
        <f>-H20</f>
        <v>-1000000</v>
      </c>
      <c r="J20" s="46">
        <f>G11*H20</f>
        <v>20000</v>
      </c>
      <c r="K20" s="46">
        <f>I20+J20</f>
        <v>-980000</v>
      </c>
    </row>
    <row r="21" spans="1:11" s="38" customFormat="1" x14ac:dyDescent="0.25">
      <c r="A21" s="33">
        <v>1</v>
      </c>
      <c r="B21" s="34">
        <v>1</v>
      </c>
      <c r="C21" s="35">
        <f t="shared" ref="C21:C31" si="0">H20</f>
        <v>1000000</v>
      </c>
      <c r="D21" s="36">
        <f t="shared" ref="D21:D84" si="1">IF(C21=0,0, IF(AND($G$2, B21&lt;=$G$3), F21, PMT($C$12, $C$14, $C$10)))</f>
        <v>-5000</v>
      </c>
      <c r="E21" s="36">
        <f t="shared" ref="E21:E31" si="2">IF(AND($G$2, B21&lt;=$G$3), 0, D21-F21)</f>
        <v>0</v>
      </c>
      <c r="F21" s="36">
        <f t="shared" ref="F21:F31" si="3">-H20*$C$12</f>
        <v>-5000</v>
      </c>
      <c r="G21" s="35">
        <f t="shared" ref="G21:G31" si="4">IF(AND($G$5, B21=$G$6), C21+E21, 0)</f>
        <v>0</v>
      </c>
      <c r="H21" s="36">
        <f t="shared" ref="H21:H31" si="5">IF(C21+E21-G21&lt;=0, 0, C21+E21-G21)</f>
        <v>1000000</v>
      </c>
      <c r="I21" s="35">
        <f t="shared" ref="I21:I31" si="6">-D21+G21</f>
        <v>5000</v>
      </c>
      <c r="J21" s="35">
        <f t="shared" ref="J21:J84" si="7">IF(B21=$G$6, $G$12*G21, 0)</f>
        <v>0</v>
      </c>
      <c r="K21" s="46">
        <f t="shared" ref="K21:K84" si="8">I21+J21</f>
        <v>5000</v>
      </c>
    </row>
    <row r="22" spans="1:11" s="38" customFormat="1" x14ac:dyDescent="0.25">
      <c r="A22" s="33">
        <v>1</v>
      </c>
      <c r="B22" s="34">
        <f t="shared" ref="B22:B85" si="9">+B21+1</f>
        <v>2</v>
      </c>
      <c r="C22" s="35">
        <f t="shared" si="0"/>
        <v>1000000</v>
      </c>
      <c r="D22" s="36">
        <f t="shared" si="1"/>
        <v>-5000</v>
      </c>
      <c r="E22" s="36">
        <f t="shared" si="2"/>
        <v>0</v>
      </c>
      <c r="F22" s="36">
        <f t="shared" si="3"/>
        <v>-5000</v>
      </c>
      <c r="G22" s="35">
        <f t="shared" si="4"/>
        <v>0</v>
      </c>
      <c r="H22" s="36">
        <f t="shared" si="5"/>
        <v>1000000</v>
      </c>
      <c r="I22" s="35">
        <f t="shared" si="6"/>
        <v>5000</v>
      </c>
      <c r="J22" s="35">
        <f t="shared" si="7"/>
        <v>0</v>
      </c>
      <c r="K22" s="46">
        <f t="shared" si="8"/>
        <v>5000</v>
      </c>
    </row>
    <row r="23" spans="1:11" s="38" customFormat="1" x14ac:dyDescent="0.25">
      <c r="A23" s="33">
        <v>1</v>
      </c>
      <c r="B23" s="34">
        <f t="shared" si="9"/>
        <v>3</v>
      </c>
      <c r="C23" s="35">
        <f t="shared" si="0"/>
        <v>1000000</v>
      </c>
      <c r="D23" s="36">
        <f t="shared" si="1"/>
        <v>-5000</v>
      </c>
      <c r="E23" s="36">
        <f t="shared" si="2"/>
        <v>0</v>
      </c>
      <c r="F23" s="36">
        <f t="shared" si="3"/>
        <v>-5000</v>
      </c>
      <c r="G23" s="35">
        <f t="shared" si="4"/>
        <v>0</v>
      </c>
      <c r="H23" s="36">
        <f t="shared" si="5"/>
        <v>1000000</v>
      </c>
      <c r="I23" s="35">
        <f t="shared" si="6"/>
        <v>5000</v>
      </c>
      <c r="J23" s="35">
        <f t="shared" si="7"/>
        <v>0</v>
      </c>
      <c r="K23" s="46">
        <f t="shared" si="8"/>
        <v>5000</v>
      </c>
    </row>
    <row r="24" spans="1:11" s="38" customFormat="1" x14ac:dyDescent="0.25">
      <c r="A24" s="33">
        <v>1</v>
      </c>
      <c r="B24" s="34">
        <f t="shared" si="9"/>
        <v>4</v>
      </c>
      <c r="C24" s="35">
        <f t="shared" si="0"/>
        <v>1000000</v>
      </c>
      <c r="D24" s="36">
        <f t="shared" si="1"/>
        <v>-5000</v>
      </c>
      <c r="E24" s="36">
        <f t="shared" si="2"/>
        <v>0</v>
      </c>
      <c r="F24" s="36">
        <f t="shared" si="3"/>
        <v>-5000</v>
      </c>
      <c r="G24" s="35">
        <f t="shared" si="4"/>
        <v>0</v>
      </c>
      <c r="H24" s="36">
        <f t="shared" si="5"/>
        <v>1000000</v>
      </c>
      <c r="I24" s="35">
        <f t="shared" si="6"/>
        <v>5000</v>
      </c>
      <c r="J24" s="35">
        <f t="shared" si="7"/>
        <v>0</v>
      </c>
      <c r="K24" s="46">
        <f t="shared" si="8"/>
        <v>5000</v>
      </c>
    </row>
    <row r="25" spans="1:11" s="38" customFormat="1" x14ac:dyDescent="0.25">
      <c r="A25" s="33">
        <v>1</v>
      </c>
      <c r="B25" s="34">
        <f t="shared" si="9"/>
        <v>5</v>
      </c>
      <c r="C25" s="35">
        <f t="shared" si="0"/>
        <v>1000000</v>
      </c>
      <c r="D25" s="36">
        <f t="shared" si="1"/>
        <v>-5000</v>
      </c>
      <c r="E25" s="36">
        <f t="shared" si="2"/>
        <v>0</v>
      </c>
      <c r="F25" s="36">
        <f t="shared" si="3"/>
        <v>-5000</v>
      </c>
      <c r="G25" s="35">
        <f t="shared" si="4"/>
        <v>0</v>
      </c>
      <c r="H25" s="36">
        <f t="shared" si="5"/>
        <v>1000000</v>
      </c>
      <c r="I25" s="35">
        <f t="shared" si="6"/>
        <v>5000</v>
      </c>
      <c r="J25" s="35">
        <f t="shared" si="7"/>
        <v>0</v>
      </c>
      <c r="K25" s="46">
        <f t="shared" si="8"/>
        <v>5000</v>
      </c>
    </row>
    <row r="26" spans="1:11" s="38" customFormat="1" x14ac:dyDescent="0.25">
      <c r="A26" s="33">
        <v>1</v>
      </c>
      <c r="B26" s="39">
        <f t="shared" si="9"/>
        <v>6</v>
      </c>
      <c r="C26" s="35">
        <f t="shared" si="0"/>
        <v>1000000</v>
      </c>
      <c r="D26" s="36">
        <f t="shared" si="1"/>
        <v>-5000</v>
      </c>
      <c r="E26" s="36">
        <f t="shared" si="2"/>
        <v>0</v>
      </c>
      <c r="F26" s="36">
        <f t="shared" si="3"/>
        <v>-5000</v>
      </c>
      <c r="G26" s="35">
        <f t="shared" si="4"/>
        <v>0</v>
      </c>
      <c r="H26" s="36">
        <f t="shared" si="5"/>
        <v>1000000</v>
      </c>
      <c r="I26" s="35">
        <f t="shared" si="6"/>
        <v>5000</v>
      </c>
      <c r="J26" s="35">
        <f t="shared" si="7"/>
        <v>0</v>
      </c>
      <c r="K26" s="46">
        <f t="shared" si="8"/>
        <v>5000</v>
      </c>
    </row>
    <row r="27" spans="1:11" s="38" customFormat="1" x14ac:dyDescent="0.25">
      <c r="A27" s="33">
        <v>1</v>
      </c>
      <c r="B27" s="39">
        <f t="shared" si="9"/>
        <v>7</v>
      </c>
      <c r="C27" s="35">
        <f t="shared" si="0"/>
        <v>1000000</v>
      </c>
      <c r="D27" s="36">
        <f t="shared" si="1"/>
        <v>-5000</v>
      </c>
      <c r="E27" s="36">
        <f t="shared" si="2"/>
        <v>0</v>
      </c>
      <c r="F27" s="36">
        <f t="shared" si="3"/>
        <v>-5000</v>
      </c>
      <c r="G27" s="35">
        <f t="shared" si="4"/>
        <v>0</v>
      </c>
      <c r="H27" s="36">
        <f t="shared" si="5"/>
        <v>1000000</v>
      </c>
      <c r="I27" s="35">
        <f t="shared" si="6"/>
        <v>5000</v>
      </c>
      <c r="J27" s="35">
        <f t="shared" si="7"/>
        <v>0</v>
      </c>
      <c r="K27" s="46">
        <f t="shared" si="8"/>
        <v>5000</v>
      </c>
    </row>
    <row r="28" spans="1:11" s="38" customFormat="1" x14ac:dyDescent="0.25">
      <c r="A28" s="33">
        <v>1</v>
      </c>
      <c r="B28" s="39">
        <f t="shared" si="9"/>
        <v>8</v>
      </c>
      <c r="C28" s="35">
        <f t="shared" si="0"/>
        <v>1000000</v>
      </c>
      <c r="D28" s="36">
        <f t="shared" si="1"/>
        <v>-5000</v>
      </c>
      <c r="E28" s="36">
        <f t="shared" si="2"/>
        <v>0</v>
      </c>
      <c r="F28" s="36">
        <f t="shared" si="3"/>
        <v>-5000</v>
      </c>
      <c r="G28" s="35">
        <f t="shared" si="4"/>
        <v>0</v>
      </c>
      <c r="H28" s="36">
        <f t="shared" si="5"/>
        <v>1000000</v>
      </c>
      <c r="I28" s="35">
        <f t="shared" si="6"/>
        <v>5000</v>
      </c>
      <c r="J28" s="35">
        <f t="shared" si="7"/>
        <v>0</v>
      </c>
      <c r="K28" s="46">
        <f t="shared" si="8"/>
        <v>5000</v>
      </c>
    </row>
    <row r="29" spans="1:11" s="38" customFormat="1" x14ac:dyDescent="0.25">
      <c r="A29" s="33">
        <v>1</v>
      </c>
      <c r="B29" s="39">
        <f t="shared" si="9"/>
        <v>9</v>
      </c>
      <c r="C29" s="35">
        <f t="shared" si="0"/>
        <v>1000000</v>
      </c>
      <c r="D29" s="36">
        <f t="shared" si="1"/>
        <v>-5000</v>
      </c>
      <c r="E29" s="36">
        <f t="shared" si="2"/>
        <v>0</v>
      </c>
      <c r="F29" s="36">
        <f t="shared" si="3"/>
        <v>-5000</v>
      </c>
      <c r="G29" s="35">
        <f t="shared" si="4"/>
        <v>0</v>
      </c>
      <c r="H29" s="36">
        <f t="shared" si="5"/>
        <v>1000000</v>
      </c>
      <c r="I29" s="35">
        <f t="shared" si="6"/>
        <v>5000</v>
      </c>
      <c r="J29" s="35">
        <f t="shared" si="7"/>
        <v>0</v>
      </c>
      <c r="K29" s="46">
        <f t="shared" si="8"/>
        <v>5000</v>
      </c>
    </row>
    <row r="30" spans="1:11" s="38" customFormat="1" x14ac:dyDescent="0.25">
      <c r="A30" s="33">
        <v>1</v>
      </c>
      <c r="B30" s="39">
        <f t="shared" si="9"/>
        <v>10</v>
      </c>
      <c r="C30" s="35">
        <f t="shared" si="0"/>
        <v>1000000</v>
      </c>
      <c r="D30" s="36">
        <f t="shared" si="1"/>
        <v>-5000</v>
      </c>
      <c r="E30" s="36">
        <f t="shared" si="2"/>
        <v>0</v>
      </c>
      <c r="F30" s="36">
        <f t="shared" si="3"/>
        <v>-5000</v>
      </c>
      <c r="G30" s="35">
        <f t="shared" si="4"/>
        <v>0</v>
      </c>
      <c r="H30" s="36">
        <f t="shared" si="5"/>
        <v>1000000</v>
      </c>
      <c r="I30" s="35">
        <f t="shared" si="6"/>
        <v>5000</v>
      </c>
      <c r="J30" s="35">
        <f t="shared" si="7"/>
        <v>0</v>
      </c>
      <c r="K30" s="46">
        <f t="shared" si="8"/>
        <v>5000</v>
      </c>
    </row>
    <row r="31" spans="1:11" s="38" customFormat="1" x14ac:dyDescent="0.25">
      <c r="A31" s="33">
        <v>1</v>
      </c>
      <c r="B31" s="39">
        <f t="shared" si="9"/>
        <v>11</v>
      </c>
      <c r="C31" s="35">
        <f t="shared" si="0"/>
        <v>1000000</v>
      </c>
      <c r="D31" s="36">
        <f t="shared" si="1"/>
        <v>-5000</v>
      </c>
      <c r="E31" s="36">
        <f t="shared" si="2"/>
        <v>0</v>
      </c>
      <c r="F31" s="36">
        <f t="shared" si="3"/>
        <v>-5000</v>
      </c>
      <c r="G31" s="35">
        <f t="shared" si="4"/>
        <v>0</v>
      </c>
      <c r="H31" s="36">
        <f t="shared" si="5"/>
        <v>1000000</v>
      </c>
      <c r="I31" s="35">
        <f t="shared" si="6"/>
        <v>5000</v>
      </c>
      <c r="J31" s="35">
        <f t="shared" si="7"/>
        <v>0</v>
      </c>
      <c r="K31" s="46">
        <f t="shared" si="8"/>
        <v>5000</v>
      </c>
    </row>
    <row r="32" spans="1:11" s="38" customFormat="1" x14ac:dyDescent="0.25">
      <c r="A32" s="33">
        <v>1</v>
      </c>
      <c r="B32" s="39">
        <f t="shared" si="9"/>
        <v>12</v>
      </c>
      <c r="C32" s="35">
        <f>H31</f>
        <v>1000000</v>
      </c>
      <c r="D32" s="36">
        <f t="shared" si="1"/>
        <v>-5000</v>
      </c>
      <c r="E32" s="36">
        <f>IF(AND($G$2, B32&lt;=$G$3), 0, D32-F32)</f>
        <v>0</v>
      </c>
      <c r="F32" s="36">
        <f>-H31*$C$12</f>
        <v>-5000</v>
      </c>
      <c r="G32" s="35">
        <f>IF(AND($G$5, B32=$G$6), C32+E32, 0)</f>
        <v>0</v>
      </c>
      <c r="H32" s="36">
        <f>IF(C32+E32-G32&lt;=0, 0, C32+E32-G32)</f>
        <v>1000000</v>
      </c>
      <c r="I32" s="35">
        <f>-D32+G32</f>
        <v>5000</v>
      </c>
      <c r="J32" s="35">
        <f t="shared" si="7"/>
        <v>0</v>
      </c>
      <c r="K32" s="46">
        <f t="shared" si="8"/>
        <v>5000</v>
      </c>
    </row>
    <row r="33" spans="1:11" s="38" customFormat="1" x14ac:dyDescent="0.25">
      <c r="A33" s="40">
        <f>A21+1</f>
        <v>2</v>
      </c>
      <c r="B33" s="39">
        <f t="shared" si="9"/>
        <v>13</v>
      </c>
      <c r="C33" s="35">
        <f t="shared" ref="C33:C96" si="10">H32</f>
        <v>1000000</v>
      </c>
      <c r="D33" s="36">
        <f t="shared" si="1"/>
        <v>-6443.0140148550854</v>
      </c>
      <c r="E33" s="36">
        <f t="shared" ref="E33:E96" si="11">IF(AND($G$2, B33&lt;=$G$3), 0, D33-F33)</f>
        <v>-1443.0140148550854</v>
      </c>
      <c r="F33" s="36">
        <f t="shared" ref="F33:F96" si="12">-H32*$C$12</f>
        <v>-5000</v>
      </c>
      <c r="G33" s="35">
        <f t="shared" ref="G33:G96" si="13">IF(AND($G$5, B33=$G$6), C33+E33, 0)</f>
        <v>0</v>
      </c>
      <c r="H33" s="36">
        <f t="shared" ref="H33:H43" si="14">IF(C33+E33-G33&lt;=0, 0, C33+E33-G33)</f>
        <v>998556.98598514497</v>
      </c>
      <c r="I33" s="35">
        <f t="shared" ref="I33:I43" si="15">-D33+G33</f>
        <v>6443.0140148550854</v>
      </c>
      <c r="J33" s="35">
        <f t="shared" si="7"/>
        <v>0</v>
      </c>
      <c r="K33" s="46">
        <f t="shared" si="8"/>
        <v>6443.0140148550854</v>
      </c>
    </row>
    <row r="34" spans="1:11" s="38" customFormat="1" x14ac:dyDescent="0.25">
      <c r="A34" s="40">
        <f>A33</f>
        <v>2</v>
      </c>
      <c r="B34" s="39">
        <f t="shared" si="9"/>
        <v>14</v>
      </c>
      <c r="C34" s="35">
        <f t="shared" si="10"/>
        <v>998556.98598514497</v>
      </c>
      <c r="D34" s="36">
        <f t="shared" si="1"/>
        <v>-6443.0140148550854</v>
      </c>
      <c r="E34" s="36">
        <f t="shared" si="11"/>
        <v>-1450.2290849293604</v>
      </c>
      <c r="F34" s="36">
        <f t="shared" si="12"/>
        <v>-4992.784929925725</v>
      </c>
      <c r="G34" s="35">
        <f t="shared" si="13"/>
        <v>0</v>
      </c>
      <c r="H34" s="36">
        <f t="shared" si="14"/>
        <v>997106.75690021564</v>
      </c>
      <c r="I34" s="35">
        <f t="shared" si="15"/>
        <v>6443.0140148550854</v>
      </c>
      <c r="J34" s="35">
        <f t="shared" si="7"/>
        <v>0</v>
      </c>
      <c r="K34" s="46">
        <f t="shared" si="8"/>
        <v>6443.0140148550854</v>
      </c>
    </row>
    <row r="35" spans="1:11" s="38" customFormat="1" x14ac:dyDescent="0.25">
      <c r="A35" s="40">
        <f t="shared" ref="A35:A44" si="16">A34</f>
        <v>2</v>
      </c>
      <c r="B35" s="39">
        <f t="shared" si="9"/>
        <v>15</v>
      </c>
      <c r="C35" s="35">
        <f t="shared" si="10"/>
        <v>997106.75690021564</v>
      </c>
      <c r="D35" s="36">
        <f t="shared" si="1"/>
        <v>-6443.0140148550854</v>
      </c>
      <c r="E35" s="36">
        <f t="shared" si="11"/>
        <v>-1457.4802303540073</v>
      </c>
      <c r="F35" s="36">
        <f t="shared" si="12"/>
        <v>-4985.5337845010781</v>
      </c>
      <c r="G35" s="35">
        <f t="shared" si="13"/>
        <v>0</v>
      </c>
      <c r="H35" s="36">
        <f t="shared" si="14"/>
        <v>995649.27666986163</v>
      </c>
      <c r="I35" s="35">
        <f t="shared" si="15"/>
        <v>6443.0140148550854</v>
      </c>
      <c r="J35" s="35">
        <f t="shared" si="7"/>
        <v>0</v>
      </c>
      <c r="K35" s="46">
        <f t="shared" si="8"/>
        <v>6443.0140148550854</v>
      </c>
    </row>
    <row r="36" spans="1:11" s="38" customFormat="1" x14ac:dyDescent="0.25">
      <c r="A36" s="40">
        <f t="shared" si="16"/>
        <v>2</v>
      </c>
      <c r="B36" s="39">
        <f t="shared" si="9"/>
        <v>16</v>
      </c>
      <c r="C36" s="35">
        <f t="shared" si="10"/>
        <v>995649.27666986163</v>
      </c>
      <c r="D36" s="36">
        <f t="shared" si="1"/>
        <v>-6443.0140148550854</v>
      </c>
      <c r="E36" s="36">
        <f t="shared" si="11"/>
        <v>-1464.767631505777</v>
      </c>
      <c r="F36" s="36">
        <f t="shared" si="12"/>
        <v>-4978.2463833493084</v>
      </c>
      <c r="G36" s="35">
        <f t="shared" si="13"/>
        <v>0</v>
      </c>
      <c r="H36" s="36">
        <f t="shared" si="14"/>
        <v>994184.5090383559</v>
      </c>
      <c r="I36" s="35">
        <f t="shared" si="15"/>
        <v>6443.0140148550854</v>
      </c>
      <c r="J36" s="35">
        <f t="shared" si="7"/>
        <v>0</v>
      </c>
      <c r="K36" s="46">
        <f t="shared" si="8"/>
        <v>6443.0140148550854</v>
      </c>
    </row>
    <row r="37" spans="1:11" s="38" customFormat="1" x14ac:dyDescent="0.25">
      <c r="A37" s="40">
        <f t="shared" si="16"/>
        <v>2</v>
      </c>
      <c r="B37" s="39">
        <f t="shared" si="9"/>
        <v>17</v>
      </c>
      <c r="C37" s="35">
        <f t="shared" si="10"/>
        <v>994184.5090383559</v>
      </c>
      <c r="D37" s="36">
        <f t="shared" si="1"/>
        <v>-6443.0140148550854</v>
      </c>
      <c r="E37" s="36">
        <f t="shared" si="11"/>
        <v>-1472.0914696633054</v>
      </c>
      <c r="F37" s="36">
        <f t="shared" si="12"/>
        <v>-4970.92254519178</v>
      </c>
      <c r="G37" s="35">
        <f t="shared" si="13"/>
        <v>0</v>
      </c>
      <c r="H37" s="36">
        <f t="shared" si="14"/>
        <v>992712.41756869259</v>
      </c>
      <c r="I37" s="35">
        <f t="shared" si="15"/>
        <v>6443.0140148550854</v>
      </c>
      <c r="J37" s="35">
        <f t="shared" si="7"/>
        <v>0</v>
      </c>
      <c r="K37" s="46">
        <f t="shared" si="8"/>
        <v>6443.0140148550854</v>
      </c>
    </row>
    <row r="38" spans="1:11" s="38" customFormat="1" x14ac:dyDescent="0.25">
      <c r="A38" s="40">
        <f t="shared" si="16"/>
        <v>2</v>
      </c>
      <c r="B38" s="39">
        <f t="shared" si="9"/>
        <v>18</v>
      </c>
      <c r="C38" s="35">
        <f t="shared" si="10"/>
        <v>992712.41756869259</v>
      </c>
      <c r="D38" s="36">
        <f t="shared" si="1"/>
        <v>-6443.0140148550854</v>
      </c>
      <c r="E38" s="36">
        <f t="shared" si="11"/>
        <v>-1479.4519270116225</v>
      </c>
      <c r="F38" s="36">
        <f t="shared" si="12"/>
        <v>-4963.5620878434629</v>
      </c>
      <c r="G38" s="35">
        <f t="shared" si="13"/>
        <v>0</v>
      </c>
      <c r="H38" s="36">
        <f t="shared" si="14"/>
        <v>991232.96564168099</v>
      </c>
      <c r="I38" s="35">
        <f t="shared" si="15"/>
        <v>6443.0140148550854</v>
      </c>
      <c r="J38" s="35">
        <f t="shared" si="7"/>
        <v>0</v>
      </c>
      <c r="K38" s="46">
        <f t="shared" si="8"/>
        <v>6443.0140148550854</v>
      </c>
    </row>
    <row r="39" spans="1:11" s="38" customFormat="1" x14ac:dyDescent="0.25">
      <c r="A39" s="40">
        <f t="shared" si="16"/>
        <v>2</v>
      </c>
      <c r="B39" s="39">
        <f t="shared" si="9"/>
        <v>19</v>
      </c>
      <c r="C39" s="35">
        <f t="shared" si="10"/>
        <v>991232.96564168099</v>
      </c>
      <c r="D39" s="36">
        <f t="shared" si="1"/>
        <v>-6443.0140148550854</v>
      </c>
      <c r="E39" s="36">
        <f t="shared" si="11"/>
        <v>-1486.8491866466802</v>
      </c>
      <c r="F39" s="36">
        <f t="shared" si="12"/>
        <v>-4956.1648282084052</v>
      </c>
      <c r="G39" s="35">
        <f t="shared" si="13"/>
        <v>0</v>
      </c>
      <c r="H39" s="36">
        <f t="shared" si="14"/>
        <v>989746.11645503435</v>
      </c>
      <c r="I39" s="35">
        <f t="shared" si="15"/>
        <v>6443.0140148550854</v>
      </c>
      <c r="J39" s="35">
        <f t="shared" si="7"/>
        <v>0</v>
      </c>
      <c r="K39" s="46">
        <f t="shared" si="8"/>
        <v>6443.0140148550854</v>
      </c>
    </row>
    <row r="40" spans="1:11" s="38" customFormat="1" x14ac:dyDescent="0.25">
      <c r="A40" s="40">
        <f t="shared" si="16"/>
        <v>2</v>
      </c>
      <c r="B40" s="39">
        <f t="shared" si="9"/>
        <v>20</v>
      </c>
      <c r="C40" s="35">
        <f t="shared" si="10"/>
        <v>989746.11645503435</v>
      </c>
      <c r="D40" s="36">
        <f t="shared" si="1"/>
        <v>-6443.0140148550854</v>
      </c>
      <c r="E40" s="36">
        <f t="shared" si="11"/>
        <v>-1494.2834325799131</v>
      </c>
      <c r="F40" s="36">
        <f t="shared" si="12"/>
        <v>-4948.7305822751723</v>
      </c>
      <c r="G40" s="35">
        <f t="shared" si="13"/>
        <v>0</v>
      </c>
      <c r="H40" s="36">
        <f t="shared" si="14"/>
        <v>988251.8330224544</v>
      </c>
      <c r="I40" s="35">
        <f t="shared" si="15"/>
        <v>6443.0140148550854</v>
      </c>
      <c r="J40" s="35">
        <f t="shared" si="7"/>
        <v>0</v>
      </c>
      <c r="K40" s="46">
        <f t="shared" si="8"/>
        <v>6443.0140148550854</v>
      </c>
    </row>
    <row r="41" spans="1:11" s="38" customFormat="1" x14ac:dyDescent="0.25">
      <c r="A41" s="40">
        <f t="shared" si="16"/>
        <v>2</v>
      </c>
      <c r="B41" s="39">
        <f t="shared" si="9"/>
        <v>21</v>
      </c>
      <c r="C41" s="35">
        <f t="shared" si="10"/>
        <v>988251.8330224544</v>
      </c>
      <c r="D41" s="36">
        <f t="shared" si="1"/>
        <v>-6443.0140148550854</v>
      </c>
      <c r="E41" s="36">
        <f t="shared" si="11"/>
        <v>-1501.7548497428133</v>
      </c>
      <c r="F41" s="36">
        <f t="shared" si="12"/>
        <v>-4941.2591651122721</v>
      </c>
      <c r="G41" s="35">
        <f t="shared" si="13"/>
        <v>0</v>
      </c>
      <c r="H41" s="36">
        <f t="shared" si="14"/>
        <v>986750.07817271154</v>
      </c>
      <c r="I41" s="35">
        <f t="shared" si="15"/>
        <v>6443.0140148550854</v>
      </c>
      <c r="J41" s="35">
        <f t="shared" si="7"/>
        <v>0</v>
      </c>
      <c r="K41" s="46">
        <f t="shared" si="8"/>
        <v>6443.0140148550854</v>
      </c>
    </row>
    <row r="42" spans="1:11" s="38" customFormat="1" x14ac:dyDescent="0.25">
      <c r="A42" s="40">
        <f t="shared" si="16"/>
        <v>2</v>
      </c>
      <c r="B42" s="39">
        <f t="shared" si="9"/>
        <v>22</v>
      </c>
      <c r="C42" s="35">
        <f t="shared" si="10"/>
        <v>986750.07817271154</v>
      </c>
      <c r="D42" s="36">
        <f t="shared" si="1"/>
        <v>-6443.0140148550854</v>
      </c>
      <c r="E42" s="36">
        <f t="shared" si="11"/>
        <v>-1509.2636239915273</v>
      </c>
      <c r="F42" s="36">
        <f t="shared" si="12"/>
        <v>-4933.7503908635581</v>
      </c>
      <c r="G42" s="35">
        <f t="shared" si="13"/>
        <v>0</v>
      </c>
      <c r="H42" s="36">
        <f t="shared" si="14"/>
        <v>985240.81454872002</v>
      </c>
      <c r="I42" s="35">
        <f t="shared" si="15"/>
        <v>6443.0140148550854</v>
      </c>
      <c r="J42" s="35">
        <f t="shared" si="7"/>
        <v>0</v>
      </c>
      <c r="K42" s="46">
        <f t="shared" si="8"/>
        <v>6443.0140148550854</v>
      </c>
    </row>
    <row r="43" spans="1:11" s="38" customFormat="1" x14ac:dyDescent="0.25">
      <c r="A43" s="40">
        <f t="shared" si="16"/>
        <v>2</v>
      </c>
      <c r="B43" s="39">
        <f t="shared" si="9"/>
        <v>23</v>
      </c>
      <c r="C43" s="35">
        <f t="shared" si="10"/>
        <v>985240.81454872002</v>
      </c>
      <c r="D43" s="36">
        <f t="shared" si="1"/>
        <v>-6443.0140148550854</v>
      </c>
      <c r="E43" s="36">
        <f t="shared" si="11"/>
        <v>-1516.8099421114848</v>
      </c>
      <c r="F43" s="36">
        <f t="shared" si="12"/>
        <v>-4926.2040727436006</v>
      </c>
      <c r="G43" s="35">
        <f t="shared" si="13"/>
        <v>0</v>
      </c>
      <c r="H43" s="36">
        <f t="shared" si="14"/>
        <v>983724.00460660853</v>
      </c>
      <c r="I43" s="35">
        <f t="shared" si="15"/>
        <v>6443.0140148550854</v>
      </c>
      <c r="J43" s="35">
        <f t="shared" si="7"/>
        <v>0</v>
      </c>
      <c r="K43" s="46">
        <f t="shared" si="8"/>
        <v>6443.0140148550854</v>
      </c>
    </row>
    <row r="44" spans="1:11" s="38" customFormat="1" x14ac:dyDescent="0.25">
      <c r="A44" s="40">
        <f t="shared" si="16"/>
        <v>2</v>
      </c>
      <c r="B44" s="39">
        <f t="shared" si="9"/>
        <v>24</v>
      </c>
      <c r="C44" s="35">
        <f t="shared" si="10"/>
        <v>983724.00460660853</v>
      </c>
      <c r="D44" s="36">
        <f t="shared" si="1"/>
        <v>-6443.0140148550854</v>
      </c>
      <c r="E44" s="36">
        <f t="shared" si="11"/>
        <v>-1524.3939918220431</v>
      </c>
      <c r="F44" s="36">
        <f t="shared" si="12"/>
        <v>-4918.6200230330423</v>
      </c>
      <c r="G44" s="35">
        <f t="shared" si="13"/>
        <v>982199.61061478651</v>
      </c>
      <c r="H44" s="36">
        <f>IF(C44+E44-G44&lt;=0, 0, C44+E44-G44)</f>
        <v>0</v>
      </c>
      <c r="I44" s="35">
        <f>-D44+G44</f>
        <v>988642.62462964165</v>
      </c>
      <c r="J44" s="35">
        <f t="shared" si="7"/>
        <v>14732.994159221797</v>
      </c>
      <c r="K44" s="46">
        <f t="shared" si="8"/>
        <v>1003375.6187888634</v>
      </c>
    </row>
    <row r="45" spans="1:11" s="38" customFormat="1" x14ac:dyDescent="0.25">
      <c r="A45" s="40">
        <f>A33+1</f>
        <v>3</v>
      </c>
      <c r="B45" s="39">
        <f t="shared" si="9"/>
        <v>25</v>
      </c>
      <c r="C45" s="35">
        <f t="shared" si="10"/>
        <v>0</v>
      </c>
      <c r="D45" s="36">
        <f t="shared" si="1"/>
        <v>0</v>
      </c>
      <c r="E45" s="36">
        <f t="shared" si="11"/>
        <v>0</v>
      </c>
      <c r="F45" s="36">
        <f t="shared" si="12"/>
        <v>0</v>
      </c>
      <c r="G45" s="35">
        <f t="shared" si="13"/>
        <v>0</v>
      </c>
      <c r="H45" s="36">
        <f t="shared" ref="H45:H108" si="17">IF(C45+E45-G45&lt;=0, 0, C45+E45-G45)</f>
        <v>0</v>
      </c>
      <c r="I45" s="35">
        <f t="shared" ref="I45:I108" si="18">-D45+G45</f>
        <v>0</v>
      </c>
      <c r="J45" s="35">
        <f t="shared" si="7"/>
        <v>0</v>
      </c>
      <c r="K45" s="46">
        <f t="shared" si="8"/>
        <v>0</v>
      </c>
    </row>
    <row r="46" spans="1:11" s="38" customFormat="1" x14ac:dyDescent="0.25">
      <c r="A46" s="40">
        <f t="shared" ref="A46:A109" si="19">A45</f>
        <v>3</v>
      </c>
      <c r="B46" s="39">
        <f t="shared" si="9"/>
        <v>26</v>
      </c>
      <c r="C46" s="35">
        <f t="shared" si="10"/>
        <v>0</v>
      </c>
      <c r="D46" s="36">
        <f t="shared" si="1"/>
        <v>0</v>
      </c>
      <c r="E46" s="36">
        <f t="shared" si="11"/>
        <v>0</v>
      </c>
      <c r="F46" s="36">
        <f t="shared" si="12"/>
        <v>0</v>
      </c>
      <c r="G46" s="35">
        <f t="shared" si="13"/>
        <v>0</v>
      </c>
      <c r="H46" s="36">
        <f t="shared" si="17"/>
        <v>0</v>
      </c>
      <c r="I46" s="35">
        <f t="shared" si="18"/>
        <v>0</v>
      </c>
      <c r="J46" s="35">
        <f t="shared" si="7"/>
        <v>0</v>
      </c>
      <c r="K46" s="46">
        <f t="shared" si="8"/>
        <v>0</v>
      </c>
    </row>
    <row r="47" spans="1:11" s="38" customFormat="1" x14ac:dyDescent="0.25">
      <c r="A47" s="40">
        <f t="shared" si="19"/>
        <v>3</v>
      </c>
      <c r="B47" s="39">
        <f t="shared" si="9"/>
        <v>27</v>
      </c>
      <c r="C47" s="35">
        <f t="shared" si="10"/>
        <v>0</v>
      </c>
      <c r="D47" s="36">
        <f t="shared" si="1"/>
        <v>0</v>
      </c>
      <c r="E47" s="36">
        <f t="shared" si="11"/>
        <v>0</v>
      </c>
      <c r="F47" s="36">
        <f t="shared" si="12"/>
        <v>0</v>
      </c>
      <c r="G47" s="35">
        <f t="shared" si="13"/>
        <v>0</v>
      </c>
      <c r="H47" s="36">
        <f t="shared" si="17"/>
        <v>0</v>
      </c>
      <c r="I47" s="35">
        <f t="shared" si="18"/>
        <v>0</v>
      </c>
      <c r="J47" s="35">
        <f t="shared" si="7"/>
        <v>0</v>
      </c>
      <c r="K47" s="46">
        <f t="shared" si="8"/>
        <v>0</v>
      </c>
    </row>
    <row r="48" spans="1:11" s="38" customFormat="1" x14ac:dyDescent="0.25">
      <c r="A48" s="40">
        <f t="shared" si="19"/>
        <v>3</v>
      </c>
      <c r="B48" s="39">
        <f t="shared" si="9"/>
        <v>28</v>
      </c>
      <c r="C48" s="35">
        <f t="shared" si="10"/>
        <v>0</v>
      </c>
      <c r="D48" s="36">
        <f t="shared" si="1"/>
        <v>0</v>
      </c>
      <c r="E48" s="36">
        <f t="shared" si="11"/>
        <v>0</v>
      </c>
      <c r="F48" s="36">
        <f t="shared" si="12"/>
        <v>0</v>
      </c>
      <c r="G48" s="35">
        <f t="shared" si="13"/>
        <v>0</v>
      </c>
      <c r="H48" s="36">
        <f t="shared" si="17"/>
        <v>0</v>
      </c>
      <c r="I48" s="35">
        <f t="shared" si="18"/>
        <v>0</v>
      </c>
      <c r="J48" s="35">
        <f t="shared" si="7"/>
        <v>0</v>
      </c>
      <c r="K48" s="46">
        <f t="shared" si="8"/>
        <v>0</v>
      </c>
    </row>
    <row r="49" spans="1:11" s="38" customFormat="1" x14ac:dyDescent="0.25">
      <c r="A49" s="40">
        <f t="shared" si="19"/>
        <v>3</v>
      </c>
      <c r="B49" s="39">
        <f t="shared" si="9"/>
        <v>29</v>
      </c>
      <c r="C49" s="35">
        <f t="shared" si="10"/>
        <v>0</v>
      </c>
      <c r="D49" s="36">
        <f t="shared" si="1"/>
        <v>0</v>
      </c>
      <c r="E49" s="36">
        <f t="shared" si="11"/>
        <v>0</v>
      </c>
      <c r="F49" s="36">
        <f t="shared" si="12"/>
        <v>0</v>
      </c>
      <c r="G49" s="35">
        <f t="shared" si="13"/>
        <v>0</v>
      </c>
      <c r="H49" s="36">
        <f t="shared" si="17"/>
        <v>0</v>
      </c>
      <c r="I49" s="35">
        <f t="shared" si="18"/>
        <v>0</v>
      </c>
      <c r="J49" s="35">
        <f t="shared" si="7"/>
        <v>0</v>
      </c>
      <c r="K49" s="46">
        <f t="shared" si="8"/>
        <v>0</v>
      </c>
    </row>
    <row r="50" spans="1:11" s="38" customFormat="1" x14ac:dyDescent="0.25">
      <c r="A50" s="40">
        <f t="shared" si="19"/>
        <v>3</v>
      </c>
      <c r="B50" s="39">
        <f t="shared" si="9"/>
        <v>30</v>
      </c>
      <c r="C50" s="35">
        <f t="shared" si="10"/>
        <v>0</v>
      </c>
      <c r="D50" s="36">
        <f t="shared" si="1"/>
        <v>0</v>
      </c>
      <c r="E50" s="36">
        <f t="shared" si="11"/>
        <v>0</v>
      </c>
      <c r="F50" s="36">
        <f t="shared" si="12"/>
        <v>0</v>
      </c>
      <c r="G50" s="35">
        <f t="shared" si="13"/>
        <v>0</v>
      </c>
      <c r="H50" s="36">
        <f t="shared" si="17"/>
        <v>0</v>
      </c>
      <c r="I50" s="35">
        <f t="shared" si="18"/>
        <v>0</v>
      </c>
      <c r="J50" s="35">
        <f t="shared" si="7"/>
        <v>0</v>
      </c>
      <c r="K50" s="46">
        <f t="shared" si="8"/>
        <v>0</v>
      </c>
    </row>
    <row r="51" spans="1:11" s="38" customFormat="1" x14ac:dyDescent="0.25">
      <c r="A51" s="40">
        <f t="shared" si="19"/>
        <v>3</v>
      </c>
      <c r="B51" s="39">
        <f t="shared" si="9"/>
        <v>31</v>
      </c>
      <c r="C51" s="35">
        <f t="shared" si="10"/>
        <v>0</v>
      </c>
      <c r="D51" s="36">
        <f t="shared" si="1"/>
        <v>0</v>
      </c>
      <c r="E51" s="36">
        <f t="shared" si="11"/>
        <v>0</v>
      </c>
      <c r="F51" s="36">
        <f t="shared" si="12"/>
        <v>0</v>
      </c>
      <c r="G51" s="35">
        <f t="shared" si="13"/>
        <v>0</v>
      </c>
      <c r="H51" s="36">
        <f t="shared" si="17"/>
        <v>0</v>
      </c>
      <c r="I51" s="35">
        <f t="shared" si="18"/>
        <v>0</v>
      </c>
      <c r="J51" s="35">
        <f t="shared" si="7"/>
        <v>0</v>
      </c>
      <c r="K51" s="46">
        <f t="shared" si="8"/>
        <v>0</v>
      </c>
    </row>
    <row r="52" spans="1:11" s="38" customFormat="1" x14ac:dyDescent="0.25">
      <c r="A52" s="40">
        <f t="shared" si="19"/>
        <v>3</v>
      </c>
      <c r="B52" s="39">
        <f t="shared" si="9"/>
        <v>32</v>
      </c>
      <c r="C52" s="35">
        <f t="shared" si="10"/>
        <v>0</v>
      </c>
      <c r="D52" s="36">
        <f t="shared" si="1"/>
        <v>0</v>
      </c>
      <c r="E52" s="36">
        <f t="shared" si="11"/>
        <v>0</v>
      </c>
      <c r="F52" s="36">
        <f t="shared" si="12"/>
        <v>0</v>
      </c>
      <c r="G52" s="35">
        <f t="shared" si="13"/>
        <v>0</v>
      </c>
      <c r="H52" s="36">
        <f t="shared" si="17"/>
        <v>0</v>
      </c>
      <c r="I52" s="35">
        <f t="shared" si="18"/>
        <v>0</v>
      </c>
      <c r="J52" s="35">
        <f t="shared" si="7"/>
        <v>0</v>
      </c>
      <c r="K52" s="46">
        <f t="shared" si="8"/>
        <v>0</v>
      </c>
    </row>
    <row r="53" spans="1:11" s="38" customFormat="1" x14ac:dyDescent="0.25">
      <c r="A53" s="40">
        <f t="shared" si="19"/>
        <v>3</v>
      </c>
      <c r="B53" s="39">
        <f t="shared" si="9"/>
        <v>33</v>
      </c>
      <c r="C53" s="35">
        <f t="shared" si="10"/>
        <v>0</v>
      </c>
      <c r="D53" s="36">
        <f t="shared" si="1"/>
        <v>0</v>
      </c>
      <c r="E53" s="36">
        <f t="shared" si="11"/>
        <v>0</v>
      </c>
      <c r="F53" s="36">
        <f t="shared" si="12"/>
        <v>0</v>
      </c>
      <c r="G53" s="35">
        <f t="shared" si="13"/>
        <v>0</v>
      </c>
      <c r="H53" s="36">
        <f t="shared" si="17"/>
        <v>0</v>
      </c>
      <c r="I53" s="35">
        <f t="shared" si="18"/>
        <v>0</v>
      </c>
      <c r="J53" s="35">
        <f t="shared" si="7"/>
        <v>0</v>
      </c>
      <c r="K53" s="46">
        <f t="shared" si="8"/>
        <v>0</v>
      </c>
    </row>
    <row r="54" spans="1:11" s="38" customFormat="1" x14ac:dyDescent="0.25">
      <c r="A54" s="40">
        <f t="shared" si="19"/>
        <v>3</v>
      </c>
      <c r="B54" s="39">
        <f t="shared" si="9"/>
        <v>34</v>
      </c>
      <c r="C54" s="35">
        <f t="shared" si="10"/>
        <v>0</v>
      </c>
      <c r="D54" s="36">
        <f t="shared" si="1"/>
        <v>0</v>
      </c>
      <c r="E54" s="36">
        <f t="shared" si="11"/>
        <v>0</v>
      </c>
      <c r="F54" s="36">
        <f t="shared" si="12"/>
        <v>0</v>
      </c>
      <c r="G54" s="35">
        <f t="shared" si="13"/>
        <v>0</v>
      </c>
      <c r="H54" s="36">
        <f t="shared" si="17"/>
        <v>0</v>
      </c>
      <c r="I54" s="35">
        <f t="shared" si="18"/>
        <v>0</v>
      </c>
      <c r="J54" s="35">
        <f t="shared" si="7"/>
        <v>0</v>
      </c>
      <c r="K54" s="46">
        <f t="shared" si="8"/>
        <v>0</v>
      </c>
    </row>
    <row r="55" spans="1:11" s="38" customFormat="1" x14ac:dyDescent="0.25">
      <c r="A55" s="40">
        <f t="shared" si="19"/>
        <v>3</v>
      </c>
      <c r="B55" s="39">
        <f t="shared" si="9"/>
        <v>35</v>
      </c>
      <c r="C55" s="35">
        <f t="shared" si="10"/>
        <v>0</v>
      </c>
      <c r="D55" s="36">
        <f t="shared" si="1"/>
        <v>0</v>
      </c>
      <c r="E55" s="36">
        <f t="shared" si="11"/>
        <v>0</v>
      </c>
      <c r="F55" s="36">
        <f t="shared" si="12"/>
        <v>0</v>
      </c>
      <c r="G55" s="35">
        <f t="shared" si="13"/>
        <v>0</v>
      </c>
      <c r="H55" s="36">
        <f t="shared" si="17"/>
        <v>0</v>
      </c>
      <c r="I55" s="35">
        <f t="shared" si="18"/>
        <v>0</v>
      </c>
      <c r="J55" s="35">
        <f t="shared" si="7"/>
        <v>0</v>
      </c>
      <c r="K55" s="46">
        <f t="shared" si="8"/>
        <v>0</v>
      </c>
    </row>
    <row r="56" spans="1:11" s="38" customFormat="1" x14ac:dyDescent="0.25">
      <c r="A56" s="40">
        <f t="shared" si="19"/>
        <v>3</v>
      </c>
      <c r="B56" s="39">
        <f t="shared" si="9"/>
        <v>36</v>
      </c>
      <c r="C56" s="35">
        <f t="shared" si="10"/>
        <v>0</v>
      </c>
      <c r="D56" s="36">
        <f t="shared" si="1"/>
        <v>0</v>
      </c>
      <c r="E56" s="36">
        <f t="shared" si="11"/>
        <v>0</v>
      </c>
      <c r="F56" s="36">
        <f t="shared" si="12"/>
        <v>0</v>
      </c>
      <c r="G56" s="35">
        <f t="shared" si="13"/>
        <v>0</v>
      </c>
      <c r="H56" s="36">
        <f t="shared" si="17"/>
        <v>0</v>
      </c>
      <c r="I56" s="35">
        <f t="shared" si="18"/>
        <v>0</v>
      </c>
      <c r="J56" s="35">
        <f t="shared" si="7"/>
        <v>0</v>
      </c>
      <c r="K56" s="46">
        <f t="shared" si="8"/>
        <v>0</v>
      </c>
    </row>
    <row r="57" spans="1:11" s="38" customFormat="1" x14ac:dyDescent="0.25">
      <c r="A57" s="40">
        <f>A45+1</f>
        <v>4</v>
      </c>
      <c r="B57" s="39">
        <f t="shared" si="9"/>
        <v>37</v>
      </c>
      <c r="C57" s="35">
        <f t="shared" si="10"/>
        <v>0</v>
      </c>
      <c r="D57" s="36">
        <f t="shared" si="1"/>
        <v>0</v>
      </c>
      <c r="E57" s="36">
        <f t="shared" si="11"/>
        <v>0</v>
      </c>
      <c r="F57" s="36">
        <f t="shared" si="12"/>
        <v>0</v>
      </c>
      <c r="G57" s="35">
        <f t="shared" si="13"/>
        <v>0</v>
      </c>
      <c r="H57" s="36">
        <f t="shared" si="17"/>
        <v>0</v>
      </c>
      <c r="I57" s="35">
        <f t="shared" si="18"/>
        <v>0</v>
      </c>
      <c r="J57" s="35">
        <f t="shared" si="7"/>
        <v>0</v>
      </c>
      <c r="K57" s="46">
        <f t="shared" si="8"/>
        <v>0</v>
      </c>
    </row>
    <row r="58" spans="1:11" s="38" customFormat="1" x14ac:dyDescent="0.25">
      <c r="A58" s="40">
        <f>A57</f>
        <v>4</v>
      </c>
      <c r="B58" s="39">
        <f t="shared" si="9"/>
        <v>38</v>
      </c>
      <c r="C58" s="35">
        <f t="shared" si="10"/>
        <v>0</v>
      </c>
      <c r="D58" s="36">
        <f t="shared" si="1"/>
        <v>0</v>
      </c>
      <c r="E58" s="36">
        <f t="shared" si="11"/>
        <v>0</v>
      </c>
      <c r="F58" s="36">
        <f t="shared" si="12"/>
        <v>0</v>
      </c>
      <c r="G58" s="35">
        <f t="shared" si="13"/>
        <v>0</v>
      </c>
      <c r="H58" s="36">
        <f t="shared" si="17"/>
        <v>0</v>
      </c>
      <c r="I58" s="35">
        <f t="shared" si="18"/>
        <v>0</v>
      </c>
      <c r="J58" s="35">
        <f t="shared" si="7"/>
        <v>0</v>
      </c>
      <c r="K58" s="46">
        <f t="shared" si="8"/>
        <v>0</v>
      </c>
    </row>
    <row r="59" spans="1:11" s="38" customFormat="1" x14ac:dyDescent="0.25">
      <c r="A59" s="40">
        <f t="shared" si="19"/>
        <v>4</v>
      </c>
      <c r="B59" s="39">
        <f t="shared" si="9"/>
        <v>39</v>
      </c>
      <c r="C59" s="35">
        <f t="shared" si="10"/>
        <v>0</v>
      </c>
      <c r="D59" s="36">
        <f t="shared" si="1"/>
        <v>0</v>
      </c>
      <c r="E59" s="36">
        <f t="shared" si="11"/>
        <v>0</v>
      </c>
      <c r="F59" s="36">
        <f t="shared" si="12"/>
        <v>0</v>
      </c>
      <c r="G59" s="35">
        <f t="shared" si="13"/>
        <v>0</v>
      </c>
      <c r="H59" s="36">
        <f t="shared" si="17"/>
        <v>0</v>
      </c>
      <c r="I59" s="35">
        <f t="shared" si="18"/>
        <v>0</v>
      </c>
      <c r="J59" s="35">
        <f t="shared" si="7"/>
        <v>0</v>
      </c>
      <c r="K59" s="46">
        <f t="shared" si="8"/>
        <v>0</v>
      </c>
    </row>
    <row r="60" spans="1:11" s="38" customFormat="1" x14ac:dyDescent="0.25">
      <c r="A60" s="40">
        <f t="shared" si="19"/>
        <v>4</v>
      </c>
      <c r="B60" s="39">
        <f t="shared" si="9"/>
        <v>40</v>
      </c>
      <c r="C60" s="35">
        <f t="shared" si="10"/>
        <v>0</v>
      </c>
      <c r="D60" s="36">
        <f t="shared" si="1"/>
        <v>0</v>
      </c>
      <c r="E60" s="36">
        <f t="shared" si="11"/>
        <v>0</v>
      </c>
      <c r="F60" s="36">
        <f t="shared" si="12"/>
        <v>0</v>
      </c>
      <c r="G60" s="35">
        <f t="shared" si="13"/>
        <v>0</v>
      </c>
      <c r="H60" s="36">
        <f t="shared" si="17"/>
        <v>0</v>
      </c>
      <c r="I60" s="35">
        <f t="shared" si="18"/>
        <v>0</v>
      </c>
      <c r="J60" s="35">
        <f t="shared" si="7"/>
        <v>0</v>
      </c>
      <c r="K60" s="46">
        <f t="shared" si="8"/>
        <v>0</v>
      </c>
    </row>
    <row r="61" spans="1:11" s="38" customFormat="1" x14ac:dyDescent="0.25">
      <c r="A61" s="40">
        <f t="shared" si="19"/>
        <v>4</v>
      </c>
      <c r="B61" s="39">
        <f t="shared" si="9"/>
        <v>41</v>
      </c>
      <c r="C61" s="35">
        <f t="shared" si="10"/>
        <v>0</v>
      </c>
      <c r="D61" s="36">
        <f t="shared" si="1"/>
        <v>0</v>
      </c>
      <c r="E61" s="36">
        <f t="shared" si="11"/>
        <v>0</v>
      </c>
      <c r="F61" s="36">
        <f t="shared" si="12"/>
        <v>0</v>
      </c>
      <c r="G61" s="35">
        <f t="shared" si="13"/>
        <v>0</v>
      </c>
      <c r="H61" s="36">
        <f t="shared" si="17"/>
        <v>0</v>
      </c>
      <c r="I61" s="35">
        <f t="shared" si="18"/>
        <v>0</v>
      </c>
      <c r="J61" s="35">
        <f t="shared" si="7"/>
        <v>0</v>
      </c>
      <c r="K61" s="46">
        <f t="shared" si="8"/>
        <v>0</v>
      </c>
    </row>
    <row r="62" spans="1:11" s="38" customFormat="1" x14ac:dyDescent="0.25">
      <c r="A62" s="40">
        <f t="shared" si="19"/>
        <v>4</v>
      </c>
      <c r="B62" s="39">
        <f t="shared" si="9"/>
        <v>42</v>
      </c>
      <c r="C62" s="35">
        <f t="shared" si="10"/>
        <v>0</v>
      </c>
      <c r="D62" s="36">
        <f t="shared" si="1"/>
        <v>0</v>
      </c>
      <c r="E62" s="36">
        <f t="shared" si="11"/>
        <v>0</v>
      </c>
      <c r="F62" s="36">
        <f t="shared" si="12"/>
        <v>0</v>
      </c>
      <c r="G62" s="35">
        <f t="shared" si="13"/>
        <v>0</v>
      </c>
      <c r="H62" s="36">
        <f t="shared" si="17"/>
        <v>0</v>
      </c>
      <c r="I62" s="35">
        <f t="shared" si="18"/>
        <v>0</v>
      </c>
      <c r="J62" s="35">
        <f t="shared" si="7"/>
        <v>0</v>
      </c>
      <c r="K62" s="46">
        <f t="shared" si="8"/>
        <v>0</v>
      </c>
    </row>
    <row r="63" spans="1:11" s="38" customFormat="1" x14ac:dyDescent="0.25">
      <c r="A63" s="40">
        <f t="shared" si="19"/>
        <v>4</v>
      </c>
      <c r="B63" s="39">
        <f t="shared" si="9"/>
        <v>43</v>
      </c>
      <c r="C63" s="35">
        <f t="shared" si="10"/>
        <v>0</v>
      </c>
      <c r="D63" s="36">
        <f t="shared" si="1"/>
        <v>0</v>
      </c>
      <c r="E63" s="36">
        <f t="shared" si="11"/>
        <v>0</v>
      </c>
      <c r="F63" s="36">
        <f t="shared" si="12"/>
        <v>0</v>
      </c>
      <c r="G63" s="35">
        <f t="shared" si="13"/>
        <v>0</v>
      </c>
      <c r="H63" s="36">
        <f t="shared" si="17"/>
        <v>0</v>
      </c>
      <c r="I63" s="35">
        <f t="shared" si="18"/>
        <v>0</v>
      </c>
      <c r="J63" s="35">
        <f t="shared" si="7"/>
        <v>0</v>
      </c>
      <c r="K63" s="46">
        <f t="shared" si="8"/>
        <v>0</v>
      </c>
    </row>
    <row r="64" spans="1:11" s="38" customFormat="1" x14ac:dyDescent="0.25">
      <c r="A64" s="40">
        <f t="shared" si="19"/>
        <v>4</v>
      </c>
      <c r="B64" s="39">
        <f t="shared" si="9"/>
        <v>44</v>
      </c>
      <c r="C64" s="35">
        <f t="shared" si="10"/>
        <v>0</v>
      </c>
      <c r="D64" s="36">
        <f t="shared" si="1"/>
        <v>0</v>
      </c>
      <c r="E64" s="36">
        <f t="shared" si="11"/>
        <v>0</v>
      </c>
      <c r="F64" s="36">
        <f t="shared" si="12"/>
        <v>0</v>
      </c>
      <c r="G64" s="35">
        <f t="shared" si="13"/>
        <v>0</v>
      </c>
      <c r="H64" s="36">
        <f t="shared" si="17"/>
        <v>0</v>
      </c>
      <c r="I64" s="35">
        <f t="shared" si="18"/>
        <v>0</v>
      </c>
      <c r="J64" s="35">
        <f t="shared" si="7"/>
        <v>0</v>
      </c>
      <c r="K64" s="46">
        <f t="shared" si="8"/>
        <v>0</v>
      </c>
    </row>
    <row r="65" spans="1:11" s="38" customFormat="1" x14ac:dyDescent="0.25">
      <c r="A65" s="40">
        <f t="shared" si="19"/>
        <v>4</v>
      </c>
      <c r="B65" s="39">
        <f t="shared" si="9"/>
        <v>45</v>
      </c>
      <c r="C65" s="35">
        <f t="shared" si="10"/>
        <v>0</v>
      </c>
      <c r="D65" s="36">
        <f t="shared" si="1"/>
        <v>0</v>
      </c>
      <c r="E65" s="36">
        <f t="shared" si="11"/>
        <v>0</v>
      </c>
      <c r="F65" s="36">
        <f t="shared" si="12"/>
        <v>0</v>
      </c>
      <c r="G65" s="35">
        <f t="shared" si="13"/>
        <v>0</v>
      </c>
      <c r="H65" s="36">
        <f t="shared" si="17"/>
        <v>0</v>
      </c>
      <c r="I65" s="35">
        <f t="shared" si="18"/>
        <v>0</v>
      </c>
      <c r="J65" s="35">
        <f t="shared" si="7"/>
        <v>0</v>
      </c>
      <c r="K65" s="46">
        <f t="shared" si="8"/>
        <v>0</v>
      </c>
    </row>
    <row r="66" spans="1:11" s="38" customFormat="1" x14ac:dyDescent="0.25">
      <c r="A66" s="40">
        <f t="shared" si="19"/>
        <v>4</v>
      </c>
      <c r="B66" s="39">
        <f t="shared" si="9"/>
        <v>46</v>
      </c>
      <c r="C66" s="35">
        <f t="shared" si="10"/>
        <v>0</v>
      </c>
      <c r="D66" s="36">
        <f t="shared" si="1"/>
        <v>0</v>
      </c>
      <c r="E66" s="36">
        <f t="shared" si="11"/>
        <v>0</v>
      </c>
      <c r="F66" s="36">
        <f t="shared" si="12"/>
        <v>0</v>
      </c>
      <c r="G66" s="35">
        <f t="shared" si="13"/>
        <v>0</v>
      </c>
      <c r="H66" s="36">
        <f t="shared" si="17"/>
        <v>0</v>
      </c>
      <c r="I66" s="35">
        <f t="shared" si="18"/>
        <v>0</v>
      </c>
      <c r="J66" s="35">
        <f t="shared" si="7"/>
        <v>0</v>
      </c>
      <c r="K66" s="46">
        <f t="shared" si="8"/>
        <v>0</v>
      </c>
    </row>
    <row r="67" spans="1:11" s="38" customFormat="1" x14ac:dyDescent="0.25">
      <c r="A67" s="40">
        <f t="shared" si="19"/>
        <v>4</v>
      </c>
      <c r="B67" s="39">
        <f t="shared" si="9"/>
        <v>47</v>
      </c>
      <c r="C67" s="35">
        <f t="shared" si="10"/>
        <v>0</v>
      </c>
      <c r="D67" s="36">
        <f t="shared" si="1"/>
        <v>0</v>
      </c>
      <c r="E67" s="36">
        <f t="shared" si="11"/>
        <v>0</v>
      </c>
      <c r="F67" s="36">
        <f t="shared" si="12"/>
        <v>0</v>
      </c>
      <c r="G67" s="35">
        <f t="shared" si="13"/>
        <v>0</v>
      </c>
      <c r="H67" s="36">
        <f t="shared" si="17"/>
        <v>0</v>
      </c>
      <c r="I67" s="35">
        <f t="shared" si="18"/>
        <v>0</v>
      </c>
      <c r="J67" s="35">
        <f t="shared" si="7"/>
        <v>0</v>
      </c>
      <c r="K67" s="46">
        <f t="shared" si="8"/>
        <v>0</v>
      </c>
    </row>
    <row r="68" spans="1:11" s="38" customFormat="1" x14ac:dyDescent="0.25">
      <c r="A68" s="40">
        <f t="shared" si="19"/>
        <v>4</v>
      </c>
      <c r="B68" s="39">
        <f t="shared" si="9"/>
        <v>48</v>
      </c>
      <c r="C68" s="35">
        <f t="shared" si="10"/>
        <v>0</v>
      </c>
      <c r="D68" s="36">
        <f t="shared" si="1"/>
        <v>0</v>
      </c>
      <c r="E68" s="36">
        <f t="shared" si="11"/>
        <v>0</v>
      </c>
      <c r="F68" s="36">
        <f t="shared" si="12"/>
        <v>0</v>
      </c>
      <c r="G68" s="35">
        <f t="shared" si="13"/>
        <v>0</v>
      </c>
      <c r="H68" s="36">
        <f t="shared" si="17"/>
        <v>0</v>
      </c>
      <c r="I68" s="35">
        <f t="shared" si="18"/>
        <v>0</v>
      </c>
      <c r="J68" s="35">
        <f t="shared" si="7"/>
        <v>0</v>
      </c>
      <c r="K68" s="46">
        <f t="shared" si="8"/>
        <v>0</v>
      </c>
    </row>
    <row r="69" spans="1:11" s="38" customFormat="1" x14ac:dyDescent="0.25">
      <c r="A69" s="40">
        <f>A57+1</f>
        <v>5</v>
      </c>
      <c r="B69" s="39">
        <f t="shared" si="9"/>
        <v>49</v>
      </c>
      <c r="C69" s="35">
        <f t="shared" si="10"/>
        <v>0</v>
      </c>
      <c r="D69" s="36">
        <f t="shared" si="1"/>
        <v>0</v>
      </c>
      <c r="E69" s="36">
        <f t="shared" si="11"/>
        <v>0</v>
      </c>
      <c r="F69" s="36">
        <f t="shared" si="12"/>
        <v>0</v>
      </c>
      <c r="G69" s="35">
        <f t="shared" si="13"/>
        <v>0</v>
      </c>
      <c r="H69" s="36">
        <f t="shared" si="17"/>
        <v>0</v>
      </c>
      <c r="I69" s="35">
        <f t="shared" si="18"/>
        <v>0</v>
      </c>
      <c r="J69" s="35">
        <f t="shared" si="7"/>
        <v>0</v>
      </c>
      <c r="K69" s="46">
        <f t="shared" si="8"/>
        <v>0</v>
      </c>
    </row>
    <row r="70" spans="1:11" s="38" customFormat="1" x14ac:dyDescent="0.25">
      <c r="A70" s="40">
        <f>A69</f>
        <v>5</v>
      </c>
      <c r="B70" s="39">
        <f t="shared" si="9"/>
        <v>50</v>
      </c>
      <c r="C70" s="35">
        <f t="shared" si="10"/>
        <v>0</v>
      </c>
      <c r="D70" s="36">
        <f t="shared" si="1"/>
        <v>0</v>
      </c>
      <c r="E70" s="36">
        <f t="shared" si="11"/>
        <v>0</v>
      </c>
      <c r="F70" s="36">
        <f t="shared" si="12"/>
        <v>0</v>
      </c>
      <c r="G70" s="35">
        <f t="shared" si="13"/>
        <v>0</v>
      </c>
      <c r="H70" s="36">
        <f t="shared" si="17"/>
        <v>0</v>
      </c>
      <c r="I70" s="35">
        <f t="shared" si="18"/>
        <v>0</v>
      </c>
      <c r="J70" s="35">
        <f t="shared" si="7"/>
        <v>0</v>
      </c>
      <c r="K70" s="46">
        <f t="shared" si="8"/>
        <v>0</v>
      </c>
    </row>
    <row r="71" spans="1:11" s="38" customFormat="1" x14ac:dyDescent="0.25">
      <c r="A71" s="40">
        <f t="shared" si="19"/>
        <v>5</v>
      </c>
      <c r="B71" s="39">
        <f t="shared" si="9"/>
        <v>51</v>
      </c>
      <c r="C71" s="35">
        <f t="shared" si="10"/>
        <v>0</v>
      </c>
      <c r="D71" s="36">
        <f t="shared" si="1"/>
        <v>0</v>
      </c>
      <c r="E71" s="36">
        <f t="shared" si="11"/>
        <v>0</v>
      </c>
      <c r="F71" s="36">
        <f t="shared" si="12"/>
        <v>0</v>
      </c>
      <c r="G71" s="35">
        <f t="shared" si="13"/>
        <v>0</v>
      </c>
      <c r="H71" s="36">
        <f t="shared" si="17"/>
        <v>0</v>
      </c>
      <c r="I71" s="35">
        <f t="shared" si="18"/>
        <v>0</v>
      </c>
      <c r="J71" s="35">
        <f t="shared" si="7"/>
        <v>0</v>
      </c>
      <c r="K71" s="46">
        <f t="shared" si="8"/>
        <v>0</v>
      </c>
    </row>
    <row r="72" spans="1:11" s="38" customFormat="1" x14ac:dyDescent="0.25">
      <c r="A72" s="40">
        <f t="shared" si="19"/>
        <v>5</v>
      </c>
      <c r="B72" s="39">
        <f t="shared" si="9"/>
        <v>52</v>
      </c>
      <c r="C72" s="35">
        <f t="shared" si="10"/>
        <v>0</v>
      </c>
      <c r="D72" s="36">
        <f t="shared" si="1"/>
        <v>0</v>
      </c>
      <c r="E72" s="36">
        <f t="shared" si="11"/>
        <v>0</v>
      </c>
      <c r="F72" s="36">
        <f t="shared" si="12"/>
        <v>0</v>
      </c>
      <c r="G72" s="35">
        <f t="shared" si="13"/>
        <v>0</v>
      </c>
      <c r="H72" s="36">
        <f t="shared" si="17"/>
        <v>0</v>
      </c>
      <c r="I72" s="35">
        <f t="shared" si="18"/>
        <v>0</v>
      </c>
      <c r="J72" s="35">
        <f t="shared" si="7"/>
        <v>0</v>
      </c>
      <c r="K72" s="46">
        <f t="shared" si="8"/>
        <v>0</v>
      </c>
    </row>
    <row r="73" spans="1:11" s="38" customFormat="1" x14ac:dyDescent="0.25">
      <c r="A73" s="40">
        <f t="shared" si="19"/>
        <v>5</v>
      </c>
      <c r="B73" s="39">
        <f t="shared" si="9"/>
        <v>53</v>
      </c>
      <c r="C73" s="35">
        <f t="shared" si="10"/>
        <v>0</v>
      </c>
      <c r="D73" s="36">
        <f t="shared" si="1"/>
        <v>0</v>
      </c>
      <c r="E73" s="36">
        <f t="shared" si="11"/>
        <v>0</v>
      </c>
      <c r="F73" s="36">
        <f t="shared" si="12"/>
        <v>0</v>
      </c>
      <c r="G73" s="35">
        <f t="shared" si="13"/>
        <v>0</v>
      </c>
      <c r="H73" s="36">
        <f t="shared" si="17"/>
        <v>0</v>
      </c>
      <c r="I73" s="35">
        <f t="shared" si="18"/>
        <v>0</v>
      </c>
      <c r="J73" s="35">
        <f t="shared" si="7"/>
        <v>0</v>
      </c>
      <c r="K73" s="46">
        <f t="shared" si="8"/>
        <v>0</v>
      </c>
    </row>
    <row r="74" spans="1:11" s="38" customFormat="1" x14ac:dyDescent="0.25">
      <c r="A74" s="40">
        <f t="shared" si="19"/>
        <v>5</v>
      </c>
      <c r="B74" s="39">
        <f t="shared" si="9"/>
        <v>54</v>
      </c>
      <c r="C74" s="35">
        <f t="shared" si="10"/>
        <v>0</v>
      </c>
      <c r="D74" s="36">
        <f t="shared" si="1"/>
        <v>0</v>
      </c>
      <c r="E74" s="36">
        <f t="shared" si="11"/>
        <v>0</v>
      </c>
      <c r="F74" s="36">
        <f t="shared" si="12"/>
        <v>0</v>
      </c>
      <c r="G74" s="35">
        <f t="shared" si="13"/>
        <v>0</v>
      </c>
      <c r="H74" s="36">
        <f t="shared" si="17"/>
        <v>0</v>
      </c>
      <c r="I74" s="35">
        <f t="shared" si="18"/>
        <v>0</v>
      </c>
      <c r="J74" s="35">
        <f t="shared" si="7"/>
        <v>0</v>
      </c>
      <c r="K74" s="46">
        <f t="shared" si="8"/>
        <v>0</v>
      </c>
    </row>
    <row r="75" spans="1:11" s="38" customFormat="1" x14ac:dyDescent="0.25">
      <c r="A75" s="40">
        <f t="shared" si="19"/>
        <v>5</v>
      </c>
      <c r="B75" s="39">
        <f t="shared" si="9"/>
        <v>55</v>
      </c>
      <c r="C75" s="35">
        <f t="shared" si="10"/>
        <v>0</v>
      </c>
      <c r="D75" s="36">
        <f t="shared" si="1"/>
        <v>0</v>
      </c>
      <c r="E75" s="36">
        <f t="shared" si="11"/>
        <v>0</v>
      </c>
      <c r="F75" s="36">
        <f t="shared" si="12"/>
        <v>0</v>
      </c>
      <c r="G75" s="35">
        <f t="shared" si="13"/>
        <v>0</v>
      </c>
      <c r="H75" s="36">
        <f t="shared" si="17"/>
        <v>0</v>
      </c>
      <c r="I75" s="35">
        <f t="shared" si="18"/>
        <v>0</v>
      </c>
      <c r="J75" s="35">
        <f t="shared" si="7"/>
        <v>0</v>
      </c>
      <c r="K75" s="46">
        <f t="shared" si="8"/>
        <v>0</v>
      </c>
    </row>
    <row r="76" spans="1:11" s="38" customFormat="1" x14ac:dyDescent="0.25">
      <c r="A76" s="40">
        <f t="shared" si="19"/>
        <v>5</v>
      </c>
      <c r="B76" s="39">
        <f t="shared" si="9"/>
        <v>56</v>
      </c>
      <c r="C76" s="35">
        <f t="shared" si="10"/>
        <v>0</v>
      </c>
      <c r="D76" s="36">
        <f t="shared" si="1"/>
        <v>0</v>
      </c>
      <c r="E76" s="36">
        <f t="shared" si="11"/>
        <v>0</v>
      </c>
      <c r="F76" s="36">
        <f t="shared" si="12"/>
        <v>0</v>
      </c>
      <c r="G76" s="35">
        <f t="shared" si="13"/>
        <v>0</v>
      </c>
      <c r="H76" s="36">
        <f t="shared" si="17"/>
        <v>0</v>
      </c>
      <c r="I76" s="35">
        <f t="shared" si="18"/>
        <v>0</v>
      </c>
      <c r="J76" s="35">
        <f t="shared" si="7"/>
        <v>0</v>
      </c>
      <c r="K76" s="46">
        <f t="shared" si="8"/>
        <v>0</v>
      </c>
    </row>
    <row r="77" spans="1:11" s="38" customFormat="1" x14ac:dyDescent="0.25">
      <c r="A77" s="40">
        <f t="shared" si="19"/>
        <v>5</v>
      </c>
      <c r="B77" s="39">
        <f t="shared" si="9"/>
        <v>57</v>
      </c>
      <c r="C77" s="35">
        <f t="shared" si="10"/>
        <v>0</v>
      </c>
      <c r="D77" s="36">
        <f t="shared" si="1"/>
        <v>0</v>
      </c>
      <c r="E77" s="36">
        <f t="shared" si="11"/>
        <v>0</v>
      </c>
      <c r="F77" s="36">
        <f t="shared" si="12"/>
        <v>0</v>
      </c>
      <c r="G77" s="35">
        <f t="shared" si="13"/>
        <v>0</v>
      </c>
      <c r="H77" s="36">
        <f t="shared" si="17"/>
        <v>0</v>
      </c>
      <c r="I77" s="35">
        <f t="shared" si="18"/>
        <v>0</v>
      </c>
      <c r="J77" s="35">
        <f t="shared" si="7"/>
        <v>0</v>
      </c>
      <c r="K77" s="46">
        <f t="shared" si="8"/>
        <v>0</v>
      </c>
    </row>
    <row r="78" spans="1:11" s="38" customFormat="1" x14ac:dyDescent="0.25">
      <c r="A78" s="40">
        <f t="shared" si="19"/>
        <v>5</v>
      </c>
      <c r="B78" s="39">
        <f t="shared" si="9"/>
        <v>58</v>
      </c>
      <c r="C78" s="35">
        <f t="shared" si="10"/>
        <v>0</v>
      </c>
      <c r="D78" s="36">
        <f t="shared" si="1"/>
        <v>0</v>
      </c>
      <c r="E78" s="36">
        <f t="shared" si="11"/>
        <v>0</v>
      </c>
      <c r="F78" s="36">
        <f t="shared" si="12"/>
        <v>0</v>
      </c>
      <c r="G78" s="35">
        <f t="shared" si="13"/>
        <v>0</v>
      </c>
      <c r="H78" s="36">
        <f t="shared" si="17"/>
        <v>0</v>
      </c>
      <c r="I78" s="35">
        <f t="shared" si="18"/>
        <v>0</v>
      </c>
      <c r="J78" s="35">
        <f t="shared" si="7"/>
        <v>0</v>
      </c>
      <c r="K78" s="46">
        <f t="shared" si="8"/>
        <v>0</v>
      </c>
    </row>
    <row r="79" spans="1:11" s="38" customFormat="1" x14ac:dyDescent="0.25">
      <c r="A79" s="40">
        <f t="shared" si="19"/>
        <v>5</v>
      </c>
      <c r="B79" s="39">
        <f t="shared" si="9"/>
        <v>59</v>
      </c>
      <c r="C79" s="35">
        <f t="shared" si="10"/>
        <v>0</v>
      </c>
      <c r="D79" s="36">
        <f t="shared" si="1"/>
        <v>0</v>
      </c>
      <c r="E79" s="36">
        <f t="shared" si="11"/>
        <v>0</v>
      </c>
      <c r="F79" s="36">
        <f t="shared" si="12"/>
        <v>0</v>
      </c>
      <c r="G79" s="35">
        <f t="shared" si="13"/>
        <v>0</v>
      </c>
      <c r="H79" s="36">
        <f t="shared" si="17"/>
        <v>0</v>
      </c>
      <c r="I79" s="35">
        <f t="shared" si="18"/>
        <v>0</v>
      </c>
      <c r="J79" s="35">
        <f t="shared" si="7"/>
        <v>0</v>
      </c>
      <c r="K79" s="46">
        <f t="shared" si="8"/>
        <v>0</v>
      </c>
    </row>
    <row r="80" spans="1:11" s="38" customFormat="1" x14ac:dyDescent="0.25">
      <c r="A80" s="40">
        <f t="shared" si="19"/>
        <v>5</v>
      </c>
      <c r="B80" s="39">
        <f t="shared" si="9"/>
        <v>60</v>
      </c>
      <c r="C80" s="35">
        <f t="shared" si="10"/>
        <v>0</v>
      </c>
      <c r="D80" s="36">
        <f t="shared" si="1"/>
        <v>0</v>
      </c>
      <c r="E80" s="36">
        <f t="shared" si="11"/>
        <v>0</v>
      </c>
      <c r="F80" s="36">
        <f t="shared" si="12"/>
        <v>0</v>
      </c>
      <c r="G80" s="35">
        <f t="shared" si="13"/>
        <v>0</v>
      </c>
      <c r="H80" s="36">
        <f t="shared" si="17"/>
        <v>0</v>
      </c>
      <c r="I80" s="35">
        <f t="shared" si="18"/>
        <v>0</v>
      </c>
      <c r="J80" s="35">
        <f t="shared" si="7"/>
        <v>0</v>
      </c>
      <c r="K80" s="46">
        <f t="shared" si="8"/>
        <v>0</v>
      </c>
    </row>
    <row r="81" spans="1:11" s="38" customFormat="1" x14ac:dyDescent="0.25">
      <c r="A81" s="40">
        <f>A69+1</f>
        <v>6</v>
      </c>
      <c r="B81" s="39">
        <f t="shared" si="9"/>
        <v>61</v>
      </c>
      <c r="C81" s="35">
        <f t="shared" si="10"/>
        <v>0</v>
      </c>
      <c r="D81" s="36">
        <f t="shared" si="1"/>
        <v>0</v>
      </c>
      <c r="E81" s="36">
        <f t="shared" si="11"/>
        <v>0</v>
      </c>
      <c r="F81" s="36">
        <f t="shared" si="12"/>
        <v>0</v>
      </c>
      <c r="G81" s="35">
        <f t="shared" si="13"/>
        <v>0</v>
      </c>
      <c r="H81" s="36">
        <f t="shared" si="17"/>
        <v>0</v>
      </c>
      <c r="I81" s="35">
        <f t="shared" si="18"/>
        <v>0</v>
      </c>
      <c r="J81" s="35">
        <f t="shared" si="7"/>
        <v>0</v>
      </c>
      <c r="K81" s="46">
        <f t="shared" si="8"/>
        <v>0</v>
      </c>
    </row>
    <row r="82" spans="1:11" s="38" customFormat="1" x14ac:dyDescent="0.25">
      <c r="A82" s="40">
        <f>A81</f>
        <v>6</v>
      </c>
      <c r="B82" s="39">
        <f t="shared" si="9"/>
        <v>62</v>
      </c>
      <c r="C82" s="35">
        <f t="shared" si="10"/>
        <v>0</v>
      </c>
      <c r="D82" s="36">
        <f t="shared" si="1"/>
        <v>0</v>
      </c>
      <c r="E82" s="36">
        <f t="shared" si="11"/>
        <v>0</v>
      </c>
      <c r="F82" s="36">
        <f t="shared" si="12"/>
        <v>0</v>
      </c>
      <c r="G82" s="35">
        <f t="shared" si="13"/>
        <v>0</v>
      </c>
      <c r="H82" s="36">
        <f t="shared" si="17"/>
        <v>0</v>
      </c>
      <c r="I82" s="35">
        <f t="shared" si="18"/>
        <v>0</v>
      </c>
      <c r="J82" s="35">
        <f t="shared" si="7"/>
        <v>0</v>
      </c>
      <c r="K82" s="46">
        <f t="shared" si="8"/>
        <v>0</v>
      </c>
    </row>
    <row r="83" spans="1:11" s="38" customFormat="1" x14ac:dyDescent="0.25">
      <c r="A83" s="40">
        <f t="shared" si="19"/>
        <v>6</v>
      </c>
      <c r="B83" s="39">
        <f t="shared" si="9"/>
        <v>63</v>
      </c>
      <c r="C83" s="35">
        <f t="shared" si="10"/>
        <v>0</v>
      </c>
      <c r="D83" s="36">
        <f t="shared" si="1"/>
        <v>0</v>
      </c>
      <c r="E83" s="36">
        <f t="shared" si="11"/>
        <v>0</v>
      </c>
      <c r="F83" s="36">
        <f t="shared" si="12"/>
        <v>0</v>
      </c>
      <c r="G83" s="35">
        <f t="shared" si="13"/>
        <v>0</v>
      </c>
      <c r="H83" s="36">
        <f t="shared" si="17"/>
        <v>0</v>
      </c>
      <c r="I83" s="35">
        <f t="shared" si="18"/>
        <v>0</v>
      </c>
      <c r="J83" s="35">
        <f t="shared" si="7"/>
        <v>0</v>
      </c>
      <c r="K83" s="46">
        <f t="shared" si="8"/>
        <v>0</v>
      </c>
    </row>
    <row r="84" spans="1:11" s="38" customFormat="1" x14ac:dyDescent="0.25">
      <c r="A84" s="40">
        <f t="shared" si="19"/>
        <v>6</v>
      </c>
      <c r="B84" s="39">
        <f t="shared" si="9"/>
        <v>64</v>
      </c>
      <c r="C84" s="35">
        <f t="shared" si="10"/>
        <v>0</v>
      </c>
      <c r="D84" s="36">
        <f t="shared" si="1"/>
        <v>0</v>
      </c>
      <c r="E84" s="36">
        <f t="shared" si="11"/>
        <v>0</v>
      </c>
      <c r="F84" s="36">
        <f t="shared" si="12"/>
        <v>0</v>
      </c>
      <c r="G84" s="35">
        <f t="shared" si="13"/>
        <v>0</v>
      </c>
      <c r="H84" s="36">
        <f t="shared" si="17"/>
        <v>0</v>
      </c>
      <c r="I84" s="35">
        <f t="shared" si="18"/>
        <v>0</v>
      </c>
      <c r="J84" s="35">
        <f t="shared" si="7"/>
        <v>0</v>
      </c>
      <c r="K84" s="46">
        <f t="shared" si="8"/>
        <v>0</v>
      </c>
    </row>
    <row r="85" spans="1:11" s="38" customFormat="1" x14ac:dyDescent="0.25">
      <c r="A85" s="40">
        <f t="shared" si="19"/>
        <v>6</v>
      </c>
      <c r="B85" s="39">
        <f t="shared" si="9"/>
        <v>65</v>
      </c>
      <c r="C85" s="35">
        <f t="shared" si="10"/>
        <v>0</v>
      </c>
      <c r="D85" s="36">
        <f t="shared" ref="D85:D148" si="20">IF(C85=0,0, IF(AND($G$2, B85&lt;=$G$3), F85, PMT($C$12, $C$14, $C$10)))</f>
        <v>0</v>
      </c>
      <c r="E85" s="36">
        <f t="shared" si="11"/>
        <v>0</v>
      </c>
      <c r="F85" s="36">
        <f t="shared" si="12"/>
        <v>0</v>
      </c>
      <c r="G85" s="35">
        <f t="shared" si="13"/>
        <v>0</v>
      </c>
      <c r="H85" s="36">
        <f t="shared" si="17"/>
        <v>0</v>
      </c>
      <c r="I85" s="35">
        <f t="shared" si="18"/>
        <v>0</v>
      </c>
      <c r="J85" s="35">
        <f t="shared" ref="J85:J148" si="21">IF(B85=$G$6, $G$12*G85, 0)</f>
        <v>0</v>
      </c>
      <c r="K85" s="46">
        <f t="shared" ref="K85:K148" si="22">I85+J85</f>
        <v>0</v>
      </c>
    </row>
    <row r="86" spans="1:11" s="38" customFormat="1" x14ac:dyDescent="0.25">
      <c r="A86" s="40">
        <f t="shared" si="19"/>
        <v>6</v>
      </c>
      <c r="B86" s="39">
        <f t="shared" ref="B86:B149" si="23">+B85+1</f>
        <v>66</v>
      </c>
      <c r="C86" s="35">
        <f t="shared" si="10"/>
        <v>0</v>
      </c>
      <c r="D86" s="36">
        <f t="shared" si="20"/>
        <v>0</v>
      </c>
      <c r="E86" s="36">
        <f t="shared" si="11"/>
        <v>0</v>
      </c>
      <c r="F86" s="36">
        <f t="shared" si="12"/>
        <v>0</v>
      </c>
      <c r="G86" s="35">
        <f t="shared" si="13"/>
        <v>0</v>
      </c>
      <c r="H86" s="36">
        <f t="shared" si="17"/>
        <v>0</v>
      </c>
      <c r="I86" s="35">
        <f t="shared" si="18"/>
        <v>0</v>
      </c>
      <c r="J86" s="35">
        <f t="shared" si="21"/>
        <v>0</v>
      </c>
      <c r="K86" s="46">
        <f t="shared" si="22"/>
        <v>0</v>
      </c>
    </row>
    <row r="87" spans="1:11" s="38" customFormat="1" x14ac:dyDescent="0.25">
      <c r="A87" s="40">
        <f t="shared" si="19"/>
        <v>6</v>
      </c>
      <c r="B87" s="39">
        <f t="shared" si="23"/>
        <v>67</v>
      </c>
      <c r="C87" s="35">
        <f t="shared" si="10"/>
        <v>0</v>
      </c>
      <c r="D87" s="36">
        <f t="shared" si="20"/>
        <v>0</v>
      </c>
      <c r="E87" s="36">
        <f t="shared" si="11"/>
        <v>0</v>
      </c>
      <c r="F87" s="36">
        <f t="shared" si="12"/>
        <v>0</v>
      </c>
      <c r="G87" s="35">
        <f t="shared" si="13"/>
        <v>0</v>
      </c>
      <c r="H87" s="36">
        <f t="shared" si="17"/>
        <v>0</v>
      </c>
      <c r="I87" s="35">
        <f t="shared" si="18"/>
        <v>0</v>
      </c>
      <c r="J87" s="35">
        <f t="shared" si="21"/>
        <v>0</v>
      </c>
      <c r="K87" s="46">
        <f t="shared" si="22"/>
        <v>0</v>
      </c>
    </row>
    <row r="88" spans="1:11" s="38" customFormat="1" x14ac:dyDescent="0.25">
      <c r="A88" s="40">
        <f t="shared" si="19"/>
        <v>6</v>
      </c>
      <c r="B88" s="39">
        <f t="shared" si="23"/>
        <v>68</v>
      </c>
      <c r="C88" s="35">
        <f t="shared" si="10"/>
        <v>0</v>
      </c>
      <c r="D88" s="36">
        <f t="shared" si="20"/>
        <v>0</v>
      </c>
      <c r="E88" s="36">
        <f t="shared" si="11"/>
        <v>0</v>
      </c>
      <c r="F88" s="36">
        <f t="shared" si="12"/>
        <v>0</v>
      </c>
      <c r="G88" s="35">
        <f t="shared" si="13"/>
        <v>0</v>
      </c>
      <c r="H88" s="36">
        <f t="shared" si="17"/>
        <v>0</v>
      </c>
      <c r="I88" s="35">
        <f t="shared" si="18"/>
        <v>0</v>
      </c>
      <c r="J88" s="35">
        <f t="shared" si="21"/>
        <v>0</v>
      </c>
      <c r="K88" s="46">
        <f t="shared" si="22"/>
        <v>0</v>
      </c>
    </row>
    <row r="89" spans="1:11" s="38" customFormat="1" x14ac:dyDescent="0.25">
      <c r="A89" s="40">
        <f t="shared" si="19"/>
        <v>6</v>
      </c>
      <c r="B89" s="39">
        <f t="shared" si="23"/>
        <v>69</v>
      </c>
      <c r="C89" s="35">
        <f t="shared" si="10"/>
        <v>0</v>
      </c>
      <c r="D89" s="36">
        <f t="shared" si="20"/>
        <v>0</v>
      </c>
      <c r="E89" s="36">
        <f t="shared" si="11"/>
        <v>0</v>
      </c>
      <c r="F89" s="36">
        <f t="shared" si="12"/>
        <v>0</v>
      </c>
      <c r="G89" s="35">
        <f t="shared" si="13"/>
        <v>0</v>
      </c>
      <c r="H89" s="36">
        <f t="shared" si="17"/>
        <v>0</v>
      </c>
      <c r="I89" s="35">
        <f t="shared" si="18"/>
        <v>0</v>
      </c>
      <c r="J89" s="35">
        <f t="shared" si="21"/>
        <v>0</v>
      </c>
      <c r="K89" s="46">
        <f t="shared" si="22"/>
        <v>0</v>
      </c>
    </row>
    <row r="90" spans="1:11" s="38" customFormat="1" x14ac:dyDescent="0.25">
      <c r="A90" s="40">
        <f t="shared" si="19"/>
        <v>6</v>
      </c>
      <c r="B90" s="39">
        <f t="shared" si="23"/>
        <v>70</v>
      </c>
      <c r="C90" s="35">
        <f t="shared" si="10"/>
        <v>0</v>
      </c>
      <c r="D90" s="36">
        <f t="shared" si="20"/>
        <v>0</v>
      </c>
      <c r="E90" s="36">
        <f t="shared" si="11"/>
        <v>0</v>
      </c>
      <c r="F90" s="36">
        <f t="shared" si="12"/>
        <v>0</v>
      </c>
      <c r="G90" s="35">
        <f t="shared" si="13"/>
        <v>0</v>
      </c>
      <c r="H90" s="36">
        <f t="shared" si="17"/>
        <v>0</v>
      </c>
      <c r="I90" s="35">
        <f t="shared" si="18"/>
        <v>0</v>
      </c>
      <c r="J90" s="35">
        <f t="shared" si="21"/>
        <v>0</v>
      </c>
      <c r="K90" s="46">
        <f t="shared" si="22"/>
        <v>0</v>
      </c>
    </row>
    <row r="91" spans="1:11" s="38" customFormat="1" x14ac:dyDescent="0.25">
      <c r="A91" s="40">
        <f t="shared" si="19"/>
        <v>6</v>
      </c>
      <c r="B91" s="39">
        <f t="shared" si="23"/>
        <v>71</v>
      </c>
      <c r="C91" s="35">
        <f t="shared" si="10"/>
        <v>0</v>
      </c>
      <c r="D91" s="36">
        <f t="shared" si="20"/>
        <v>0</v>
      </c>
      <c r="E91" s="36">
        <f t="shared" si="11"/>
        <v>0</v>
      </c>
      <c r="F91" s="36">
        <f t="shared" si="12"/>
        <v>0</v>
      </c>
      <c r="G91" s="35">
        <f t="shared" si="13"/>
        <v>0</v>
      </c>
      <c r="H91" s="36">
        <f t="shared" si="17"/>
        <v>0</v>
      </c>
      <c r="I91" s="35">
        <f t="shared" si="18"/>
        <v>0</v>
      </c>
      <c r="J91" s="35">
        <f t="shared" si="21"/>
        <v>0</v>
      </c>
      <c r="K91" s="46">
        <f t="shared" si="22"/>
        <v>0</v>
      </c>
    </row>
    <row r="92" spans="1:11" s="38" customFormat="1" x14ac:dyDescent="0.25">
      <c r="A92" s="40">
        <f t="shared" si="19"/>
        <v>6</v>
      </c>
      <c r="B92" s="39">
        <f t="shared" si="23"/>
        <v>72</v>
      </c>
      <c r="C92" s="35">
        <f t="shared" si="10"/>
        <v>0</v>
      </c>
      <c r="D92" s="36">
        <f t="shared" si="20"/>
        <v>0</v>
      </c>
      <c r="E92" s="36">
        <f t="shared" si="11"/>
        <v>0</v>
      </c>
      <c r="F92" s="36">
        <f t="shared" si="12"/>
        <v>0</v>
      </c>
      <c r="G92" s="35">
        <f t="shared" si="13"/>
        <v>0</v>
      </c>
      <c r="H92" s="36">
        <f t="shared" si="17"/>
        <v>0</v>
      </c>
      <c r="I92" s="35">
        <f t="shared" si="18"/>
        <v>0</v>
      </c>
      <c r="J92" s="35">
        <f t="shared" si="21"/>
        <v>0</v>
      </c>
      <c r="K92" s="46">
        <f t="shared" si="22"/>
        <v>0</v>
      </c>
    </row>
    <row r="93" spans="1:11" s="38" customFormat="1" x14ac:dyDescent="0.25">
      <c r="A93" s="40">
        <f>A81+1</f>
        <v>7</v>
      </c>
      <c r="B93" s="39">
        <f t="shared" si="23"/>
        <v>73</v>
      </c>
      <c r="C93" s="35">
        <f t="shared" si="10"/>
        <v>0</v>
      </c>
      <c r="D93" s="36">
        <f t="shared" si="20"/>
        <v>0</v>
      </c>
      <c r="E93" s="36">
        <f t="shared" si="11"/>
        <v>0</v>
      </c>
      <c r="F93" s="36">
        <f t="shared" si="12"/>
        <v>0</v>
      </c>
      <c r="G93" s="35">
        <f t="shared" si="13"/>
        <v>0</v>
      </c>
      <c r="H93" s="36">
        <f t="shared" si="17"/>
        <v>0</v>
      </c>
      <c r="I93" s="35">
        <f t="shared" si="18"/>
        <v>0</v>
      </c>
      <c r="J93" s="35">
        <f t="shared" si="21"/>
        <v>0</v>
      </c>
      <c r="K93" s="46">
        <f t="shared" si="22"/>
        <v>0</v>
      </c>
    </row>
    <row r="94" spans="1:11" s="38" customFormat="1" x14ac:dyDescent="0.25">
      <c r="A94" s="40">
        <f>A93</f>
        <v>7</v>
      </c>
      <c r="B94" s="39">
        <f t="shared" si="23"/>
        <v>74</v>
      </c>
      <c r="C94" s="35">
        <f t="shared" si="10"/>
        <v>0</v>
      </c>
      <c r="D94" s="36">
        <f t="shared" si="20"/>
        <v>0</v>
      </c>
      <c r="E94" s="36">
        <f t="shared" si="11"/>
        <v>0</v>
      </c>
      <c r="F94" s="36">
        <f t="shared" si="12"/>
        <v>0</v>
      </c>
      <c r="G94" s="35">
        <f t="shared" si="13"/>
        <v>0</v>
      </c>
      <c r="H94" s="36">
        <f t="shared" si="17"/>
        <v>0</v>
      </c>
      <c r="I94" s="35">
        <f t="shared" si="18"/>
        <v>0</v>
      </c>
      <c r="J94" s="35">
        <f t="shared" si="21"/>
        <v>0</v>
      </c>
      <c r="K94" s="46">
        <f t="shared" si="22"/>
        <v>0</v>
      </c>
    </row>
    <row r="95" spans="1:11" s="38" customFormat="1" x14ac:dyDescent="0.25">
      <c r="A95" s="40">
        <f t="shared" si="19"/>
        <v>7</v>
      </c>
      <c r="B95" s="39">
        <f t="shared" si="23"/>
        <v>75</v>
      </c>
      <c r="C95" s="35">
        <f t="shared" si="10"/>
        <v>0</v>
      </c>
      <c r="D95" s="36">
        <f t="shared" si="20"/>
        <v>0</v>
      </c>
      <c r="E95" s="36">
        <f t="shared" si="11"/>
        <v>0</v>
      </c>
      <c r="F95" s="36">
        <f t="shared" si="12"/>
        <v>0</v>
      </c>
      <c r="G95" s="35">
        <f t="shared" si="13"/>
        <v>0</v>
      </c>
      <c r="H95" s="36">
        <f t="shared" si="17"/>
        <v>0</v>
      </c>
      <c r="I95" s="35">
        <f t="shared" si="18"/>
        <v>0</v>
      </c>
      <c r="J95" s="35">
        <f t="shared" si="21"/>
        <v>0</v>
      </c>
      <c r="K95" s="46">
        <f t="shared" si="22"/>
        <v>0</v>
      </c>
    </row>
    <row r="96" spans="1:11" s="38" customFormat="1" x14ac:dyDescent="0.25">
      <c r="A96" s="40">
        <f t="shared" si="19"/>
        <v>7</v>
      </c>
      <c r="B96" s="39">
        <f t="shared" si="23"/>
        <v>76</v>
      </c>
      <c r="C96" s="35">
        <f t="shared" si="10"/>
        <v>0</v>
      </c>
      <c r="D96" s="36">
        <f t="shared" si="20"/>
        <v>0</v>
      </c>
      <c r="E96" s="36">
        <f t="shared" si="11"/>
        <v>0</v>
      </c>
      <c r="F96" s="36">
        <f t="shared" si="12"/>
        <v>0</v>
      </c>
      <c r="G96" s="35">
        <f t="shared" si="13"/>
        <v>0</v>
      </c>
      <c r="H96" s="36">
        <f t="shared" si="17"/>
        <v>0</v>
      </c>
      <c r="I96" s="35">
        <f t="shared" si="18"/>
        <v>0</v>
      </c>
      <c r="J96" s="35">
        <f t="shared" si="21"/>
        <v>0</v>
      </c>
      <c r="K96" s="46">
        <f t="shared" si="22"/>
        <v>0</v>
      </c>
    </row>
    <row r="97" spans="1:11" s="38" customFormat="1" x14ac:dyDescent="0.25">
      <c r="A97" s="40">
        <f t="shared" si="19"/>
        <v>7</v>
      </c>
      <c r="B97" s="39">
        <f t="shared" si="23"/>
        <v>77</v>
      </c>
      <c r="C97" s="35">
        <f t="shared" ref="C97:C160" si="24">H96</f>
        <v>0</v>
      </c>
      <c r="D97" s="36">
        <f t="shared" si="20"/>
        <v>0</v>
      </c>
      <c r="E97" s="36">
        <f t="shared" ref="E97:E160" si="25">IF(AND($G$2, B97&lt;=$G$3), 0, D97-F97)</f>
        <v>0</v>
      </c>
      <c r="F97" s="36">
        <f t="shared" ref="F97:F160" si="26">-H96*$C$12</f>
        <v>0</v>
      </c>
      <c r="G97" s="35">
        <f t="shared" ref="G97:G160" si="27">IF(AND($G$5, B97=$G$6), C97+E97, 0)</f>
        <v>0</v>
      </c>
      <c r="H97" s="36">
        <f t="shared" si="17"/>
        <v>0</v>
      </c>
      <c r="I97" s="35">
        <f t="shared" si="18"/>
        <v>0</v>
      </c>
      <c r="J97" s="35">
        <f t="shared" si="21"/>
        <v>0</v>
      </c>
      <c r="K97" s="46">
        <f t="shared" si="22"/>
        <v>0</v>
      </c>
    </row>
    <row r="98" spans="1:11" s="38" customFormat="1" x14ac:dyDescent="0.25">
      <c r="A98" s="40">
        <f t="shared" si="19"/>
        <v>7</v>
      </c>
      <c r="B98" s="39">
        <f t="shared" si="23"/>
        <v>78</v>
      </c>
      <c r="C98" s="35">
        <f t="shared" si="24"/>
        <v>0</v>
      </c>
      <c r="D98" s="36">
        <f t="shared" si="20"/>
        <v>0</v>
      </c>
      <c r="E98" s="36">
        <f t="shared" si="25"/>
        <v>0</v>
      </c>
      <c r="F98" s="36">
        <f t="shared" si="26"/>
        <v>0</v>
      </c>
      <c r="G98" s="35">
        <f t="shared" si="27"/>
        <v>0</v>
      </c>
      <c r="H98" s="36">
        <f t="shared" si="17"/>
        <v>0</v>
      </c>
      <c r="I98" s="35">
        <f t="shared" si="18"/>
        <v>0</v>
      </c>
      <c r="J98" s="35">
        <f t="shared" si="21"/>
        <v>0</v>
      </c>
      <c r="K98" s="46">
        <f t="shared" si="22"/>
        <v>0</v>
      </c>
    </row>
    <row r="99" spans="1:11" s="38" customFormat="1" x14ac:dyDescent="0.25">
      <c r="A99" s="40">
        <f t="shared" si="19"/>
        <v>7</v>
      </c>
      <c r="B99" s="39">
        <f t="shared" si="23"/>
        <v>79</v>
      </c>
      <c r="C99" s="35">
        <f t="shared" si="24"/>
        <v>0</v>
      </c>
      <c r="D99" s="36">
        <f t="shared" si="20"/>
        <v>0</v>
      </c>
      <c r="E99" s="36">
        <f t="shared" si="25"/>
        <v>0</v>
      </c>
      <c r="F99" s="36">
        <f t="shared" si="26"/>
        <v>0</v>
      </c>
      <c r="G99" s="35">
        <f t="shared" si="27"/>
        <v>0</v>
      </c>
      <c r="H99" s="36">
        <f t="shared" si="17"/>
        <v>0</v>
      </c>
      <c r="I99" s="35">
        <f t="shared" si="18"/>
        <v>0</v>
      </c>
      <c r="J99" s="35">
        <f t="shared" si="21"/>
        <v>0</v>
      </c>
      <c r="K99" s="46">
        <f t="shared" si="22"/>
        <v>0</v>
      </c>
    </row>
    <row r="100" spans="1:11" s="38" customFormat="1" x14ac:dyDescent="0.25">
      <c r="A100" s="40">
        <f t="shared" si="19"/>
        <v>7</v>
      </c>
      <c r="B100" s="39">
        <f t="shared" si="23"/>
        <v>80</v>
      </c>
      <c r="C100" s="35">
        <f t="shared" si="24"/>
        <v>0</v>
      </c>
      <c r="D100" s="36">
        <f t="shared" si="20"/>
        <v>0</v>
      </c>
      <c r="E100" s="36">
        <f t="shared" si="25"/>
        <v>0</v>
      </c>
      <c r="F100" s="36">
        <f t="shared" si="26"/>
        <v>0</v>
      </c>
      <c r="G100" s="35">
        <f t="shared" si="27"/>
        <v>0</v>
      </c>
      <c r="H100" s="36">
        <f t="shared" si="17"/>
        <v>0</v>
      </c>
      <c r="I100" s="35">
        <f t="shared" si="18"/>
        <v>0</v>
      </c>
      <c r="J100" s="35">
        <f t="shared" si="21"/>
        <v>0</v>
      </c>
      <c r="K100" s="46">
        <f t="shared" si="22"/>
        <v>0</v>
      </c>
    </row>
    <row r="101" spans="1:11" s="38" customFormat="1" x14ac:dyDescent="0.25">
      <c r="A101" s="40">
        <f t="shared" si="19"/>
        <v>7</v>
      </c>
      <c r="B101" s="39">
        <f t="shared" si="23"/>
        <v>81</v>
      </c>
      <c r="C101" s="35">
        <f t="shared" si="24"/>
        <v>0</v>
      </c>
      <c r="D101" s="36">
        <f t="shared" si="20"/>
        <v>0</v>
      </c>
      <c r="E101" s="36">
        <f t="shared" si="25"/>
        <v>0</v>
      </c>
      <c r="F101" s="36">
        <f t="shared" si="26"/>
        <v>0</v>
      </c>
      <c r="G101" s="35">
        <f t="shared" si="27"/>
        <v>0</v>
      </c>
      <c r="H101" s="36">
        <f t="shared" si="17"/>
        <v>0</v>
      </c>
      <c r="I101" s="35">
        <f t="shared" si="18"/>
        <v>0</v>
      </c>
      <c r="J101" s="35">
        <f t="shared" si="21"/>
        <v>0</v>
      </c>
      <c r="K101" s="46">
        <f t="shared" si="22"/>
        <v>0</v>
      </c>
    </row>
    <row r="102" spans="1:11" s="38" customFormat="1" x14ac:dyDescent="0.25">
      <c r="A102" s="40">
        <f t="shared" si="19"/>
        <v>7</v>
      </c>
      <c r="B102" s="39">
        <f t="shared" si="23"/>
        <v>82</v>
      </c>
      <c r="C102" s="35">
        <f t="shared" si="24"/>
        <v>0</v>
      </c>
      <c r="D102" s="36">
        <f t="shared" si="20"/>
        <v>0</v>
      </c>
      <c r="E102" s="36">
        <f t="shared" si="25"/>
        <v>0</v>
      </c>
      <c r="F102" s="36">
        <f t="shared" si="26"/>
        <v>0</v>
      </c>
      <c r="G102" s="35">
        <f t="shared" si="27"/>
        <v>0</v>
      </c>
      <c r="H102" s="36">
        <f t="shared" si="17"/>
        <v>0</v>
      </c>
      <c r="I102" s="35">
        <f t="shared" si="18"/>
        <v>0</v>
      </c>
      <c r="J102" s="35">
        <f t="shared" si="21"/>
        <v>0</v>
      </c>
      <c r="K102" s="46">
        <f t="shared" si="22"/>
        <v>0</v>
      </c>
    </row>
    <row r="103" spans="1:11" s="38" customFormat="1" x14ac:dyDescent="0.25">
      <c r="A103" s="40">
        <f t="shared" si="19"/>
        <v>7</v>
      </c>
      <c r="B103" s="39">
        <f t="shared" si="23"/>
        <v>83</v>
      </c>
      <c r="C103" s="35">
        <f t="shared" si="24"/>
        <v>0</v>
      </c>
      <c r="D103" s="36">
        <f t="shared" si="20"/>
        <v>0</v>
      </c>
      <c r="E103" s="36">
        <f t="shared" si="25"/>
        <v>0</v>
      </c>
      <c r="F103" s="36">
        <f t="shared" si="26"/>
        <v>0</v>
      </c>
      <c r="G103" s="35">
        <f t="shared" si="27"/>
        <v>0</v>
      </c>
      <c r="H103" s="36">
        <f t="shared" si="17"/>
        <v>0</v>
      </c>
      <c r="I103" s="35">
        <f t="shared" si="18"/>
        <v>0</v>
      </c>
      <c r="J103" s="35">
        <f t="shared" si="21"/>
        <v>0</v>
      </c>
      <c r="K103" s="46">
        <f t="shared" si="22"/>
        <v>0</v>
      </c>
    </row>
    <row r="104" spans="1:11" s="38" customFormat="1" x14ac:dyDescent="0.25">
      <c r="A104" s="40">
        <f t="shared" si="19"/>
        <v>7</v>
      </c>
      <c r="B104" s="39">
        <f t="shared" si="23"/>
        <v>84</v>
      </c>
      <c r="C104" s="35">
        <f t="shared" si="24"/>
        <v>0</v>
      </c>
      <c r="D104" s="36">
        <f t="shared" si="20"/>
        <v>0</v>
      </c>
      <c r="E104" s="36">
        <f t="shared" si="25"/>
        <v>0</v>
      </c>
      <c r="F104" s="36">
        <f t="shared" si="26"/>
        <v>0</v>
      </c>
      <c r="G104" s="35">
        <f t="shared" si="27"/>
        <v>0</v>
      </c>
      <c r="H104" s="36">
        <f t="shared" si="17"/>
        <v>0</v>
      </c>
      <c r="I104" s="35">
        <f t="shared" si="18"/>
        <v>0</v>
      </c>
      <c r="J104" s="35">
        <f t="shared" si="21"/>
        <v>0</v>
      </c>
      <c r="K104" s="46">
        <f t="shared" si="22"/>
        <v>0</v>
      </c>
    </row>
    <row r="105" spans="1:11" s="38" customFormat="1" x14ac:dyDescent="0.25">
      <c r="A105" s="40">
        <f>A93+1</f>
        <v>8</v>
      </c>
      <c r="B105" s="39">
        <f t="shared" si="23"/>
        <v>85</v>
      </c>
      <c r="C105" s="35">
        <f t="shared" si="24"/>
        <v>0</v>
      </c>
      <c r="D105" s="36">
        <f t="shared" si="20"/>
        <v>0</v>
      </c>
      <c r="E105" s="36">
        <f t="shared" si="25"/>
        <v>0</v>
      </c>
      <c r="F105" s="36">
        <f t="shared" si="26"/>
        <v>0</v>
      </c>
      <c r="G105" s="35">
        <f t="shared" si="27"/>
        <v>0</v>
      </c>
      <c r="H105" s="36">
        <f t="shared" si="17"/>
        <v>0</v>
      </c>
      <c r="I105" s="35">
        <f t="shared" si="18"/>
        <v>0</v>
      </c>
      <c r="J105" s="35">
        <f t="shared" si="21"/>
        <v>0</v>
      </c>
      <c r="K105" s="46">
        <f t="shared" si="22"/>
        <v>0</v>
      </c>
    </row>
    <row r="106" spans="1:11" s="38" customFormat="1" x14ac:dyDescent="0.25">
      <c r="A106" s="40">
        <f>A105</f>
        <v>8</v>
      </c>
      <c r="B106" s="39">
        <f t="shared" si="23"/>
        <v>86</v>
      </c>
      <c r="C106" s="35">
        <f t="shared" si="24"/>
        <v>0</v>
      </c>
      <c r="D106" s="36">
        <f t="shared" si="20"/>
        <v>0</v>
      </c>
      <c r="E106" s="36">
        <f t="shared" si="25"/>
        <v>0</v>
      </c>
      <c r="F106" s="36">
        <f t="shared" si="26"/>
        <v>0</v>
      </c>
      <c r="G106" s="35">
        <f t="shared" si="27"/>
        <v>0</v>
      </c>
      <c r="H106" s="36">
        <f t="shared" si="17"/>
        <v>0</v>
      </c>
      <c r="I106" s="35">
        <f t="shared" si="18"/>
        <v>0</v>
      </c>
      <c r="J106" s="35">
        <f t="shared" si="21"/>
        <v>0</v>
      </c>
      <c r="K106" s="46">
        <f t="shared" si="22"/>
        <v>0</v>
      </c>
    </row>
    <row r="107" spans="1:11" s="38" customFormat="1" x14ac:dyDescent="0.25">
      <c r="A107" s="40">
        <f t="shared" si="19"/>
        <v>8</v>
      </c>
      <c r="B107" s="39">
        <f t="shared" si="23"/>
        <v>87</v>
      </c>
      <c r="C107" s="35">
        <f t="shared" si="24"/>
        <v>0</v>
      </c>
      <c r="D107" s="36">
        <f t="shared" si="20"/>
        <v>0</v>
      </c>
      <c r="E107" s="36">
        <f t="shared" si="25"/>
        <v>0</v>
      </c>
      <c r="F107" s="36">
        <f t="shared" si="26"/>
        <v>0</v>
      </c>
      <c r="G107" s="35">
        <f t="shared" si="27"/>
        <v>0</v>
      </c>
      <c r="H107" s="36">
        <f t="shared" si="17"/>
        <v>0</v>
      </c>
      <c r="I107" s="35">
        <f t="shared" si="18"/>
        <v>0</v>
      </c>
      <c r="J107" s="35">
        <f t="shared" si="21"/>
        <v>0</v>
      </c>
      <c r="K107" s="46">
        <f t="shared" si="22"/>
        <v>0</v>
      </c>
    </row>
    <row r="108" spans="1:11" s="38" customFormat="1" x14ac:dyDescent="0.25">
      <c r="A108" s="40">
        <f t="shared" si="19"/>
        <v>8</v>
      </c>
      <c r="B108" s="39">
        <f t="shared" si="23"/>
        <v>88</v>
      </c>
      <c r="C108" s="35">
        <f t="shared" si="24"/>
        <v>0</v>
      </c>
      <c r="D108" s="36">
        <f t="shared" si="20"/>
        <v>0</v>
      </c>
      <c r="E108" s="36">
        <f t="shared" si="25"/>
        <v>0</v>
      </c>
      <c r="F108" s="36">
        <f t="shared" si="26"/>
        <v>0</v>
      </c>
      <c r="G108" s="35">
        <f t="shared" si="27"/>
        <v>0</v>
      </c>
      <c r="H108" s="36">
        <f t="shared" si="17"/>
        <v>0</v>
      </c>
      <c r="I108" s="35">
        <f t="shared" si="18"/>
        <v>0</v>
      </c>
      <c r="J108" s="35">
        <f t="shared" si="21"/>
        <v>0</v>
      </c>
      <c r="K108" s="46">
        <f t="shared" si="22"/>
        <v>0</v>
      </c>
    </row>
    <row r="109" spans="1:11" s="38" customFormat="1" x14ac:dyDescent="0.25">
      <c r="A109" s="40">
        <f t="shared" si="19"/>
        <v>8</v>
      </c>
      <c r="B109" s="39">
        <f t="shared" si="23"/>
        <v>89</v>
      </c>
      <c r="C109" s="35">
        <f t="shared" si="24"/>
        <v>0</v>
      </c>
      <c r="D109" s="36">
        <f t="shared" si="20"/>
        <v>0</v>
      </c>
      <c r="E109" s="36">
        <f t="shared" si="25"/>
        <v>0</v>
      </c>
      <c r="F109" s="36">
        <f t="shared" si="26"/>
        <v>0</v>
      </c>
      <c r="G109" s="35">
        <f t="shared" si="27"/>
        <v>0</v>
      </c>
      <c r="H109" s="36">
        <f t="shared" ref="H109:H172" si="28">IF(C109+E109-G109&lt;=0, 0, C109+E109-G109)</f>
        <v>0</v>
      </c>
      <c r="I109" s="35">
        <f t="shared" ref="I109:I172" si="29">-D109+G109</f>
        <v>0</v>
      </c>
      <c r="J109" s="35">
        <f t="shared" si="21"/>
        <v>0</v>
      </c>
      <c r="K109" s="46">
        <f t="shared" si="22"/>
        <v>0</v>
      </c>
    </row>
    <row r="110" spans="1:11" s="38" customFormat="1" x14ac:dyDescent="0.25">
      <c r="A110" s="40">
        <f t="shared" ref="A110:A173" si="30">A109</f>
        <v>8</v>
      </c>
      <c r="B110" s="39">
        <f t="shared" si="23"/>
        <v>90</v>
      </c>
      <c r="C110" s="35">
        <f t="shared" si="24"/>
        <v>0</v>
      </c>
      <c r="D110" s="36">
        <f t="shared" si="20"/>
        <v>0</v>
      </c>
      <c r="E110" s="36">
        <f t="shared" si="25"/>
        <v>0</v>
      </c>
      <c r="F110" s="36">
        <f t="shared" si="26"/>
        <v>0</v>
      </c>
      <c r="G110" s="35">
        <f t="shared" si="27"/>
        <v>0</v>
      </c>
      <c r="H110" s="36">
        <f t="shared" si="28"/>
        <v>0</v>
      </c>
      <c r="I110" s="35">
        <f t="shared" si="29"/>
        <v>0</v>
      </c>
      <c r="J110" s="35">
        <f t="shared" si="21"/>
        <v>0</v>
      </c>
      <c r="K110" s="46">
        <f t="shared" si="22"/>
        <v>0</v>
      </c>
    </row>
    <row r="111" spans="1:11" s="38" customFormat="1" x14ac:dyDescent="0.25">
      <c r="A111" s="40">
        <f t="shared" si="30"/>
        <v>8</v>
      </c>
      <c r="B111" s="39">
        <f t="shared" si="23"/>
        <v>91</v>
      </c>
      <c r="C111" s="35">
        <f t="shared" si="24"/>
        <v>0</v>
      </c>
      <c r="D111" s="36">
        <f t="shared" si="20"/>
        <v>0</v>
      </c>
      <c r="E111" s="36">
        <f t="shared" si="25"/>
        <v>0</v>
      </c>
      <c r="F111" s="36">
        <f t="shared" si="26"/>
        <v>0</v>
      </c>
      <c r="G111" s="35">
        <f t="shared" si="27"/>
        <v>0</v>
      </c>
      <c r="H111" s="36">
        <f t="shared" si="28"/>
        <v>0</v>
      </c>
      <c r="I111" s="35">
        <f t="shared" si="29"/>
        <v>0</v>
      </c>
      <c r="J111" s="35">
        <f t="shared" si="21"/>
        <v>0</v>
      </c>
      <c r="K111" s="46">
        <f t="shared" si="22"/>
        <v>0</v>
      </c>
    </row>
    <row r="112" spans="1:11" s="38" customFormat="1" x14ac:dyDescent="0.25">
      <c r="A112" s="40">
        <f t="shared" si="30"/>
        <v>8</v>
      </c>
      <c r="B112" s="39">
        <f t="shared" si="23"/>
        <v>92</v>
      </c>
      <c r="C112" s="35">
        <f t="shared" si="24"/>
        <v>0</v>
      </c>
      <c r="D112" s="36">
        <f t="shared" si="20"/>
        <v>0</v>
      </c>
      <c r="E112" s="36">
        <f t="shared" si="25"/>
        <v>0</v>
      </c>
      <c r="F112" s="36">
        <f t="shared" si="26"/>
        <v>0</v>
      </c>
      <c r="G112" s="35">
        <f t="shared" si="27"/>
        <v>0</v>
      </c>
      <c r="H112" s="36">
        <f t="shared" si="28"/>
        <v>0</v>
      </c>
      <c r="I112" s="35">
        <f t="shared" si="29"/>
        <v>0</v>
      </c>
      <c r="J112" s="35">
        <f t="shared" si="21"/>
        <v>0</v>
      </c>
      <c r="K112" s="46">
        <f t="shared" si="22"/>
        <v>0</v>
      </c>
    </row>
    <row r="113" spans="1:11" s="38" customFormat="1" x14ac:dyDescent="0.25">
      <c r="A113" s="40">
        <f t="shared" si="30"/>
        <v>8</v>
      </c>
      <c r="B113" s="39">
        <f t="shared" si="23"/>
        <v>93</v>
      </c>
      <c r="C113" s="35">
        <f t="shared" si="24"/>
        <v>0</v>
      </c>
      <c r="D113" s="36">
        <f t="shared" si="20"/>
        <v>0</v>
      </c>
      <c r="E113" s="36">
        <f t="shared" si="25"/>
        <v>0</v>
      </c>
      <c r="F113" s="36">
        <f t="shared" si="26"/>
        <v>0</v>
      </c>
      <c r="G113" s="35">
        <f t="shared" si="27"/>
        <v>0</v>
      </c>
      <c r="H113" s="36">
        <f t="shared" si="28"/>
        <v>0</v>
      </c>
      <c r="I113" s="35">
        <f t="shared" si="29"/>
        <v>0</v>
      </c>
      <c r="J113" s="35">
        <f t="shared" si="21"/>
        <v>0</v>
      </c>
      <c r="K113" s="46">
        <f t="shared" si="22"/>
        <v>0</v>
      </c>
    </row>
    <row r="114" spans="1:11" s="38" customFormat="1" x14ac:dyDescent="0.25">
      <c r="A114" s="40">
        <f t="shared" si="30"/>
        <v>8</v>
      </c>
      <c r="B114" s="39">
        <f t="shared" si="23"/>
        <v>94</v>
      </c>
      <c r="C114" s="35">
        <f t="shared" si="24"/>
        <v>0</v>
      </c>
      <c r="D114" s="36">
        <f t="shared" si="20"/>
        <v>0</v>
      </c>
      <c r="E114" s="36">
        <f t="shared" si="25"/>
        <v>0</v>
      </c>
      <c r="F114" s="36">
        <f t="shared" si="26"/>
        <v>0</v>
      </c>
      <c r="G114" s="35">
        <f t="shared" si="27"/>
        <v>0</v>
      </c>
      <c r="H114" s="36">
        <f t="shared" si="28"/>
        <v>0</v>
      </c>
      <c r="I114" s="35">
        <f t="shared" si="29"/>
        <v>0</v>
      </c>
      <c r="J114" s="35">
        <f t="shared" si="21"/>
        <v>0</v>
      </c>
      <c r="K114" s="46">
        <f t="shared" si="22"/>
        <v>0</v>
      </c>
    </row>
    <row r="115" spans="1:11" s="38" customFormat="1" x14ac:dyDescent="0.25">
      <c r="A115" s="40">
        <f t="shared" si="30"/>
        <v>8</v>
      </c>
      <c r="B115" s="39">
        <f t="shared" si="23"/>
        <v>95</v>
      </c>
      <c r="C115" s="35">
        <f t="shared" si="24"/>
        <v>0</v>
      </c>
      <c r="D115" s="36">
        <f t="shared" si="20"/>
        <v>0</v>
      </c>
      <c r="E115" s="36">
        <f t="shared" si="25"/>
        <v>0</v>
      </c>
      <c r="F115" s="36">
        <f t="shared" si="26"/>
        <v>0</v>
      </c>
      <c r="G115" s="35">
        <f t="shared" si="27"/>
        <v>0</v>
      </c>
      <c r="H115" s="36">
        <f t="shared" si="28"/>
        <v>0</v>
      </c>
      <c r="I115" s="35">
        <f t="shared" si="29"/>
        <v>0</v>
      </c>
      <c r="J115" s="35">
        <f t="shared" si="21"/>
        <v>0</v>
      </c>
      <c r="K115" s="46">
        <f t="shared" si="22"/>
        <v>0</v>
      </c>
    </row>
    <row r="116" spans="1:11" s="38" customFormat="1" x14ac:dyDescent="0.25">
      <c r="A116" s="40">
        <f t="shared" si="30"/>
        <v>8</v>
      </c>
      <c r="B116" s="39">
        <f t="shared" si="23"/>
        <v>96</v>
      </c>
      <c r="C116" s="35">
        <f t="shared" si="24"/>
        <v>0</v>
      </c>
      <c r="D116" s="36">
        <f t="shared" si="20"/>
        <v>0</v>
      </c>
      <c r="E116" s="36">
        <f t="shared" si="25"/>
        <v>0</v>
      </c>
      <c r="F116" s="36">
        <f t="shared" si="26"/>
        <v>0</v>
      </c>
      <c r="G116" s="35">
        <f t="shared" si="27"/>
        <v>0</v>
      </c>
      <c r="H116" s="36">
        <f t="shared" si="28"/>
        <v>0</v>
      </c>
      <c r="I116" s="35">
        <f t="shared" si="29"/>
        <v>0</v>
      </c>
      <c r="J116" s="35">
        <f t="shared" si="21"/>
        <v>0</v>
      </c>
      <c r="K116" s="46">
        <f t="shared" si="22"/>
        <v>0</v>
      </c>
    </row>
    <row r="117" spans="1:11" s="38" customFormat="1" x14ac:dyDescent="0.25">
      <c r="A117" s="40">
        <f>A105+1</f>
        <v>9</v>
      </c>
      <c r="B117" s="39">
        <f t="shared" si="23"/>
        <v>97</v>
      </c>
      <c r="C117" s="35">
        <f t="shared" si="24"/>
        <v>0</v>
      </c>
      <c r="D117" s="36">
        <f t="shared" si="20"/>
        <v>0</v>
      </c>
      <c r="E117" s="36">
        <f t="shared" si="25"/>
        <v>0</v>
      </c>
      <c r="F117" s="36">
        <f t="shared" si="26"/>
        <v>0</v>
      </c>
      <c r="G117" s="35">
        <f t="shared" si="27"/>
        <v>0</v>
      </c>
      <c r="H117" s="36">
        <f t="shared" si="28"/>
        <v>0</v>
      </c>
      <c r="I117" s="35">
        <f t="shared" si="29"/>
        <v>0</v>
      </c>
      <c r="J117" s="35">
        <f t="shared" si="21"/>
        <v>0</v>
      </c>
      <c r="K117" s="46">
        <f t="shared" si="22"/>
        <v>0</v>
      </c>
    </row>
    <row r="118" spans="1:11" s="38" customFormat="1" x14ac:dyDescent="0.25">
      <c r="A118" s="40">
        <f>A117</f>
        <v>9</v>
      </c>
      <c r="B118" s="39">
        <f t="shared" si="23"/>
        <v>98</v>
      </c>
      <c r="C118" s="35">
        <f t="shared" si="24"/>
        <v>0</v>
      </c>
      <c r="D118" s="36">
        <f t="shared" si="20"/>
        <v>0</v>
      </c>
      <c r="E118" s="36">
        <f t="shared" si="25"/>
        <v>0</v>
      </c>
      <c r="F118" s="36">
        <f t="shared" si="26"/>
        <v>0</v>
      </c>
      <c r="G118" s="35">
        <f t="shared" si="27"/>
        <v>0</v>
      </c>
      <c r="H118" s="36">
        <f t="shared" si="28"/>
        <v>0</v>
      </c>
      <c r="I118" s="35">
        <f t="shared" si="29"/>
        <v>0</v>
      </c>
      <c r="J118" s="35">
        <f t="shared" si="21"/>
        <v>0</v>
      </c>
      <c r="K118" s="46">
        <f t="shared" si="22"/>
        <v>0</v>
      </c>
    </row>
    <row r="119" spans="1:11" s="38" customFormat="1" x14ac:dyDescent="0.25">
      <c r="A119" s="40">
        <f t="shared" si="30"/>
        <v>9</v>
      </c>
      <c r="B119" s="39">
        <f t="shared" si="23"/>
        <v>99</v>
      </c>
      <c r="C119" s="35">
        <f t="shared" si="24"/>
        <v>0</v>
      </c>
      <c r="D119" s="36">
        <f t="shared" si="20"/>
        <v>0</v>
      </c>
      <c r="E119" s="36">
        <f t="shared" si="25"/>
        <v>0</v>
      </c>
      <c r="F119" s="36">
        <f t="shared" si="26"/>
        <v>0</v>
      </c>
      <c r="G119" s="35">
        <f t="shared" si="27"/>
        <v>0</v>
      </c>
      <c r="H119" s="36">
        <f t="shared" si="28"/>
        <v>0</v>
      </c>
      <c r="I119" s="35">
        <f t="shared" si="29"/>
        <v>0</v>
      </c>
      <c r="J119" s="35">
        <f t="shared" si="21"/>
        <v>0</v>
      </c>
      <c r="K119" s="46">
        <f t="shared" si="22"/>
        <v>0</v>
      </c>
    </row>
    <row r="120" spans="1:11" s="38" customFormat="1" x14ac:dyDescent="0.25">
      <c r="A120" s="40">
        <f t="shared" si="30"/>
        <v>9</v>
      </c>
      <c r="B120" s="39">
        <f t="shared" si="23"/>
        <v>100</v>
      </c>
      <c r="C120" s="35">
        <f t="shared" si="24"/>
        <v>0</v>
      </c>
      <c r="D120" s="36">
        <f t="shared" si="20"/>
        <v>0</v>
      </c>
      <c r="E120" s="36">
        <f t="shared" si="25"/>
        <v>0</v>
      </c>
      <c r="F120" s="36">
        <f t="shared" si="26"/>
        <v>0</v>
      </c>
      <c r="G120" s="35">
        <f t="shared" si="27"/>
        <v>0</v>
      </c>
      <c r="H120" s="36">
        <f t="shared" si="28"/>
        <v>0</v>
      </c>
      <c r="I120" s="35">
        <f t="shared" si="29"/>
        <v>0</v>
      </c>
      <c r="J120" s="35">
        <f t="shared" si="21"/>
        <v>0</v>
      </c>
      <c r="K120" s="46">
        <f t="shared" si="22"/>
        <v>0</v>
      </c>
    </row>
    <row r="121" spans="1:11" s="38" customFormat="1" x14ac:dyDescent="0.25">
      <c r="A121" s="40">
        <f t="shared" si="30"/>
        <v>9</v>
      </c>
      <c r="B121" s="39">
        <f t="shared" si="23"/>
        <v>101</v>
      </c>
      <c r="C121" s="35">
        <f t="shared" si="24"/>
        <v>0</v>
      </c>
      <c r="D121" s="36">
        <f t="shared" si="20"/>
        <v>0</v>
      </c>
      <c r="E121" s="36">
        <f t="shared" si="25"/>
        <v>0</v>
      </c>
      <c r="F121" s="36">
        <f t="shared" si="26"/>
        <v>0</v>
      </c>
      <c r="G121" s="35">
        <f t="shared" si="27"/>
        <v>0</v>
      </c>
      <c r="H121" s="36">
        <f t="shared" si="28"/>
        <v>0</v>
      </c>
      <c r="I121" s="35">
        <f t="shared" si="29"/>
        <v>0</v>
      </c>
      <c r="J121" s="35">
        <f t="shared" si="21"/>
        <v>0</v>
      </c>
      <c r="K121" s="46">
        <f t="shared" si="22"/>
        <v>0</v>
      </c>
    </row>
    <row r="122" spans="1:11" s="38" customFormat="1" x14ac:dyDescent="0.25">
      <c r="A122" s="40">
        <f t="shared" si="30"/>
        <v>9</v>
      </c>
      <c r="B122" s="39">
        <f t="shared" si="23"/>
        <v>102</v>
      </c>
      <c r="C122" s="35">
        <f t="shared" si="24"/>
        <v>0</v>
      </c>
      <c r="D122" s="36">
        <f t="shared" si="20"/>
        <v>0</v>
      </c>
      <c r="E122" s="36">
        <f t="shared" si="25"/>
        <v>0</v>
      </c>
      <c r="F122" s="36">
        <f t="shared" si="26"/>
        <v>0</v>
      </c>
      <c r="G122" s="35">
        <f t="shared" si="27"/>
        <v>0</v>
      </c>
      <c r="H122" s="36">
        <f t="shared" si="28"/>
        <v>0</v>
      </c>
      <c r="I122" s="35">
        <f t="shared" si="29"/>
        <v>0</v>
      </c>
      <c r="J122" s="35">
        <f t="shared" si="21"/>
        <v>0</v>
      </c>
      <c r="K122" s="46">
        <f t="shared" si="22"/>
        <v>0</v>
      </c>
    </row>
    <row r="123" spans="1:11" s="38" customFormat="1" x14ac:dyDescent="0.25">
      <c r="A123" s="40">
        <f t="shared" si="30"/>
        <v>9</v>
      </c>
      <c r="B123" s="39">
        <f t="shared" si="23"/>
        <v>103</v>
      </c>
      <c r="C123" s="35">
        <f t="shared" si="24"/>
        <v>0</v>
      </c>
      <c r="D123" s="36">
        <f t="shared" si="20"/>
        <v>0</v>
      </c>
      <c r="E123" s="36">
        <f t="shared" si="25"/>
        <v>0</v>
      </c>
      <c r="F123" s="36">
        <f t="shared" si="26"/>
        <v>0</v>
      </c>
      <c r="G123" s="35">
        <f t="shared" si="27"/>
        <v>0</v>
      </c>
      <c r="H123" s="36">
        <f t="shared" si="28"/>
        <v>0</v>
      </c>
      <c r="I123" s="35">
        <f t="shared" si="29"/>
        <v>0</v>
      </c>
      <c r="J123" s="35">
        <f t="shared" si="21"/>
        <v>0</v>
      </c>
      <c r="K123" s="46">
        <f t="shared" si="22"/>
        <v>0</v>
      </c>
    </row>
    <row r="124" spans="1:11" s="38" customFormat="1" x14ac:dyDescent="0.25">
      <c r="A124" s="40">
        <f t="shared" si="30"/>
        <v>9</v>
      </c>
      <c r="B124" s="39">
        <f t="shared" si="23"/>
        <v>104</v>
      </c>
      <c r="C124" s="35">
        <f t="shared" si="24"/>
        <v>0</v>
      </c>
      <c r="D124" s="36">
        <f t="shared" si="20"/>
        <v>0</v>
      </c>
      <c r="E124" s="36">
        <f t="shared" si="25"/>
        <v>0</v>
      </c>
      <c r="F124" s="36">
        <f t="shared" si="26"/>
        <v>0</v>
      </c>
      <c r="G124" s="35">
        <f t="shared" si="27"/>
        <v>0</v>
      </c>
      <c r="H124" s="36">
        <f t="shared" si="28"/>
        <v>0</v>
      </c>
      <c r="I124" s="35">
        <f t="shared" si="29"/>
        <v>0</v>
      </c>
      <c r="J124" s="35">
        <f t="shared" si="21"/>
        <v>0</v>
      </c>
      <c r="K124" s="46">
        <f t="shared" si="22"/>
        <v>0</v>
      </c>
    </row>
    <row r="125" spans="1:11" s="38" customFormat="1" x14ac:dyDescent="0.25">
      <c r="A125" s="40">
        <f t="shared" si="30"/>
        <v>9</v>
      </c>
      <c r="B125" s="39">
        <f t="shared" si="23"/>
        <v>105</v>
      </c>
      <c r="C125" s="35">
        <f t="shared" si="24"/>
        <v>0</v>
      </c>
      <c r="D125" s="36">
        <f t="shared" si="20"/>
        <v>0</v>
      </c>
      <c r="E125" s="36">
        <f t="shared" si="25"/>
        <v>0</v>
      </c>
      <c r="F125" s="36">
        <f t="shared" si="26"/>
        <v>0</v>
      </c>
      <c r="G125" s="35">
        <f t="shared" si="27"/>
        <v>0</v>
      </c>
      <c r="H125" s="36">
        <f t="shared" si="28"/>
        <v>0</v>
      </c>
      <c r="I125" s="35">
        <f t="shared" si="29"/>
        <v>0</v>
      </c>
      <c r="J125" s="35">
        <f t="shared" si="21"/>
        <v>0</v>
      </c>
      <c r="K125" s="46">
        <f t="shared" si="22"/>
        <v>0</v>
      </c>
    </row>
    <row r="126" spans="1:11" s="38" customFormat="1" x14ac:dyDescent="0.25">
      <c r="A126" s="40">
        <f t="shared" si="30"/>
        <v>9</v>
      </c>
      <c r="B126" s="39">
        <f t="shared" si="23"/>
        <v>106</v>
      </c>
      <c r="C126" s="35">
        <f t="shared" si="24"/>
        <v>0</v>
      </c>
      <c r="D126" s="36">
        <f t="shared" si="20"/>
        <v>0</v>
      </c>
      <c r="E126" s="36">
        <f t="shared" si="25"/>
        <v>0</v>
      </c>
      <c r="F126" s="36">
        <f t="shared" si="26"/>
        <v>0</v>
      </c>
      <c r="G126" s="35">
        <f t="shared" si="27"/>
        <v>0</v>
      </c>
      <c r="H126" s="36">
        <f t="shared" si="28"/>
        <v>0</v>
      </c>
      <c r="I126" s="35">
        <f t="shared" si="29"/>
        <v>0</v>
      </c>
      <c r="J126" s="35">
        <f t="shared" si="21"/>
        <v>0</v>
      </c>
      <c r="K126" s="46">
        <f t="shared" si="22"/>
        <v>0</v>
      </c>
    </row>
    <row r="127" spans="1:11" s="38" customFormat="1" x14ac:dyDescent="0.25">
      <c r="A127" s="40">
        <f t="shared" si="30"/>
        <v>9</v>
      </c>
      <c r="B127" s="39">
        <f t="shared" si="23"/>
        <v>107</v>
      </c>
      <c r="C127" s="35">
        <f t="shared" si="24"/>
        <v>0</v>
      </c>
      <c r="D127" s="36">
        <f t="shared" si="20"/>
        <v>0</v>
      </c>
      <c r="E127" s="36">
        <f t="shared" si="25"/>
        <v>0</v>
      </c>
      <c r="F127" s="36">
        <f t="shared" si="26"/>
        <v>0</v>
      </c>
      <c r="G127" s="35">
        <f t="shared" si="27"/>
        <v>0</v>
      </c>
      <c r="H127" s="36">
        <f t="shared" si="28"/>
        <v>0</v>
      </c>
      <c r="I127" s="35">
        <f t="shared" si="29"/>
        <v>0</v>
      </c>
      <c r="J127" s="35">
        <f t="shared" si="21"/>
        <v>0</v>
      </c>
      <c r="K127" s="46">
        <f t="shared" si="22"/>
        <v>0</v>
      </c>
    </row>
    <row r="128" spans="1:11" s="38" customFormat="1" x14ac:dyDescent="0.25">
      <c r="A128" s="40">
        <f t="shared" si="30"/>
        <v>9</v>
      </c>
      <c r="B128" s="39">
        <f t="shared" si="23"/>
        <v>108</v>
      </c>
      <c r="C128" s="35">
        <f t="shared" si="24"/>
        <v>0</v>
      </c>
      <c r="D128" s="36">
        <f t="shared" si="20"/>
        <v>0</v>
      </c>
      <c r="E128" s="36">
        <f t="shared" si="25"/>
        <v>0</v>
      </c>
      <c r="F128" s="36">
        <f t="shared" si="26"/>
        <v>0</v>
      </c>
      <c r="G128" s="35">
        <f t="shared" si="27"/>
        <v>0</v>
      </c>
      <c r="H128" s="36">
        <f t="shared" si="28"/>
        <v>0</v>
      </c>
      <c r="I128" s="35">
        <f t="shared" si="29"/>
        <v>0</v>
      </c>
      <c r="J128" s="35">
        <f t="shared" si="21"/>
        <v>0</v>
      </c>
      <c r="K128" s="46">
        <f t="shared" si="22"/>
        <v>0</v>
      </c>
    </row>
    <row r="129" spans="1:11" s="38" customFormat="1" x14ac:dyDescent="0.25">
      <c r="A129" s="40">
        <f>A117+1</f>
        <v>10</v>
      </c>
      <c r="B129" s="39">
        <f t="shared" si="23"/>
        <v>109</v>
      </c>
      <c r="C129" s="35">
        <f t="shared" si="24"/>
        <v>0</v>
      </c>
      <c r="D129" s="36">
        <f t="shared" si="20"/>
        <v>0</v>
      </c>
      <c r="E129" s="36">
        <f t="shared" si="25"/>
        <v>0</v>
      </c>
      <c r="F129" s="36">
        <f t="shared" si="26"/>
        <v>0</v>
      </c>
      <c r="G129" s="35">
        <f t="shared" si="27"/>
        <v>0</v>
      </c>
      <c r="H129" s="36">
        <f t="shared" si="28"/>
        <v>0</v>
      </c>
      <c r="I129" s="35">
        <f t="shared" si="29"/>
        <v>0</v>
      </c>
      <c r="J129" s="35">
        <f t="shared" si="21"/>
        <v>0</v>
      </c>
      <c r="K129" s="46">
        <f t="shared" si="22"/>
        <v>0</v>
      </c>
    </row>
    <row r="130" spans="1:11" s="38" customFormat="1" x14ac:dyDescent="0.25">
      <c r="A130" s="40">
        <f>A129</f>
        <v>10</v>
      </c>
      <c r="B130" s="39">
        <f t="shared" si="23"/>
        <v>110</v>
      </c>
      <c r="C130" s="35">
        <f t="shared" si="24"/>
        <v>0</v>
      </c>
      <c r="D130" s="36">
        <f t="shared" si="20"/>
        <v>0</v>
      </c>
      <c r="E130" s="36">
        <f t="shared" si="25"/>
        <v>0</v>
      </c>
      <c r="F130" s="36">
        <f t="shared" si="26"/>
        <v>0</v>
      </c>
      <c r="G130" s="35">
        <f t="shared" si="27"/>
        <v>0</v>
      </c>
      <c r="H130" s="36">
        <f t="shared" si="28"/>
        <v>0</v>
      </c>
      <c r="I130" s="35">
        <f t="shared" si="29"/>
        <v>0</v>
      </c>
      <c r="J130" s="35">
        <f t="shared" si="21"/>
        <v>0</v>
      </c>
      <c r="K130" s="46">
        <f t="shared" si="22"/>
        <v>0</v>
      </c>
    </row>
    <row r="131" spans="1:11" s="38" customFormat="1" x14ac:dyDescent="0.25">
      <c r="A131" s="40">
        <f t="shared" si="30"/>
        <v>10</v>
      </c>
      <c r="B131" s="39">
        <f t="shared" si="23"/>
        <v>111</v>
      </c>
      <c r="C131" s="35">
        <f t="shared" si="24"/>
        <v>0</v>
      </c>
      <c r="D131" s="36">
        <f t="shared" si="20"/>
        <v>0</v>
      </c>
      <c r="E131" s="36">
        <f t="shared" si="25"/>
        <v>0</v>
      </c>
      <c r="F131" s="36">
        <f t="shared" si="26"/>
        <v>0</v>
      </c>
      <c r="G131" s="35">
        <f t="shared" si="27"/>
        <v>0</v>
      </c>
      <c r="H131" s="36">
        <f t="shared" si="28"/>
        <v>0</v>
      </c>
      <c r="I131" s="35">
        <f t="shared" si="29"/>
        <v>0</v>
      </c>
      <c r="J131" s="35">
        <f t="shared" si="21"/>
        <v>0</v>
      </c>
      <c r="K131" s="46">
        <f t="shared" si="22"/>
        <v>0</v>
      </c>
    </row>
    <row r="132" spans="1:11" s="38" customFormat="1" x14ac:dyDescent="0.25">
      <c r="A132" s="40">
        <f t="shared" si="30"/>
        <v>10</v>
      </c>
      <c r="B132" s="39">
        <f t="shared" si="23"/>
        <v>112</v>
      </c>
      <c r="C132" s="35">
        <f t="shared" si="24"/>
        <v>0</v>
      </c>
      <c r="D132" s="36">
        <f t="shared" si="20"/>
        <v>0</v>
      </c>
      <c r="E132" s="36">
        <f t="shared" si="25"/>
        <v>0</v>
      </c>
      <c r="F132" s="36">
        <f t="shared" si="26"/>
        <v>0</v>
      </c>
      <c r="G132" s="35">
        <f t="shared" si="27"/>
        <v>0</v>
      </c>
      <c r="H132" s="36">
        <f t="shared" si="28"/>
        <v>0</v>
      </c>
      <c r="I132" s="35">
        <f t="shared" si="29"/>
        <v>0</v>
      </c>
      <c r="J132" s="35">
        <f t="shared" si="21"/>
        <v>0</v>
      </c>
      <c r="K132" s="46">
        <f t="shared" si="22"/>
        <v>0</v>
      </c>
    </row>
    <row r="133" spans="1:11" s="38" customFormat="1" x14ac:dyDescent="0.25">
      <c r="A133" s="40">
        <f t="shared" si="30"/>
        <v>10</v>
      </c>
      <c r="B133" s="39">
        <f t="shared" si="23"/>
        <v>113</v>
      </c>
      <c r="C133" s="35">
        <f t="shared" si="24"/>
        <v>0</v>
      </c>
      <c r="D133" s="36">
        <f t="shared" si="20"/>
        <v>0</v>
      </c>
      <c r="E133" s="36">
        <f t="shared" si="25"/>
        <v>0</v>
      </c>
      <c r="F133" s="36">
        <f t="shared" si="26"/>
        <v>0</v>
      </c>
      <c r="G133" s="35">
        <f t="shared" si="27"/>
        <v>0</v>
      </c>
      <c r="H133" s="36">
        <f t="shared" si="28"/>
        <v>0</v>
      </c>
      <c r="I133" s="35">
        <f t="shared" si="29"/>
        <v>0</v>
      </c>
      <c r="J133" s="35">
        <f t="shared" si="21"/>
        <v>0</v>
      </c>
      <c r="K133" s="46">
        <f t="shared" si="22"/>
        <v>0</v>
      </c>
    </row>
    <row r="134" spans="1:11" s="38" customFormat="1" x14ac:dyDescent="0.25">
      <c r="A134" s="40">
        <f t="shared" si="30"/>
        <v>10</v>
      </c>
      <c r="B134" s="39">
        <f t="shared" si="23"/>
        <v>114</v>
      </c>
      <c r="C134" s="35">
        <f t="shared" si="24"/>
        <v>0</v>
      </c>
      <c r="D134" s="36">
        <f t="shared" si="20"/>
        <v>0</v>
      </c>
      <c r="E134" s="36">
        <f t="shared" si="25"/>
        <v>0</v>
      </c>
      <c r="F134" s="36">
        <f t="shared" si="26"/>
        <v>0</v>
      </c>
      <c r="G134" s="35">
        <f t="shared" si="27"/>
        <v>0</v>
      </c>
      <c r="H134" s="36">
        <f t="shared" si="28"/>
        <v>0</v>
      </c>
      <c r="I134" s="35">
        <f t="shared" si="29"/>
        <v>0</v>
      </c>
      <c r="J134" s="35">
        <f t="shared" si="21"/>
        <v>0</v>
      </c>
      <c r="K134" s="46">
        <f t="shared" si="22"/>
        <v>0</v>
      </c>
    </row>
    <row r="135" spans="1:11" s="38" customFormat="1" x14ac:dyDescent="0.25">
      <c r="A135" s="40">
        <f t="shared" si="30"/>
        <v>10</v>
      </c>
      <c r="B135" s="39">
        <f t="shared" si="23"/>
        <v>115</v>
      </c>
      <c r="C135" s="35">
        <f t="shared" si="24"/>
        <v>0</v>
      </c>
      <c r="D135" s="36">
        <f t="shared" si="20"/>
        <v>0</v>
      </c>
      <c r="E135" s="36">
        <f t="shared" si="25"/>
        <v>0</v>
      </c>
      <c r="F135" s="36">
        <f t="shared" si="26"/>
        <v>0</v>
      </c>
      <c r="G135" s="35">
        <f t="shared" si="27"/>
        <v>0</v>
      </c>
      <c r="H135" s="36">
        <f t="shared" si="28"/>
        <v>0</v>
      </c>
      <c r="I135" s="35">
        <f t="shared" si="29"/>
        <v>0</v>
      </c>
      <c r="J135" s="35">
        <f t="shared" si="21"/>
        <v>0</v>
      </c>
      <c r="K135" s="46">
        <f t="shared" si="22"/>
        <v>0</v>
      </c>
    </row>
    <row r="136" spans="1:11" s="38" customFormat="1" x14ac:dyDescent="0.25">
      <c r="A136" s="40">
        <f t="shared" si="30"/>
        <v>10</v>
      </c>
      <c r="B136" s="39">
        <f t="shared" si="23"/>
        <v>116</v>
      </c>
      <c r="C136" s="35">
        <f t="shared" si="24"/>
        <v>0</v>
      </c>
      <c r="D136" s="36">
        <f t="shared" si="20"/>
        <v>0</v>
      </c>
      <c r="E136" s="36">
        <f t="shared" si="25"/>
        <v>0</v>
      </c>
      <c r="F136" s="36">
        <f t="shared" si="26"/>
        <v>0</v>
      </c>
      <c r="G136" s="35">
        <f t="shared" si="27"/>
        <v>0</v>
      </c>
      <c r="H136" s="36">
        <f t="shared" si="28"/>
        <v>0</v>
      </c>
      <c r="I136" s="35">
        <f t="shared" si="29"/>
        <v>0</v>
      </c>
      <c r="J136" s="35">
        <f t="shared" si="21"/>
        <v>0</v>
      </c>
      <c r="K136" s="46">
        <f t="shared" si="22"/>
        <v>0</v>
      </c>
    </row>
    <row r="137" spans="1:11" s="38" customFormat="1" x14ac:dyDescent="0.25">
      <c r="A137" s="40">
        <f t="shared" si="30"/>
        <v>10</v>
      </c>
      <c r="B137" s="39">
        <f t="shared" si="23"/>
        <v>117</v>
      </c>
      <c r="C137" s="35">
        <f t="shared" si="24"/>
        <v>0</v>
      </c>
      <c r="D137" s="36">
        <f t="shared" si="20"/>
        <v>0</v>
      </c>
      <c r="E137" s="36">
        <f t="shared" si="25"/>
        <v>0</v>
      </c>
      <c r="F137" s="36">
        <f t="shared" si="26"/>
        <v>0</v>
      </c>
      <c r="G137" s="35">
        <f t="shared" si="27"/>
        <v>0</v>
      </c>
      <c r="H137" s="36">
        <f t="shared" si="28"/>
        <v>0</v>
      </c>
      <c r="I137" s="35">
        <f t="shared" si="29"/>
        <v>0</v>
      </c>
      <c r="J137" s="35">
        <f t="shared" si="21"/>
        <v>0</v>
      </c>
      <c r="K137" s="46">
        <f t="shared" si="22"/>
        <v>0</v>
      </c>
    </row>
    <row r="138" spans="1:11" s="38" customFormat="1" x14ac:dyDescent="0.25">
      <c r="A138" s="40">
        <f t="shared" si="30"/>
        <v>10</v>
      </c>
      <c r="B138" s="39">
        <f t="shared" si="23"/>
        <v>118</v>
      </c>
      <c r="C138" s="35">
        <f t="shared" si="24"/>
        <v>0</v>
      </c>
      <c r="D138" s="36">
        <f t="shared" si="20"/>
        <v>0</v>
      </c>
      <c r="E138" s="36">
        <f t="shared" si="25"/>
        <v>0</v>
      </c>
      <c r="F138" s="36">
        <f t="shared" si="26"/>
        <v>0</v>
      </c>
      <c r="G138" s="35">
        <f t="shared" si="27"/>
        <v>0</v>
      </c>
      <c r="H138" s="36">
        <f t="shared" si="28"/>
        <v>0</v>
      </c>
      <c r="I138" s="35">
        <f t="shared" si="29"/>
        <v>0</v>
      </c>
      <c r="J138" s="35">
        <f t="shared" si="21"/>
        <v>0</v>
      </c>
      <c r="K138" s="46">
        <f t="shared" si="22"/>
        <v>0</v>
      </c>
    </row>
    <row r="139" spans="1:11" s="38" customFormat="1" x14ac:dyDescent="0.25">
      <c r="A139" s="40">
        <f t="shared" si="30"/>
        <v>10</v>
      </c>
      <c r="B139" s="39">
        <f t="shared" si="23"/>
        <v>119</v>
      </c>
      <c r="C139" s="35">
        <f t="shared" si="24"/>
        <v>0</v>
      </c>
      <c r="D139" s="36">
        <f t="shared" si="20"/>
        <v>0</v>
      </c>
      <c r="E139" s="36">
        <f t="shared" si="25"/>
        <v>0</v>
      </c>
      <c r="F139" s="36">
        <f t="shared" si="26"/>
        <v>0</v>
      </c>
      <c r="G139" s="35">
        <f t="shared" si="27"/>
        <v>0</v>
      </c>
      <c r="H139" s="36">
        <f t="shared" si="28"/>
        <v>0</v>
      </c>
      <c r="I139" s="35">
        <f t="shared" si="29"/>
        <v>0</v>
      </c>
      <c r="J139" s="35">
        <f t="shared" si="21"/>
        <v>0</v>
      </c>
      <c r="K139" s="46">
        <f t="shared" si="22"/>
        <v>0</v>
      </c>
    </row>
    <row r="140" spans="1:11" s="38" customFormat="1" x14ac:dyDescent="0.25">
      <c r="A140" s="40">
        <f t="shared" si="30"/>
        <v>10</v>
      </c>
      <c r="B140" s="39">
        <f t="shared" si="23"/>
        <v>120</v>
      </c>
      <c r="C140" s="35">
        <f t="shared" si="24"/>
        <v>0</v>
      </c>
      <c r="D140" s="36">
        <f t="shared" si="20"/>
        <v>0</v>
      </c>
      <c r="E140" s="36">
        <f t="shared" si="25"/>
        <v>0</v>
      </c>
      <c r="F140" s="36">
        <f t="shared" si="26"/>
        <v>0</v>
      </c>
      <c r="G140" s="35">
        <f t="shared" si="27"/>
        <v>0</v>
      </c>
      <c r="H140" s="36">
        <f t="shared" si="28"/>
        <v>0</v>
      </c>
      <c r="I140" s="35">
        <f t="shared" si="29"/>
        <v>0</v>
      </c>
      <c r="J140" s="35">
        <f t="shared" si="21"/>
        <v>0</v>
      </c>
      <c r="K140" s="46">
        <f t="shared" si="22"/>
        <v>0</v>
      </c>
    </row>
    <row r="141" spans="1:11" s="38" customFormat="1" x14ac:dyDescent="0.25">
      <c r="A141" s="40">
        <f>A129+1</f>
        <v>11</v>
      </c>
      <c r="B141" s="39">
        <f t="shared" si="23"/>
        <v>121</v>
      </c>
      <c r="C141" s="35">
        <f t="shared" si="24"/>
        <v>0</v>
      </c>
      <c r="D141" s="36">
        <f t="shared" si="20"/>
        <v>0</v>
      </c>
      <c r="E141" s="36">
        <f t="shared" si="25"/>
        <v>0</v>
      </c>
      <c r="F141" s="36">
        <f t="shared" si="26"/>
        <v>0</v>
      </c>
      <c r="G141" s="35">
        <f t="shared" si="27"/>
        <v>0</v>
      </c>
      <c r="H141" s="36">
        <f t="shared" si="28"/>
        <v>0</v>
      </c>
      <c r="I141" s="35">
        <f t="shared" si="29"/>
        <v>0</v>
      </c>
      <c r="J141" s="35">
        <f t="shared" si="21"/>
        <v>0</v>
      </c>
      <c r="K141" s="46">
        <f t="shared" si="22"/>
        <v>0</v>
      </c>
    </row>
    <row r="142" spans="1:11" s="38" customFormat="1" x14ac:dyDescent="0.25">
      <c r="A142" s="40">
        <f>A141</f>
        <v>11</v>
      </c>
      <c r="B142" s="39">
        <f t="shared" si="23"/>
        <v>122</v>
      </c>
      <c r="C142" s="35">
        <f t="shared" si="24"/>
        <v>0</v>
      </c>
      <c r="D142" s="36">
        <f t="shared" si="20"/>
        <v>0</v>
      </c>
      <c r="E142" s="36">
        <f t="shared" si="25"/>
        <v>0</v>
      </c>
      <c r="F142" s="36">
        <f t="shared" si="26"/>
        <v>0</v>
      </c>
      <c r="G142" s="35">
        <f t="shared" si="27"/>
        <v>0</v>
      </c>
      <c r="H142" s="36">
        <f t="shared" si="28"/>
        <v>0</v>
      </c>
      <c r="I142" s="35">
        <f t="shared" si="29"/>
        <v>0</v>
      </c>
      <c r="J142" s="35">
        <f t="shared" si="21"/>
        <v>0</v>
      </c>
      <c r="K142" s="46">
        <f t="shared" si="22"/>
        <v>0</v>
      </c>
    </row>
    <row r="143" spans="1:11" s="38" customFormat="1" x14ac:dyDescent="0.25">
      <c r="A143" s="40">
        <f t="shared" si="30"/>
        <v>11</v>
      </c>
      <c r="B143" s="39">
        <f t="shared" si="23"/>
        <v>123</v>
      </c>
      <c r="C143" s="35">
        <f t="shared" si="24"/>
        <v>0</v>
      </c>
      <c r="D143" s="36">
        <f t="shared" si="20"/>
        <v>0</v>
      </c>
      <c r="E143" s="36">
        <f t="shared" si="25"/>
        <v>0</v>
      </c>
      <c r="F143" s="36">
        <f t="shared" si="26"/>
        <v>0</v>
      </c>
      <c r="G143" s="35">
        <f t="shared" si="27"/>
        <v>0</v>
      </c>
      <c r="H143" s="36">
        <f t="shared" si="28"/>
        <v>0</v>
      </c>
      <c r="I143" s="35">
        <f t="shared" si="29"/>
        <v>0</v>
      </c>
      <c r="J143" s="35">
        <f t="shared" si="21"/>
        <v>0</v>
      </c>
      <c r="K143" s="46">
        <f t="shared" si="22"/>
        <v>0</v>
      </c>
    </row>
    <row r="144" spans="1:11" s="38" customFormat="1" x14ac:dyDescent="0.25">
      <c r="A144" s="40">
        <f t="shared" si="30"/>
        <v>11</v>
      </c>
      <c r="B144" s="39">
        <f t="shared" si="23"/>
        <v>124</v>
      </c>
      <c r="C144" s="35">
        <f t="shared" si="24"/>
        <v>0</v>
      </c>
      <c r="D144" s="36">
        <f t="shared" si="20"/>
        <v>0</v>
      </c>
      <c r="E144" s="36">
        <f t="shared" si="25"/>
        <v>0</v>
      </c>
      <c r="F144" s="36">
        <f t="shared" si="26"/>
        <v>0</v>
      </c>
      <c r="G144" s="35">
        <f t="shared" si="27"/>
        <v>0</v>
      </c>
      <c r="H144" s="36">
        <f t="shared" si="28"/>
        <v>0</v>
      </c>
      <c r="I144" s="35">
        <f t="shared" si="29"/>
        <v>0</v>
      </c>
      <c r="J144" s="35">
        <f t="shared" si="21"/>
        <v>0</v>
      </c>
      <c r="K144" s="46">
        <f t="shared" si="22"/>
        <v>0</v>
      </c>
    </row>
    <row r="145" spans="1:11" s="38" customFormat="1" x14ac:dyDescent="0.25">
      <c r="A145" s="40">
        <f t="shared" si="30"/>
        <v>11</v>
      </c>
      <c r="B145" s="39">
        <f t="shared" si="23"/>
        <v>125</v>
      </c>
      <c r="C145" s="35">
        <f t="shared" si="24"/>
        <v>0</v>
      </c>
      <c r="D145" s="36">
        <f t="shared" si="20"/>
        <v>0</v>
      </c>
      <c r="E145" s="36">
        <f t="shared" si="25"/>
        <v>0</v>
      </c>
      <c r="F145" s="36">
        <f t="shared" si="26"/>
        <v>0</v>
      </c>
      <c r="G145" s="35">
        <f t="shared" si="27"/>
        <v>0</v>
      </c>
      <c r="H145" s="36">
        <f t="shared" si="28"/>
        <v>0</v>
      </c>
      <c r="I145" s="35">
        <f t="shared" si="29"/>
        <v>0</v>
      </c>
      <c r="J145" s="35">
        <f t="shared" si="21"/>
        <v>0</v>
      </c>
      <c r="K145" s="46">
        <f t="shared" si="22"/>
        <v>0</v>
      </c>
    </row>
    <row r="146" spans="1:11" s="38" customFormat="1" x14ac:dyDescent="0.25">
      <c r="A146" s="40">
        <f t="shared" si="30"/>
        <v>11</v>
      </c>
      <c r="B146" s="39">
        <f t="shared" si="23"/>
        <v>126</v>
      </c>
      <c r="C146" s="35">
        <f t="shared" si="24"/>
        <v>0</v>
      </c>
      <c r="D146" s="36">
        <f t="shared" si="20"/>
        <v>0</v>
      </c>
      <c r="E146" s="36">
        <f t="shared" si="25"/>
        <v>0</v>
      </c>
      <c r="F146" s="36">
        <f t="shared" si="26"/>
        <v>0</v>
      </c>
      <c r="G146" s="35">
        <f t="shared" si="27"/>
        <v>0</v>
      </c>
      <c r="H146" s="36">
        <f t="shared" si="28"/>
        <v>0</v>
      </c>
      <c r="I146" s="35">
        <f t="shared" si="29"/>
        <v>0</v>
      </c>
      <c r="J146" s="35">
        <f t="shared" si="21"/>
        <v>0</v>
      </c>
      <c r="K146" s="46">
        <f t="shared" si="22"/>
        <v>0</v>
      </c>
    </row>
    <row r="147" spans="1:11" s="38" customFormat="1" x14ac:dyDescent="0.25">
      <c r="A147" s="40">
        <f t="shared" si="30"/>
        <v>11</v>
      </c>
      <c r="B147" s="39">
        <f t="shared" si="23"/>
        <v>127</v>
      </c>
      <c r="C147" s="35">
        <f t="shared" si="24"/>
        <v>0</v>
      </c>
      <c r="D147" s="36">
        <f t="shared" si="20"/>
        <v>0</v>
      </c>
      <c r="E147" s="36">
        <f t="shared" si="25"/>
        <v>0</v>
      </c>
      <c r="F147" s="36">
        <f t="shared" si="26"/>
        <v>0</v>
      </c>
      <c r="G147" s="35">
        <f t="shared" si="27"/>
        <v>0</v>
      </c>
      <c r="H147" s="36">
        <f t="shared" si="28"/>
        <v>0</v>
      </c>
      <c r="I147" s="35">
        <f t="shared" si="29"/>
        <v>0</v>
      </c>
      <c r="J147" s="35">
        <f t="shared" si="21"/>
        <v>0</v>
      </c>
      <c r="K147" s="46">
        <f t="shared" si="22"/>
        <v>0</v>
      </c>
    </row>
    <row r="148" spans="1:11" s="38" customFormat="1" x14ac:dyDescent="0.25">
      <c r="A148" s="40">
        <f t="shared" si="30"/>
        <v>11</v>
      </c>
      <c r="B148" s="39">
        <f t="shared" si="23"/>
        <v>128</v>
      </c>
      <c r="C148" s="35">
        <f t="shared" si="24"/>
        <v>0</v>
      </c>
      <c r="D148" s="36">
        <f t="shared" si="20"/>
        <v>0</v>
      </c>
      <c r="E148" s="36">
        <f t="shared" si="25"/>
        <v>0</v>
      </c>
      <c r="F148" s="36">
        <f t="shared" si="26"/>
        <v>0</v>
      </c>
      <c r="G148" s="35">
        <f t="shared" si="27"/>
        <v>0</v>
      </c>
      <c r="H148" s="36">
        <f t="shared" si="28"/>
        <v>0</v>
      </c>
      <c r="I148" s="35">
        <f t="shared" si="29"/>
        <v>0</v>
      </c>
      <c r="J148" s="35">
        <f t="shared" si="21"/>
        <v>0</v>
      </c>
      <c r="K148" s="46">
        <f t="shared" si="22"/>
        <v>0</v>
      </c>
    </row>
    <row r="149" spans="1:11" s="38" customFormat="1" x14ac:dyDescent="0.25">
      <c r="A149" s="40">
        <f t="shared" si="30"/>
        <v>11</v>
      </c>
      <c r="B149" s="39">
        <f t="shared" si="23"/>
        <v>129</v>
      </c>
      <c r="C149" s="35">
        <f t="shared" si="24"/>
        <v>0</v>
      </c>
      <c r="D149" s="36">
        <f t="shared" ref="D149:D212" si="31">IF(C149=0,0, IF(AND($G$2, B149&lt;=$G$3), F149, PMT($C$12, $C$14, $C$10)))</f>
        <v>0</v>
      </c>
      <c r="E149" s="36">
        <f t="shared" si="25"/>
        <v>0</v>
      </c>
      <c r="F149" s="36">
        <f t="shared" si="26"/>
        <v>0</v>
      </c>
      <c r="G149" s="35">
        <f t="shared" si="27"/>
        <v>0</v>
      </c>
      <c r="H149" s="36">
        <f t="shared" si="28"/>
        <v>0</v>
      </c>
      <c r="I149" s="35">
        <f t="shared" si="29"/>
        <v>0</v>
      </c>
      <c r="J149" s="35">
        <f t="shared" ref="J149:J212" si="32">IF(B149=$G$6, $G$12*G149, 0)</f>
        <v>0</v>
      </c>
      <c r="K149" s="46">
        <f t="shared" ref="K149:K212" si="33">I149+J149</f>
        <v>0</v>
      </c>
    </row>
    <row r="150" spans="1:11" s="38" customFormat="1" x14ac:dyDescent="0.25">
      <c r="A150" s="40">
        <f t="shared" si="30"/>
        <v>11</v>
      </c>
      <c r="B150" s="39">
        <f t="shared" ref="B150:B213" si="34">+B149+1</f>
        <v>130</v>
      </c>
      <c r="C150" s="35">
        <f t="shared" si="24"/>
        <v>0</v>
      </c>
      <c r="D150" s="36">
        <f t="shared" si="31"/>
        <v>0</v>
      </c>
      <c r="E150" s="36">
        <f t="shared" si="25"/>
        <v>0</v>
      </c>
      <c r="F150" s="36">
        <f t="shared" si="26"/>
        <v>0</v>
      </c>
      <c r="G150" s="35">
        <f t="shared" si="27"/>
        <v>0</v>
      </c>
      <c r="H150" s="36">
        <f t="shared" si="28"/>
        <v>0</v>
      </c>
      <c r="I150" s="35">
        <f t="shared" si="29"/>
        <v>0</v>
      </c>
      <c r="J150" s="35">
        <f t="shared" si="32"/>
        <v>0</v>
      </c>
      <c r="K150" s="46">
        <f t="shared" si="33"/>
        <v>0</v>
      </c>
    </row>
    <row r="151" spans="1:11" s="38" customFormat="1" x14ac:dyDescent="0.25">
      <c r="A151" s="40">
        <f t="shared" si="30"/>
        <v>11</v>
      </c>
      <c r="B151" s="39">
        <f t="shared" si="34"/>
        <v>131</v>
      </c>
      <c r="C151" s="35">
        <f t="shared" si="24"/>
        <v>0</v>
      </c>
      <c r="D151" s="36">
        <f t="shared" si="31"/>
        <v>0</v>
      </c>
      <c r="E151" s="36">
        <f t="shared" si="25"/>
        <v>0</v>
      </c>
      <c r="F151" s="36">
        <f t="shared" si="26"/>
        <v>0</v>
      </c>
      <c r="G151" s="35">
        <f t="shared" si="27"/>
        <v>0</v>
      </c>
      <c r="H151" s="36">
        <f t="shared" si="28"/>
        <v>0</v>
      </c>
      <c r="I151" s="35">
        <f t="shared" si="29"/>
        <v>0</v>
      </c>
      <c r="J151" s="35">
        <f t="shared" si="32"/>
        <v>0</v>
      </c>
      <c r="K151" s="46">
        <f t="shared" si="33"/>
        <v>0</v>
      </c>
    </row>
    <row r="152" spans="1:11" s="38" customFormat="1" x14ac:dyDescent="0.25">
      <c r="A152" s="40">
        <f t="shared" si="30"/>
        <v>11</v>
      </c>
      <c r="B152" s="39">
        <f t="shared" si="34"/>
        <v>132</v>
      </c>
      <c r="C152" s="35">
        <f t="shared" si="24"/>
        <v>0</v>
      </c>
      <c r="D152" s="36">
        <f t="shared" si="31"/>
        <v>0</v>
      </c>
      <c r="E152" s="36">
        <f t="shared" si="25"/>
        <v>0</v>
      </c>
      <c r="F152" s="36">
        <f t="shared" si="26"/>
        <v>0</v>
      </c>
      <c r="G152" s="35">
        <f t="shared" si="27"/>
        <v>0</v>
      </c>
      <c r="H152" s="36">
        <f t="shared" si="28"/>
        <v>0</v>
      </c>
      <c r="I152" s="35">
        <f t="shared" si="29"/>
        <v>0</v>
      </c>
      <c r="J152" s="35">
        <f t="shared" si="32"/>
        <v>0</v>
      </c>
      <c r="K152" s="46">
        <f t="shared" si="33"/>
        <v>0</v>
      </c>
    </row>
    <row r="153" spans="1:11" s="38" customFormat="1" x14ac:dyDescent="0.25">
      <c r="A153" s="40">
        <f>A141+1</f>
        <v>12</v>
      </c>
      <c r="B153" s="39">
        <f t="shared" si="34"/>
        <v>133</v>
      </c>
      <c r="C153" s="35">
        <f t="shared" si="24"/>
        <v>0</v>
      </c>
      <c r="D153" s="36">
        <f t="shared" si="31"/>
        <v>0</v>
      </c>
      <c r="E153" s="36">
        <f t="shared" si="25"/>
        <v>0</v>
      </c>
      <c r="F153" s="36">
        <f t="shared" si="26"/>
        <v>0</v>
      </c>
      <c r="G153" s="35">
        <f t="shared" si="27"/>
        <v>0</v>
      </c>
      <c r="H153" s="36">
        <f t="shared" si="28"/>
        <v>0</v>
      </c>
      <c r="I153" s="35">
        <f t="shared" si="29"/>
        <v>0</v>
      </c>
      <c r="J153" s="35">
        <f t="shared" si="32"/>
        <v>0</v>
      </c>
      <c r="K153" s="46">
        <f t="shared" si="33"/>
        <v>0</v>
      </c>
    </row>
    <row r="154" spans="1:11" s="38" customFormat="1" x14ac:dyDescent="0.25">
      <c r="A154" s="40">
        <f>A153</f>
        <v>12</v>
      </c>
      <c r="B154" s="39">
        <f t="shared" si="34"/>
        <v>134</v>
      </c>
      <c r="C154" s="35">
        <f t="shared" si="24"/>
        <v>0</v>
      </c>
      <c r="D154" s="36">
        <f t="shared" si="31"/>
        <v>0</v>
      </c>
      <c r="E154" s="36">
        <f t="shared" si="25"/>
        <v>0</v>
      </c>
      <c r="F154" s="36">
        <f t="shared" si="26"/>
        <v>0</v>
      </c>
      <c r="G154" s="35">
        <f t="shared" si="27"/>
        <v>0</v>
      </c>
      <c r="H154" s="36">
        <f t="shared" si="28"/>
        <v>0</v>
      </c>
      <c r="I154" s="35">
        <f t="shared" si="29"/>
        <v>0</v>
      </c>
      <c r="J154" s="35">
        <f t="shared" si="32"/>
        <v>0</v>
      </c>
      <c r="K154" s="46">
        <f t="shared" si="33"/>
        <v>0</v>
      </c>
    </row>
    <row r="155" spans="1:11" s="38" customFormat="1" x14ac:dyDescent="0.25">
      <c r="A155" s="40">
        <f t="shared" si="30"/>
        <v>12</v>
      </c>
      <c r="B155" s="39">
        <f t="shared" si="34"/>
        <v>135</v>
      </c>
      <c r="C155" s="35">
        <f t="shared" si="24"/>
        <v>0</v>
      </c>
      <c r="D155" s="36">
        <f t="shared" si="31"/>
        <v>0</v>
      </c>
      <c r="E155" s="36">
        <f t="shared" si="25"/>
        <v>0</v>
      </c>
      <c r="F155" s="36">
        <f t="shared" si="26"/>
        <v>0</v>
      </c>
      <c r="G155" s="35">
        <f t="shared" si="27"/>
        <v>0</v>
      </c>
      <c r="H155" s="36">
        <f t="shared" si="28"/>
        <v>0</v>
      </c>
      <c r="I155" s="35">
        <f t="shared" si="29"/>
        <v>0</v>
      </c>
      <c r="J155" s="35">
        <f t="shared" si="32"/>
        <v>0</v>
      </c>
      <c r="K155" s="46">
        <f t="shared" si="33"/>
        <v>0</v>
      </c>
    </row>
    <row r="156" spans="1:11" s="38" customFormat="1" x14ac:dyDescent="0.25">
      <c r="A156" s="40">
        <f t="shared" si="30"/>
        <v>12</v>
      </c>
      <c r="B156" s="39">
        <f t="shared" si="34"/>
        <v>136</v>
      </c>
      <c r="C156" s="35">
        <f t="shared" si="24"/>
        <v>0</v>
      </c>
      <c r="D156" s="36">
        <f t="shared" si="31"/>
        <v>0</v>
      </c>
      <c r="E156" s="36">
        <f t="shared" si="25"/>
        <v>0</v>
      </c>
      <c r="F156" s="36">
        <f t="shared" si="26"/>
        <v>0</v>
      </c>
      <c r="G156" s="35">
        <f t="shared" si="27"/>
        <v>0</v>
      </c>
      <c r="H156" s="36">
        <f t="shared" si="28"/>
        <v>0</v>
      </c>
      <c r="I156" s="35">
        <f t="shared" si="29"/>
        <v>0</v>
      </c>
      <c r="J156" s="35">
        <f t="shared" si="32"/>
        <v>0</v>
      </c>
      <c r="K156" s="46">
        <f t="shared" si="33"/>
        <v>0</v>
      </c>
    </row>
    <row r="157" spans="1:11" s="38" customFormat="1" x14ac:dyDescent="0.25">
      <c r="A157" s="40">
        <f t="shared" si="30"/>
        <v>12</v>
      </c>
      <c r="B157" s="39">
        <f t="shared" si="34"/>
        <v>137</v>
      </c>
      <c r="C157" s="35">
        <f t="shared" si="24"/>
        <v>0</v>
      </c>
      <c r="D157" s="36">
        <f t="shared" si="31"/>
        <v>0</v>
      </c>
      <c r="E157" s="36">
        <f t="shared" si="25"/>
        <v>0</v>
      </c>
      <c r="F157" s="36">
        <f t="shared" si="26"/>
        <v>0</v>
      </c>
      <c r="G157" s="35">
        <f t="shared" si="27"/>
        <v>0</v>
      </c>
      <c r="H157" s="36">
        <f t="shared" si="28"/>
        <v>0</v>
      </c>
      <c r="I157" s="35">
        <f t="shared" si="29"/>
        <v>0</v>
      </c>
      <c r="J157" s="35">
        <f t="shared" si="32"/>
        <v>0</v>
      </c>
      <c r="K157" s="46">
        <f t="shared" si="33"/>
        <v>0</v>
      </c>
    </row>
    <row r="158" spans="1:11" s="38" customFormat="1" x14ac:dyDescent="0.25">
      <c r="A158" s="40">
        <f t="shared" si="30"/>
        <v>12</v>
      </c>
      <c r="B158" s="39">
        <f t="shared" si="34"/>
        <v>138</v>
      </c>
      <c r="C158" s="35">
        <f t="shared" si="24"/>
        <v>0</v>
      </c>
      <c r="D158" s="36">
        <f t="shared" si="31"/>
        <v>0</v>
      </c>
      <c r="E158" s="36">
        <f t="shared" si="25"/>
        <v>0</v>
      </c>
      <c r="F158" s="36">
        <f t="shared" si="26"/>
        <v>0</v>
      </c>
      <c r="G158" s="35">
        <f t="shared" si="27"/>
        <v>0</v>
      </c>
      <c r="H158" s="36">
        <f t="shared" si="28"/>
        <v>0</v>
      </c>
      <c r="I158" s="35">
        <f t="shared" si="29"/>
        <v>0</v>
      </c>
      <c r="J158" s="35">
        <f t="shared" si="32"/>
        <v>0</v>
      </c>
      <c r="K158" s="46">
        <f t="shared" si="33"/>
        <v>0</v>
      </c>
    </row>
    <row r="159" spans="1:11" s="38" customFormat="1" x14ac:dyDescent="0.25">
      <c r="A159" s="40">
        <f t="shared" si="30"/>
        <v>12</v>
      </c>
      <c r="B159" s="39">
        <f t="shared" si="34"/>
        <v>139</v>
      </c>
      <c r="C159" s="35">
        <f t="shared" si="24"/>
        <v>0</v>
      </c>
      <c r="D159" s="36">
        <f t="shared" si="31"/>
        <v>0</v>
      </c>
      <c r="E159" s="36">
        <f t="shared" si="25"/>
        <v>0</v>
      </c>
      <c r="F159" s="36">
        <f t="shared" si="26"/>
        <v>0</v>
      </c>
      <c r="G159" s="35">
        <f t="shared" si="27"/>
        <v>0</v>
      </c>
      <c r="H159" s="36">
        <f t="shared" si="28"/>
        <v>0</v>
      </c>
      <c r="I159" s="35">
        <f t="shared" si="29"/>
        <v>0</v>
      </c>
      <c r="J159" s="35">
        <f t="shared" si="32"/>
        <v>0</v>
      </c>
      <c r="K159" s="46">
        <f t="shared" si="33"/>
        <v>0</v>
      </c>
    </row>
    <row r="160" spans="1:11" s="38" customFormat="1" x14ac:dyDescent="0.25">
      <c r="A160" s="40">
        <f t="shared" si="30"/>
        <v>12</v>
      </c>
      <c r="B160" s="39">
        <f t="shared" si="34"/>
        <v>140</v>
      </c>
      <c r="C160" s="35">
        <f t="shared" si="24"/>
        <v>0</v>
      </c>
      <c r="D160" s="36">
        <f t="shared" si="31"/>
        <v>0</v>
      </c>
      <c r="E160" s="36">
        <f t="shared" si="25"/>
        <v>0</v>
      </c>
      <c r="F160" s="36">
        <f t="shared" si="26"/>
        <v>0</v>
      </c>
      <c r="G160" s="35">
        <f t="shared" si="27"/>
        <v>0</v>
      </c>
      <c r="H160" s="36">
        <f t="shared" si="28"/>
        <v>0</v>
      </c>
      <c r="I160" s="35">
        <f t="shared" si="29"/>
        <v>0</v>
      </c>
      <c r="J160" s="35">
        <f t="shared" si="32"/>
        <v>0</v>
      </c>
      <c r="K160" s="46">
        <f t="shared" si="33"/>
        <v>0</v>
      </c>
    </row>
    <row r="161" spans="1:11" s="38" customFormat="1" x14ac:dyDescent="0.25">
      <c r="A161" s="40">
        <f t="shared" si="30"/>
        <v>12</v>
      </c>
      <c r="B161" s="39">
        <f t="shared" si="34"/>
        <v>141</v>
      </c>
      <c r="C161" s="35">
        <f t="shared" ref="C161:C224" si="35">H160</f>
        <v>0</v>
      </c>
      <c r="D161" s="36">
        <f t="shared" si="31"/>
        <v>0</v>
      </c>
      <c r="E161" s="36">
        <f t="shared" ref="E161:E224" si="36">IF(AND($G$2, B161&lt;=$G$3), 0, D161-F161)</f>
        <v>0</v>
      </c>
      <c r="F161" s="36">
        <f t="shared" ref="F161:F224" si="37">-H160*$C$12</f>
        <v>0</v>
      </c>
      <c r="G161" s="35">
        <f t="shared" ref="G161:G224" si="38">IF(AND($G$5, B161=$G$6), C161+E161, 0)</f>
        <v>0</v>
      </c>
      <c r="H161" s="36">
        <f t="shared" si="28"/>
        <v>0</v>
      </c>
      <c r="I161" s="35">
        <f t="shared" si="29"/>
        <v>0</v>
      </c>
      <c r="J161" s="35">
        <f t="shared" si="32"/>
        <v>0</v>
      </c>
      <c r="K161" s="46">
        <f t="shared" si="33"/>
        <v>0</v>
      </c>
    </row>
    <row r="162" spans="1:11" s="38" customFormat="1" x14ac:dyDescent="0.25">
      <c r="A162" s="40">
        <f t="shared" si="30"/>
        <v>12</v>
      </c>
      <c r="B162" s="39">
        <f t="shared" si="34"/>
        <v>142</v>
      </c>
      <c r="C162" s="35">
        <f t="shared" si="35"/>
        <v>0</v>
      </c>
      <c r="D162" s="36">
        <f t="shared" si="31"/>
        <v>0</v>
      </c>
      <c r="E162" s="36">
        <f t="shared" si="36"/>
        <v>0</v>
      </c>
      <c r="F162" s="36">
        <f t="shared" si="37"/>
        <v>0</v>
      </c>
      <c r="G162" s="35">
        <f t="shared" si="38"/>
        <v>0</v>
      </c>
      <c r="H162" s="36">
        <f t="shared" si="28"/>
        <v>0</v>
      </c>
      <c r="I162" s="35">
        <f t="shared" si="29"/>
        <v>0</v>
      </c>
      <c r="J162" s="35">
        <f t="shared" si="32"/>
        <v>0</v>
      </c>
      <c r="K162" s="46">
        <f t="shared" si="33"/>
        <v>0</v>
      </c>
    </row>
    <row r="163" spans="1:11" s="38" customFormat="1" x14ac:dyDescent="0.25">
      <c r="A163" s="40">
        <f t="shared" si="30"/>
        <v>12</v>
      </c>
      <c r="B163" s="39">
        <f t="shared" si="34"/>
        <v>143</v>
      </c>
      <c r="C163" s="35">
        <f t="shared" si="35"/>
        <v>0</v>
      </c>
      <c r="D163" s="36">
        <f t="shared" si="31"/>
        <v>0</v>
      </c>
      <c r="E163" s="36">
        <f t="shared" si="36"/>
        <v>0</v>
      </c>
      <c r="F163" s="36">
        <f t="shared" si="37"/>
        <v>0</v>
      </c>
      <c r="G163" s="35">
        <f t="shared" si="38"/>
        <v>0</v>
      </c>
      <c r="H163" s="36">
        <f t="shared" si="28"/>
        <v>0</v>
      </c>
      <c r="I163" s="35">
        <f t="shared" si="29"/>
        <v>0</v>
      </c>
      <c r="J163" s="35">
        <f t="shared" si="32"/>
        <v>0</v>
      </c>
      <c r="K163" s="46">
        <f t="shared" si="33"/>
        <v>0</v>
      </c>
    </row>
    <row r="164" spans="1:11" s="38" customFormat="1" x14ac:dyDescent="0.25">
      <c r="A164" s="40">
        <f t="shared" si="30"/>
        <v>12</v>
      </c>
      <c r="B164" s="39">
        <f t="shared" si="34"/>
        <v>144</v>
      </c>
      <c r="C164" s="35">
        <f t="shared" si="35"/>
        <v>0</v>
      </c>
      <c r="D164" s="36">
        <f t="shared" si="31"/>
        <v>0</v>
      </c>
      <c r="E164" s="36">
        <f t="shared" si="36"/>
        <v>0</v>
      </c>
      <c r="F164" s="36">
        <f t="shared" si="37"/>
        <v>0</v>
      </c>
      <c r="G164" s="35">
        <f t="shared" si="38"/>
        <v>0</v>
      </c>
      <c r="H164" s="36">
        <f t="shared" si="28"/>
        <v>0</v>
      </c>
      <c r="I164" s="35">
        <f t="shared" si="29"/>
        <v>0</v>
      </c>
      <c r="J164" s="35">
        <f t="shared" si="32"/>
        <v>0</v>
      </c>
      <c r="K164" s="46">
        <f t="shared" si="33"/>
        <v>0</v>
      </c>
    </row>
    <row r="165" spans="1:11" s="38" customFormat="1" x14ac:dyDescent="0.25">
      <c r="A165" s="40">
        <f>A153+1</f>
        <v>13</v>
      </c>
      <c r="B165" s="39">
        <f t="shared" si="34"/>
        <v>145</v>
      </c>
      <c r="C165" s="35">
        <f t="shared" si="35"/>
        <v>0</v>
      </c>
      <c r="D165" s="36">
        <f t="shared" si="31"/>
        <v>0</v>
      </c>
      <c r="E165" s="36">
        <f t="shared" si="36"/>
        <v>0</v>
      </c>
      <c r="F165" s="36">
        <f t="shared" si="37"/>
        <v>0</v>
      </c>
      <c r="G165" s="35">
        <f t="shared" si="38"/>
        <v>0</v>
      </c>
      <c r="H165" s="36">
        <f t="shared" si="28"/>
        <v>0</v>
      </c>
      <c r="I165" s="35">
        <f t="shared" si="29"/>
        <v>0</v>
      </c>
      <c r="J165" s="35">
        <f t="shared" si="32"/>
        <v>0</v>
      </c>
      <c r="K165" s="46">
        <f t="shared" si="33"/>
        <v>0</v>
      </c>
    </row>
    <row r="166" spans="1:11" s="38" customFormat="1" x14ac:dyDescent="0.25">
      <c r="A166" s="40">
        <f>A165</f>
        <v>13</v>
      </c>
      <c r="B166" s="39">
        <f t="shared" si="34"/>
        <v>146</v>
      </c>
      <c r="C166" s="35">
        <f t="shared" si="35"/>
        <v>0</v>
      </c>
      <c r="D166" s="36">
        <f t="shared" si="31"/>
        <v>0</v>
      </c>
      <c r="E166" s="36">
        <f t="shared" si="36"/>
        <v>0</v>
      </c>
      <c r="F166" s="36">
        <f t="shared" si="37"/>
        <v>0</v>
      </c>
      <c r="G166" s="35">
        <f t="shared" si="38"/>
        <v>0</v>
      </c>
      <c r="H166" s="36">
        <f t="shared" si="28"/>
        <v>0</v>
      </c>
      <c r="I166" s="35">
        <f t="shared" si="29"/>
        <v>0</v>
      </c>
      <c r="J166" s="35">
        <f t="shared" si="32"/>
        <v>0</v>
      </c>
      <c r="K166" s="46">
        <f t="shared" si="33"/>
        <v>0</v>
      </c>
    </row>
    <row r="167" spans="1:11" s="38" customFormat="1" x14ac:dyDescent="0.25">
      <c r="A167" s="40">
        <f t="shared" si="30"/>
        <v>13</v>
      </c>
      <c r="B167" s="39">
        <f t="shared" si="34"/>
        <v>147</v>
      </c>
      <c r="C167" s="35">
        <f t="shared" si="35"/>
        <v>0</v>
      </c>
      <c r="D167" s="36">
        <f t="shared" si="31"/>
        <v>0</v>
      </c>
      <c r="E167" s="36">
        <f t="shared" si="36"/>
        <v>0</v>
      </c>
      <c r="F167" s="36">
        <f t="shared" si="37"/>
        <v>0</v>
      </c>
      <c r="G167" s="35">
        <f t="shared" si="38"/>
        <v>0</v>
      </c>
      <c r="H167" s="36">
        <f t="shared" si="28"/>
        <v>0</v>
      </c>
      <c r="I167" s="35">
        <f t="shared" si="29"/>
        <v>0</v>
      </c>
      <c r="J167" s="35">
        <f t="shared" si="32"/>
        <v>0</v>
      </c>
      <c r="K167" s="46">
        <f t="shared" si="33"/>
        <v>0</v>
      </c>
    </row>
    <row r="168" spans="1:11" s="38" customFormat="1" x14ac:dyDescent="0.25">
      <c r="A168" s="40">
        <f t="shared" si="30"/>
        <v>13</v>
      </c>
      <c r="B168" s="39">
        <f t="shared" si="34"/>
        <v>148</v>
      </c>
      <c r="C168" s="35">
        <f t="shared" si="35"/>
        <v>0</v>
      </c>
      <c r="D168" s="36">
        <f t="shared" si="31"/>
        <v>0</v>
      </c>
      <c r="E168" s="36">
        <f t="shared" si="36"/>
        <v>0</v>
      </c>
      <c r="F168" s="36">
        <f t="shared" si="37"/>
        <v>0</v>
      </c>
      <c r="G168" s="35">
        <f t="shared" si="38"/>
        <v>0</v>
      </c>
      <c r="H168" s="36">
        <f t="shared" si="28"/>
        <v>0</v>
      </c>
      <c r="I168" s="35">
        <f t="shared" si="29"/>
        <v>0</v>
      </c>
      <c r="J168" s="35">
        <f t="shared" si="32"/>
        <v>0</v>
      </c>
      <c r="K168" s="46">
        <f t="shared" si="33"/>
        <v>0</v>
      </c>
    </row>
    <row r="169" spans="1:11" s="38" customFormat="1" x14ac:dyDescent="0.25">
      <c r="A169" s="40">
        <f t="shared" si="30"/>
        <v>13</v>
      </c>
      <c r="B169" s="39">
        <f t="shared" si="34"/>
        <v>149</v>
      </c>
      <c r="C169" s="35">
        <f t="shared" si="35"/>
        <v>0</v>
      </c>
      <c r="D169" s="36">
        <f t="shared" si="31"/>
        <v>0</v>
      </c>
      <c r="E169" s="36">
        <f t="shared" si="36"/>
        <v>0</v>
      </c>
      <c r="F169" s="36">
        <f t="shared" si="37"/>
        <v>0</v>
      </c>
      <c r="G169" s="35">
        <f t="shared" si="38"/>
        <v>0</v>
      </c>
      <c r="H169" s="36">
        <f t="shared" si="28"/>
        <v>0</v>
      </c>
      <c r="I169" s="35">
        <f t="shared" si="29"/>
        <v>0</v>
      </c>
      <c r="J169" s="35">
        <f t="shared" si="32"/>
        <v>0</v>
      </c>
      <c r="K169" s="46">
        <f t="shared" si="33"/>
        <v>0</v>
      </c>
    </row>
    <row r="170" spans="1:11" s="38" customFormat="1" x14ac:dyDescent="0.25">
      <c r="A170" s="40">
        <f t="shared" si="30"/>
        <v>13</v>
      </c>
      <c r="B170" s="39">
        <f t="shared" si="34"/>
        <v>150</v>
      </c>
      <c r="C170" s="35">
        <f t="shared" si="35"/>
        <v>0</v>
      </c>
      <c r="D170" s="36">
        <f t="shared" si="31"/>
        <v>0</v>
      </c>
      <c r="E170" s="36">
        <f t="shared" si="36"/>
        <v>0</v>
      </c>
      <c r="F170" s="36">
        <f t="shared" si="37"/>
        <v>0</v>
      </c>
      <c r="G170" s="35">
        <f t="shared" si="38"/>
        <v>0</v>
      </c>
      <c r="H170" s="36">
        <f t="shared" si="28"/>
        <v>0</v>
      </c>
      <c r="I170" s="35">
        <f t="shared" si="29"/>
        <v>0</v>
      </c>
      <c r="J170" s="35">
        <f t="shared" si="32"/>
        <v>0</v>
      </c>
      <c r="K170" s="46">
        <f t="shared" si="33"/>
        <v>0</v>
      </c>
    </row>
    <row r="171" spans="1:11" s="38" customFormat="1" x14ac:dyDescent="0.25">
      <c r="A171" s="40">
        <f t="shared" si="30"/>
        <v>13</v>
      </c>
      <c r="B171" s="39">
        <f t="shared" si="34"/>
        <v>151</v>
      </c>
      <c r="C171" s="35">
        <f t="shared" si="35"/>
        <v>0</v>
      </c>
      <c r="D171" s="36">
        <f t="shared" si="31"/>
        <v>0</v>
      </c>
      <c r="E171" s="36">
        <f t="shared" si="36"/>
        <v>0</v>
      </c>
      <c r="F171" s="36">
        <f t="shared" si="37"/>
        <v>0</v>
      </c>
      <c r="G171" s="35">
        <f t="shared" si="38"/>
        <v>0</v>
      </c>
      <c r="H171" s="36">
        <f t="shared" si="28"/>
        <v>0</v>
      </c>
      <c r="I171" s="35">
        <f t="shared" si="29"/>
        <v>0</v>
      </c>
      <c r="J171" s="35">
        <f t="shared" si="32"/>
        <v>0</v>
      </c>
      <c r="K171" s="46">
        <f t="shared" si="33"/>
        <v>0</v>
      </c>
    </row>
    <row r="172" spans="1:11" s="38" customFormat="1" x14ac:dyDescent="0.25">
      <c r="A172" s="40">
        <f t="shared" si="30"/>
        <v>13</v>
      </c>
      <c r="B172" s="39">
        <f t="shared" si="34"/>
        <v>152</v>
      </c>
      <c r="C172" s="35">
        <f t="shared" si="35"/>
        <v>0</v>
      </c>
      <c r="D172" s="36">
        <f t="shared" si="31"/>
        <v>0</v>
      </c>
      <c r="E172" s="36">
        <f t="shared" si="36"/>
        <v>0</v>
      </c>
      <c r="F172" s="36">
        <f t="shared" si="37"/>
        <v>0</v>
      </c>
      <c r="G172" s="35">
        <f t="shared" si="38"/>
        <v>0</v>
      </c>
      <c r="H172" s="36">
        <f t="shared" si="28"/>
        <v>0</v>
      </c>
      <c r="I172" s="35">
        <f t="shared" si="29"/>
        <v>0</v>
      </c>
      <c r="J172" s="35">
        <f t="shared" si="32"/>
        <v>0</v>
      </c>
      <c r="K172" s="46">
        <f t="shared" si="33"/>
        <v>0</v>
      </c>
    </row>
    <row r="173" spans="1:11" s="38" customFormat="1" x14ac:dyDescent="0.25">
      <c r="A173" s="40">
        <f t="shared" si="30"/>
        <v>13</v>
      </c>
      <c r="B173" s="39">
        <f t="shared" si="34"/>
        <v>153</v>
      </c>
      <c r="C173" s="35">
        <f t="shared" si="35"/>
        <v>0</v>
      </c>
      <c r="D173" s="36">
        <f t="shared" si="31"/>
        <v>0</v>
      </c>
      <c r="E173" s="36">
        <f t="shared" si="36"/>
        <v>0</v>
      </c>
      <c r="F173" s="36">
        <f t="shared" si="37"/>
        <v>0</v>
      </c>
      <c r="G173" s="35">
        <f t="shared" si="38"/>
        <v>0</v>
      </c>
      <c r="H173" s="36">
        <f t="shared" ref="H173:H236" si="39">IF(C173+E173-G173&lt;=0, 0, C173+E173-G173)</f>
        <v>0</v>
      </c>
      <c r="I173" s="35">
        <f t="shared" ref="I173:I236" si="40">-D173+G173</f>
        <v>0</v>
      </c>
      <c r="J173" s="35">
        <f t="shared" si="32"/>
        <v>0</v>
      </c>
      <c r="K173" s="46">
        <f t="shared" si="33"/>
        <v>0</v>
      </c>
    </row>
    <row r="174" spans="1:11" s="38" customFormat="1" x14ac:dyDescent="0.25">
      <c r="A174" s="40">
        <f t="shared" ref="A174:A236" si="41">A173</f>
        <v>13</v>
      </c>
      <c r="B174" s="39">
        <f t="shared" si="34"/>
        <v>154</v>
      </c>
      <c r="C174" s="35">
        <f t="shared" si="35"/>
        <v>0</v>
      </c>
      <c r="D174" s="36">
        <f t="shared" si="31"/>
        <v>0</v>
      </c>
      <c r="E174" s="36">
        <f t="shared" si="36"/>
        <v>0</v>
      </c>
      <c r="F174" s="36">
        <f t="shared" si="37"/>
        <v>0</v>
      </c>
      <c r="G174" s="35">
        <f t="shared" si="38"/>
        <v>0</v>
      </c>
      <c r="H174" s="36">
        <f t="shared" si="39"/>
        <v>0</v>
      </c>
      <c r="I174" s="35">
        <f t="shared" si="40"/>
        <v>0</v>
      </c>
      <c r="J174" s="35">
        <f t="shared" si="32"/>
        <v>0</v>
      </c>
      <c r="K174" s="46">
        <f t="shared" si="33"/>
        <v>0</v>
      </c>
    </row>
    <row r="175" spans="1:11" s="38" customFormat="1" x14ac:dyDescent="0.25">
      <c r="A175" s="40">
        <f t="shared" si="41"/>
        <v>13</v>
      </c>
      <c r="B175" s="39">
        <f t="shared" si="34"/>
        <v>155</v>
      </c>
      <c r="C175" s="35">
        <f t="shared" si="35"/>
        <v>0</v>
      </c>
      <c r="D175" s="36">
        <f t="shared" si="31"/>
        <v>0</v>
      </c>
      <c r="E175" s="36">
        <f t="shared" si="36"/>
        <v>0</v>
      </c>
      <c r="F175" s="36">
        <f t="shared" si="37"/>
        <v>0</v>
      </c>
      <c r="G175" s="35">
        <f t="shared" si="38"/>
        <v>0</v>
      </c>
      <c r="H175" s="36">
        <f t="shared" si="39"/>
        <v>0</v>
      </c>
      <c r="I175" s="35">
        <f t="shared" si="40"/>
        <v>0</v>
      </c>
      <c r="J175" s="35">
        <f t="shared" si="32"/>
        <v>0</v>
      </c>
      <c r="K175" s="46">
        <f t="shared" si="33"/>
        <v>0</v>
      </c>
    </row>
    <row r="176" spans="1:11" s="38" customFormat="1" x14ac:dyDescent="0.25">
      <c r="A176" s="40">
        <f t="shared" si="41"/>
        <v>13</v>
      </c>
      <c r="B176" s="39">
        <f t="shared" si="34"/>
        <v>156</v>
      </c>
      <c r="C176" s="35">
        <f t="shared" si="35"/>
        <v>0</v>
      </c>
      <c r="D176" s="36">
        <f t="shared" si="31"/>
        <v>0</v>
      </c>
      <c r="E176" s="36">
        <f t="shared" si="36"/>
        <v>0</v>
      </c>
      <c r="F176" s="36">
        <f t="shared" si="37"/>
        <v>0</v>
      </c>
      <c r="G176" s="35">
        <f t="shared" si="38"/>
        <v>0</v>
      </c>
      <c r="H176" s="36">
        <f t="shared" si="39"/>
        <v>0</v>
      </c>
      <c r="I176" s="35">
        <f t="shared" si="40"/>
        <v>0</v>
      </c>
      <c r="J176" s="35">
        <f t="shared" si="32"/>
        <v>0</v>
      </c>
      <c r="K176" s="46">
        <f t="shared" si="33"/>
        <v>0</v>
      </c>
    </row>
    <row r="177" spans="1:11" s="38" customFormat="1" x14ac:dyDescent="0.25">
      <c r="A177" s="40">
        <f>A165+1</f>
        <v>14</v>
      </c>
      <c r="B177" s="39">
        <f t="shared" si="34"/>
        <v>157</v>
      </c>
      <c r="C177" s="35">
        <f t="shared" si="35"/>
        <v>0</v>
      </c>
      <c r="D177" s="36">
        <f t="shared" si="31"/>
        <v>0</v>
      </c>
      <c r="E177" s="36">
        <f t="shared" si="36"/>
        <v>0</v>
      </c>
      <c r="F177" s="36">
        <f t="shared" si="37"/>
        <v>0</v>
      </c>
      <c r="G177" s="35">
        <f t="shared" si="38"/>
        <v>0</v>
      </c>
      <c r="H177" s="36">
        <f t="shared" si="39"/>
        <v>0</v>
      </c>
      <c r="I177" s="35">
        <f t="shared" si="40"/>
        <v>0</v>
      </c>
      <c r="J177" s="35">
        <f t="shared" si="32"/>
        <v>0</v>
      </c>
      <c r="K177" s="46">
        <f t="shared" si="33"/>
        <v>0</v>
      </c>
    </row>
    <row r="178" spans="1:11" s="38" customFormat="1" x14ac:dyDescent="0.25">
      <c r="A178" s="40">
        <f>A177</f>
        <v>14</v>
      </c>
      <c r="B178" s="39">
        <f t="shared" si="34"/>
        <v>158</v>
      </c>
      <c r="C178" s="35">
        <f t="shared" si="35"/>
        <v>0</v>
      </c>
      <c r="D178" s="36">
        <f t="shared" si="31"/>
        <v>0</v>
      </c>
      <c r="E178" s="36">
        <f t="shared" si="36"/>
        <v>0</v>
      </c>
      <c r="F178" s="36">
        <f t="shared" si="37"/>
        <v>0</v>
      </c>
      <c r="G178" s="35">
        <f t="shared" si="38"/>
        <v>0</v>
      </c>
      <c r="H178" s="36">
        <f t="shared" si="39"/>
        <v>0</v>
      </c>
      <c r="I178" s="35">
        <f t="shared" si="40"/>
        <v>0</v>
      </c>
      <c r="J178" s="35">
        <f t="shared" si="32"/>
        <v>0</v>
      </c>
      <c r="K178" s="46">
        <f t="shared" si="33"/>
        <v>0</v>
      </c>
    </row>
    <row r="179" spans="1:11" s="38" customFormat="1" x14ac:dyDescent="0.25">
      <c r="A179" s="40">
        <f t="shared" si="41"/>
        <v>14</v>
      </c>
      <c r="B179" s="39">
        <f t="shared" si="34"/>
        <v>159</v>
      </c>
      <c r="C179" s="35">
        <f t="shared" si="35"/>
        <v>0</v>
      </c>
      <c r="D179" s="36">
        <f t="shared" si="31"/>
        <v>0</v>
      </c>
      <c r="E179" s="36">
        <f t="shared" si="36"/>
        <v>0</v>
      </c>
      <c r="F179" s="36">
        <f t="shared" si="37"/>
        <v>0</v>
      </c>
      <c r="G179" s="35">
        <f t="shared" si="38"/>
        <v>0</v>
      </c>
      <c r="H179" s="36">
        <f t="shared" si="39"/>
        <v>0</v>
      </c>
      <c r="I179" s="35">
        <f t="shared" si="40"/>
        <v>0</v>
      </c>
      <c r="J179" s="35">
        <f t="shared" si="32"/>
        <v>0</v>
      </c>
      <c r="K179" s="46">
        <f t="shared" si="33"/>
        <v>0</v>
      </c>
    </row>
    <row r="180" spans="1:11" s="38" customFormat="1" x14ac:dyDescent="0.25">
      <c r="A180" s="40">
        <f t="shared" si="41"/>
        <v>14</v>
      </c>
      <c r="B180" s="39">
        <f t="shared" si="34"/>
        <v>160</v>
      </c>
      <c r="C180" s="35">
        <f t="shared" si="35"/>
        <v>0</v>
      </c>
      <c r="D180" s="36">
        <f t="shared" si="31"/>
        <v>0</v>
      </c>
      <c r="E180" s="36">
        <f t="shared" si="36"/>
        <v>0</v>
      </c>
      <c r="F180" s="36">
        <f t="shared" si="37"/>
        <v>0</v>
      </c>
      <c r="G180" s="35">
        <f t="shared" si="38"/>
        <v>0</v>
      </c>
      <c r="H180" s="36">
        <f t="shared" si="39"/>
        <v>0</v>
      </c>
      <c r="I180" s="35">
        <f t="shared" si="40"/>
        <v>0</v>
      </c>
      <c r="J180" s="35">
        <f t="shared" si="32"/>
        <v>0</v>
      </c>
      <c r="K180" s="46">
        <f t="shared" si="33"/>
        <v>0</v>
      </c>
    </row>
    <row r="181" spans="1:11" s="38" customFormat="1" x14ac:dyDescent="0.25">
      <c r="A181" s="40">
        <f t="shared" si="41"/>
        <v>14</v>
      </c>
      <c r="B181" s="39">
        <f t="shared" si="34"/>
        <v>161</v>
      </c>
      <c r="C181" s="35">
        <f t="shared" si="35"/>
        <v>0</v>
      </c>
      <c r="D181" s="36">
        <f t="shared" si="31"/>
        <v>0</v>
      </c>
      <c r="E181" s="36">
        <f t="shared" si="36"/>
        <v>0</v>
      </c>
      <c r="F181" s="36">
        <f t="shared" si="37"/>
        <v>0</v>
      </c>
      <c r="G181" s="35">
        <f t="shared" si="38"/>
        <v>0</v>
      </c>
      <c r="H181" s="36">
        <f t="shared" si="39"/>
        <v>0</v>
      </c>
      <c r="I181" s="35">
        <f t="shared" si="40"/>
        <v>0</v>
      </c>
      <c r="J181" s="35">
        <f t="shared" si="32"/>
        <v>0</v>
      </c>
      <c r="K181" s="46">
        <f t="shared" si="33"/>
        <v>0</v>
      </c>
    </row>
    <row r="182" spans="1:11" s="38" customFormat="1" x14ac:dyDescent="0.25">
      <c r="A182" s="40">
        <f t="shared" si="41"/>
        <v>14</v>
      </c>
      <c r="B182" s="39">
        <f t="shared" si="34"/>
        <v>162</v>
      </c>
      <c r="C182" s="35">
        <f t="shared" si="35"/>
        <v>0</v>
      </c>
      <c r="D182" s="36">
        <f t="shared" si="31"/>
        <v>0</v>
      </c>
      <c r="E182" s="36">
        <f t="shared" si="36"/>
        <v>0</v>
      </c>
      <c r="F182" s="36">
        <f t="shared" si="37"/>
        <v>0</v>
      </c>
      <c r="G182" s="35">
        <f t="shared" si="38"/>
        <v>0</v>
      </c>
      <c r="H182" s="36">
        <f t="shared" si="39"/>
        <v>0</v>
      </c>
      <c r="I182" s="35">
        <f t="shared" si="40"/>
        <v>0</v>
      </c>
      <c r="J182" s="35">
        <f t="shared" si="32"/>
        <v>0</v>
      </c>
      <c r="K182" s="46">
        <f t="shared" si="33"/>
        <v>0</v>
      </c>
    </row>
    <row r="183" spans="1:11" s="38" customFormat="1" x14ac:dyDescent="0.25">
      <c r="A183" s="40">
        <f t="shared" si="41"/>
        <v>14</v>
      </c>
      <c r="B183" s="39">
        <f t="shared" si="34"/>
        <v>163</v>
      </c>
      <c r="C183" s="35">
        <f t="shared" si="35"/>
        <v>0</v>
      </c>
      <c r="D183" s="36">
        <f t="shared" si="31"/>
        <v>0</v>
      </c>
      <c r="E183" s="36">
        <f t="shared" si="36"/>
        <v>0</v>
      </c>
      <c r="F183" s="36">
        <f t="shared" si="37"/>
        <v>0</v>
      </c>
      <c r="G183" s="35">
        <f t="shared" si="38"/>
        <v>0</v>
      </c>
      <c r="H183" s="36">
        <f t="shared" si="39"/>
        <v>0</v>
      </c>
      <c r="I183" s="35">
        <f t="shared" si="40"/>
        <v>0</v>
      </c>
      <c r="J183" s="35">
        <f t="shared" si="32"/>
        <v>0</v>
      </c>
      <c r="K183" s="46">
        <f t="shared" si="33"/>
        <v>0</v>
      </c>
    </row>
    <row r="184" spans="1:11" s="38" customFormat="1" x14ac:dyDescent="0.25">
      <c r="A184" s="40">
        <f t="shared" si="41"/>
        <v>14</v>
      </c>
      <c r="B184" s="39">
        <f t="shared" si="34"/>
        <v>164</v>
      </c>
      <c r="C184" s="35">
        <f t="shared" si="35"/>
        <v>0</v>
      </c>
      <c r="D184" s="36">
        <f t="shared" si="31"/>
        <v>0</v>
      </c>
      <c r="E184" s="36">
        <f t="shared" si="36"/>
        <v>0</v>
      </c>
      <c r="F184" s="36">
        <f t="shared" si="37"/>
        <v>0</v>
      </c>
      <c r="G184" s="35">
        <f t="shared" si="38"/>
        <v>0</v>
      </c>
      <c r="H184" s="36">
        <f t="shared" si="39"/>
        <v>0</v>
      </c>
      <c r="I184" s="35">
        <f t="shared" si="40"/>
        <v>0</v>
      </c>
      <c r="J184" s="35">
        <f t="shared" si="32"/>
        <v>0</v>
      </c>
      <c r="K184" s="46">
        <f t="shared" si="33"/>
        <v>0</v>
      </c>
    </row>
    <row r="185" spans="1:11" s="38" customFormat="1" x14ac:dyDescent="0.25">
      <c r="A185" s="40">
        <f t="shared" si="41"/>
        <v>14</v>
      </c>
      <c r="B185" s="39">
        <f t="shared" si="34"/>
        <v>165</v>
      </c>
      <c r="C185" s="35">
        <f t="shared" si="35"/>
        <v>0</v>
      </c>
      <c r="D185" s="36">
        <f t="shared" si="31"/>
        <v>0</v>
      </c>
      <c r="E185" s="36">
        <f t="shared" si="36"/>
        <v>0</v>
      </c>
      <c r="F185" s="36">
        <f t="shared" si="37"/>
        <v>0</v>
      </c>
      <c r="G185" s="35">
        <f t="shared" si="38"/>
        <v>0</v>
      </c>
      <c r="H185" s="36">
        <f t="shared" si="39"/>
        <v>0</v>
      </c>
      <c r="I185" s="35">
        <f t="shared" si="40"/>
        <v>0</v>
      </c>
      <c r="J185" s="35">
        <f t="shared" si="32"/>
        <v>0</v>
      </c>
      <c r="K185" s="46">
        <f t="shared" si="33"/>
        <v>0</v>
      </c>
    </row>
    <row r="186" spans="1:11" s="38" customFormat="1" x14ac:dyDescent="0.25">
      <c r="A186" s="40">
        <f t="shared" si="41"/>
        <v>14</v>
      </c>
      <c r="B186" s="39">
        <f t="shared" si="34"/>
        <v>166</v>
      </c>
      <c r="C186" s="35">
        <f t="shared" si="35"/>
        <v>0</v>
      </c>
      <c r="D186" s="36">
        <f t="shared" si="31"/>
        <v>0</v>
      </c>
      <c r="E186" s="36">
        <f t="shared" si="36"/>
        <v>0</v>
      </c>
      <c r="F186" s="36">
        <f t="shared" si="37"/>
        <v>0</v>
      </c>
      <c r="G186" s="35">
        <f t="shared" si="38"/>
        <v>0</v>
      </c>
      <c r="H186" s="36">
        <f t="shared" si="39"/>
        <v>0</v>
      </c>
      <c r="I186" s="35">
        <f t="shared" si="40"/>
        <v>0</v>
      </c>
      <c r="J186" s="35">
        <f t="shared" si="32"/>
        <v>0</v>
      </c>
      <c r="K186" s="46">
        <f t="shared" si="33"/>
        <v>0</v>
      </c>
    </row>
    <row r="187" spans="1:11" s="38" customFormat="1" x14ac:dyDescent="0.25">
      <c r="A187" s="40">
        <f t="shared" si="41"/>
        <v>14</v>
      </c>
      <c r="B187" s="39">
        <f t="shared" si="34"/>
        <v>167</v>
      </c>
      <c r="C187" s="35">
        <f t="shared" si="35"/>
        <v>0</v>
      </c>
      <c r="D187" s="36">
        <f t="shared" si="31"/>
        <v>0</v>
      </c>
      <c r="E187" s="36">
        <f t="shared" si="36"/>
        <v>0</v>
      </c>
      <c r="F187" s="36">
        <f t="shared" si="37"/>
        <v>0</v>
      </c>
      <c r="G187" s="35">
        <f t="shared" si="38"/>
        <v>0</v>
      </c>
      <c r="H187" s="36">
        <f t="shared" si="39"/>
        <v>0</v>
      </c>
      <c r="I187" s="35">
        <f t="shared" si="40"/>
        <v>0</v>
      </c>
      <c r="J187" s="35">
        <f t="shared" si="32"/>
        <v>0</v>
      </c>
      <c r="K187" s="46">
        <f t="shared" si="33"/>
        <v>0</v>
      </c>
    </row>
    <row r="188" spans="1:11" s="38" customFormat="1" x14ac:dyDescent="0.25">
      <c r="A188" s="40">
        <f t="shared" si="41"/>
        <v>14</v>
      </c>
      <c r="B188" s="39">
        <f t="shared" si="34"/>
        <v>168</v>
      </c>
      <c r="C188" s="35">
        <f t="shared" si="35"/>
        <v>0</v>
      </c>
      <c r="D188" s="36">
        <f t="shared" si="31"/>
        <v>0</v>
      </c>
      <c r="E188" s="36">
        <f t="shared" si="36"/>
        <v>0</v>
      </c>
      <c r="F188" s="36">
        <f t="shared" si="37"/>
        <v>0</v>
      </c>
      <c r="G188" s="35">
        <f t="shared" si="38"/>
        <v>0</v>
      </c>
      <c r="H188" s="36">
        <f t="shared" si="39"/>
        <v>0</v>
      </c>
      <c r="I188" s="35">
        <f t="shared" si="40"/>
        <v>0</v>
      </c>
      <c r="J188" s="35">
        <f t="shared" si="32"/>
        <v>0</v>
      </c>
      <c r="K188" s="46">
        <f t="shared" si="33"/>
        <v>0</v>
      </c>
    </row>
    <row r="189" spans="1:11" s="38" customFormat="1" x14ac:dyDescent="0.25">
      <c r="A189" s="40">
        <f>A177+1</f>
        <v>15</v>
      </c>
      <c r="B189" s="39">
        <f t="shared" si="34"/>
        <v>169</v>
      </c>
      <c r="C189" s="35">
        <f t="shared" si="35"/>
        <v>0</v>
      </c>
      <c r="D189" s="36">
        <f t="shared" si="31"/>
        <v>0</v>
      </c>
      <c r="E189" s="36">
        <f t="shared" si="36"/>
        <v>0</v>
      </c>
      <c r="F189" s="36">
        <f t="shared" si="37"/>
        <v>0</v>
      </c>
      <c r="G189" s="35">
        <f t="shared" si="38"/>
        <v>0</v>
      </c>
      <c r="H189" s="36">
        <f t="shared" si="39"/>
        <v>0</v>
      </c>
      <c r="I189" s="35">
        <f t="shared" si="40"/>
        <v>0</v>
      </c>
      <c r="J189" s="35">
        <f t="shared" si="32"/>
        <v>0</v>
      </c>
      <c r="K189" s="46">
        <f t="shared" si="33"/>
        <v>0</v>
      </c>
    </row>
    <row r="190" spans="1:11" s="38" customFormat="1" x14ac:dyDescent="0.25">
      <c r="A190" s="40">
        <f>A189</f>
        <v>15</v>
      </c>
      <c r="B190" s="39">
        <f t="shared" si="34"/>
        <v>170</v>
      </c>
      <c r="C190" s="35">
        <f t="shared" si="35"/>
        <v>0</v>
      </c>
      <c r="D190" s="36">
        <f t="shared" si="31"/>
        <v>0</v>
      </c>
      <c r="E190" s="36">
        <f t="shared" si="36"/>
        <v>0</v>
      </c>
      <c r="F190" s="36">
        <f t="shared" si="37"/>
        <v>0</v>
      </c>
      <c r="G190" s="35">
        <f t="shared" si="38"/>
        <v>0</v>
      </c>
      <c r="H190" s="36">
        <f t="shared" si="39"/>
        <v>0</v>
      </c>
      <c r="I190" s="35">
        <f t="shared" si="40"/>
        <v>0</v>
      </c>
      <c r="J190" s="35">
        <f t="shared" si="32"/>
        <v>0</v>
      </c>
      <c r="K190" s="46">
        <f t="shared" si="33"/>
        <v>0</v>
      </c>
    </row>
    <row r="191" spans="1:11" s="38" customFormat="1" x14ac:dyDescent="0.25">
      <c r="A191" s="40">
        <f t="shared" si="41"/>
        <v>15</v>
      </c>
      <c r="B191" s="39">
        <f t="shared" si="34"/>
        <v>171</v>
      </c>
      <c r="C191" s="35">
        <f t="shared" si="35"/>
        <v>0</v>
      </c>
      <c r="D191" s="36">
        <f t="shared" si="31"/>
        <v>0</v>
      </c>
      <c r="E191" s="36">
        <f t="shared" si="36"/>
        <v>0</v>
      </c>
      <c r="F191" s="36">
        <f t="shared" si="37"/>
        <v>0</v>
      </c>
      <c r="G191" s="35">
        <f t="shared" si="38"/>
        <v>0</v>
      </c>
      <c r="H191" s="36">
        <f t="shared" si="39"/>
        <v>0</v>
      </c>
      <c r="I191" s="35">
        <f t="shared" si="40"/>
        <v>0</v>
      </c>
      <c r="J191" s="35">
        <f t="shared" si="32"/>
        <v>0</v>
      </c>
      <c r="K191" s="46">
        <f t="shared" si="33"/>
        <v>0</v>
      </c>
    </row>
    <row r="192" spans="1:11" s="38" customFormat="1" x14ac:dyDescent="0.25">
      <c r="A192" s="40">
        <f t="shared" si="41"/>
        <v>15</v>
      </c>
      <c r="B192" s="39">
        <f t="shared" si="34"/>
        <v>172</v>
      </c>
      <c r="C192" s="35">
        <f t="shared" si="35"/>
        <v>0</v>
      </c>
      <c r="D192" s="36">
        <f t="shared" si="31"/>
        <v>0</v>
      </c>
      <c r="E192" s="36">
        <f t="shared" si="36"/>
        <v>0</v>
      </c>
      <c r="F192" s="36">
        <f t="shared" si="37"/>
        <v>0</v>
      </c>
      <c r="G192" s="35">
        <f t="shared" si="38"/>
        <v>0</v>
      </c>
      <c r="H192" s="36">
        <f t="shared" si="39"/>
        <v>0</v>
      </c>
      <c r="I192" s="35">
        <f t="shared" si="40"/>
        <v>0</v>
      </c>
      <c r="J192" s="35">
        <f t="shared" si="32"/>
        <v>0</v>
      </c>
      <c r="K192" s="46">
        <f t="shared" si="33"/>
        <v>0</v>
      </c>
    </row>
    <row r="193" spans="1:11" s="38" customFormat="1" x14ac:dyDescent="0.25">
      <c r="A193" s="40">
        <f t="shared" si="41"/>
        <v>15</v>
      </c>
      <c r="B193" s="39">
        <f t="shared" si="34"/>
        <v>173</v>
      </c>
      <c r="C193" s="35">
        <f t="shared" si="35"/>
        <v>0</v>
      </c>
      <c r="D193" s="36">
        <f t="shared" si="31"/>
        <v>0</v>
      </c>
      <c r="E193" s="36">
        <f t="shared" si="36"/>
        <v>0</v>
      </c>
      <c r="F193" s="36">
        <f t="shared" si="37"/>
        <v>0</v>
      </c>
      <c r="G193" s="35">
        <f t="shared" si="38"/>
        <v>0</v>
      </c>
      <c r="H193" s="36">
        <f t="shared" si="39"/>
        <v>0</v>
      </c>
      <c r="I193" s="35">
        <f t="shared" si="40"/>
        <v>0</v>
      </c>
      <c r="J193" s="35">
        <f t="shared" si="32"/>
        <v>0</v>
      </c>
      <c r="K193" s="46">
        <f t="shared" si="33"/>
        <v>0</v>
      </c>
    </row>
    <row r="194" spans="1:11" s="38" customFormat="1" x14ac:dyDescent="0.25">
      <c r="A194" s="40">
        <f t="shared" si="41"/>
        <v>15</v>
      </c>
      <c r="B194" s="39">
        <f t="shared" si="34"/>
        <v>174</v>
      </c>
      <c r="C194" s="35">
        <f t="shared" si="35"/>
        <v>0</v>
      </c>
      <c r="D194" s="36">
        <f t="shared" si="31"/>
        <v>0</v>
      </c>
      <c r="E194" s="36">
        <f t="shared" si="36"/>
        <v>0</v>
      </c>
      <c r="F194" s="36">
        <f t="shared" si="37"/>
        <v>0</v>
      </c>
      <c r="G194" s="35">
        <f t="shared" si="38"/>
        <v>0</v>
      </c>
      <c r="H194" s="36">
        <f t="shared" si="39"/>
        <v>0</v>
      </c>
      <c r="I194" s="35">
        <f t="shared" si="40"/>
        <v>0</v>
      </c>
      <c r="J194" s="35">
        <f t="shared" si="32"/>
        <v>0</v>
      </c>
      <c r="K194" s="46">
        <f t="shared" si="33"/>
        <v>0</v>
      </c>
    </row>
    <row r="195" spans="1:11" s="38" customFormat="1" x14ac:dyDescent="0.25">
      <c r="A195" s="40">
        <f t="shared" si="41"/>
        <v>15</v>
      </c>
      <c r="B195" s="39">
        <f t="shared" si="34"/>
        <v>175</v>
      </c>
      <c r="C195" s="35">
        <f t="shared" si="35"/>
        <v>0</v>
      </c>
      <c r="D195" s="36">
        <f t="shared" si="31"/>
        <v>0</v>
      </c>
      <c r="E195" s="36">
        <f t="shared" si="36"/>
        <v>0</v>
      </c>
      <c r="F195" s="36">
        <f t="shared" si="37"/>
        <v>0</v>
      </c>
      <c r="G195" s="35">
        <f t="shared" si="38"/>
        <v>0</v>
      </c>
      <c r="H195" s="36">
        <f t="shared" si="39"/>
        <v>0</v>
      </c>
      <c r="I195" s="35">
        <f t="shared" si="40"/>
        <v>0</v>
      </c>
      <c r="J195" s="35">
        <f t="shared" si="32"/>
        <v>0</v>
      </c>
      <c r="K195" s="46">
        <f t="shared" si="33"/>
        <v>0</v>
      </c>
    </row>
    <row r="196" spans="1:11" s="38" customFormat="1" x14ac:dyDescent="0.25">
      <c r="A196" s="40">
        <f t="shared" si="41"/>
        <v>15</v>
      </c>
      <c r="B196" s="39">
        <f t="shared" si="34"/>
        <v>176</v>
      </c>
      <c r="C196" s="35">
        <f t="shared" si="35"/>
        <v>0</v>
      </c>
      <c r="D196" s="36">
        <f t="shared" si="31"/>
        <v>0</v>
      </c>
      <c r="E196" s="36">
        <f t="shared" si="36"/>
        <v>0</v>
      </c>
      <c r="F196" s="36">
        <f t="shared" si="37"/>
        <v>0</v>
      </c>
      <c r="G196" s="35">
        <f t="shared" si="38"/>
        <v>0</v>
      </c>
      <c r="H196" s="36">
        <f t="shared" si="39"/>
        <v>0</v>
      </c>
      <c r="I196" s="35">
        <f t="shared" si="40"/>
        <v>0</v>
      </c>
      <c r="J196" s="35">
        <f t="shared" si="32"/>
        <v>0</v>
      </c>
      <c r="K196" s="46">
        <f t="shared" si="33"/>
        <v>0</v>
      </c>
    </row>
    <row r="197" spans="1:11" s="38" customFormat="1" x14ac:dyDescent="0.25">
      <c r="A197" s="40">
        <f t="shared" si="41"/>
        <v>15</v>
      </c>
      <c r="B197" s="39">
        <f t="shared" si="34"/>
        <v>177</v>
      </c>
      <c r="C197" s="35">
        <f t="shared" si="35"/>
        <v>0</v>
      </c>
      <c r="D197" s="36">
        <f t="shared" si="31"/>
        <v>0</v>
      </c>
      <c r="E197" s="36">
        <f t="shared" si="36"/>
        <v>0</v>
      </c>
      <c r="F197" s="36">
        <f t="shared" si="37"/>
        <v>0</v>
      </c>
      <c r="G197" s="35">
        <f t="shared" si="38"/>
        <v>0</v>
      </c>
      <c r="H197" s="36">
        <f t="shared" si="39"/>
        <v>0</v>
      </c>
      <c r="I197" s="35">
        <f t="shared" si="40"/>
        <v>0</v>
      </c>
      <c r="J197" s="35">
        <f t="shared" si="32"/>
        <v>0</v>
      </c>
      <c r="K197" s="46">
        <f t="shared" si="33"/>
        <v>0</v>
      </c>
    </row>
    <row r="198" spans="1:11" s="38" customFormat="1" x14ac:dyDescent="0.25">
      <c r="A198" s="40">
        <f t="shared" si="41"/>
        <v>15</v>
      </c>
      <c r="B198" s="39">
        <f t="shared" si="34"/>
        <v>178</v>
      </c>
      <c r="C198" s="35">
        <f t="shared" si="35"/>
        <v>0</v>
      </c>
      <c r="D198" s="36">
        <f t="shared" si="31"/>
        <v>0</v>
      </c>
      <c r="E198" s="36">
        <f t="shared" si="36"/>
        <v>0</v>
      </c>
      <c r="F198" s="36">
        <f t="shared" si="37"/>
        <v>0</v>
      </c>
      <c r="G198" s="35">
        <f t="shared" si="38"/>
        <v>0</v>
      </c>
      <c r="H198" s="36">
        <f t="shared" si="39"/>
        <v>0</v>
      </c>
      <c r="I198" s="35">
        <f t="shared" si="40"/>
        <v>0</v>
      </c>
      <c r="J198" s="35">
        <f t="shared" si="32"/>
        <v>0</v>
      </c>
      <c r="K198" s="46">
        <f t="shared" si="33"/>
        <v>0</v>
      </c>
    </row>
    <row r="199" spans="1:11" s="38" customFormat="1" x14ac:dyDescent="0.25">
      <c r="A199" s="40">
        <f t="shared" si="41"/>
        <v>15</v>
      </c>
      <c r="B199" s="39">
        <f t="shared" si="34"/>
        <v>179</v>
      </c>
      <c r="C199" s="35">
        <f t="shared" si="35"/>
        <v>0</v>
      </c>
      <c r="D199" s="36">
        <f t="shared" si="31"/>
        <v>0</v>
      </c>
      <c r="E199" s="36">
        <f t="shared" si="36"/>
        <v>0</v>
      </c>
      <c r="F199" s="36">
        <f t="shared" si="37"/>
        <v>0</v>
      </c>
      <c r="G199" s="35">
        <f t="shared" si="38"/>
        <v>0</v>
      </c>
      <c r="H199" s="36">
        <f t="shared" si="39"/>
        <v>0</v>
      </c>
      <c r="I199" s="35">
        <f t="shared" si="40"/>
        <v>0</v>
      </c>
      <c r="J199" s="35">
        <f t="shared" si="32"/>
        <v>0</v>
      </c>
      <c r="K199" s="46">
        <f t="shared" si="33"/>
        <v>0</v>
      </c>
    </row>
    <row r="200" spans="1:11" s="38" customFormat="1" x14ac:dyDescent="0.25">
      <c r="A200" s="40">
        <f t="shared" si="41"/>
        <v>15</v>
      </c>
      <c r="B200" s="39">
        <f t="shared" si="34"/>
        <v>180</v>
      </c>
      <c r="C200" s="35">
        <f t="shared" si="35"/>
        <v>0</v>
      </c>
      <c r="D200" s="36">
        <f t="shared" si="31"/>
        <v>0</v>
      </c>
      <c r="E200" s="36">
        <f t="shared" si="36"/>
        <v>0</v>
      </c>
      <c r="F200" s="36">
        <f t="shared" si="37"/>
        <v>0</v>
      </c>
      <c r="G200" s="35">
        <f t="shared" si="38"/>
        <v>0</v>
      </c>
      <c r="H200" s="36">
        <f t="shared" si="39"/>
        <v>0</v>
      </c>
      <c r="I200" s="35">
        <f t="shared" si="40"/>
        <v>0</v>
      </c>
      <c r="J200" s="35">
        <f t="shared" si="32"/>
        <v>0</v>
      </c>
      <c r="K200" s="46">
        <f t="shared" si="33"/>
        <v>0</v>
      </c>
    </row>
    <row r="201" spans="1:11" s="38" customFormat="1" x14ac:dyDescent="0.25">
      <c r="A201" s="40">
        <f>A189+1</f>
        <v>16</v>
      </c>
      <c r="B201" s="39">
        <f t="shared" si="34"/>
        <v>181</v>
      </c>
      <c r="C201" s="35">
        <f t="shared" si="35"/>
        <v>0</v>
      </c>
      <c r="D201" s="36">
        <f t="shared" si="31"/>
        <v>0</v>
      </c>
      <c r="E201" s="36">
        <f t="shared" si="36"/>
        <v>0</v>
      </c>
      <c r="F201" s="36">
        <f t="shared" si="37"/>
        <v>0</v>
      </c>
      <c r="G201" s="35">
        <f t="shared" si="38"/>
        <v>0</v>
      </c>
      <c r="H201" s="36">
        <f t="shared" si="39"/>
        <v>0</v>
      </c>
      <c r="I201" s="35">
        <f t="shared" si="40"/>
        <v>0</v>
      </c>
      <c r="J201" s="35">
        <f t="shared" si="32"/>
        <v>0</v>
      </c>
      <c r="K201" s="46">
        <f t="shared" si="33"/>
        <v>0</v>
      </c>
    </row>
    <row r="202" spans="1:11" s="38" customFormat="1" x14ac:dyDescent="0.25">
      <c r="A202" s="40">
        <f>A201</f>
        <v>16</v>
      </c>
      <c r="B202" s="39">
        <f t="shared" si="34"/>
        <v>182</v>
      </c>
      <c r="C202" s="35">
        <f t="shared" si="35"/>
        <v>0</v>
      </c>
      <c r="D202" s="36">
        <f t="shared" si="31"/>
        <v>0</v>
      </c>
      <c r="E202" s="36">
        <f t="shared" si="36"/>
        <v>0</v>
      </c>
      <c r="F202" s="36">
        <f t="shared" si="37"/>
        <v>0</v>
      </c>
      <c r="G202" s="35">
        <f t="shared" si="38"/>
        <v>0</v>
      </c>
      <c r="H202" s="36">
        <f t="shared" si="39"/>
        <v>0</v>
      </c>
      <c r="I202" s="35">
        <f t="shared" si="40"/>
        <v>0</v>
      </c>
      <c r="J202" s="35">
        <f t="shared" si="32"/>
        <v>0</v>
      </c>
      <c r="K202" s="46">
        <f t="shared" si="33"/>
        <v>0</v>
      </c>
    </row>
    <row r="203" spans="1:11" s="38" customFormat="1" x14ac:dyDescent="0.25">
      <c r="A203" s="40">
        <f t="shared" si="41"/>
        <v>16</v>
      </c>
      <c r="B203" s="39">
        <f t="shared" si="34"/>
        <v>183</v>
      </c>
      <c r="C203" s="35">
        <f t="shared" si="35"/>
        <v>0</v>
      </c>
      <c r="D203" s="36">
        <f t="shared" si="31"/>
        <v>0</v>
      </c>
      <c r="E203" s="36">
        <f t="shared" si="36"/>
        <v>0</v>
      </c>
      <c r="F203" s="36">
        <f t="shared" si="37"/>
        <v>0</v>
      </c>
      <c r="G203" s="35">
        <f t="shared" si="38"/>
        <v>0</v>
      </c>
      <c r="H203" s="36">
        <f t="shared" si="39"/>
        <v>0</v>
      </c>
      <c r="I203" s="35">
        <f t="shared" si="40"/>
        <v>0</v>
      </c>
      <c r="J203" s="35">
        <f t="shared" si="32"/>
        <v>0</v>
      </c>
      <c r="K203" s="46">
        <f t="shared" si="33"/>
        <v>0</v>
      </c>
    </row>
    <row r="204" spans="1:11" s="38" customFormat="1" x14ac:dyDescent="0.25">
      <c r="A204" s="40">
        <f t="shared" si="41"/>
        <v>16</v>
      </c>
      <c r="B204" s="39">
        <f t="shared" si="34"/>
        <v>184</v>
      </c>
      <c r="C204" s="35">
        <f t="shared" si="35"/>
        <v>0</v>
      </c>
      <c r="D204" s="36">
        <f t="shared" si="31"/>
        <v>0</v>
      </c>
      <c r="E204" s="36">
        <f t="shared" si="36"/>
        <v>0</v>
      </c>
      <c r="F204" s="36">
        <f t="shared" si="37"/>
        <v>0</v>
      </c>
      <c r="G204" s="35">
        <f t="shared" si="38"/>
        <v>0</v>
      </c>
      <c r="H204" s="36">
        <f t="shared" si="39"/>
        <v>0</v>
      </c>
      <c r="I204" s="35">
        <f t="shared" si="40"/>
        <v>0</v>
      </c>
      <c r="J204" s="35">
        <f t="shared" si="32"/>
        <v>0</v>
      </c>
      <c r="K204" s="46">
        <f t="shared" si="33"/>
        <v>0</v>
      </c>
    </row>
    <row r="205" spans="1:11" s="38" customFormat="1" x14ac:dyDescent="0.25">
      <c r="A205" s="40">
        <f t="shared" si="41"/>
        <v>16</v>
      </c>
      <c r="B205" s="39">
        <f t="shared" si="34"/>
        <v>185</v>
      </c>
      <c r="C205" s="35">
        <f t="shared" si="35"/>
        <v>0</v>
      </c>
      <c r="D205" s="36">
        <f t="shared" si="31"/>
        <v>0</v>
      </c>
      <c r="E205" s="36">
        <f t="shared" si="36"/>
        <v>0</v>
      </c>
      <c r="F205" s="36">
        <f t="shared" si="37"/>
        <v>0</v>
      </c>
      <c r="G205" s="35">
        <f t="shared" si="38"/>
        <v>0</v>
      </c>
      <c r="H205" s="36">
        <f t="shared" si="39"/>
        <v>0</v>
      </c>
      <c r="I205" s="35">
        <f t="shared" si="40"/>
        <v>0</v>
      </c>
      <c r="J205" s="35">
        <f t="shared" si="32"/>
        <v>0</v>
      </c>
      <c r="K205" s="46">
        <f t="shared" si="33"/>
        <v>0</v>
      </c>
    </row>
    <row r="206" spans="1:11" s="38" customFormat="1" x14ac:dyDescent="0.25">
      <c r="A206" s="40">
        <f t="shared" si="41"/>
        <v>16</v>
      </c>
      <c r="B206" s="39">
        <f t="shared" si="34"/>
        <v>186</v>
      </c>
      <c r="C206" s="35">
        <f t="shared" si="35"/>
        <v>0</v>
      </c>
      <c r="D206" s="36">
        <f t="shared" si="31"/>
        <v>0</v>
      </c>
      <c r="E206" s="36">
        <f t="shared" si="36"/>
        <v>0</v>
      </c>
      <c r="F206" s="36">
        <f t="shared" si="37"/>
        <v>0</v>
      </c>
      <c r="G206" s="35">
        <f t="shared" si="38"/>
        <v>0</v>
      </c>
      <c r="H206" s="36">
        <f t="shared" si="39"/>
        <v>0</v>
      </c>
      <c r="I206" s="35">
        <f t="shared" si="40"/>
        <v>0</v>
      </c>
      <c r="J206" s="35">
        <f t="shared" si="32"/>
        <v>0</v>
      </c>
      <c r="K206" s="46">
        <f t="shared" si="33"/>
        <v>0</v>
      </c>
    </row>
    <row r="207" spans="1:11" s="38" customFormat="1" x14ac:dyDescent="0.25">
      <c r="A207" s="40">
        <f t="shared" si="41"/>
        <v>16</v>
      </c>
      <c r="B207" s="39">
        <f t="shared" si="34"/>
        <v>187</v>
      </c>
      <c r="C207" s="35">
        <f t="shared" si="35"/>
        <v>0</v>
      </c>
      <c r="D207" s="36">
        <f t="shared" si="31"/>
        <v>0</v>
      </c>
      <c r="E207" s="36">
        <f t="shared" si="36"/>
        <v>0</v>
      </c>
      <c r="F207" s="36">
        <f t="shared" si="37"/>
        <v>0</v>
      </c>
      <c r="G207" s="35">
        <f t="shared" si="38"/>
        <v>0</v>
      </c>
      <c r="H207" s="36">
        <f t="shared" si="39"/>
        <v>0</v>
      </c>
      <c r="I207" s="35">
        <f t="shared" si="40"/>
        <v>0</v>
      </c>
      <c r="J207" s="35">
        <f t="shared" si="32"/>
        <v>0</v>
      </c>
      <c r="K207" s="46">
        <f t="shared" si="33"/>
        <v>0</v>
      </c>
    </row>
    <row r="208" spans="1:11" s="38" customFormat="1" x14ac:dyDescent="0.25">
      <c r="A208" s="40">
        <f t="shared" si="41"/>
        <v>16</v>
      </c>
      <c r="B208" s="39">
        <f t="shared" si="34"/>
        <v>188</v>
      </c>
      <c r="C208" s="35">
        <f t="shared" si="35"/>
        <v>0</v>
      </c>
      <c r="D208" s="36">
        <f t="shared" si="31"/>
        <v>0</v>
      </c>
      <c r="E208" s="36">
        <f t="shared" si="36"/>
        <v>0</v>
      </c>
      <c r="F208" s="36">
        <f t="shared" si="37"/>
        <v>0</v>
      </c>
      <c r="G208" s="35">
        <f t="shared" si="38"/>
        <v>0</v>
      </c>
      <c r="H208" s="36">
        <f t="shared" si="39"/>
        <v>0</v>
      </c>
      <c r="I208" s="35">
        <f t="shared" si="40"/>
        <v>0</v>
      </c>
      <c r="J208" s="35">
        <f t="shared" si="32"/>
        <v>0</v>
      </c>
      <c r="K208" s="46">
        <f t="shared" si="33"/>
        <v>0</v>
      </c>
    </row>
    <row r="209" spans="1:11" s="38" customFormat="1" x14ac:dyDescent="0.25">
      <c r="A209" s="40">
        <f t="shared" si="41"/>
        <v>16</v>
      </c>
      <c r="B209" s="39">
        <f t="shared" si="34"/>
        <v>189</v>
      </c>
      <c r="C209" s="35">
        <f t="shared" si="35"/>
        <v>0</v>
      </c>
      <c r="D209" s="36">
        <f t="shared" si="31"/>
        <v>0</v>
      </c>
      <c r="E209" s="36">
        <f t="shared" si="36"/>
        <v>0</v>
      </c>
      <c r="F209" s="36">
        <f t="shared" si="37"/>
        <v>0</v>
      </c>
      <c r="G209" s="35">
        <f t="shared" si="38"/>
        <v>0</v>
      </c>
      <c r="H209" s="36">
        <f t="shared" si="39"/>
        <v>0</v>
      </c>
      <c r="I209" s="35">
        <f t="shared" si="40"/>
        <v>0</v>
      </c>
      <c r="J209" s="35">
        <f t="shared" si="32"/>
        <v>0</v>
      </c>
      <c r="K209" s="46">
        <f t="shared" si="33"/>
        <v>0</v>
      </c>
    </row>
    <row r="210" spans="1:11" s="38" customFormat="1" x14ac:dyDescent="0.25">
      <c r="A210" s="40">
        <f t="shared" si="41"/>
        <v>16</v>
      </c>
      <c r="B210" s="39">
        <f t="shared" si="34"/>
        <v>190</v>
      </c>
      <c r="C210" s="35">
        <f t="shared" si="35"/>
        <v>0</v>
      </c>
      <c r="D210" s="36">
        <f t="shared" si="31"/>
        <v>0</v>
      </c>
      <c r="E210" s="36">
        <f t="shared" si="36"/>
        <v>0</v>
      </c>
      <c r="F210" s="36">
        <f t="shared" si="37"/>
        <v>0</v>
      </c>
      <c r="G210" s="35">
        <f t="shared" si="38"/>
        <v>0</v>
      </c>
      <c r="H210" s="36">
        <f t="shared" si="39"/>
        <v>0</v>
      </c>
      <c r="I210" s="35">
        <f t="shared" si="40"/>
        <v>0</v>
      </c>
      <c r="J210" s="35">
        <f t="shared" si="32"/>
        <v>0</v>
      </c>
      <c r="K210" s="46">
        <f t="shared" si="33"/>
        <v>0</v>
      </c>
    </row>
    <row r="211" spans="1:11" s="38" customFormat="1" x14ac:dyDescent="0.25">
      <c r="A211" s="40">
        <f t="shared" si="41"/>
        <v>16</v>
      </c>
      <c r="B211" s="39">
        <f t="shared" si="34"/>
        <v>191</v>
      </c>
      <c r="C211" s="35">
        <f t="shared" si="35"/>
        <v>0</v>
      </c>
      <c r="D211" s="36">
        <f t="shared" si="31"/>
        <v>0</v>
      </c>
      <c r="E211" s="36">
        <f t="shared" si="36"/>
        <v>0</v>
      </c>
      <c r="F211" s="36">
        <f t="shared" si="37"/>
        <v>0</v>
      </c>
      <c r="G211" s="35">
        <f t="shared" si="38"/>
        <v>0</v>
      </c>
      <c r="H211" s="36">
        <f t="shared" si="39"/>
        <v>0</v>
      </c>
      <c r="I211" s="35">
        <f t="shared" si="40"/>
        <v>0</v>
      </c>
      <c r="J211" s="35">
        <f t="shared" si="32"/>
        <v>0</v>
      </c>
      <c r="K211" s="46">
        <f t="shared" si="33"/>
        <v>0</v>
      </c>
    </row>
    <row r="212" spans="1:11" s="38" customFormat="1" x14ac:dyDescent="0.25">
      <c r="A212" s="40">
        <f t="shared" si="41"/>
        <v>16</v>
      </c>
      <c r="B212" s="39">
        <f t="shared" si="34"/>
        <v>192</v>
      </c>
      <c r="C212" s="35">
        <f t="shared" si="35"/>
        <v>0</v>
      </c>
      <c r="D212" s="36">
        <f t="shared" si="31"/>
        <v>0</v>
      </c>
      <c r="E212" s="36">
        <f t="shared" si="36"/>
        <v>0</v>
      </c>
      <c r="F212" s="36">
        <f t="shared" si="37"/>
        <v>0</v>
      </c>
      <c r="G212" s="35">
        <f t="shared" si="38"/>
        <v>0</v>
      </c>
      <c r="H212" s="36">
        <f t="shared" si="39"/>
        <v>0</v>
      </c>
      <c r="I212" s="35">
        <f t="shared" si="40"/>
        <v>0</v>
      </c>
      <c r="J212" s="35">
        <f t="shared" si="32"/>
        <v>0</v>
      </c>
      <c r="K212" s="46">
        <f t="shared" si="33"/>
        <v>0</v>
      </c>
    </row>
    <row r="213" spans="1:11" s="38" customFormat="1" x14ac:dyDescent="0.25">
      <c r="A213" s="40">
        <f>A201+1</f>
        <v>17</v>
      </c>
      <c r="B213" s="39">
        <f t="shared" si="34"/>
        <v>193</v>
      </c>
      <c r="C213" s="35">
        <f t="shared" si="35"/>
        <v>0</v>
      </c>
      <c r="D213" s="36">
        <f t="shared" ref="D213:D276" si="42">IF(C213=0,0, IF(AND($G$2, B213&lt;=$G$3), F213, PMT($C$12, $C$14, $C$10)))</f>
        <v>0</v>
      </c>
      <c r="E213" s="36">
        <f t="shared" si="36"/>
        <v>0</v>
      </c>
      <c r="F213" s="36">
        <f t="shared" si="37"/>
        <v>0</v>
      </c>
      <c r="G213" s="35">
        <f t="shared" si="38"/>
        <v>0</v>
      </c>
      <c r="H213" s="36">
        <f t="shared" si="39"/>
        <v>0</v>
      </c>
      <c r="I213" s="35">
        <f t="shared" si="40"/>
        <v>0</v>
      </c>
      <c r="J213" s="35">
        <f t="shared" ref="J213:J276" si="43">IF(B213=$G$6, $G$12*G213, 0)</f>
        <v>0</v>
      </c>
      <c r="K213" s="46">
        <f t="shared" ref="K213:K276" si="44">I213+J213</f>
        <v>0</v>
      </c>
    </row>
    <row r="214" spans="1:11" s="38" customFormat="1" x14ac:dyDescent="0.25">
      <c r="A214" s="40">
        <f>A213</f>
        <v>17</v>
      </c>
      <c r="B214" s="39">
        <f t="shared" ref="B214:B277" si="45">+B213+1</f>
        <v>194</v>
      </c>
      <c r="C214" s="35">
        <f t="shared" si="35"/>
        <v>0</v>
      </c>
      <c r="D214" s="36">
        <f t="shared" si="42"/>
        <v>0</v>
      </c>
      <c r="E214" s="36">
        <f t="shared" si="36"/>
        <v>0</v>
      </c>
      <c r="F214" s="36">
        <f t="shared" si="37"/>
        <v>0</v>
      </c>
      <c r="G214" s="35">
        <f t="shared" si="38"/>
        <v>0</v>
      </c>
      <c r="H214" s="36">
        <f t="shared" si="39"/>
        <v>0</v>
      </c>
      <c r="I214" s="35">
        <f t="shared" si="40"/>
        <v>0</v>
      </c>
      <c r="J214" s="35">
        <f t="shared" si="43"/>
        <v>0</v>
      </c>
      <c r="K214" s="46">
        <f t="shared" si="44"/>
        <v>0</v>
      </c>
    </row>
    <row r="215" spans="1:11" s="38" customFormat="1" x14ac:dyDescent="0.25">
      <c r="A215" s="40">
        <f t="shared" si="41"/>
        <v>17</v>
      </c>
      <c r="B215" s="39">
        <f t="shared" si="45"/>
        <v>195</v>
      </c>
      <c r="C215" s="35">
        <f t="shared" si="35"/>
        <v>0</v>
      </c>
      <c r="D215" s="36">
        <f t="shared" si="42"/>
        <v>0</v>
      </c>
      <c r="E215" s="36">
        <f t="shared" si="36"/>
        <v>0</v>
      </c>
      <c r="F215" s="36">
        <f t="shared" si="37"/>
        <v>0</v>
      </c>
      <c r="G215" s="35">
        <f t="shared" si="38"/>
        <v>0</v>
      </c>
      <c r="H215" s="36">
        <f t="shared" si="39"/>
        <v>0</v>
      </c>
      <c r="I215" s="35">
        <f t="shared" si="40"/>
        <v>0</v>
      </c>
      <c r="J215" s="35">
        <f t="shared" si="43"/>
        <v>0</v>
      </c>
      <c r="K215" s="46">
        <f t="shared" si="44"/>
        <v>0</v>
      </c>
    </row>
    <row r="216" spans="1:11" s="38" customFormat="1" x14ac:dyDescent="0.25">
      <c r="A216" s="40">
        <f t="shared" si="41"/>
        <v>17</v>
      </c>
      <c r="B216" s="39">
        <f t="shared" si="45"/>
        <v>196</v>
      </c>
      <c r="C216" s="35">
        <f t="shared" si="35"/>
        <v>0</v>
      </c>
      <c r="D216" s="36">
        <f t="shared" si="42"/>
        <v>0</v>
      </c>
      <c r="E216" s="36">
        <f t="shared" si="36"/>
        <v>0</v>
      </c>
      <c r="F216" s="36">
        <f t="shared" si="37"/>
        <v>0</v>
      </c>
      <c r="G216" s="35">
        <f t="shared" si="38"/>
        <v>0</v>
      </c>
      <c r="H216" s="36">
        <f t="shared" si="39"/>
        <v>0</v>
      </c>
      <c r="I216" s="35">
        <f t="shared" si="40"/>
        <v>0</v>
      </c>
      <c r="J216" s="35">
        <f t="shared" si="43"/>
        <v>0</v>
      </c>
      <c r="K216" s="46">
        <f t="shared" si="44"/>
        <v>0</v>
      </c>
    </row>
    <row r="217" spans="1:11" s="38" customFormat="1" x14ac:dyDescent="0.25">
      <c r="A217" s="40">
        <f t="shared" si="41"/>
        <v>17</v>
      </c>
      <c r="B217" s="39">
        <f t="shared" si="45"/>
        <v>197</v>
      </c>
      <c r="C217" s="35">
        <f t="shared" si="35"/>
        <v>0</v>
      </c>
      <c r="D217" s="36">
        <f t="shared" si="42"/>
        <v>0</v>
      </c>
      <c r="E217" s="36">
        <f t="shared" si="36"/>
        <v>0</v>
      </c>
      <c r="F217" s="36">
        <f t="shared" si="37"/>
        <v>0</v>
      </c>
      <c r="G217" s="35">
        <f t="shared" si="38"/>
        <v>0</v>
      </c>
      <c r="H217" s="36">
        <f t="shared" si="39"/>
        <v>0</v>
      </c>
      <c r="I217" s="35">
        <f t="shared" si="40"/>
        <v>0</v>
      </c>
      <c r="J217" s="35">
        <f t="shared" si="43"/>
        <v>0</v>
      </c>
      <c r="K217" s="46">
        <f t="shared" si="44"/>
        <v>0</v>
      </c>
    </row>
    <row r="218" spans="1:11" s="38" customFormat="1" x14ac:dyDescent="0.25">
      <c r="A218" s="40">
        <f t="shared" si="41"/>
        <v>17</v>
      </c>
      <c r="B218" s="39">
        <f t="shared" si="45"/>
        <v>198</v>
      </c>
      <c r="C218" s="35">
        <f t="shared" si="35"/>
        <v>0</v>
      </c>
      <c r="D218" s="36">
        <f t="shared" si="42"/>
        <v>0</v>
      </c>
      <c r="E218" s="36">
        <f t="shared" si="36"/>
        <v>0</v>
      </c>
      <c r="F218" s="36">
        <f t="shared" si="37"/>
        <v>0</v>
      </c>
      <c r="G218" s="35">
        <f t="shared" si="38"/>
        <v>0</v>
      </c>
      <c r="H218" s="36">
        <f t="shared" si="39"/>
        <v>0</v>
      </c>
      <c r="I218" s="35">
        <f t="shared" si="40"/>
        <v>0</v>
      </c>
      <c r="J218" s="35">
        <f t="shared" si="43"/>
        <v>0</v>
      </c>
      <c r="K218" s="46">
        <f t="shared" si="44"/>
        <v>0</v>
      </c>
    </row>
    <row r="219" spans="1:11" s="38" customFormat="1" x14ac:dyDescent="0.25">
      <c r="A219" s="40">
        <f t="shared" si="41"/>
        <v>17</v>
      </c>
      <c r="B219" s="39">
        <f t="shared" si="45"/>
        <v>199</v>
      </c>
      <c r="C219" s="35">
        <f t="shared" si="35"/>
        <v>0</v>
      </c>
      <c r="D219" s="36">
        <f t="shared" si="42"/>
        <v>0</v>
      </c>
      <c r="E219" s="36">
        <f t="shared" si="36"/>
        <v>0</v>
      </c>
      <c r="F219" s="36">
        <f t="shared" si="37"/>
        <v>0</v>
      </c>
      <c r="G219" s="35">
        <f t="shared" si="38"/>
        <v>0</v>
      </c>
      <c r="H219" s="36">
        <f t="shared" si="39"/>
        <v>0</v>
      </c>
      <c r="I219" s="35">
        <f t="shared" si="40"/>
        <v>0</v>
      </c>
      <c r="J219" s="35">
        <f t="shared" si="43"/>
        <v>0</v>
      </c>
      <c r="K219" s="46">
        <f t="shared" si="44"/>
        <v>0</v>
      </c>
    </row>
    <row r="220" spans="1:11" s="38" customFormat="1" x14ac:dyDescent="0.25">
      <c r="A220" s="40">
        <f t="shared" si="41"/>
        <v>17</v>
      </c>
      <c r="B220" s="39">
        <f t="shared" si="45"/>
        <v>200</v>
      </c>
      <c r="C220" s="35">
        <f t="shared" si="35"/>
        <v>0</v>
      </c>
      <c r="D220" s="36">
        <f t="shared" si="42"/>
        <v>0</v>
      </c>
      <c r="E220" s="36">
        <f t="shared" si="36"/>
        <v>0</v>
      </c>
      <c r="F220" s="36">
        <f t="shared" si="37"/>
        <v>0</v>
      </c>
      <c r="G220" s="35">
        <f t="shared" si="38"/>
        <v>0</v>
      </c>
      <c r="H220" s="36">
        <f t="shared" si="39"/>
        <v>0</v>
      </c>
      <c r="I220" s="35">
        <f t="shared" si="40"/>
        <v>0</v>
      </c>
      <c r="J220" s="35">
        <f t="shared" si="43"/>
        <v>0</v>
      </c>
      <c r="K220" s="46">
        <f t="shared" si="44"/>
        <v>0</v>
      </c>
    </row>
    <row r="221" spans="1:11" s="38" customFormat="1" x14ac:dyDescent="0.25">
      <c r="A221" s="40">
        <f t="shared" si="41"/>
        <v>17</v>
      </c>
      <c r="B221" s="39">
        <f t="shared" si="45"/>
        <v>201</v>
      </c>
      <c r="C221" s="35">
        <f t="shared" si="35"/>
        <v>0</v>
      </c>
      <c r="D221" s="36">
        <f t="shared" si="42"/>
        <v>0</v>
      </c>
      <c r="E221" s="36">
        <f t="shared" si="36"/>
        <v>0</v>
      </c>
      <c r="F221" s="36">
        <f t="shared" si="37"/>
        <v>0</v>
      </c>
      <c r="G221" s="35">
        <f t="shared" si="38"/>
        <v>0</v>
      </c>
      <c r="H221" s="36">
        <f t="shared" si="39"/>
        <v>0</v>
      </c>
      <c r="I221" s="35">
        <f t="shared" si="40"/>
        <v>0</v>
      </c>
      <c r="J221" s="35">
        <f t="shared" si="43"/>
        <v>0</v>
      </c>
      <c r="K221" s="46">
        <f t="shared" si="44"/>
        <v>0</v>
      </c>
    </row>
    <row r="222" spans="1:11" s="38" customFormat="1" x14ac:dyDescent="0.25">
      <c r="A222" s="40">
        <f t="shared" si="41"/>
        <v>17</v>
      </c>
      <c r="B222" s="39">
        <f t="shared" si="45"/>
        <v>202</v>
      </c>
      <c r="C222" s="35">
        <f t="shared" si="35"/>
        <v>0</v>
      </c>
      <c r="D222" s="36">
        <f t="shared" si="42"/>
        <v>0</v>
      </c>
      <c r="E222" s="36">
        <f t="shared" si="36"/>
        <v>0</v>
      </c>
      <c r="F222" s="36">
        <f t="shared" si="37"/>
        <v>0</v>
      </c>
      <c r="G222" s="35">
        <f t="shared" si="38"/>
        <v>0</v>
      </c>
      <c r="H222" s="36">
        <f t="shared" si="39"/>
        <v>0</v>
      </c>
      <c r="I222" s="35">
        <f t="shared" si="40"/>
        <v>0</v>
      </c>
      <c r="J222" s="35">
        <f t="shared" si="43"/>
        <v>0</v>
      </c>
      <c r="K222" s="46">
        <f t="shared" si="44"/>
        <v>0</v>
      </c>
    </row>
    <row r="223" spans="1:11" s="38" customFormat="1" x14ac:dyDescent="0.25">
      <c r="A223" s="40">
        <f t="shared" si="41"/>
        <v>17</v>
      </c>
      <c r="B223" s="39">
        <f t="shared" si="45"/>
        <v>203</v>
      </c>
      <c r="C223" s="35">
        <f t="shared" si="35"/>
        <v>0</v>
      </c>
      <c r="D223" s="36">
        <f t="shared" si="42"/>
        <v>0</v>
      </c>
      <c r="E223" s="36">
        <f t="shared" si="36"/>
        <v>0</v>
      </c>
      <c r="F223" s="36">
        <f t="shared" si="37"/>
        <v>0</v>
      </c>
      <c r="G223" s="35">
        <f t="shared" si="38"/>
        <v>0</v>
      </c>
      <c r="H223" s="36">
        <f t="shared" si="39"/>
        <v>0</v>
      </c>
      <c r="I223" s="35">
        <f t="shared" si="40"/>
        <v>0</v>
      </c>
      <c r="J223" s="35">
        <f t="shared" si="43"/>
        <v>0</v>
      </c>
      <c r="K223" s="46">
        <f t="shared" si="44"/>
        <v>0</v>
      </c>
    </row>
    <row r="224" spans="1:11" s="38" customFormat="1" x14ac:dyDescent="0.25">
      <c r="A224" s="40">
        <f t="shared" si="41"/>
        <v>17</v>
      </c>
      <c r="B224" s="39">
        <f t="shared" si="45"/>
        <v>204</v>
      </c>
      <c r="C224" s="35">
        <f t="shared" si="35"/>
        <v>0</v>
      </c>
      <c r="D224" s="36">
        <f t="shared" si="42"/>
        <v>0</v>
      </c>
      <c r="E224" s="36">
        <f t="shared" si="36"/>
        <v>0</v>
      </c>
      <c r="F224" s="36">
        <f t="shared" si="37"/>
        <v>0</v>
      </c>
      <c r="G224" s="35">
        <f t="shared" si="38"/>
        <v>0</v>
      </c>
      <c r="H224" s="36">
        <f t="shared" si="39"/>
        <v>0</v>
      </c>
      <c r="I224" s="35">
        <f t="shared" si="40"/>
        <v>0</v>
      </c>
      <c r="J224" s="35">
        <f t="shared" si="43"/>
        <v>0</v>
      </c>
      <c r="K224" s="46">
        <f t="shared" si="44"/>
        <v>0</v>
      </c>
    </row>
    <row r="225" spans="1:11" s="38" customFormat="1" x14ac:dyDescent="0.25">
      <c r="A225" s="40">
        <f>A213+1</f>
        <v>18</v>
      </c>
      <c r="B225" s="39">
        <f t="shared" si="45"/>
        <v>205</v>
      </c>
      <c r="C225" s="35">
        <f t="shared" ref="C225:C288" si="46">H224</f>
        <v>0</v>
      </c>
      <c r="D225" s="36">
        <f t="shared" si="42"/>
        <v>0</v>
      </c>
      <c r="E225" s="36">
        <f t="shared" ref="E225:E288" si="47">IF(AND($G$2, B225&lt;=$G$3), 0, D225-F225)</f>
        <v>0</v>
      </c>
      <c r="F225" s="36">
        <f t="shared" ref="F225:F288" si="48">-H224*$C$12</f>
        <v>0</v>
      </c>
      <c r="G225" s="35">
        <f t="shared" ref="G225:G288" si="49">IF(AND($G$5, B225=$G$6), C225+E225, 0)</f>
        <v>0</v>
      </c>
      <c r="H225" s="36">
        <f t="shared" si="39"/>
        <v>0</v>
      </c>
      <c r="I225" s="35">
        <f t="shared" si="40"/>
        <v>0</v>
      </c>
      <c r="J225" s="35">
        <f t="shared" si="43"/>
        <v>0</v>
      </c>
      <c r="K225" s="46">
        <f t="shared" si="44"/>
        <v>0</v>
      </c>
    </row>
    <row r="226" spans="1:11" s="38" customFormat="1" x14ac:dyDescent="0.25">
      <c r="A226" s="40">
        <f>A225</f>
        <v>18</v>
      </c>
      <c r="B226" s="39">
        <f t="shared" si="45"/>
        <v>206</v>
      </c>
      <c r="C226" s="35">
        <f t="shared" si="46"/>
        <v>0</v>
      </c>
      <c r="D226" s="36">
        <f t="shared" si="42"/>
        <v>0</v>
      </c>
      <c r="E226" s="36">
        <f t="shared" si="47"/>
        <v>0</v>
      </c>
      <c r="F226" s="36">
        <f t="shared" si="48"/>
        <v>0</v>
      </c>
      <c r="G226" s="35">
        <f t="shared" si="49"/>
        <v>0</v>
      </c>
      <c r="H226" s="36">
        <f t="shared" si="39"/>
        <v>0</v>
      </c>
      <c r="I226" s="35">
        <f t="shared" si="40"/>
        <v>0</v>
      </c>
      <c r="J226" s="35">
        <f t="shared" si="43"/>
        <v>0</v>
      </c>
      <c r="K226" s="46">
        <f t="shared" si="44"/>
        <v>0</v>
      </c>
    </row>
    <row r="227" spans="1:11" s="38" customFormat="1" x14ac:dyDescent="0.25">
      <c r="A227" s="40">
        <f t="shared" si="41"/>
        <v>18</v>
      </c>
      <c r="B227" s="39">
        <f t="shared" si="45"/>
        <v>207</v>
      </c>
      <c r="C227" s="35">
        <f t="shared" si="46"/>
        <v>0</v>
      </c>
      <c r="D227" s="36">
        <f t="shared" si="42"/>
        <v>0</v>
      </c>
      <c r="E227" s="36">
        <f t="shared" si="47"/>
        <v>0</v>
      </c>
      <c r="F227" s="36">
        <f t="shared" si="48"/>
        <v>0</v>
      </c>
      <c r="G227" s="35">
        <f t="shared" si="49"/>
        <v>0</v>
      </c>
      <c r="H227" s="36">
        <f t="shared" si="39"/>
        <v>0</v>
      </c>
      <c r="I227" s="35">
        <f t="shared" si="40"/>
        <v>0</v>
      </c>
      <c r="J227" s="35">
        <f t="shared" si="43"/>
        <v>0</v>
      </c>
      <c r="K227" s="46">
        <f t="shared" si="44"/>
        <v>0</v>
      </c>
    </row>
    <row r="228" spans="1:11" s="38" customFormat="1" x14ac:dyDescent="0.25">
      <c r="A228" s="40">
        <f t="shared" si="41"/>
        <v>18</v>
      </c>
      <c r="B228" s="39">
        <f t="shared" si="45"/>
        <v>208</v>
      </c>
      <c r="C228" s="35">
        <f t="shared" si="46"/>
        <v>0</v>
      </c>
      <c r="D228" s="36">
        <f t="shared" si="42"/>
        <v>0</v>
      </c>
      <c r="E228" s="36">
        <f t="shared" si="47"/>
        <v>0</v>
      </c>
      <c r="F228" s="36">
        <f t="shared" si="48"/>
        <v>0</v>
      </c>
      <c r="G228" s="35">
        <f t="shared" si="49"/>
        <v>0</v>
      </c>
      <c r="H228" s="36">
        <f t="shared" si="39"/>
        <v>0</v>
      </c>
      <c r="I228" s="35">
        <f t="shared" si="40"/>
        <v>0</v>
      </c>
      <c r="J228" s="35">
        <f t="shared" si="43"/>
        <v>0</v>
      </c>
      <c r="K228" s="46">
        <f t="shared" si="44"/>
        <v>0</v>
      </c>
    </row>
    <row r="229" spans="1:11" s="38" customFormat="1" x14ac:dyDescent="0.25">
      <c r="A229" s="40">
        <f t="shared" si="41"/>
        <v>18</v>
      </c>
      <c r="B229" s="39">
        <f t="shared" si="45"/>
        <v>209</v>
      </c>
      <c r="C229" s="35">
        <f t="shared" si="46"/>
        <v>0</v>
      </c>
      <c r="D229" s="36">
        <f t="shared" si="42"/>
        <v>0</v>
      </c>
      <c r="E229" s="36">
        <f t="shared" si="47"/>
        <v>0</v>
      </c>
      <c r="F229" s="36">
        <f t="shared" si="48"/>
        <v>0</v>
      </c>
      <c r="G229" s="35">
        <f t="shared" si="49"/>
        <v>0</v>
      </c>
      <c r="H229" s="36">
        <f t="shared" si="39"/>
        <v>0</v>
      </c>
      <c r="I229" s="35">
        <f t="shared" si="40"/>
        <v>0</v>
      </c>
      <c r="J229" s="35">
        <f t="shared" si="43"/>
        <v>0</v>
      </c>
      <c r="K229" s="46">
        <f t="shared" si="44"/>
        <v>0</v>
      </c>
    </row>
    <row r="230" spans="1:11" s="38" customFormat="1" x14ac:dyDescent="0.25">
      <c r="A230" s="40">
        <f t="shared" si="41"/>
        <v>18</v>
      </c>
      <c r="B230" s="39">
        <f t="shared" si="45"/>
        <v>210</v>
      </c>
      <c r="C230" s="35">
        <f t="shared" si="46"/>
        <v>0</v>
      </c>
      <c r="D230" s="36">
        <f t="shared" si="42"/>
        <v>0</v>
      </c>
      <c r="E230" s="36">
        <f t="shared" si="47"/>
        <v>0</v>
      </c>
      <c r="F230" s="36">
        <f t="shared" si="48"/>
        <v>0</v>
      </c>
      <c r="G230" s="35">
        <f t="shared" si="49"/>
        <v>0</v>
      </c>
      <c r="H230" s="36">
        <f t="shared" si="39"/>
        <v>0</v>
      </c>
      <c r="I230" s="35">
        <f t="shared" si="40"/>
        <v>0</v>
      </c>
      <c r="J230" s="35">
        <f t="shared" si="43"/>
        <v>0</v>
      </c>
      <c r="K230" s="46">
        <f t="shared" si="44"/>
        <v>0</v>
      </c>
    </row>
    <row r="231" spans="1:11" s="38" customFormat="1" x14ac:dyDescent="0.25">
      <c r="A231" s="40">
        <f t="shared" si="41"/>
        <v>18</v>
      </c>
      <c r="B231" s="39">
        <f t="shared" si="45"/>
        <v>211</v>
      </c>
      <c r="C231" s="35">
        <f t="shared" si="46"/>
        <v>0</v>
      </c>
      <c r="D231" s="36">
        <f t="shared" si="42"/>
        <v>0</v>
      </c>
      <c r="E231" s="36">
        <f t="shared" si="47"/>
        <v>0</v>
      </c>
      <c r="F231" s="36">
        <f t="shared" si="48"/>
        <v>0</v>
      </c>
      <c r="G231" s="35">
        <f t="shared" si="49"/>
        <v>0</v>
      </c>
      <c r="H231" s="36">
        <f t="shared" si="39"/>
        <v>0</v>
      </c>
      <c r="I231" s="35">
        <f t="shared" si="40"/>
        <v>0</v>
      </c>
      <c r="J231" s="35">
        <f t="shared" si="43"/>
        <v>0</v>
      </c>
      <c r="K231" s="46">
        <f t="shared" si="44"/>
        <v>0</v>
      </c>
    </row>
    <row r="232" spans="1:11" s="38" customFormat="1" x14ac:dyDescent="0.25">
      <c r="A232" s="40">
        <f t="shared" si="41"/>
        <v>18</v>
      </c>
      <c r="B232" s="39">
        <f t="shared" si="45"/>
        <v>212</v>
      </c>
      <c r="C232" s="35">
        <f t="shared" si="46"/>
        <v>0</v>
      </c>
      <c r="D232" s="36">
        <f t="shared" si="42"/>
        <v>0</v>
      </c>
      <c r="E232" s="36">
        <f t="shared" si="47"/>
        <v>0</v>
      </c>
      <c r="F232" s="36">
        <f t="shared" si="48"/>
        <v>0</v>
      </c>
      <c r="G232" s="35">
        <f t="shared" si="49"/>
        <v>0</v>
      </c>
      <c r="H232" s="36">
        <f t="shared" si="39"/>
        <v>0</v>
      </c>
      <c r="I232" s="35">
        <f t="shared" si="40"/>
        <v>0</v>
      </c>
      <c r="J232" s="35">
        <f t="shared" si="43"/>
        <v>0</v>
      </c>
      <c r="K232" s="46">
        <f t="shared" si="44"/>
        <v>0</v>
      </c>
    </row>
    <row r="233" spans="1:11" s="38" customFormat="1" x14ac:dyDescent="0.25">
      <c r="A233" s="40">
        <f t="shared" si="41"/>
        <v>18</v>
      </c>
      <c r="B233" s="39">
        <f t="shared" si="45"/>
        <v>213</v>
      </c>
      <c r="C233" s="35">
        <f t="shared" si="46"/>
        <v>0</v>
      </c>
      <c r="D233" s="36">
        <f t="shared" si="42"/>
        <v>0</v>
      </c>
      <c r="E233" s="36">
        <f t="shared" si="47"/>
        <v>0</v>
      </c>
      <c r="F233" s="36">
        <f t="shared" si="48"/>
        <v>0</v>
      </c>
      <c r="G233" s="35">
        <f t="shared" si="49"/>
        <v>0</v>
      </c>
      <c r="H233" s="36">
        <f t="shared" si="39"/>
        <v>0</v>
      </c>
      <c r="I233" s="35">
        <f t="shared" si="40"/>
        <v>0</v>
      </c>
      <c r="J233" s="35">
        <f t="shared" si="43"/>
        <v>0</v>
      </c>
      <c r="K233" s="46">
        <f t="shared" si="44"/>
        <v>0</v>
      </c>
    </row>
    <row r="234" spans="1:11" s="38" customFormat="1" x14ac:dyDescent="0.25">
      <c r="A234" s="40">
        <f t="shared" si="41"/>
        <v>18</v>
      </c>
      <c r="B234" s="39">
        <f t="shared" si="45"/>
        <v>214</v>
      </c>
      <c r="C234" s="35">
        <f t="shared" si="46"/>
        <v>0</v>
      </c>
      <c r="D234" s="36">
        <f t="shared" si="42"/>
        <v>0</v>
      </c>
      <c r="E234" s="36">
        <f t="shared" si="47"/>
        <v>0</v>
      </c>
      <c r="F234" s="36">
        <f t="shared" si="48"/>
        <v>0</v>
      </c>
      <c r="G234" s="35">
        <f t="shared" si="49"/>
        <v>0</v>
      </c>
      <c r="H234" s="36">
        <f t="shared" si="39"/>
        <v>0</v>
      </c>
      <c r="I234" s="35">
        <f t="shared" si="40"/>
        <v>0</v>
      </c>
      <c r="J234" s="35">
        <f t="shared" si="43"/>
        <v>0</v>
      </c>
      <c r="K234" s="46">
        <f t="shared" si="44"/>
        <v>0</v>
      </c>
    </row>
    <row r="235" spans="1:11" s="38" customFormat="1" x14ac:dyDescent="0.25">
      <c r="A235" s="40">
        <f t="shared" si="41"/>
        <v>18</v>
      </c>
      <c r="B235" s="39">
        <f t="shared" si="45"/>
        <v>215</v>
      </c>
      <c r="C235" s="35">
        <f t="shared" si="46"/>
        <v>0</v>
      </c>
      <c r="D235" s="36">
        <f t="shared" si="42"/>
        <v>0</v>
      </c>
      <c r="E235" s="36">
        <f t="shared" si="47"/>
        <v>0</v>
      </c>
      <c r="F235" s="36">
        <f t="shared" si="48"/>
        <v>0</v>
      </c>
      <c r="G235" s="35">
        <f t="shared" si="49"/>
        <v>0</v>
      </c>
      <c r="H235" s="36">
        <f t="shared" si="39"/>
        <v>0</v>
      </c>
      <c r="I235" s="35">
        <f t="shared" si="40"/>
        <v>0</v>
      </c>
      <c r="J235" s="35">
        <f t="shared" si="43"/>
        <v>0</v>
      </c>
      <c r="K235" s="46">
        <f t="shared" si="44"/>
        <v>0</v>
      </c>
    </row>
    <row r="236" spans="1:11" s="38" customFormat="1" x14ac:dyDescent="0.25">
      <c r="A236" s="40">
        <f t="shared" si="41"/>
        <v>18</v>
      </c>
      <c r="B236" s="39">
        <f t="shared" si="45"/>
        <v>216</v>
      </c>
      <c r="C236" s="35">
        <f t="shared" si="46"/>
        <v>0</v>
      </c>
      <c r="D236" s="36">
        <f t="shared" si="42"/>
        <v>0</v>
      </c>
      <c r="E236" s="36">
        <f t="shared" si="47"/>
        <v>0</v>
      </c>
      <c r="F236" s="36">
        <f t="shared" si="48"/>
        <v>0</v>
      </c>
      <c r="G236" s="35">
        <f t="shared" si="49"/>
        <v>0</v>
      </c>
      <c r="H236" s="36">
        <f t="shared" si="39"/>
        <v>0</v>
      </c>
      <c r="I236" s="35">
        <f t="shared" si="40"/>
        <v>0</v>
      </c>
      <c r="J236" s="35">
        <f t="shared" si="43"/>
        <v>0</v>
      </c>
      <c r="K236" s="46">
        <f t="shared" si="44"/>
        <v>0</v>
      </c>
    </row>
    <row r="237" spans="1:11" s="38" customFormat="1" x14ac:dyDescent="0.25">
      <c r="A237" s="40">
        <f>A225+1</f>
        <v>19</v>
      </c>
      <c r="B237" s="39">
        <f t="shared" si="45"/>
        <v>217</v>
      </c>
      <c r="C237" s="35">
        <f t="shared" si="46"/>
        <v>0</v>
      </c>
      <c r="D237" s="36">
        <f t="shared" si="42"/>
        <v>0</v>
      </c>
      <c r="E237" s="36">
        <f t="shared" si="47"/>
        <v>0</v>
      </c>
      <c r="F237" s="36">
        <f t="shared" si="48"/>
        <v>0</v>
      </c>
      <c r="G237" s="35">
        <f t="shared" si="49"/>
        <v>0</v>
      </c>
      <c r="H237" s="36">
        <f t="shared" ref="H237:H300" si="50">IF(C237+E237-G237&lt;=0, 0, C237+E237-G237)</f>
        <v>0</v>
      </c>
      <c r="I237" s="35">
        <f t="shared" ref="I237:I300" si="51">-D237+G237</f>
        <v>0</v>
      </c>
      <c r="J237" s="35">
        <f t="shared" si="43"/>
        <v>0</v>
      </c>
      <c r="K237" s="46">
        <f t="shared" si="44"/>
        <v>0</v>
      </c>
    </row>
    <row r="238" spans="1:11" s="38" customFormat="1" x14ac:dyDescent="0.25">
      <c r="A238" s="40">
        <f t="shared" ref="A238:A301" si="52">A237</f>
        <v>19</v>
      </c>
      <c r="B238" s="39">
        <f t="shared" si="45"/>
        <v>218</v>
      </c>
      <c r="C238" s="35">
        <f t="shared" si="46"/>
        <v>0</v>
      </c>
      <c r="D238" s="36">
        <f t="shared" si="42"/>
        <v>0</v>
      </c>
      <c r="E238" s="36">
        <f t="shared" si="47"/>
        <v>0</v>
      </c>
      <c r="F238" s="36">
        <f t="shared" si="48"/>
        <v>0</v>
      </c>
      <c r="G238" s="35">
        <f t="shared" si="49"/>
        <v>0</v>
      </c>
      <c r="H238" s="36">
        <f t="shared" si="50"/>
        <v>0</v>
      </c>
      <c r="I238" s="35">
        <f t="shared" si="51"/>
        <v>0</v>
      </c>
      <c r="J238" s="35">
        <f t="shared" si="43"/>
        <v>0</v>
      </c>
      <c r="K238" s="46">
        <f t="shared" si="44"/>
        <v>0</v>
      </c>
    </row>
    <row r="239" spans="1:11" s="38" customFormat="1" x14ac:dyDescent="0.25">
      <c r="A239" s="40">
        <f t="shared" si="52"/>
        <v>19</v>
      </c>
      <c r="B239" s="39">
        <f t="shared" si="45"/>
        <v>219</v>
      </c>
      <c r="C239" s="35">
        <f t="shared" si="46"/>
        <v>0</v>
      </c>
      <c r="D239" s="36">
        <f t="shared" si="42"/>
        <v>0</v>
      </c>
      <c r="E239" s="36">
        <f t="shared" si="47"/>
        <v>0</v>
      </c>
      <c r="F239" s="36">
        <f t="shared" si="48"/>
        <v>0</v>
      </c>
      <c r="G239" s="35">
        <f t="shared" si="49"/>
        <v>0</v>
      </c>
      <c r="H239" s="36">
        <f t="shared" si="50"/>
        <v>0</v>
      </c>
      <c r="I239" s="35">
        <f t="shared" si="51"/>
        <v>0</v>
      </c>
      <c r="J239" s="35">
        <f t="shared" si="43"/>
        <v>0</v>
      </c>
      <c r="K239" s="46">
        <f t="shared" si="44"/>
        <v>0</v>
      </c>
    </row>
    <row r="240" spans="1:11" s="38" customFormat="1" x14ac:dyDescent="0.25">
      <c r="A240" s="40">
        <f t="shared" si="52"/>
        <v>19</v>
      </c>
      <c r="B240" s="39">
        <f t="shared" si="45"/>
        <v>220</v>
      </c>
      <c r="C240" s="35">
        <f t="shared" si="46"/>
        <v>0</v>
      </c>
      <c r="D240" s="36">
        <f t="shared" si="42"/>
        <v>0</v>
      </c>
      <c r="E240" s="36">
        <f t="shared" si="47"/>
        <v>0</v>
      </c>
      <c r="F240" s="36">
        <f t="shared" si="48"/>
        <v>0</v>
      </c>
      <c r="G240" s="35">
        <f t="shared" si="49"/>
        <v>0</v>
      </c>
      <c r="H240" s="36">
        <f t="shared" si="50"/>
        <v>0</v>
      </c>
      <c r="I240" s="35">
        <f t="shared" si="51"/>
        <v>0</v>
      </c>
      <c r="J240" s="35">
        <f t="shared" si="43"/>
        <v>0</v>
      </c>
      <c r="K240" s="46">
        <f t="shared" si="44"/>
        <v>0</v>
      </c>
    </row>
    <row r="241" spans="1:11" s="38" customFormat="1" x14ac:dyDescent="0.25">
      <c r="A241" s="40">
        <f t="shared" si="52"/>
        <v>19</v>
      </c>
      <c r="B241" s="39">
        <f t="shared" si="45"/>
        <v>221</v>
      </c>
      <c r="C241" s="35">
        <f t="shared" si="46"/>
        <v>0</v>
      </c>
      <c r="D241" s="36">
        <f t="shared" si="42"/>
        <v>0</v>
      </c>
      <c r="E241" s="36">
        <f t="shared" si="47"/>
        <v>0</v>
      </c>
      <c r="F241" s="36">
        <f t="shared" si="48"/>
        <v>0</v>
      </c>
      <c r="G241" s="35">
        <f t="shared" si="49"/>
        <v>0</v>
      </c>
      <c r="H241" s="36">
        <f t="shared" si="50"/>
        <v>0</v>
      </c>
      <c r="I241" s="35">
        <f t="shared" si="51"/>
        <v>0</v>
      </c>
      <c r="J241" s="35">
        <f t="shared" si="43"/>
        <v>0</v>
      </c>
      <c r="K241" s="46">
        <f t="shared" si="44"/>
        <v>0</v>
      </c>
    </row>
    <row r="242" spans="1:11" s="38" customFormat="1" x14ac:dyDescent="0.25">
      <c r="A242" s="40">
        <f t="shared" si="52"/>
        <v>19</v>
      </c>
      <c r="B242" s="39">
        <f t="shared" si="45"/>
        <v>222</v>
      </c>
      <c r="C242" s="35">
        <f t="shared" si="46"/>
        <v>0</v>
      </c>
      <c r="D242" s="36">
        <f t="shared" si="42"/>
        <v>0</v>
      </c>
      <c r="E242" s="36">
        <f t="shared" si="47"/>
        <v>0</v>
      </c>
      <c r="F242" s="36">
        <f t="shared" si="48"/>
        <v>0</v>
      </c>
      <c r="G242" s="35">
        <f t="shared" si="49"/>
        <v>0</v>
      </c>
      <c r="H242" s="36">
        <f t="shared" si="50"/>
        <v>0</v>
      </c>
      <c r="I242" s="35">
        <f t="shared" si="51"/>
        <v>0</v>
      </c>
      <c r="J242" s="35">
        <f t="shared" si="43"/>
        <v>0</v>
      </c>
      <c r="K242" s="46">
        <f t="shared" si="44"/>
        <v>0</v>
      </c>
    </row>
    <row r="243" spans="1:11" s="38" customFormat="1" x14ac:dyDescent="0.25">
      <c r="A243" s="40">
        <f t="shared" si="52"/>
        <v>19</v>
      </c>
      <c r="B243" s="39">
        <f t="shared" si="45"/>
        <v>223</v>
      </c>
      <c r="C243" s="35">
        <f t="shared" si="46"/>
        <v>0</v>
      </c>
      <c r="D243" s="36">
        <f t="shared" si="42"/>
        <v>0</v>
      </c>
      <c r="E243" s="36">
        <f t="shared" si="47"/>
        <v>0</v>
      </c>
      <c r="F243" s="36">
        <f t="shared" si="48"/>
        <v>0</v>
      </c>
      <c r="G243" s="35">
        <f t="shared" si="49"/>
        <v>0</v>
      </c>
      <c r="H243" s="36">
        <f t="shared" si="50"/>
        <v>0</v>
      </c>
      <c r="I243" s="35">
        <f t="shared" si="51"/>
        <v>0</v>
      </c>
      <c r="J243" s="35">
        <f t="shared" si="43"/>
        <v>0</v>
      </c>
      <c r="K243" s="46">
        <f t="shared" si="44"/>
        <v>0</v>
      </c>
    </row>
    <row r="244" spans="1:11" s="38" customFormat="1" x14ac:dyDescent="0.25">
      <c r="A244" s="40">
        <f t="shared" si="52"/>
        <v>19</v>
      </c>
      <c r="B244" s="39">
        <f t="shared" si="45"/>
        <v>224</v>
      </c>
      <c r="C244" s="35">
        <f t="shared" si="46"/>
        <v>0</v>
      </c>
      <c r="D244" s="36">
        <f t="shared" si="42"/>
        <v>0</v>
      </c>
      <c r="E244" s="36">
        <f t="shared" si="47"/>
        <v>0</v>
      </c>
      <c r="F244" s="36">
        <f t="shared" si="48"/>
        <v>0</v>
      </c>
      <c r="G244" s="35">
        <f t="shared" si="49"/>
        <v>0</v>
      </c>
      <c r="H244" s="36">
        <f t="shared" si="50"/>
        <v>0</v>
      </c>
      <c r="I244" s="35">
        <f t="shared" si="51"/>
        <v>0</v>
      </c>
      <c r="J244" s="35">
        <f t="shared" si="43"/>
        <v>0</v>
      </c>
      <c r="K244" s="46">
        <f t="shared" si="44"/>
        <v>0</v>
      </c>
    </row>
    <row r="245" spans="1:11" s="38" customFormat="1" x14ac:dyDescent="0.25">
      <c r="A245" s="40">
        <f t="shared" si="52"/>
        <v>19</v>
      </c>
      <c r="B245" s="39">
        <f t="shared" si="45"/>
        <v>225</v>
      </c>
      <c r="C245" s="35">
        <f t="shared" si="46"/>
        <v>0</v>
      </c>
      <c r="D245" s="36">
        <f t="shared" si="42"/>
        <v>0</v>
      </c>
      <c r="E245" s="36">
        <f t="shared" si="47"/>
        <v>0</v>
      </c>
      <c r="F245" s="36">
        <f t="shared" si="48"/>
        <v>0</v>
      </c>
      <c r="G245" s="35">
        <f t="shared" si="49"/>
        <v>0</v>
      </c>
      <c r="H245" s="36">
        <f t="shared" si="50"/>
        <v>0</v>
      </c>
      <c r="I245" s="35">
        <f t="shared" si="51"/>
        <v>0</v>
      </c>
      <c r="J245" s="35">
        <f t="shared" si="43"/>
        <v>0</v>
      </c>
      <c r="K245" s="46">
        <f t="shared" si="44"/>
        <v>0</v>
      </c>
    </row>
    <row r="246" spans="1:11" s="38" customFormat="1" x14ac:dyDescent="0.25">
      <c r="A246" s="40">
        <f t="shared" si="52"/>
        <v>19</v>
      </c>
      <c r="B246" s="39">
        <f t="shared" si="45"/>
        <v>226</v>
      </c>
      <c r="C246" s="35">
        <f t="shared" si="46"/>
        <v>0</v>
      </c>
      <c r="D246" s="36">
        <f t="shared" si="42"/>
        <v>0</v>
      </c>
      <c r="E246" s="36">
        <f t="shared" si="47"/>
        <v>0</v>
      </c>
      <c r="F246" s="36">
        <f t="shared" si="48"/>
        <v>0</v>
      </c>
      <c r="G246" s="35">
        <f t="shared" si="49"/>
        <v>0</v>
      </c>
      <c r="H246" s="36">
        <f t="shared" si="50"/>
        <v>0</v>
      </c>
      <c r="I246" s="35">
        <f t="shared" si="51"/>
        <v>0</v>
      </c>
      <c r="J246" s="35">
        <f t="shared" si="43"/>
        <v>0</v>
      </c>
      <c r="K246" s="46">
        <f t="shared" si="44"/>
        <v>0</v>
      </c>
    </row>
    <row r="247" spans="1:11" s="38" customFormat="1" x14ac:dyDescent="0.25">
      <c r="A247" s="40">
        <f t="shared" si="52"/>
        <v>19</v>
      </c>
      <c r="B247" s="39">
        <f t="shared" si="45"/>
        <v>227</v>
      </c>
      <c r="C247" s="35">
        <f t="shared" si="46"/>
        <v>0</v>
      </c>
      <c r="D247" s="36">
        <f t="shared" si="42"/>
        <v>0</v>
      </c>
      <c r="E247" s="36">
        <f t="shared" si="47"/>
        <v>0</v>
      </c>
      <c r="F247" s="36">
        <f t="shared" si="48"/>
        <v>0</v>
      </c>
      <c r="G247" s="35">
        <f t="shared" si="49"/>
        <v>0</v>
      </c>
      <c r="H247" s="36">
        <f t="shared" si="50"/>
        <v>0</v>
      </c>
      <c r="I247" s="35">
        <f t="shared" si="51"/>
        <v>0</v>
      </c>
      <c r="J247" s="35">
        <f t="shared" si="43"/>
        <v>0</v>
      </c>
      <c r="K247" s="46">
        <f t="shared" si="44"/>
        <v>0</v>
      </c>
    </row>
    <row r="248" spans="1:11" s="38" customFormat="1" x14ac:dyDescent="0.25">
      <c r="A248" s="40">
        <f t="shared" si="52"/>
        <v>19</v>
      </c>
      <c r="B248" s="39">
        <f t="shared" si="45"/>
        <v>228</v>
      </c>
      <c r="C248" s="35">
        <f t="shared" si="46"/>
        <v>0</v>
      </c>
      <c r="D248" s="36">
        <f t="shared" si="42"/>
        <v>0</v>
      </c>
      <c r="E248" s="36">
        <f t="shared" si="47"/>
        <v>0</v>
      </c>
      <c r="F248" s="36">
        <f t="shared" si="48"/>
        <v>0</v>
      </c>
      <c r="G248" s="35">
        <f t="shared" si="49"/>
        <v>0</v>
      </c>
      <c r="H248" s="36">
        <f t="shared" si="50"/>
        <v>0</v>
      </c>
      <c r="I248" s="35">
        <f t="shared" si="51"/>
        <v>0</v>
      </c>
      <c r="J248" s="35">
        <f t="shared" si="43"/>
        <v>0</v>
      </c>
      <c r="K248" s="46">
        <f t="shared" si="44"/>
        <v>0</v>
      </c>
    </row>
    <row r="249" spans="1:11" s="38" customFormat="1" x14ac:dyDescent="0.25">
      <c r="A249" s="40">
        <f>A237+1</f>
        <v>20</v>
      </c>
      <c r="B249" s="39">
        <f t="shared" si="45"/>
        <v>229</v>
      </c>
      <c r="C249" s="35">
        <f t="shared" si="46"/>
        <v>0</v>
      </c>
      <c r="D249" s="36">
        <f t="shared" si="42"/>
        <v>0</v>
      </c>
      <c r="E249" s="36">
        <f t="shared" si="47"/>
        <v>0</v>
      </c>
      <c r="F249" s="36">
        <f t="shared" si="48"/>
        <v>0</v>
      </c>
      <c r="G249" s="35">
        <f t="shared" si="49"/>
        <v>0</v>
      </c>
      <c r="H249" s="36">
        <f t="shared" si="50"/>
        <v>0</v>
      </c>
      <c r="I249" s="35">
        <f t="shared" si="51"/>
        <v>0</v>
      </c>
      <c r="J249" s="35">
        <f t="shared" si="43"/>
        <v>0</v>
      </c>
      <c r="K249" s="46">
        <f t="shared" si="44"/>
        <v>0</v>
      </c>
    </row>
    <row r="250" spans="1:11" s="38" customFormat="1" x14ac:dyDescent="0.25">
      <c r="A250" s="40">
        <f>A249</f>
        <v>20</v>
      </c>
      <c r="B250" s="39">
        <f t="shared" si="45"/>
        <v>230</v>
      </c>
      <c r="C250" s="35">
        <f t="shared" si="46"/>
        <v>0</v>
      </c>
      <c r="D250" s="36">
        <f t="shared" si="42"/>
        <v>0</v>
      </c>
      <c r="E250" s="36">
        <f t="shared" si="47"/>
        <v>0</v>
      </c>
      <c r="F250" s="36">
        <f t="shared" si="48"/>
        <v>0</v>
      </c>
      <c r="G250" s="35">
        <f t="shared" si="49"/>
        <v>0</v>
      </c>
      <c r="H250" s="36">
        <f t="shared" si="50"/>
        <v>0</v>
      </c>
      <c r="I250" s="35">
        <f t="shared" si="51"/>
        <v>0</v>
      </c>
      <c r="J250" s="35">
        <f t="shared" si="43"/>
        <v>0</v>
      </c>
      <c r="K250" s="46">
        <f t="shared" si="44"/>
        <v>0</v>
      </c>
    </row>
    <row r="251" spans="1:11" s="38" customFormat="1" x14ac:dyDescent="0.25">
      <c r="A251" s="40">
        <f t="shared" si="52"/>
        <v>20</v>
      </c>
      <c r="B251" s="39">
        <f t="shared" si="45"/>
        <v>231</v>
      </c>
      <c r="C251" s="35">
        <f t="shared" si="46"/>
        <v>0</v>
      </c>
      <c r="D251" s="36">
        <f t="shared" si="42"/>
        <v>0</v>
      </c>
      <c r="E251" s="36">
        <f t="shared" si="47"/>
        <v>0</v>
      </c>
      <c r="F251" s="36">
        <f t="shared" si="48"/>
        <v>0</v>
      </c>
      <c r="G251" s="35">
        <f t="shared" si="49"/>
        <v>0</v>
      </c>
      <c r="H251" s="36">
        <f t="shared" si="50"/>
        <v>0</v>
      </c>
      <c r="I251" s="35">
        <f t="shared" si="51"/>
        <v>0</v>
      </c>
      <c r="J251" s="35">
        <f t="shared" si="43"/>
        <v>0</v>
      </c>
      <c r="K251" s="46">
        <f t="shared" si="44"/>
        <v>0</v>
      </c>
    </row>
    <row r="252" spans="1:11" s="38" customFormat="1" x14ac:dyDescent="0.25">
      <c r="A252" s="40">
        <f t="shared" si="52"/>
        <v>20</v>
      </c>
      <c r="B252" s="39">
        <f t="shared" si="45"/>
        <v>232</v>
      </c>
      <c r="C252" s="35">
        <f t="shared" si="46"/>
        <v>0</v>
      </c>
      <c r="D252" s="36">
        <f t="shared" si="42"/>
        <v>0</v>
      </c>
      <c r="E252" s="36">
        <f t="shared" si="47"/>
        <v>0</v>
      </c>
      <c r="F252" s="36">
        <f t="shared" si="48"/>
        <v>0</v>
      </c>
      <c r="G252" s="35">
        <f t="shared" si="49"/>
        <v>0</v>
      </c>
      <c r="H252" s="36">
        <f t="shared" si="50"/>
        <v>0</v>
      </c>
      <c r="I252" s="35">
        <f t="shared" si="51"/>
        <v>0</v>
      </c>
      <c r="J252" s="35">
        <f t="shared" si="43"/>
        <v>0</v>
      </c>
      <c r="K252" s="46">
        <f t="shared" si="44"/>
        <v>0</v>
      </c>
    </row>
    <row r="253" spans="1:11" s="38" customFormat="1" x14ac:dyDescent="0.25">
      <c r="A253" s="40">
        <f t="shared" si="52"/>
        <v>20</v>
      </c>
      <c r="B253" s="39">
        <f t="shared" si="45"/>
        <v>233</v>
      </c>
      <c r="C253" s="35">
        <f t="shared" si="46"/>
        <v>0</v>
      </c>
      <c r="D253" s="36">
        <f t="shared" si="42"/>
        <v>0</v>
      </c>
      <c r="E253" s="36">
        <f t="shared" si="47"/>
        <v>0</v>
      </c>
      <c r="F253" s="36">
        <f t="shared" si="48"/>
        <v>0</v>
      </c>
      <c r="G253" s="35">
        <f t="shared" si="49"/>
        <v>0</v>
      </c>
      <c r="H253" s="36">
        <f t="shared" si="50"/>
        <v>0</v>
      </c>
      <c r="I253" s="35">
        <f t="shared" si="51"/>
        <v>0</v>
      </c>
      <c r="J253" s="35">
        <f t="shared" si="43"/>
        <v>0</v>
      </c>
      <c r="K253" s="46">
        <f t="shared" si="44"/>
        <v>0</v>
      </c>
    </row>
    <row r="254" spans="1:11" s="38" customFormat="1" x14ac:dyDescent="0.25">
      <c r="A254" s="40">
        <f t="shared" si="52"/>
        <v>20</v>
      </c>
      <c r="B254" s="39">
        <f t="shared" si="45"/>
        <v>234</v>
      </c>
      <c r="C254" s="35">
        <f t="shared" si="46"/>
        <v>0</v>
      </c>
      <c r="D254" s="36">
        <f t="shared" si="42"/>
        <v>0</v>
      </c>
      <c r="E254" s="36">
        <f t="shared" si="47"/>
        <v>0</v>
      </c>
      <c r="F254" s="36">
        <f t="shared" si="48"/>
        <v>0</v>
      </c>
      <c r="G254" s="35">
        <f t="shared" si="49"/>
        <v>0</v>
      </c>
      <c r="H254" s="36">
        <f t="shared" si="50"/>
        <v>0</v>
      </c>
      <c r="I254" s="35">
        <f t="shared" si="51"/>
        <v>0</v>
      </c>
      <c r="J254" s="35">
        <f t="shared" si="43"/>
        <v>0</v>
      </c>
      <c r="K254" s="46">
        <f t="shared" si="44"/>
        <v>0</v>
      </c>
    </row>
    <row r="255" spans="1:11" s="38" customFormat="1" x14ac:dyDescent="0.25">
      <c r="A255" s="40">
        <f t="shared" si="52"/>
        <v>20</v>
      </c>
      <c r="B255" s="39">
        <f t="shared" si="45"/>
        <v>235</v>
      </c>
      <c r="C255" s="35">
        <f t="shared" si="46"/>
        <v>0</v>
      </c>
      <c r="D255" s="36">
        <f t="shared" si="42"/>
        <v>0</v>
      </c>
      <c r="E255" s="36">
        <f t="shared" si="47"/>
        <v>0</v>
      </c>
      <c r="F255" s="36">
        <f t="shared" si="48"/>
        <v>0</v>
      </c>
      <c r="G255" s="35">
        <f t="shared" si="49"/>
        <v>0</v>
      </c>
      <c r="H255" s="36">
        <f t="shared" si="50"/>
        <v>0</v>
      </c>
      <c r="I255" s="35">
        <f t="shared" si="51"/>
        <v>0</v>
      </c>
      <c r="J255" s="35">
        <f t="shared" si="43"/>
        <v>0</v>
      </c>
      <c r="K255" s="46">
        <f t="shared" si="44"/>
        <v>0</v>
      </c>
    </row>
    <row r="256" spans="1:11" s="38" customFormat="1" x14ac:dyDescent="0.25">
      <c r="A256" s="40">
        <f t="shared" si="52"/>
        <v>20</v>
      </c>
      <c r="B256" s="39">
        <f t="shared" si="45"/>
        <v>236</v>
      </c>
      <c r="C256" s="35">
        <f t="shared" si="46"/>
        <v>0</v>
      </c>
      <c r="D256" s="36">
        <f t="shared" si="42"/>
        <v>0</v>
      </c>
      <c r="E256" s="36">
        <f t="shared" si="47"/>
        <v>0</v>
      </c>
      <c r="F256" s="36">
        <f t="shared" si="48"/>
        <v>0</v>
      </c>
      <c r="G256" s="35">
        <f t="shared" si="49"/>
        <v>0</v>
      </c>
      <c r="H256" s="36">
        <f t="shared" si="50"/>
        <v>0</v>
      </c>
      <c r="I256" s="35">
        <f t="shared" si="51"/>
        <v>0</v>
      </c>
      <c r="J256" s="35">
        <f t="shared" si="43"/>
        <v>0</v>
      </c>
      <c r="K256" s="46">
        <f t="shared" si="44"/>
        <v>0</v>
      </c>
    </row>
    <row r="257" spans="1:11" s="38" customFormat="1" x14ac:dyDescent="0.25">
      <c r="A257" s="40">
        <f t="shared" si="52"/>
        <v>20</v>
      </c>
      <c r="B257" s="39">
        <f t="shared" si="45"/>
        <v>237</v>
      </c>
      <c r="C257" s="35">
        <f t="shared" si="46"/>
        <v>0</v>
      </c>
      <c r="D257" s="36">
        <f t="shared" si="42"/>
        <v>0</v>
      </c>
      <c r="E257" s="36">
        <f t="shared" si="47"/>
        <v>0</v>
      </c>
      <c r="F257" s="36">
        <f t="shared" si="48"/>
        <v>0</v>
      </c>
      <c r="G257" s="35">
        <f t="shared" si="49"/>
        <v>0</v>
      </c>
      <c r="H257" s="36">
        <f t="shared" si="50"/>
        <v>0</v>
      </c>
      <c r="I257" s="35">
        <f t="shared" si="51"/>
        <v>0</v>
      </c>
      <c r="J257" s="35">
        <f t="shared" si="43"/>
        <v>0</v>
      </c>
      <c r="K257" s="46">
        <f t="shared" si="44"/>
        <v>0</v>
      </c>
    </row>
    <row r="258" spans="1:11" s="38" customFormat="1" x14ac:dyDescent="0.25">
      <c r="A258" s="40">
        <f t="shared" si="52"/>
        <v>20</v>
      </c>
      <c r="B258" s="39">
        <f t="shared" si="45"/>
        <v>238</v>
      </c>
      <c r="C258" s="35">
        <f t="shared" si="46"/>
        <v>0</v>
      </c>
      <c r="D258" s="36">
        <f t="shared" si="42"/>
        <v>0</v>
      </c>
      <c r="E258" s="36">
        <f t="shared" si="47"/>
        <v>0</v>
      </c>
      <c r="F258" s="36">
        <f t="shared" si="48"/>
        <v>0</v>
      </c>
      <c r="G258" s="35">
        <f t="shared" si="49"/>
        <v>0</v>
      </c>
      <c r="H258" s="36">
        <f t="shared" si="50"/>
        <v>0</v>
      </c>
      <c r="I258" s="35">
        <f t="shared" si="51"/>
        <v>0</v>
      </c>
      <c r="J258" s="35">
        <f t="shared" si="43"/>
        <v>0</v>
      </c>
      <c r="K258" s="46">
        <f t="shared" si="44"/>
        <v>0</v>
      </c>
    </row>
    <row r="259" spans="1:11" s="38" customFormat="1" x14ac:dyDescent="0.25">
      <c r="A259" s="40">
        <f t="shared" si="52"/>
        <v>20</v>
      </c>
      <c r="B259" s="39">
        <f t="shared" si="45"/>
        <v>239</v>
      </c>
      <c r="C259" s="35">
        <f t="shared" si="46"/>
        <v>0</v>
      </c>
      <c r="D259" s="36">
        <f t="shared" si="42"/>
        <v>0</v>
      </c>
      <c r="E259" s="36">
        <f t="shared" si="47"/>
        <v>0</v>
      </c>
      <c r="F259" s="36">
        <f t="shared" si="48"/>
        <v>0</v>
      </c>
      <c r="G259" s="35">
        <f t="shared" si="49"/>
        <v>0</v>
      </c>
      <c r="H259" s="36">
        <f t="shared" si="50"/>
        <v>0</v>
      </c>
      <c r="I259" s="35">
        <f t="shared" si="51"/>
        <v>0</v>
      </c>
      <c r="J259" s="35">
        <f t="shared" si="43"/>
        <v>0</v>
      </c>
      <c r="K259" s="46">
        <f t="shared" si="44"/>
        <v>0</v>
      </c>
    </row>
    <row r="260" spans="1:11" s="38" customFormat="1" x14ac:dyDescent="0.25">
      <c r="A260" s="40">
        <f t="shared" si="52"/>
        <v>20</v>
      </c>
      <c r="B260" s="39">
        <f t="shared" si="45"/>
        <v>240</v>
      </c>
      <c r="C260" s="35">
        <f t="shared" si="46"/>
        <v>0</v>
      </c>
      <c r="D260" s="36">
        <f t="shared" si="42"/>
        <v>0</v>
      </c>
      <c r="E260" s="36">
        <f t="shared" si="47"/>
        <v>0</v>
      </c>
      <c r="F260" s="36">
        <f t="shared" si="48"/>
        <v>0</v>
      </c>
      <c r="G260" s="35">
        <f t="shared" si="49"/>
        <v>0</v>
      </c>
      <c r="H260" s="36">
        <f t="shared" si="50"/>
        <v>0</v>
      </c>
      <c r="I260" s="35">
        <f t="shared" si="51"/>
        <v>0</v>
      </c>
      <c r="J260" s="35">
        <f t="shared" si="43"/>
        <v>0</v>
      </c>
      <c r="K260" s="46">
        <f t="shared" si="44"/>
        <v>0</v>
      </c>
    </row>
    <row r="261" spans="1:11" s="38" customFormat="1" x14ac:dyDescent="0.25">
      <c r="A261" s="40">
        <f>A249+1</f>
        <v>21</v>
      </c>
      <c r="B261" s="39">
        <f t="shared" si="45"/>
        <v>241</v>
      </c>
      <c r="C261" s="35">
        <f t="shared" si="46"/>
        <v>0</v>
      </c>
      <c r="D261" s="36">
        <f t="shared" si="42"/>
        <v>0</v>
      </c>
      <c r="E261" s="36">
        <f t="shared" si="47"/>
        <v>0</v>
      </c>
      <c r="F261" s="36">
        <f t="shared" si="48"/>
        <v>0</v>
      </c>
      <c r="G261" s="35">
        <f t="shared" si="49"/>
        <v>0</v>
      </c>
      <c r="H261" s="36">
        <f t="shared" si="50"/>
        <v>0</v>
      </c>
      <c r="I261" s="35">
        <f t="shared" si="51"/>
        <v>0</v>
      </c>
      <c r="J261" s="35">
        <f t="shared" si="43"/>
        <v>0</v>
      </c>
      <c r="K261" s="46">
        <f t="shared" si="44"/>
        <v>0</v>
      </c>
    </row>
    <row r="262" spans="1:11" s="38" customFormat="1" x14ac:dyDescent="0.25">
      <c r="A262" s="40">
        <f>A261</f>
        <v>21</v>
      </c>
      <c r="B262" s="39">
        <f t="shared" si="45"/>
        <v>242</v>
      </c>
      <c r="C262" s="35">
        <f t="shared" si="46"/>
        <v>0</v>
      </c>
      <c r="D262" s="36">
        <f t="shared" si="42"/>
        <v>0</v>
      </c>
      <c r="E262" s="36">
        <f t="shared" si="47"/>
        <v>0</v>
      </c>
      <c r="F262" s="36">
        <f t="shared" si="48"/>
        <v>0</v>
      </c>
      <c r="G262" s="35">
        <f t="shared" si="49"/>
        <v>0</v>
      </c>
      <c r="H262" s="36">
        <f t="shared" si="50"/>
        <v>0</v>
      </c>
      <c r="I262" s="35">
        <f t="shared" si="51"/>
        <v>0</v>
      </c>
      <c r="J262" s="35">
        <f t="shared" si="43"/>
        <v>0</v>
      </c>
      <c r="K262" s="46">
        <f t="shared" si="44"/>
        <v>0</v>
      </c>
    </row>
    <row r="263" spans="1:11" s="38" customFormat="1" x14ac:dyDescent="0.25">
      <c r="A263" s="40">
        <f t="shared" si="52"/>
        <v>21</v>
      </c>
      <c r="B263" s="39">
        <f t="shared" si="45"/>
        <v>243</v>
      </c>
      <c r="C263" s="35">
        <f t="shared" si="46"/>
        <v>0</v>
      </c>
      <c r="D263" s="36">
        <f t="shared" si="42"/>
        <v>0</v>
      </c>
      <c r="E263" s="36">
        <f t="shared" si="47"/>
        <v>0</v>
      </c>
      <c r="F263" s="36">
        <f t="shared" si="48"/>
        <v>0</v>
      </c>
      <c r="G263" s="35">
        <f t="shared" si="49"/>
        <v>0</v>
      </c>
      <c r="H263" s="36">
        <f t="shared" si="50"/>
        <v>0</v>
      </c>
      <c r="I263" s="35">
        <f t="shared" si="51"/>
        <v>0</v>
      </c>
      <c r="J263" s="35">
        <f t="shared" si="43"/>
        <v>0</v>
      </c>
      <c r="K263" s="46">
        <f t="shared" si="44"/>
        <v>0</v>
      </c>
    </row>
    <row r="264" spans="1:11" s="38" customFormat="1" x14ac:dyDescent="0.25">
      <c r="A264" s="40">
        <f t="shared" si="52"/>
        <v>21</v>
      </c>
      <c r="B264" s="39">
        <f t="shared" si="45"/>
        <v>244</v>
      </c>
      <c r="C264" s="35">
        <f t="shared" si="46"/>
        <v>0</v>
      </c>
      <c r="D264" s="36">
        <f t="shared" si="42"/>
        <v>0</v>
      </c>
      <c r="E264" s="36">
        <f t="shared" si="47"/>
        <v>0</v>
      </c>
      <c r="F264" s="36">
        <f t="shared" si="48"/>
        <v>0</v>
      </c>
      <c r="G264" s="35">
        <f t="shared" si="49"/>
        <v>0</v>
      </c>
      <c r="H264" s="36">
        <f t="shared" si="50"/>
        <v>0</v>
      </c>
      <c r="I264" s="35">
        <f t="shared" si="51"/>
        <v>0</v>
      </c>
      <c r="J264" s="35">
        <f t="shared" si="43"/>
        <v>0</v>
      </c>
      <c r="K264" s="46">
        <f t="shared" si="44"/>
        <v>0</v>
      </c>
    </row>
    <row r="265" spans="1:11" s="38" customFormat="1" x14ac:dyDescent="0.25">
      <c r="A265" s="40">
        <f t="shared" si="52"/>
        <v>21</v>
      </c>
      <c r="B265" s="39">
        <f t="shared" si="45"/>
        <v>245</v>
      </c>
      <c r="C265" s="35">
        <f t="shared" si="46"/>
        <v>0</v>
      </c>
      <c r="D265" s="36">
        <f t="shared" si="42"/>
        <v>0</v>
      </c>
      <c r="E265" s="36">
        <f t="shared" si="47"/>
        <v>0</v>
      </c>
      <c r="F265" s="36">
        <f t="shared" si="48"/>
        <v>0</v>
      </c>
      <c r="G265" s="35">
        <f t="shared" si="49"/>
        <v>0</v>
      </c>
      <c r="H265" s="36">
        <f t="shared" si="50"/>
        <v>0</v>
      </c>
      <c r="I265" s="35">
        <f t="shared" si="51"/>
        <v>0</v>
      </c>
      <c r="J265" s="35">
        <f t="shared" si="43"/>
        <v>0</v>
      </c>
      <c r="K265" s="46">
        <f t="shared" si="44"/>
        <v>0</v>
      </c>
    </row>
    <row r="266" spans="1:11" s="38" customFormat="1" x14ac:dyDescent="0.25">
      <c r="A266" s="40">
        <f t="shared" si="52"/>
        <v>21</v>
      </c>
      <c r="B266" s="39">
        <f t="shared" si="45"/>
        <v>246</v>
      </c>
      <c r="C266" s="35">
        <f t="shared" si="46"/>
        <v>0</v>
      </c>
      <c r="D266" s="36">
        <f t="shared" si="42"/>
        <v>0</v>
      </c>
      <c r="E266" s="36">
        <f t="shared" si="47"/>
        <v>0</v>
      </c>
      <c r="F266" s="36">
        <f t="shared" si="48"/>
        <v>0</v>
      </c>
      <c r="G266" s="35">
        <f t="shared" si="49"/>
        <v>0</v>
      </c>
      <c r="H266" s="36">
        <f t="shared" si="50"/>
        <v>0</v>
      </c>
      <c r="I266" s="35">
        <f t="shared" si="51"/>
        <v>0</v>
      </c>
      <c r="J266" s="35">
        <f t="shared" si="43"/>
        <v>0</v>
      </c>
      <c r="K266" s="46">
        <f t="shared" si="44"/>
        <v>0</v>
      </c>
    </row>
    <row r="267" spans="1:11" s="38" customFormat="1" x14ac:dyDescent="0.25">
      <c r="A267" s="40">
        <f t="shared" si="52"/>
        <v>21</v>
      </c>
      <c r="B267" s="39">
        <f t="shared" si="45"/>
        <v>247</v>
      </c>
      <c r="C267" s="35">
        <f t="shared" si="46"/>
        <v>0</v>
      </c>
      <c r="D267" s="36">
        <f t="shared" si="42"/>
        <v>0</v>
      </c>
      <c r="E267" s="36">
        <f t="shared" si="47"/>
        <v>0</v>
      </c>
      <c r="F267" s="36">
        <f t="shared" si="48"/>
        <v>0</v>
      </c>
      <c r="G267" s="35">
        <f t="shared" si="49"/>
        <v>0</v>
      </c>
      <c r="H267" s="36">
        <f t="shared" si="50"/>
        <v>0</v>
      </c>
      <c r="I267" s="35">
        <f t="shared" si="51"/>
        <v>0</v>
      </c>
      <c r="J267" s="35">
        <f t="shared" si="43"/>
        <v>0</v>
      </c>
      <c r="K267" s="46">
        <f t="shared" si="44"/>
        <v>0</v>
      </c>
    </row>
    <row r="268" spans="1:11" s="38" customFormat="1" x14ac:dyDescent="0.25">
      <c r="A268" s="40">
        <f t="shared" si="52"/>
        <v>21</v>
      </c>
      <c r="B268" s="39">
        <f t="shared" si="45"/>
        <v>248</v>
      </c>
      <c r="C268" s="35">
        <f t="shared" si="46"/>
        <v>0</v>
      </c>
      <c r="D268" s="36">
        <f t="shared" si="42"/>
        <v>0</v>
      </c>
      <c r="E268" s="36">
        <f t="shared" si="47"/>
        <v>0</v>
      </c>
      <c r="F268" s="36">
        <f t="shared" si="48"/>
        <v>0</v>
      </c>
      <c r="G268" s="35">
        <f t="shared" si="49"/>
        <v>0</v>
      </c>
      <c r="H268" s="36">
        <f t="shared" si="50"/>
        <v>0</v>
      </c>
      <c r="I268" s="35">
        <f t="shared" si="51"/>
        <v>0</v>
      </c>
      <c r="J268" s="35">
        <f t="shared" si="43"/>
        <v>0</v>
      </c>
      <c r="K268" s="46">
        <f t="shared" si="44"/>
        <v>0</v>
      </c>
    </row>
    <row r="269" spans="1:11" s="38" customFormat="1" x14ac:dyDescent="0.25">
      <c r="A269" s="40">
        <f t="shared" si="52"/>
        <v>21</v>
      </c>
      <c r="B269" s="39">
        <f t="shared" si="45"/>
        <v>249</v>
      </c>
      <c r="C269" s="35">
        <f t="shared" si="46"/>
        <v>0</v>
      </c>
      <c r="D269" s="36">
        <f t="shared" si="42"/>
        <v>0</v>
      </c>
      <c r="E269" s="36">
        <f t="shared" si="47"/>
        <v>0</v>
      </c>
      <c r="F269" s="36">
        <f t="shared" si="48"/>
        <v>0</v>
      </c>
      <c r="G269" s="35">
        <f t="shared" si="49"/>
        <v>0</v>
      </c>
      <c r="H269" s="36">
        <f t="shared" si="50"/>
        <v>0</v>
      </c>
      <c r="I269" s="35">
        <f t="shared" si="51"/>
        <v>0</v>
      </c>
      <c r="J269" s="35">
        <f t="shared" si="43"/>
        <v>0</v>
      </c>
      <c r="K269" s="46">
        <f t="shared" si="44"/>
        <v>0</v>
      </c>
    </row>
    <row r="270" spans="1:11" s="38" customFormat="1" x14ac:dyDescent="0.25">
      <c r="A270" s="40">
        <f t="shared" si="52"/>
        <v>21</v>
      </c>
      <c r="B270" s="39">
        <f t="shared" si="45"/>
        <v>250</v>
      </c>
      <c r="C270" s="35">
        <f t="shared" si="46"/>
        <v>0</v>
      </c>
      <c r="D270" s="36">
        <f t="shared" si="42"/>
        <v>0</v>
      </c>
      <c r="E270" s="36">
        <f t="shared" si="47"/>
        <v>0</v>
      </c>
      <c r="F270" s="36">
        <f t="shared" si="48"/>
        <v>0</v>
      </c>
      <c r="G270" s="35">
        <f t="shared" si="49"/>
        <v>0</v>
      </c>
      <c r="H270" s="36">
        <f t="shared" si="50"/>
        <v>0</v>
      </c>
      <c r="I270" s="35">
        <f t="shared" si="51"/>
        <v>0</v>
      </c>
      <c r="J270" s="35">
        <f t="shared" si="43"/>
        <v>0</v>
      </c>
      <c r="K270" s="46">
        <f t="shared" si="44"/>
        <v>0</v>
      </c>
    </row>
    <row r="271" spans="1:11" s="38" customFormat="1" x14ac:dyDescent="0.25">
      <c r="A271" s="40">
        <f t="shared" si="52"/>
        <v>21</v>
      </c>
      <c r="B271" s="39">
        <f t="shared" si="45"/>
        <v>251</v>
      </c>
      <c r="C271" s="35">
        <f t="shared" si="46"/>
        <v>0</v>
      </c>
      <c r="D271" s="36">
        <f t="shared" si="42"/>
        <v>0</v>
      </c>
      <c r="E271" s="36">
        <f t="shared" si="47"/>
        <v>0</v>
      </c>
      <c r="F271" s="36">
        <f t="shared" si="48"/>
        <v>0</v>
      </c>
      <c r="G271" s="35">
        <f t="shared" si="49"/>
        <v>0</v>
      </c>
      <c r="H271" s="36">
        <f t="shared" si="50"/>
        <v>0</v>
      </c>
      <c r="I271" s="35">
        <f t="shared" si="51"/>
        <v>0</v>
      </c>
      <c r="J271" s="35">
        <f t="shared" si="43"/>
        <v>0</v>
      </c>
      <c r="K271" s="46">
        <f t="shared" si="44"/>
        <v>0</v>
      </c>
    </row>
    <row r="272" spans="1:11" s="38" customFormat="1" x14ac:dyDescent="0.25">
      <c r="A272" s="40">
        <f t="shared" si="52"/>
        <v>21</v>
      </c>
      <c r="B272" s="39">
        <f t="shared" si="45"/>
        <v>252</v>
      </c>
      <c r="C272" s="35">
        <f t="shared" si="46"/>
        <v>0</v>
      </c>
      <c r="D272" s="36">
        <f t="shared" si="42"/>
        <v>0</v>
      </c>
      <c r="E272" s="36">
        <f t="shared" si="47"/>
        <v>0</v>
      </c>
      <c r="F272" s="36">
        <f t="shared" si="48"/>
        <v>0</v>
      </c>
      <c r="G272" s="35">
        <f t="shared" si="49"/>
        <v>0</v>
      </c>
      <c r="H272" s="36">
        <f t="shared" si="50"/>
        <v>0</v>
      </c>
      <c r="I272" s="35">
        <f t="shared" si="51"/>
        <v>0</v>
      </c>
      <c r="J272" s="35">
        <f t="shared" si="43"/>
        <v>0</v>
      </c>
      <c r="K272" s="46">
        <f t="shared" si="44"/>
        <v>0</v>
      </c>
    </row>
    <row r="273" spans="1:11" s="38" customFormat="1" x14ac:dyDescent="0.25">
      <c r="A273" s="40">
        <f>A261+1</f>
        <v>22</v>
      </c>
      <c r="B273" s="39">
        <f t="shared" si="45"/>
        <v>253</v>
      </c>
      <c r="C273" s="35">
        <f t="shared" si="46"/>
        <v>0</v>
      </c>
      <c r="D273" s="36">
        <f t="shared" si="42"/>
        <v>0</v>
      </c>
      <c r="E273" s="36">
        <f t="shared" si="47"/>
        <v>0</v>
      </c>
      <c r="F273" s="36">
        <f t="shared" si="48"/>
        <v>0</v>
      </c>
      <c r="G273" s="35">
        <f t="shared" si="49"/>
        <v>0</v>
      </c>
      <c r="H273" s="36">
        <f t="shared" si="50"/>
        <v>0</v>
      </c>
      <c r="I273" s="35">
        <f t="shared" si="51"/>
        <v>0</v>
      </c>
      <c r="J273" s="35">
        <f t="shared" si="43"/>
        <v>0</v>
      </c>
      <c r="K273" s="46">
        <f t="shared" si="44"/>
        <v>0</v>
      </c>
    </row>
    <row r="274" spans="1:11" s="38" customFormat="1" x14ac:dyDescent="0.25">
      <c r="A274" s="40">
        <f>A273</f>
        <v>22</v>
      </c>
      <c r="B274" s="39">
        <f t="shared" si="45"/>
        <v>254</v>
      </c>
      <c r="C274" s="35">
        <f t="shared" si="46"/>
        <v>0</v>
      </c>
      <c r="D274" s="36">
        <f t="shared" si="42"/>
        <v>0</v>
      </c>
      <c r="E274" s="36">
        <f t="shared" si="47"/>
        <v>0</v>
      </c>
      <c r="F274" s="36">
        <f t="shared" si="48"/>
        <v>0</v>
      </c>
      <c r="G274" s="35">
        <f t="shared" si="49"/>
        <v>0</v>
      </c>
      <c r="H274" s="36">
        <f t="shared" si="50"/>
        <v>0</v>
      </c>
      <c r="I274" s="35">
        <f t="shared" si="51"/>
        <v>0</v>
      </c>
      <c r="J274" s="35">
        <f t="shared" si="43"/>
        <v>0</v>
      </c>
      <c r="K274" s="46">
        <f t="shared" si="44"/>
        <v>0</v>
      </c>
    </row>
    <row r="275" spans="1:11" s="38" customFormat="1" x14ac:dyDescent="0.25">
      <c r="A275" s="40">
        <f t="shared" si="52"/>
        <v>22</v>
      </c>
      <c r="B275" s="39">
        <f t="shared" si="45"/>
        <v>255</v>
      </c>
      <c r="C275" s="35">
        <f t="shared" si="46"/>
        <v>0</v>
      </c>
      <c r="D275" s="36">
        <f t="shared" si="42"/>
        <v>0</v>
      </c>
      <c r="E275" s="36">
        <f t="shared" si="47"/>
        <v>0</v>
      </c>
      <c r="F275" s="36">
        <f t="shared" si="48"/>
        <v>0</v>
      </c>
      <c r="G275" s="35">
        <f t="shared" si="49"/>
        <v>0</v>
      </c>
      <c r="H275" s="36">
        <f t="shared" si="50"/>
        <v>0</v>
      </c>
      <c r="I275" s="35">
        <f t="shared" si="51"/>
        <v>0</v>
      </c>
      <c r="J275" s="35">
        <f t="shared" si="43"/>
        <v>0</v>
      </c>
      <c r="K275" s="46">
        <f t="shared" si="44"/>
        <v>0</v>
      </c>
    </row>
    <row r="276" spans="1:11" s="38" customFormat="1" x14ac:dyDescent="0.25">
      <c r="A276" s="40">
        <f t="shared" si="52"/>
        <v>22</v>
      </c>
      <c r="B276" s="39">
        <f t="shared" si="45"/>
        <v>256</v>
      </c>
      <c r="C276" s="35">
        <f t="shared" si="46"/>
        <v>0</v>
      </c>
      <c r="D276" s="36">
        <f t="shared" si="42"/>
        <v>0</v>
      </c>
      <c r="E276" s="36">
        <f t="shared" si="47"/>
        <v>0</v>
      </c>
      <c r="F276" s="36">
        <f t="shared" si="48"/>
        <v>0</v>
      </c>
      <c r="G276" s="35">
        <f t="shared" si="49"/>
        <v>0</v>
      </c>
      <c r="H276" s="36">
        <f t="shared" si="50"/>
        <v>0</v>
      </c>
      <c r="I276" s="35">
        <f t="shared" si="51"/>
        <v>0</v>
      </c>
      <c r="J276" s="35">
        <f t="shared" si="43"/>
        <v>0</v>
      </c>
      <c r="K276" s="46">
        <f t="shared" si="44"/>
        <v>0</v>
      </c>
    </row>
    <row r="277" spans="1:11" s="38" customFormat="1" x14ac:dyDescent="0.25">
      <c r="A277" s="40">
        <f t="shared" si="52"/>
        <v>22</v>
      </c>
      <c r="B277" s="39">
        <f t="shared" si="45"/>
        <v>257</v>
      </c>
      <c r="C277" s="35">
        <f t="shared" si="46"/>
        <v>0</v>
      </c>
      <c r="D277" s="36">
        <f t="shared" ref="D277:D320" si="53">IF(C277=0,0, IF(AND($G$2, B277&lt;=$G$3), F277, PMT($C$12, $C$14, $C$10)))</f>
        <v>0</v>
      </c>
      <c r="E277" s="36">
        <f t="shared" si="47"/>
        <v>0</v>
      </c>
      <c r="F277" s="36">
        <f t="shared" si="48"/>
        <v>0</v>
      </c>
      <c r="G277" s="35">
        <f t="shared" si="49"/>
        <v>0</v>
      </c>
      <c r="H277" s="36">
        <f t="shared" si="50"/>
        <v>0</v>
      </c>
      <c r="I277" s="35">
        <f t="shared" si="51"/>
        <v>0</v>
      </c>
      <c r="J277" s="35">
        <f t="shared" ref="J277:J320" si="54">IF(B277=$G$6, $G$12*G277, 0)</f>
        <v>0</v>
      </c>
      <c r="K277" s="46">
        <f t="shared" ref="K277:K320" si="55">I277+J277</f>
        <v>0</v>
      </c>
    </row>
    <row r="278" spans="1:11" s="38" customFormat="1" x14ac:dyDescent="0.25">
      <c r="A278" s="40">
        <f t="shared" si="52"/>
        <v>22</v>
      </c>
      <c r="B278" s="39">
        <f t="shared" ref="B278:B320" si="56">+B277+1</f>
        <v>258</v>
      </c>
      <c r="C278" s="35">
        <f t="shared" si="46"/>
        <v>0</v>
      </c>
      <c r="D278" s="36">
        <f t="shared" si="53"/>
        <v>0</v>
      </c>
      <c r="E278" s="36">
        <f t="shared" si="47"/>
        <v>0</v>
      </c>
      <c r="F278" s="36">
        <f t="shared" si="48"/>
        <v>0</v>
      </c>
      <c r="G278" s="35">
        <f t="shared" si="49"/>
        <v>0</v>
      </c>
      <c r="H278" s="36">
        <f t="shared" si="50"/>
        <v>0</v>
      </c>
      <c r="I278" s="35">
        <f t="shared" si="51"/>
        <v>0</v>
      </c>
      <c r="J278" s="35">
        <f t="shared" si="54"/>
        <v>0</v>
      </c>
      <c r="K278" s="46">
        <f t="shared" si="55"/>
        <v>0</v>
      </c>
    </row>
    <row r="279" spans="1:11" s="38" customFormat="1" x14ac:dyDescent="0.25">
      <c r="A279" s="40">
        <f t="shared" si="52"/>
        <v>22</v>
      </c>
      <c r="B279" s="39">
        <f t="shared" si="56"/>
        <v>259</v>
      </c>
      <c r="C279" s="35">
        <f t="shared" si="46"/>
        <v>0</v>
      </c>
      <c r="D279" s="36">
        <f t="shared" si="53"/>
        <v>0</v>
      </c>
      <c r="E279" s="36">
        <f t="shared" si="47"/>
        <v>0</v>
      </c>
      <c r="F279" s="36">
        <f t="shared" si="48"/>
        <v>0</v>
      </c>
      <c r="G279" s="35">
        <f t="shared" si="49"/>
        <v>0</v>
      </c>
      <c r="H279" s="36">
        <f t="shared" si="50"/>
        <v>0</v>
      </c>
      <c r="I279" s="35">
        <f t="shared" si="51"/>
        <v>0</v>
      </c>
      <c r="J279" s="35">
        <f t="shared" si="54"/>
        <v>0</v>
      </c>
      <c r="K279" s="46">
        <f t="shared" si="55"/>
        <v>0</v>
      </c>
    </row>
    <row r="280" spans="1:11" s="38" customFormat="1" x14ac:dyDescent="0.25">
      <c r="A280" s="40">
        <f t="shared" si="52"/>
        <v>22</v>
      </c>
      <c r="B280" s="39">
        <f t="shared" si="56"/>
        <v>260</v>
      </c>
      <c r="C280" s="35">
        <f t="shared" si="46"/>
        <v>0</v>
      </c>
      <c r="D280" s="36">
        <f t="shared" si="53"/>
        <v>0</v>
      </c>
      <c r="E280" s="36">
        <f t="shared" si="47"/>
        <v>0</v>
      </c>
      <c r="F280" s="36">
        <f t="shared" si="48"/>
        <v>0</v>
      </c>
      <c r="G280" s="35">
        <f t="shared" si="49"/>
        <v>0</v>
      </c>
      <c r="H280" s="36">
        <f t="shared" si="50"/>
        <v>0</v>
      </c>
      <c r="I280" s="35">
        <f t="shared" si="51"/>
        <v>0</v>
      </c>
      <c r="J280" s="35">
        <f t="shared" si="54"/>
        <v>0</v>
      </c>
      <c r="K280" s="46">
        <f t="shared" si="55"/>
        <v>0</v>
      </c>
    </row>
    <row r="281" spans="1:11" s="38" customFormat="1" x14ac:dyDescent="0.25">
      <c r="A281" s="40">
        <f t="shared" si="52"/>
        <v>22</v>
      </c>
      <c r="B281" s="39">
        <f t="shared" si="56"/>
        <v>261</v>
      </c>
      <c r="C281" s="35">
        <f t="shared" si="46"/>
        <v>0</v>
      </c>
      <c r="D281" s="36">
        <f t="shared" si="53"/>
        <v>0</v>
      </c>
      <c r="E281" s="36">
        <f t="shared" si="47"/>
        <v>0</v>
      </c>
      <c r="F281" s="36">
        <f t="shared" si="48"/>
        <v>0</v>
      </c>
      <c r="G281" s="35">
        <f t="shared" si="49"/>
        <v>0</v>
      </c>
      <c r="H281" s="36">
        <f t="shared" si="50"/>
        <v>0</v>
      </c>
      <c r="I281" s="35">
        <f t="shared" si="51"/>
        <v>0</v>
      </c>
      <c r="J281" s="35">
        <f t="shared" si="54"/>
        <v>0</v>
      </c>
      <c r="K281" s="46">
        <f t="shared" si="55"/>
        <v>0</v>
      </c>
    </row>
    <row r="282" spans="1:11" s="38" customFormat="1" x14ac:dyDescent="0.25">
      <c r="A282" s="40">
        <f t="shared" si="52"/>
        <v>22</v>
      </c>
      <c r="B282" s="39">
        <f t="shared" si="56"/>
        <v>262</v>
      </c>
      <c r="C282" s="35">
        <f t="shared" si="46"/>
        <v>0</v>
      </c>
      <c r="D282" s="36">
        <f t="shared" si="53"/>
        <v>0</v>
      </c>
      <c r="E282" s="36">
        <f t="shared" si="47"/>
        <v>0</v>
      </c>
      <c r="F282" s="36">
        <f t="shared" si="48"/>
        <v>0</v>
      </c>
      <c r="G282" s="35">
        <f t="shared" si="49"/>
        <v>0</v>
      </c>
      <c r="H282" s="36">
        <f t="shared" si="50"/>
        <v>0</v>
      </c>
      <c r="I282" s="35">
        <f t="shared" si="51"/>
        <v>0</v>
      </c>
      <c r="J282" s="35">
        <f t="shared" si="54"/>
        <v>0</v>
      </c>
      <c r="K282" s="46">
        <f t="shared" si="55"/>
        <v>0</v>
      </c>
    </row>
    <row r="283" spans="1:11" s="38" customFormat="1" x14ac:dyDescent="0.25">
      <c r="A283" s="40">
        <f t="shared" si="52"/>
        <v>22</v>
      </c>
      <c r="B283" s="39">
        <f t="shared" si="56"/>
        <v>263</v>
      </c>
      <c r="C283" s="35">
        <f t="shared" si="46"/>
        <v>0</v>
      </c>
      <c r="D283" s="36">
        <f t="shared" si="53"/>
        <v>0</v>
      </c>
      <c r="E283" s="36">
        <f t="shared" si="47"/>
        <v>0</v>
      </c>
      <c r="F283" s="36">
        <f t="shared" si="48"/>
        <v>0</v>
      </c>
      <c r="G283" s="35">
        <f t="shared" si="49"/>
        <v>0</v>
      </c>
      <c r="H283" s="36">
        <f t="shared" si="50"/>
        <v>0</v>
      </c>
      <c r="I283" s="35">
        <f t="shared" si="51"/>
        <v>0</v>
      </c>
      <c r="J283" s="35">
        <f t="shared" si="54"/>
        <v>0</v>
      </c>
      <c r="K283" s="46">
        <f t="shared" si="55"/>
        <v>0</v>
      </c>
    </row>
    <row r="284" spans="1:11" s="38" customFormat="1" x14ac:dyDescent="0.25">
      <c r="A284" s="40">
        <f t="shared" si="52"/>
        <v>22</v>
      </c>
      <c r="B284" s="39">
        <f t="shared" si="56"/>
        <v>264</v>
      </c>
      <c r="C284" s="35">
        <f t="shared" si="46"/>
        <v>0</v>
      </c>
      <c r="D284" s="36">
        <f t="shared" si="53"/>
        <v>0</v>
      </c>
      <c r="E284" s="36">
        <f t="shared" si="47"/>
        <v>0</v>
      </c>
      <c r="F284" s="36">
        <f t="shared" si="48"/>
        <v>0</v>
      </c>
      <c r="G284" s="35">
        <f t="shared" si="49"/>
        <v>0</v>
      </c>
      <c r="H284" s="36">
        <f t="shared" si="50"/>
        <v>0</v>
      </c>
      <c r="I284" s="35">
        <f t="shared" si="51"/>
        <v>0</v>
      </c>
      <c r="J284" s="35">
        <f t="shared" si="54"/>
        <v>0</v>
      </c>
      <c r="K284" s="46">
        <f t="shared" si="55"/>
        <v>0</v>
      </c>
    </row>
    <row r="285" spans="1:11" s="38" customFormat="1" x14ac:dyDescent="0.25">
      <c r="A285" s="40">
        <f>A273+1</f>
        <v>23</v>
      </c>
      <c r="B285" s="39">
        <f t="shared" si="56"/>
        <v>265</v>
      </c>
      <c r="C285" s="35">
        <f t="shared" si="46"/>
        <v>0</v>
      </c>
      <c r="D285" s="36">
        <f t="shared" si="53"/>
        <v>0</v>
      </c>
      <c r="E285" s="36">
        <f t="shared" si="47"/>
        <v>0</v>
      </c>
      <c r="F285" s="36">
        <f t="shared" si="48"/>
        <v>0</v>
      </c>
      <c r="G285" s="35">
        <f t="shared" si="49"/>
        <v>0</v>
      </c>
      <c r="H285" s="36">
        <f t="shared" si="50"/>
        <v>0</v>
      </c>
      <c r="I285" s="35">
        <f t="shared" si="51"/>
        <v>0</v>
      </c>
      <c r="J285" s="35">
        <f t="shared" si="54"/>
        <v>0</v>
      </c>
      <c r="K285" s="46">
        <f t="shared" si="55"/>
        <v>0</v>
      </c>
    </row>
    <row r="286" spans="1:11" s="38" customFormat="1" x14ac:dyDescent="0.25">
      <c r="A286" s="40">
        <f>A285</f>
        <v>23</v>
      </c>
      <c r="B286" s="39">
        <f t="shared" si="56"/>
        <v>266</v>
      </c>
      <c r="C286" s="35">
        <f t="shared" si="46"/>
        <v>0</v>
      </c>
      <c r="D286" s="36">
        <f t="shared" si="53"/>
        <v>0</v>
      </c>
      <c r="E286" s="36">
        <f t="shared" si="47"/>
        <v>0</v>
      </c>
      <c r="F286" s="36">
        <f t="shared" si="48"/>
        <v>0</v>
      </c>
      <c r="G286" s="35">
        <f t="shared" si="49"/>
        <v>0</v>
      </c>
      <c r="H286" s="36">
        <f t="shared" si="50"/>
        <v>0</v>
      </c>
      <c r="I286" s="35">
        <f t="shared" si="51"/>
        <v>0</v>
      </c>
      <c r="J286" s="35">
        <f t="shared" si="54"/>
        <v>0</v>
      </c>
      <c r="K286" s="46">
        <f t="shared" si="55"/>
        <v>0</v>
      </c>
    </row>
    <row r="287" spans="1:11" s="38" customFormat="1" x14ac:dyDescent="0.25">
      <c r="A287" s="40">
        <f t="shared" si="52"/>
        <v>23</v>
      </c>
      <c r="B287" s="39">
        <f t="shared" si="56"/>
        <v>267</v>
      </c>
      <c r="C287" s="35">
        <f t="shared" si="46"/>
        <v>0</v>
      </c>
      <c r="D287" s="36">
        <f t="shared" si="53"/>
        <v>0</v>
      </c>
      <c r="E287" s="36">
        <f t="shared" si="47"/>
        <v>0</v>
      </c>
      <c r="F287" s="36">
        <f t="shared" si="48"/>
        <v>0</v>
      </c>
      <c r="G287" s="35">
        <f t="shared" si="49"/>
        <v>0</v>
      </c>
      <c r="H287" s="36">
        <f t="shared" si="50"/>
        <v>0</v>
      </c>
      <c r="I287" s="35">
        <f t="shared" si="51"/>
        <v>0</v>
      </c>
      <c r="J287" s="35">
        <f t="shared" si="54"/>
        <v>0</v>
      </c>
      <c r="K287" s="46">
        <f t="shared" si="55"/>
        <v>0</v>
      </c>
    </row>
    <row r="288" spans="1:11" s="38" customFormat="1" x14ac:dyDescent="0.25">
      <c r="A288" s="40">
        <f t="shared" si="52"/>
        <v>23</v>
      </c>
      <c r="B288" s="39">
        <f t="shared" si="56"/>
        <v>268</v>
      </c>
      <c r="C288" s="35">
        <f t="shared" si="46"/>
        <v>0</v>
      </c>
      <c r="D288" s="36">
        <f t="shared" si="53"/>
        <v>0</v>
      </c>
      <c r="E288" s="36">
        <f t="shared" si="47"/>
        <v>0</v>
      </c>
      <c r="F288" s="36">
        <f t="shared" si="48"/>
        <v>0</v>
      </c>
      <c r="G288" s="35">
        <f t="shared" si="49"/>
        <v>0</v>
      </c>
      <c r="H288" s="36">
        <f t="shared" si="50"/>
        <v>0</v>
      </c>
      <c r="I288" s="35">
        <f t="shared" si="51"/>
        <v>0</v>
      </c>
      <c r="J288" s="35">
        <f t="shared" si="54"/>
        <v>0</v>
      </c>
      <c r="K288" s="46">
        <f t="shared" si="55"/>
        <v>0</v>
      </c>
    </row>
    <row r="289" spans="1:11" s="38" customFormat="1" x14ac:dyDescent="0.25">
      <c r="A289" s="40">
        <f t="shared" si="52"/>
        <v>23</v>
      </c>
      <c r="B289" s="39">
        <f t="shared" si="56"/>
        <v>269</v>
      </c>
      <c r="C289" s="35">
        <f t="shared" ref="C289:C320" si="57">H288</f>
        <v>0</v>
      </c>
      <c r="D289" s="36">
        <f t="shared" si="53"/>
        <v>0</v>
      </c>
      <c r="E289" s="36">
        <f t="shared" ref="E289:E320" si="58">IF(AND($G$2, B289&lt;=$G$3), 0, D289-F289)</f>
        <v>0</v>
      </c>
      <c r="F289" s="36">
        <f t="shared" ref="F289:F320" si="59">-H288*$C$12</f>
        <v>0</v>
      </c>
      <c r="G289" s="35">
        <f t="shared" ref="G289:G320" si="60">IF(AND($G$5, B289=$G$6), C289+E289, 0)</f>
        <v>0</v>
      </c>
      <c r="H289" s="36">
        <f t="shared" si="50"/>
        <v>0</v>
      </c>
      <c r="I289" s="35">
        <f t="shared" si="51"/>
        <v>0</v>
      </c>
      <c r="J289" s="35">
        <f t="shared" si="54"/>
        <v>0</v>
      </c>
      <c r="K289" s="46">
        <f t="shared" si="55"/>
        <v>0</v>
      </c>
    </row>
    <row r="290" spans="1:11" s="38" customFormat="1" x14ac:dyDescent="0.25">
      <c r="A290" s="40">
        <f t="shared" si="52"/>
        <v>23</v>
      </c>
      <c r="B290" s="39">
        <f t="shared" si="56"/>
        <v>270</v>
      </c>
      <c r="C290" s="35">
        <f t="shared" si="57"/>
        <v>0</v>
      </c>
      <c r="D290" s="36">
        <f t="shared" si="53"/>
        <v>0</v>
      </c>
      <c r="E290" s="36">
        <f t="shared" si="58"/>
        <v>0</v>
      </c>
      <c r="F290" s="36">
        <f t="shared" si="59"/>
        <v>0</v>
      </c>
      <c r="G290" s="35">
        <f t="shared" si="60"/>
        <v>0</v>
      </c>
      <c r="H290" s="36">
        <f t="shared" si="50"/>
        <v>0</v>
      </c>
      <c r="I290" s="35">
        <f t="shared" si="51"/>
        <v>0</v>
      </c>
      <c r="J290" s="35">
        <f t="shared" si="54"/>
        <v>0</v>
      </c>
      <c r="K290" s="46">
        <f t="shared" si="55"/>
        <v>0</v>
      </c>
    </row>
    <row r="291" spans="1:11" s="38" customFormat="1" x14ac:dyDescent="0.25">
      <c r="A291" s="40">
        <f t="shared" si="52"/>
        <v>23</v>
      </c>
      <c r="B291" s="39">
        <f t="shared" si="56"/>
        <v>271</v>
      </c>
      <c r="C291" s="35">
        <f t="shared" si="57"/>
        <v>0</v>
      </c>
      <c r="D291" s="36">
        <f t="shared" si="53"/>
        <v>0</v>
      </c>
      <c r="E291" s="36">
        <f t="shared" si="58"/>
        <v>0</v>
      </c>
      <c r="F291" s="36">
        <f t="shared" si="59"/>
        <v>0</v>
      </c>
      <c r="G291" s="35">
        <f t="shared" si="60"/>
        <v>0</v>
      </c>
      <c r="H291" s="36">
        <f t="shared" si="50"/>
        <v>0</v>
      </c>
      <c r="I291" s="35">
        <f t="shared" si="51"/>
        <v>0</v>
      </c>
      <c r="J291" s="35">
        <f t="shared" si="54"/>
        <v>0</v>
      </c>
      <c r="K291" s="46">
        <f t="shared" si="55"/>
        <v>0</v>
      </c>
    </row>
    <row r="292" spans="1:11" s="38" customFormat="1" x14ac:dyDescent="0.25">
      <c r="A292" s="40">
        <f t="shared" si="52"/>
        <v>23</v>
      </c>
      <c r="B292" s="39">
        <f t="shared" si="56"/>
        <v>272</v>
      </c>
      <c r="C292" s="35">
        <f t="shared" si="57"/>
        <v>0</v>
      </c>
      <c r="D292" s="36">
        <f t="shared" si="53"/>
        <v>0</v>
      </c>
      <c r="E292" s="36">
        <f t="shared" si="58"/>
        <v>0</v>
      </c>
      <c r="F292" s="36">
        <f t="shared" si="59"/>
        <v>0</v>
      </c>
      <c r="G292" s="35">
        <f t="shared" si="60"/>
        <v>0</v>
      </c>
      <c r="H292" s="36">
        <f t="shared" si="50"/>
        <v>0</v>
      </c>
      <c r="I292" s="35">
        <f t="shared" si="51"/>
        <v>0</v>
      </c>
      <c r="J292" s="35">
        <f t="shared" si="54"/>
        <v>0</v>
      </c>
      <c r="K292" s="46">
        <f t="shared" si="55"/>
        <v>0</v>
      </c>
    </row>
    <row r="293" spans="1:11" s="38" customFormat="1" x14ac:dyDescent="0.25">
      <c r="A293" s="40">
        <f t="shared" si="52"/>
        <v>23</v>
      </c>
      <c r="B293" s="39">
        <f t="shared" si="56"/>
        <v>273</v>
      </c>
      <c r="C293" s="35">
        <f t="shared" si="57"/>
        <v>0</v>
      </c>
      <c r="D293" s="36">
        <f t="shared" si="53"/>
        <v>0</v>
      </c>
      <c r="E293" s="36">
        <f t="shared" si="58"/>
        <v>0</v>
      </c>
      <c r="F293" s="36">
        <f t="shared" si="59"/>
        <v>0</v>
      </c>
      <c r="G293" s="35">
        <f t="shared" si="60"/>
        <v>0</v>
      </c>
      <c r="H293" s="36">
        <f t="shared" si="50"/>
        <v>0</v>
      </c>
      <c r="I293" s="35">
        <f t="shared" si="51"/>
        <v>0</v>
      </c>
      <c r="J293" s="35">
        <f t="shared" si="54"/>
        <v>0</v>
      </c>
      <c r="K293" s="46">
        <f t="shared" si="55"/>
        <v>0</v>
      </c>
    </row>
    <row r="294" spans="1:11" s="38" customFormat="1" x14ac:dyDescent="0.25">
      <c r="A294" s="40">
        <f t="shared" si="52"/>
        <v>23</v>
      </c>
      <c r="B294" s="39">
        <f t="shared" si="56"/>
        <v>274</v>
      </c>
      <c r="C294" s="35">
        <f t="shared" si="57"/>
        <v>0</v>
      </c>
      <c r="D294" s="36">
        <f t="shared" si="53"/>
        <v>0</v>
      </c>
      <c r="E294" s="36">
        <f t="shared" si="58"/>
        <v>0</v>
      </c>
      <c r="F294" s="36">
        <f t="shared" si="59"/>
        <v>0</v>
      </c>
      <c r="G294" s="35">
        <f t="shared" si="60"/>
        <v>0</v>
      </c>
      <c r="H294" s="36">
        <f t="shared" si="50"/>
        <v>0</v>
      </c>
      <c r="I294" s="35">
        <f t="shared" si="51"/>
        <v>0</v>
      </c>
      <c r="J294" s="35">
        <f t="shared" si="54"/>
        <v>0</v>
      </c>
      <c r="K294" s="46">
        <f t="shared" si="55"/>
        <v>0</v>
      </c>
    </row>
    <row r="295" spans="1:11" s="38" customFormat="1" x14ac:dyDescent="0.25">
      <c r="A295" s="40">
        <f t="shared" si="52"/>
        <v>23</v>
      </c>
      <c r="B295" s="39">
        <f t="shared" si="56"/>
        <v>275</v>
      </c>
      <c r="C295" s="35">
        <f t="shared" si="57"/>
        <v>0</v>
      </c>
      <c r="D295" s="36">
        <f t="shared" si="53"/>
        <v>0</v>
      </c>
      <c r="E295" s="36">
        <f t="shared" si="58"/>
        <v>0</v>
      </c>
      <c r="F295" s="36">
        <f t="shared" si="59"/>
        <v>0</v>
      </c>
      <c r="G295" s="35">
        <f t="shared" si="60"/>
        <v>0</v>
      </c>
      <c r="H295" s="36">
        <f t="shared" si="50"/>
        <v>0</v>
      </c>
      <c r="I295" s="35">
        <f t="shared" si="51"/>
        <v>0</v>
      </c>
      <c r="J295" s="35">
        <f t="shared" si="54"/>
        <v>0</v>
      </c>
      <c r="K295" s="46">
        <f t="shared" si="55"/>
        <v>0</v>
      </c>
    </row>
    <row r="296" spans="1:11" s="38" customFormat="1" x14ac:dyDescent="0.25">
      <c r="A296" s="40">
        <f t="shared" si="52"/>
        <v>23</v>
      </c>
      <c r="B296" s="39">
        <f t="shared" si="56"/>
        <v>276</v>
      </c>
      <c r="C296" s="35">
        <f t="shared" si="57"/>
        <v>0</v>
      </c>
      <c r="D296" s="36">
        <f t="shared" si="53"/>
        <v>0</v>
      </c>
      <c r="E296" s="36">
        <f t="shared" si="58"/>
        <v>0</v>
      </c>
      <c r="F296" s="36">
        <f t="shared" si="59"/>
        <v>0</v>
      </c>
      <c r="G296" s="35">
        <f t="shared" si="60"/>
        <v>0</v>
      </c>
      <c r="H296" s="36">
        <f t="shared" si="50"/>
        <v>0</v>
      </c>
      <c r="I296" s="35">
        <f t="shared" si="51"/>
        <v>0</v>
      </c>
      <c r="J296" s="35">
        <f t="shared" si="54"/>
        <v>0</v>
      </c>
      <c r="K296" s="46">
        <f t="shared" si="55"/>
        <v>0</v>
      </c>
    </row>
    <row r="297" spans="1:11" s="38" customFormat="1" x14ac:dyDescent="0.25">
      <c r="A297" s="40">
        <f>A285+1</f>
        <v>24</v>
      </c>
      <c r="B297" s="39">
        <f t="shared" si="56"/>
        <v>277</v>
      </c>
      <c r="C297" s="35">
        <f t="shared" si="57"/>
        <v>0</v>
      </c>
      <c r="D297" s="36">
        <f t="shared" si="53"/>
        <v>0</v>
      </c>
      <c r="E297" s="36">
        <f t="shared" si="58"/>
        <v>0</v>
      </c>
      <c r="F297" s="36">
        <f t="shared" si="59"/>
        <v>0</v>
      </c>
      <c r="G297" s="35">
        <f t="shared" si="60"/>
        <v>0</v>
      </c>
      <c r="H297" s="36">
        <f t="shared" si="50"/>
        <v>0</v>
      </c>
      <c r="I297" s="35">
        <f t="shared" si="51"/>
        <v>0</v>
      </c>
      <c r="J297" s="35">
        <f t="shared" si="54"/>
        <v>0</v>
      </c>
      <c r="K297" s="46">
        <f t="shared" si="55"/>
        <v>0</v>
      </c>
    </row>
    <row r="298" spans="1:11" s="38" customFormat="1" x14ac:dyDescent="0.25">
      <c r="A298" s="40">
        <f>A297</f>
        <v>24</v>
      </c>
      <c r="B298" s="39">
        <f t="shared" si="56"/>
        <v>278</v>
      </c>
      <c r="C298" s="35">
        <f t="shared" si="57"/>
        <v>0</v>
      </c>
      <c r="D298" s="36">
        <f t="shared" si="53"/>
        <v>0</v>
      </c>
      <c r="E298" s="36">
        <f t="shared" si="58"/>
        <v>0</v>
      </c>
      <c r="F298" s="36">
        <f t="shared" si="59"/>
        <v>0</v>
      </c>
      <c r="G298" s="35">
        <f t="shared" si="60"/>
        <v>0</v>
      </c>
      <c r="H298" s="36">
        <f t="shared" si="50"/>
        <v>0</v>
      </c>
      <c r="I298" s="35">
        <f t="shared" si="51"/>
        <v>0</v>
      </c>
      <c r="J298" s="35">
        <f t="shared" si="54"/>
        <v>0</v>
      </c>
      <c r="K298" s="46">
        <f t="shared" si="55"/>
        <v>0</v>
      </c>
    </row>
    <row r="299" spans="1:11" s="38" customFormat="1" x14ac:dyDescent="0.25">
      <c r="A299" s="40">
        <f t="shared" si="52"/>
        <v>24</v>
      </c>
      <c r="B299" s="39">
        <f t="shared" si="56"/>
        <v>279</v>
      </c>
      <c r="C299" s="35">
        <f t="shared" si="57"/>
        <v>0</v>
      </c>
      <c r="D299" s="36">
        <f t="shared" si="53"/>
        <v>0</v>
      </c>
      <c r="E299" s="36">
        <f t="shared" si="58"/>
        <v>0</v>
      </c>
      <c r="F299" s="36">
        <f t="shared" si="59"/>
        <v>0</v>
      </c>
      <c r="G299" s="35">
        <f t="shared" si="60"/>
        <v>0</v>
      </c>
      <c r="H299" s="36">
        <f t="shared" si="50"/>
        <v>0</v>
      </c>
      <c r="I299" s="35">
        <f t="shared" si="51"/>
        <v>0</v>
      </c>
      <c r="J299" s="35">
        <f t="shared" si="54"/>
        <v>0</v>
      </c>
      <c r="K299" s="46">
        <f t="shared" si="55"/>
        <v>0</v>
      </c>
    </row>
    <row r="300" spans="1:11" s="38" customFormat="1" x14ac:dyDescent="0.25">
      <c r="A300" s="40">
        <f t="shared" si="52"/>
        <v>24</v>
      </c>
      <c r="B300" s="39">
        <f t="shared" si="56"/>
        <v>280</v>
      </c>
      <c r="C300" s="35">
        <f t="shared" si="57"/>
        <v>0</v>
      </c>
      <c r="D300" s="36">
        <f t="shared" si="53"/>
        <v>0</v>
      </c>
      <c r="E300" s="36">
        <f t="shared" si="58"/>
        <v>0</v>
      </c>
      <c r="F300" s="36">
        <f t="shared" si="59"/>
        <v>0</v>
      </c>
      <c r="G300" s="35">
        <f t="shared" si="60"/>
        <v>0</v>
      </c>
      <c r="H300" s="36">
        <f t="shared" si="50"/>
        <v>0</v>
      </c>
      <c r="I300" s="35">
        <f t="shared" si="51"/>
        <v>0</v>
      </c>
      <c r="J300" s="35">
        <f t="shared" si="54"/>
        <v>0</v>
      </c>
      <c r="K300" s="46">
        <f t="shared" si="55"/>
        <v>0</v>
      </c>
    </row>
    <row r="301" spans="1:11" s="38" customFormat="1" x14ac:dyDescent="0.25">
      <c r="A301" s="40">
        <f t="shared" si="52"/>
        <v>24</v>
      </c>
      <c r="B301" s="39">
        <f t="shared" si="56"/>
        <v>281</v>
      </c>
      <c r="C301" s="35">
        <f t="shared" si="57"/>
        <v>0</v>
      </c>
      <c r="D301" s="36">
        <f t="shared" si="53"/>
        <v>0</v>
      </c>
      <c r="E301" s="36">
        <f t="shared" si="58"/>
        <v>0</v>
      </c>
      <c r="F301" s="36">
        <f t="shared" si="59"/>
        <v>0</v>
      </c>
      <c r="G301" s="35">
        <f t="shared" si="60"/>
        <v>0</v>
      </c>
      <c r="H301" s="36">
        <f t="shared" ref="H301:H320" si="61">IF(C301+E301-G301&lt;=0, 0, C301+E301-G301)</f>
        <v>0</v>
      </c>
      <c r="I301" s="35">
        <f t="shared" ref="I301:I320" si="62">-D301+G301</f>
        <v>0</v>
      </c>
      <c r="J301" s="35">
        <f t="shared" si="54"/>
        <v>0</v>
      </c>
      <c r="K301" s="46">
        <f t="shared" si="55"/>
        <v>0</v>
      </c>
    </row>
    <row r="302" spans="1:11" s="38" customFormat="1" x14ac:dyDescent="0.25">
      <c r="A302" s="40">
        <f t="shared" ref="A302:A320" si="63">A301</f>
        <v>24</v>
      </c>
      <c r="B302" s="39">
        <f t="shared" si="56"/>
        <v>282</v>
      </c>
      <c r="C302" s="35">
        <f t="shared" si="57"/>
        <v>0</v>
      </c>
      <c r="D302" s="36">
        <f t="shared" si="53"/>
        <v>0</v>
      </c>
      <c r="E302" s="36">
        <f t="shared" si="58"/>
        <v>0</v>
      </c>
      <c r="F302" s="36">
        <f t="shared" si="59"/>
        <v>0</v>
      </c>
      <c r="G302" s="35">
        <f t="shared" si="60"/>
        <v>0</v>
      </c>
      <c r="H302" s="36">
        <f t="shared" si="61"/>
        <v>0</v>
      </c>
      <c r="I302" s="35">
        <f t="shared" si="62"/>
        <v>0</v>
      </c>
      <c r="J302" s="35">
        <f t="shared" si="54"/>
        <v>0</v>
      </c>
      <c r="K302" s="46">
        <f t="shared" si="55"/>
        <v>0</v>
      </c>
    </row>
    <row r="303" spans="1:11" s="38" customFormat="1" x14ac:dyDescent="0.25">
      <c r="A303" s="40">
        <f t="shared" si="63"/>
        <v>24</v>
      </c>
      <c r="B303" s="39">
        <f t="shared" si="56"/>
        <v>283</v>
      </c>
      <c r="C303" s="35">
        <f t="shared" si="57"/>
        <v>0</v>
      </c>
      <c r="D303" s="36">
        <f t="shared" si="53"/>
        <v>0</v>
      </c>
      <c r="E303" s="36">
        <f t="shared" si="58"/>
        <v>0</v>
      </c>
      <c r="F303" s="36">
        <f t="shared" si="59"/>
        <v>0</v>
      </c>
      <c r="G303" s="35">
        <f t="shared" si="60"/>
        <v>0</v>
      </c>
      <c r="H303" s="36">
        <f t="shared" si="61"/>
        <v>0</v>
      </c>
      <c r="I303" s="35">
        <f t="shared" si="62"/>
        <v>0</v>
      </c>
      <c r="J303" s="35">
        <f t="shared" si="54"/>
        <v>0</v>
      </c>
      <c r="K303" s="46">
        <f t="shared" si="55"/>
        <v>0</v>
      </c>
    </row>
    <row r="304" spans="1:11" s="38" customFormat="1" x14ac:dyDescent="0.25">
      <c r="A304" s="40">
        <f t="shared" si="63"/>
        <v>24</v>
      </c>
      <c r="B304" s="39">
        <f t="shared" si="56"/>
        <v>284</v>
      </c>
      <c r="C304" s="35">
        <f t="shared" si="57"/>
        <v>0</v>
      </c>
      <c r="D304" s="36">
        <f t="shared" si="53"/>
        <v>0</v>
      </c>
      <c r="E304" s="36">
        <f t="shared" si="58"/>
        <v>0</v>
      </c>
      <c r="F304" s="36">
        <f t="shared" si="59"/>
        <v>0</v>
      </c>
      <c r="G304" s="35">
        <f t="shared" si="60"/>
        <v>0</v>
      </c>
      <c r="H304" s="36">
        <f t="shared" si="61"/>
        <v>0</v>
      </c>
      <c r="I304" s="35">
        <f t="shared" si="62"/>
        <v>0</v>
      </c>
      <c r="J304" s="35">
        <f t="shared" si="54"/>
        <v>0</v>
      </c>
      <c r="K304" s="46">
        <f t="shared" si="55"/>
        <v>0</v>
      </c>
    </row>
    <row r="305" spans="1:11" s="38" customFormat="1" x14ac:dyDescent="0.25">
      <c r="A305" s="40">
        <f t="shared" si="63"/>
        <v>24</v>
      </c>
      <c r="B305" s="39">
        <f t="shared" si="56"/>
        <v>285</v>
      </c>
      <c r="C305" s="35">
        <f t="shared" si="57"/>
        <v>0</v>
      </c>
      <c r="D305" s="36">
        <f t="shared" si="53"/>
        <v>0</v>
      </c>
      <c r="E305" s="36">
        <f t="shared" si="58"/>
        <v>0</v>
      </c>
      <c r="F305" s="36">
        <f t="shared" si="59"/>
        <v>0</v>
      </c>
      <c r="G305" s="35">
        <f t="shared" si="60"/>
        <v>0</v>
      </c>
      <c r="H305" s="36">
        <f t="shared" si="61"/>
        <v>0</v>
      </c>
      <c r="I305" s="35">
        <f t="shared" si="62"/>
        <v>0</v>
      </c>
      <c r="J305" s="35">
        <f t="shared" si="54"/>
        <v>0</v>
      </c>
      <c r="K305" s="46">
        <f t="shared" si="55"/>
        <v>0</v>
      </c>
    </row>
    <row r="306" spans="1:11" s="38" customFormat="1" x14ac:dyDescent="0.25">
      <c r="A306" s="40">
        <f t="shared" si="63"/>
        <v>24</v>
      </c>
      <c r="B306" s="39">
        <f t="shared" si="56"/>
        <v>286</v>
      </c>
      <c r="C306" s="35">
        <f t="shared" si="57"/>
        <v>0</v>
      </c>
      <c r="D306" s="36">
        <f t="shared" si="53"/>
        <v>0</v>
      </c>
      <c r="E306" s="36">
        <f t="shared" si="58"/>
        <v>0</v>
      </c>
      <c r="F306" s="36">
        <f t="shared" si="59"/>
        <v>0</v>
      </c>
      <c r="G306" s="35">
        <f t="shared" si="60"/>
        <v>0</v>
      </c>
      <c r="H306" s="36">
        <f t="shared" si="61"/>
        <v>0</v>
      </c>
      <c r="I306" s="35">
        <f t="shared" si="62"/>
        <v>0</v>
      </c>
      <c r="J306" s="35">
        <f t="shared" si="54"/>
        <v>0</v>
      </c>
      <c r="K306" s="46">
        <f t="shared" si="55"/>
        <v>0</v>
      </c>
    </row>
    <row r="307" spans="1:11" s="38" customFormat="1" x14ac:dyDescent="0.25">
      <c r="A307" s="40">
        <f t="shared" si="63"/>
        <v>24</v>
      </c>
      <c r="B307" s="39">
        <f t="shared" si="56"/>
        <v>287</v>
      </c>
      <c r="C307" s="35">
        <f t="shared" si="57"/>
        <v>0</v>
      </c>
      <c r="D307" s="36">
        <f t="shared" si="53"/>
        <v>0</v>
      </c>
      <c r="E307" s="36">
        <f t="shared" si="58"/>
        <v>0</v>
      </c>
      <c r="F307" s="36">
        <f t="shared" si="59"/>
        <v>0</v>
      </c>
      <c r="G307" s="35">
        <f t="shared" si="60"/>
        <v>0</v>
      </c>
      <c r="H307" s="36">
        <f t="shared" si="61"/>
        <v>0</v>
      </c>
      <c r="I307" s="35">
        <f t="shared" si="62"/>
        <v>0</v>
      </c>
      <c r="J307" s="35">
        <f t="shared" si="54"/>
        <v>0</v>
      </c>
      <c r="K307" s="46">
        <f t="shared" si="55"/>
        <v>0</v>
      </c>
    </row>
    <row r="308" spans="1:11" s="38" customFormat="1" x14ac:dyDescent="0.25">
      <c r="A308" s="40">
        <f t="shared" si="63"/>
        <v>24</v>
      </c>
      <c r="B308" s="39">
        <f t="shared" si="56"/>
        <v>288</v>
      </c>
      <c r="C308" s="35">
        <f t="shared" si="57"/>
        <v>0</v>
      </c>
      <c r="D308" s="36">
        <f t="shared" si="53"/>
        <v>0</v>
      </c>
      <c r="E308" s="36">
        <f t="shared" si="58"/>
        <v>0</v>
      </c>
      <c r="F308" s="36">
        <f t="shared" si="59"/>
        <v>0</v>
      </c>
      <c r="G308" s="35">
        <f t="shared" si="60"/>
        <v>0</v>
      </c>
      <c r="H308" s="36">
        <f t="shared" si="61"/>
        <v>0</v>
      </c>
      <c r="I308" s="35">
        <f t="shared" si="62"/>
        <v>0</v>
      </c>
      <c r="J308" s="35">
        <f t="shared" si="54"/>
        <v>0</v>
      </c>
      <c r="K308" s="46">
        <f t="shared" si="55"/>
        <v>0</v>
      </c>
    </row>
    <row r="309" spans="1:11" s="38" customFormat="1" x14ac:dyDescent="0.25">
      <c r="A309" s="40">
        <f>A297+1</f>
        <v>25</v>
      </c>
      <c r="B309" s="39">
        <f t="shared" si="56"/>
        <v>289</v>
      </c>
      <c r="C309" s="35">
        <f t="shared" si="57"/>
        <v>0</v>
      </c>
      <c r="D309" s="36">
        <f t="shared" si="53"/>
        <v>0</v>
      </c>
      <c r="E309" s="36">
        <f t="shared" si="58"/>
        <v>0</v>
      </c>
      <c r="F309" s="36">
        <f t="shared" si="59"/>
        <v>0</v>
      </c>
      <c r="G309" s="35">
        <f t="shared" si="60"/>
        <v>0</v>
      </c>
      <c r="H309" s="36">
        <f t="shared" si="61"/>
        <v>0</v>
      </c>
      <c r="I309" s="35">
        <f t="shared" si="62"/>
        <v>0</v>
      </c>
      <c r="J309" s="35">
        <f t="shared" si="54"/>
        <v>0</v>
      </c>
      <c r="K309" s="46">
        <f t="shared" si="55"/>
        <v>0</v>
      </c>
    </row>
    <row r="310" spans="1:11" s="38" customFormat="1" x14ac:dyDescent="0.25">
      <c r="A310" s="40">
        <f>A309</f>
        <v>25</v>
      </c>
      <c r="B310" s="39">
        <f t="shared" si="56"/>
        <v>290</v>
      </c>
      <c r="C310" s="35">
        <f t="shared" si="57"/>
        <v>0</v>
      </c>
      <c r="D310" s="36">
        <f t="shared" si="53"/>
        <v>0</v>
      </c>
      <c r="E310" s="36">
        <f t="shared" si="58"/>
        <v>0</v>
      </c>
      <c r="F310" s="36">
        <f t="shared" si="59"/>
        <v>0</v>
      </c>
      <c r="G310" s="35">
        <f t="shared" si="60"/>
        <v>0</v>
      </c>
      <c r="H310" s="36">
        <f t="shared" si="61"/>
        <v>0</v>
      </c>
      <c r="I310" s="35">
        <f t="shared" si="62"/>
        <v>0</v>
      </c>
      <c r="J310" s="35">
        <f t="shared" si="54"/>
        <v>0</v>
      </c>
      <c r="K310" s="46">
        <f t="shared" si="55"/>
        <v>0</v>
      </c>
    </row>
    <row r="311" spans="1:11" s="38" customFormat="1" x14ac:dyDescent="0.25">
      <c r="A311" s="40">
        <f t="shared" si="63"/>
        <v>25</v>
      </c>
      <c r="B311" s="39">
        <f t="shared" si="56"/>
        <v>291</v>
      </c>
      <c r="C311" s="35">
        <f t="shared" si="57"/>
        <v>0</v>
      </c>
      <c r="D311" s="36">
        <f t="shared" si="53"/>
        <v>0</v>
      </c>
      <c r="E311" s="36">
        <f t="shared" si="58"/>
        <v>0</v>
      </c>
      <c r="F311" s="36">
        <f t="shared" si="59"/>
        <v>0</v>
      </c>
      <c r="G311" s="35">
        <f t="shared" si="60"/>
        <v>0</v>
      </c>
      <c r="H311" s="36">
        <f t="shared" si="61"/>
        <v>0</v>
      </c>
      <c r="I311" s="35">
        <f t="shared" si="62"/>
        <v>0</v>
      </c>
      <c r="J311" s="35">
        <f t="shared" si="54"/>
        <v>0</v>
      </c>
      <c r="K311" s="46">
        <f t="shared" si="55"/>
        <v>0</v>
      </c>
    </row>
    <row r="312" spans="1:11" s="38" customFormat="1" x14ac:dyDescent="0.25">
      <c r="A312" s="40">
        <f t="shared" si="63"/>
        <v>25</v>
      </c>
      <c r="B312" s="39">
        <f t="shared" si="56"/>
        <v>292</v>
      </c>
      <c r="C312" s="35">
        <f t="shared" si="57"/>
        <v>0</v>
      </c>
      <c r="D312" s="36">
        <f t="shared" si="53"/>
        <v>0</v>
      </c>
      <c r="E312" s="36">
        <f t="shared" si="58"/>
        <v>0</v>
      </c>
      <c r="F312" s="36">
        <f t="shared" si="59"/>
        <v>0</v>
      </c>
      <c r="G312" s="35">
        <f t="shared" si="60"/>
        <v>0</v>
      </c>
      <c r="H312" s="36">
        <f t="shared" si="61"/>
        <v>0</v>
      </c>
      <c r="I312" s="35">
        <f t="shared" si="62"/>
        <v>0</v>
      </c>
      <c r="J312" s="35">
        <f t="shared" si="54"/>
        <v>0</v>
      </c>
      <c r="K312" s="46">
        <f t="shared" si="55"/>
        <v>0</v>
      </c>
    </row>
    <row r="313" spans="1:11" s="38" customFormat="1" x14ac:dyDescent="0.25">
      <c r="A313" s="40">
        <f t="shared" si="63"/>
        <v>25</v>
      </c>
      <c r="B313" s="39">
        <f t="shared" si="56"/>
        <v>293</v>
      </c>
      <c r="C313" s="35">
        <f t="shared" si="57"/>
        <v>0</v>
      </c>
      <c r="D313" s="36">
        <f t="shared" si="53"/>
        <v>0</v>
      </c>
      <c r="E313" s="36">
        <f t="shared" si="58"/>
        <v>0</v>
      </c>
      <c r="F313" s="36">
        <f t="shared" si="59"/>
        <v>0</v>
      </c>
      <c r="G313" s="35">
        <f t="shared" si="60"/>
        <v>0</v>
      </c>
      <c r="H313" s="36">
        <f t="shared" si="61"/>
        <v>0</v>
      </c>
      <c r="I313" s="35">
        <f t="shared" si="62"/>
        <v>0</v>
      </c>
      <c r="J313" s="35">
        <f t="shared" si="54"/>
        <v>0</v>
      </c>
      <c r="K313" s="46">
        <f t="shared" si="55"/>
        <v>0</v>
      </c>
    </row>
    <row r="314" spans="1:11" s="38" customFormat="1" x14ac:dyDescent="0.25">
      <c r="A314" s="40">
        <f t="shared" si="63"/>
        <v>25</v>
      </c>
      <c r="B314" s="39">
        <f t="shared" si="56"/>
        <v>294</v>
      </c>
      <c r="C314" s="35">
        <f t="shared" si="57"/>
        <v>0</v>
      </c>
      <c r="D314" s="36">
        <f t="shared" si="53"/>
        <v>0</v>
      </c>
      <c r="E314" s="36">
        <f t="shared" si="58"/>
        <v>0</v>
      </c>
      <c r="F314" s="36">
        <f t="shared" si="59"/>
        <v>0</v>
      </c>
      <c r="G314" s="35">
        <f t="shared" si="60"/>
        <v>0</v>
      </c>
      <c r="H314" s="36">
        <f t="shared" si="61"/>
        <v>0</v>
      </c>
      <c r="I314" s="35">
        <f t="shared" si="62"/>
        <v>0</v>
      </c>
      <c r="J314" s="35">
        <f t="shared" si="54"/>
        <v>0</v>
      </c>
      <c r="K314" s="46">
        <f t="shared" si="55"/>
        <v>0</v>
      </c>
    </row>
    <row r="315" spans="1:11" s="38" customFormat="1" x14ac:dyDescent="0.25">
      <c r="A315" s="40">
        <f t="shared" si="63"/>
        <v>25</v>
      </c>
      <c r="B315" s="39">
        <f t="shared" si="56"/>
        <v>295</v>
      </c>
      <c r="C315" s="35">
        <f t="shared" si="57"/>
        <v>0</v>
      </c>
      <c r="D315" s="36">
        <f t="shared" si="53"/>
        <v>0</v>
      </c>
      <c r="E315" s="36">
        <f t="shared" si="58"/>
        <v>0</v>
      </c>
      <c r="F315" s="36">
        <f t="shared" si="59"/>
        <v>0</v>
      </c>
      <c r="G315" s="35">
        <f t="shared" si="60"/>
        <v>0</v>
      </c>
      <c r="H315" s="36">
        <f t="shared" si="61"/>
        <v>0</v>
      </c>
      <c r="I315" s="35">
        <f t="shared" si="62"/>
        <v>0</v>
      </c>
      <c r="J315" s="35">
        <f t="shared" si="54"/>
        <v>0</v>
      </c>
      <c r="K315" s="46">
        <f t="shared" si="55"/>
        <v>0</v>
      </c>
    </row>
    <row r="316" spans="1:11" s="38" customFormat="1" x14ac:dyDescent="0.25">
      <c r="A316" s="40">
        <f t="shared" si="63"/>
        <v>25</v>
      </c>
      <c r="B316" s="39">
        <f t="shared" si="56"/>
        <v>296</v>
      </c>
      <c r="C316" s="35">
        <f t="shared" si="57"/>
        <v>0</v>
      </c>
      <c r="D316" s="36">
        <f t="shared" si="53"/>
        <v>0</v>
      </c>
      <c r="E316" s="36">
        <f t="shared" si="58"/>
        <v>0</v>
      </c>
      <c r="F316" s="36">
        <f t="shared" si="59"/>
        <v>0</v>
      </c>
      <c r="G316" s="35">
        <f t="shared" si="60"/>
        <v>0</v>
      </c>
      <c r="H316" s="36">
        <f t="shared" si="61"/>
        <v>0</v>
      </c>
      <c r="I316" s="35">
        <f t="shared" si="62"/>
        <v>0</v>
      </c>
      <c r="J316" s="35">
        <f t="shared" si="54"/>
        <v>0</v>
      </c>
      <c r="K316" s="46">
        <f t="shared" si="55"/>
        <v>0</v>
      </c>
    </row>
    <row r="317" spans="1:11" s="38" customFormat="1" x14ac:dyDescent="0.25">
      <c r="A317" s="40">
        <f t="shared" si="63"/>
        <v>25</v>
      </c>
      <c r="B317" s="39">
        <f t="shared" si="56"/>
        <v>297</v>
      </c>
      <c r="C317" s="35">
        <f t="shared" si="57"/>
        <v>0</v>
      </c>
      <c r="D317" s="36">
        <f t="shared" si="53"/>
        <v>0</v>
      </c>
      <c r="E317" s="36">
        <f t="shared" si="58"/>
        <v>0</v>
      </c>
      <c r="F317" s="36">
        <f t="shared" si="59"/>
        <v>0</v>
      </c>
      <c r="G317" s="35">
        <f t="shared" si="60"/>
        <v>0</v>
      </c>
      <c r="H317" s="36">
        <f t="shared" si="61"/>
        <v>0</v>
      </c>
      <c r="I317" s="35">
        <f t="shared" si="62"/>
        <v>0</v>
      </c>
      <c r="J317" s="35">
        <f t="shared" si="54"/>
        <v>0</v>
      </c>
      <c r="K317" s="46">
        <f t="shared" si="55"/>
        <v>0</v>
      </c>
    </row>
    <row r="318" spans="1:11" s="38" customFormat="1" x14ac:dyDescent="0.25">
      <c r="A318" s="40">
        <f t="shared" si="63"/>
        <v>25</v>
      </c>
      <c r="B318" s="39">
        <f t="shared" si="56"/>
        <v>298</v>
      </c>
      <c r="C318" s="35">
        <f t="shared" si="57"/>
        <v>0</v>
      </c>
      <c r="D318" s="36">
        <f t="shared" si="53"/>
        <v>0</v>
      </c>
      <c r="E318" s="36">
        <f t="shared" si="58"/>
        <v>0</v>
      </c>
      <c r="F318" s="36">
        <f t="shared" si="59"/>
        <v>0</v>
      </c>
      <c r="G318" s="35">
        <f t="shared" si="60"/>
        <v>0</v>
      </c>
      <c r="H318" s="36">
        <f t="shared" si="61"/>
        <v>0</v>
      </c>
      <c r="I318" s="35">
        <f t="shared" si="62"/>
        <v>0</v>
      </c>
      <c r="J318" s="35">
        <f t="shared" si="54"/>
        <v>0</v>
      </c>
      <c r="K318" s="46">
        <f t="shared" si="55"/>
        <v>0</v>
      </c>
    </row>
    <row r="319" spans="1:11" s="38" customFormat="1" x14ac:dyDescent="0.25">
      <c r="A319" s="40">
        <f t="shared" si="63"/>
        <v>25</v>
      </c>
      <c r="B319" s="39">
        <f t="shared" si="56"/>
        <v>299</v>
      </c>
      <c r="C319" s="35">
        <f t="shared" si="57"/>
        <v>0</v>
      </c>
      <c r="D319" s="36">
        <f t="shared" si="53"/>
        <v>0</v>
      </c>
      <c r="E319" s="36">
        <f t="shared" si="58"/>
        <v>0</v>
      </c>
      <c r="F319" s="36">
        <f t="shared" si="59"/>
        <v>0</v>
      </c>
      <c r="G319" s="35">
        <f t="shared" si="60"/>
        <v>0</v>
      </c>
      <c r="H319" s="36">
        <f t="shared" si="61"/>
        <v>0</v>
      </c>
      <c r="I319" s="35">
        <f t="shared" si="62"/>
        <v>0</v>
      </c>
      <c r="J319" s="35">
        <f t="shared" si="54"/>
        <v>0</v>
      </c>
      <c r="K319" s="46">
        <f t="shared" si="55"/>
        <v>0</v>
      </c>
    </row>
    <row r="320" spans="1:11" s="38" customFormat="1" x14ac:dyDescent="0.25">
      <c r="A320" s="40">
        <f t="shared" si="63"/>
        <v>25</v>
      </c>
      <c r="B320" s="39">
        <f t="shared" si="56"/>
        <v>300</v>
      </c>
      <c r="C320" s="35">
        <f t="shared" si="57"/>
        <v>0</v>
      </c>
      <c r="D320" s="36">
        <f t="shared" si="53"/>
        <v>0</v>
      </c>
      <c r="E320" s="36">
        <f t="shared" si="58"/>
        <v>0</v>
      </c>
      <c r="F320" s="36">
        <f t="shared" si="59"/>
        <v>0</v>
      </c>
      <c r="G320" s="35">
        <f t="shared" si="60"/>
        <v>0</v>
      </c>
      <c r="H320" s="36">
        <f t="shared" si="61"/>
        <v>0</v>
      </c>
      <c r="I320" s="35">
        <f t="shared" si="62"/>
        <v>0</v>
      </c>
      <c r="J320" s="35">
        <f t="shared" si="54"/>
        <v>0</v>
      </c>
      <c r="K320" s="46">
        <f t="shared" si="55"/>
        <v>0</v>
      </c>
    </row>
    <row r="321" spans="1:9" x14ac:dyDescent="0.25">
      <c r="A321" s="1"/>
      <c r="B321" s="42"/>
      <c r="C321" s="43"/>
      <c r="D321" s="43"/>
      <c r="E321" s="43"/>
      <c r="F321" s="43"/>
      <c r="G321" s="44"/>
      <c r="H321" s="45"/>
      <c r="I321" s="35"/>
    </row>
    <row r="322" spans="1:9" x14ac:dyDescent="0.25">
      <c r="A322" s="1"/>
      <c r="B322" s="42"/>
      <c r="C322" s="43"/>
      <c r="D322" s="43"/>
      <c r="E322" s="43"/>
      <c r="F322" s="43"/>
      <c r="G322" s="44"/>
      <c r="H322" s="45"/>
      <c r="I322" s="35"/>
    </row>
    <row r="323" spans="1:9" x14ac:dyDescent="0.25">
      <c r="E323" s="43"/>
      <c r="F323" s="43"/>
      <c r="G323" s="44"/>
      <c r="H323" s="45"/>
      <c r="I323" s="35"/>
    </row>
    <row r="324" spans="1:9" x14ac:dyDescent="0.25">
      <c r="E324" s="43"/>
      <c r="F324" s="47"/>
      <c r="G324" s="48"/>
      <c r="H324" s="45"/>
      <c r="I324" s="35"/>
    </row>
    <row r="325" spans="1:9" x14ac:dyDescent="0.25">
      <c r="E325" s="49"/>
      <c r="F325" s="43"/>
      <c r="G325" s="44"/>
      <c r="H325" s="45"/>
      <c r="I325" s="35"/>
    </row>
    <row r="326" spans="1:9" x14ac:dyDescent="0.25">
      <c r="E326" s="43"/>
      <c r="F326" s="43"/>
      <c r="G326" s="44"/>
      <c r="H326" s="45"/>
      <c r="I326" s="35"/>
    </row>
    <row r="327" spans="1:9" x14ac:dyDescent="0.25">
      <c r="E327" s="43"/>
      <c r="F327" s="43"/>
      <c r="G327" s="44"/>
      <c r="H327" s="45"/>
      <c r="I327" s="35"/>
    </row>
    <row r="328" spans="1:9" x14ac:dyDescent="0.25">
      <c r="E328" s="43"/>
      <c r="F328" s="43"/>
      <c r="G328" s="44"/>
      <c r="H328" s="45"/>
      <c r="I328" s="35"/>
    </row>
    <row r="329" spans="1:9" x14ac:dyDescent="0.25">
      <c r="E329" s="43"/>
      <c r="F329" s="43"/>
      <c r="G329" s="44"/>
      <c r="H329" s="45"/>
      <c r="I329" s="35"/>
    </row>
    <row r="330" spans="1:9" x14ac:dyDescent="0.25">
      <c r="E330" s="43"/>
      <c r="F330" s="43"/>
      <c r="G330" s="44"/>
      <c r="H330" s="45"/>
      <c r="I330" s="35"/>
    </row>
    <row r="331" spans="1:9" x14ac:dyDescent="0.25">
      <c r="A331" s="1"/>
      <c r="F331" s="43"/>
      <c r="G331" s="44"/>
      <c r="H331" s="45"/>
      <c r="I331" s="35"/>
    </row>
    <row r="332" spans="1:9" x14ac:dyDescent="0.25">
      <c r="A332" s="1"/>
      <c r="F332" s="43"/>
      <c r="G332" s="44"/>
      <c r="H332" s="45"/>
      <c r="I332" s="35"/>
    </row>
    <row r="333" spans="1:9" x14ac:dyDescent="0.25">
      <c r="A333" s="1"/>
      <c r="F333" s="43"/>
      <c r="G333" s="44"/>
      <c r="H333" s="45"/>
      <c r="I333" s="35"/>
    </row>
    <row r="334" spans="1:9" x14ac:dyDescent="0.25">
      <c r="A334" s="1"/>
      <c r="F334" s="43"/>
      <c r="G334" s="44"/>
      <c r="H334" s="45"/>
      <c r="I334" s="35"/>
    </row>
    <row r="335" spans="1:9" x14ac:dyDescent="0.25">
      <c r="A335" s="1"/>
      <c r="F335" s="43"/>
      <c r="G335" s="44"/>
      <c r="H335" s="45"/>
      <c r="I335" s="35"/>
    </row>
    <row r="336" spans="1:9" x14ac:dyDescent="0.25">
      <c r="A336" s="1"/>
      <c r="F336" s="43"/>
      <c r="G336" s="44"/>
      <c r="H336" s="45"/>
      <c r="I336" s="35"/>
    </row>
    <row r="337" spans="1:9" x14ac:dyDescent="0.25">
      <c r="A337" s="1"/>
      <c r="F337" s="43"/>
      <c r="G337" s="44"/>
      <c r="H337" s="45"/>
      <c r="I337" s="35"/>
    </row>
    <row r="338" spans="1:9" x14ac:dyDescent="0.25">
      <c r="A338" s="1"/>
      <c r="F338" s="43"/>
      <c r="G338" s="44"/>
      <c r="H338" s="45"/>
      <c r="I338" s="35"/>
    </row>
    <row r="339" spans="1:9" x14ac:dyDescent="0.25">
      <c r="A339" s="1"/>
      <c r="F339" s="43"/>
      <c r="G339" s="44"/>
      <c r="H339" s="45"/>
      <c r="I339" s="35"/>
    </row>
    <row r="340" spans="1:9" x14ac:dyDescent="0.25">
      <c r="A340" s="1"/>
      <c r="F340" s="43"/>
      <c r="G340" s="44"/>
      <c r="H340" s="45"/>
      <c r="I340" s="35"/>
    </row>
    <row r="341" spans="1:9" x14ac:dyDescent="0.25">
      <c r="A341" s="1"/>
      <c r="F341" s="43"/>
      <c r="G341" s="44"/>
      <c r="H341" s="45"/>
      <c r="I341" s="35"/>
    </row>
    <row r="342" spans="1:9" x14ac:dyDescent="0.25">
      <c r="A342" s="1"/>
      <c r="F342" s="43"/>
      <c r="G342" s="44"/>
      <c r="H342" s="45"/>
      <c r="I342" s="35"/>
    </row>
    <row r="343" spans="1:9" x14ac:dyDescent="0.25">
      <c r="A343" s="1"/>
      <c r="F343" s="43"/>
      <c r="G343" s="44"/>
      <c r="H343" s="45"/>
      <c r="I343" s="35"/>
    </row>
    <row r="344" spans="1:9" x14ac:dyDescent="0.25">
      <c r="A344" s="1"/>
      <c r="F344" s="43"/>
      <c r="G344" s="44"/>
      <c r="H344" s="45"/>
      <c r="I344" s="35"/>
    </row>
    <row r="345" spans="1:9" x14ac:dyDescent="0.25">
      <c r="A345" s="1"/>
      <c r="F345" s="43"/>
      <c r="G345" s="44"/>
      <c r="H345" s="45"/>
      <c r="I345" s="35"/>
    </row>
    <row r="346" spans="1:9" x14ac:dyDescent="0.25">
      <c r="A346" s="1"/>
      <c r="F346" s="43"/>
      <c r="G346" s="44"/>
      <c r="H346" s="45"/>
      <c r="I346" s="35"/>
    </row>
    <row r="347" spans="1:9" x14ac:dyDescent="0.25">
      <c r="A347" s="1"/>
      <c r="F347" s="43"/>
      <c r="G347" s="44"/>
      <c r="H347" s="45"/>
      <c r="I347" s="35"/>
    </row>
    <row r="348" spans="1:9" x14ac:dyDescent="0.25">
      <c r="A348" s="1"/>
      <c r="F348" s="43"/>
      <c r="G348" s="44"/>
      <c r="H348" s="45"/>
      <c r="I348" s="35"/>
    </row>
    <row r="349" spans="1:9" x14ac:dyDescent="0.25">
      <c r="A349" s="1"/>
      <c r="F349" s="43"/>
      <c r="G349" s="44"/>
      <c r="H349" s="45"/>
      <c r="I349" s="35"/>
    </row>
    <row r="350" spans="1:9" x14ac:dyDescent="0.25">
      <c r="A350" s="1"/>
      <c r="F350" s="43"/>
      <c r="G350" s="44"/>
      <c r="H350" s="45"/>
      <c r="I350" s="35"/>
    </row>
    <row r="351" spans="1:9" x14ac:dyDescent="0.25">
      <c r="A351" s="1"/>
      <c r="F351" s="43"/>
      <c r="G351" s="44"/>
      <c r="H351" s="45"/>
      <c r="I351" s="35"/>
    </row>
    <row r="352" spans="1:9" x14ac:dyDescent="0.25">
      <c r="A352" s="1"/>
      <c r="F352" s="43"/>
      <c r="G352" s="44"/>
      <c r="H352" s="45"/>
      <c r="I352" s="35"/>
    </row>
    <row r="353" spans="1:9" x14ac:dyDescent="0.25">
      <c r="A353" s="1"/>
      <c r="F353" s="43"/>
      <c r="G353" s="44"/>
      <c r="H353" s="45"/>
      <c r="I353" s="35"/>
    </row>
    <row r="354" spans="1:9" x14ac:dyDescent="0.25">
      <c r="A354" s="1"/>
      <c r="F354" s="43"/>
      <c r="G354" s="44"/>
      <c r="H354" s="45"/>
      <c r="I354" s="35"/>
    </row>
    <row r="355" spans="1:9" x14ac:dyDescent="0.25">
      <c r="A355" s="1"/>
      <c r="F355" s="43"/>
      <c r="G355" s="44"/>
      <c r="H355" s="45"/>
      <c r="I355" s="35"/>
    </row>
    <row r="356" spans="1:9" x14ac:dyDescent="0.25">
      <c r="A356" s="1"/>
      <c r="F356" s="43"/>
      <c r="G356" s="44"/>
      <c r="H356" s="45"/>
      <c r="I356" s="35"/>
    </row>
    <row r="357" spans="1:9" x14ac:dyDescent="0.25">
      <c r="A357" s="1"/>
      <c r="B357" s="42"/>
      <c r="C357" s="43"/>
      <c r="D357" s="43"/>
      <c r="E357" s="43"/>
      <c r="F357" s="43"/>
      <c r="G357" s="44"/>
      <c r="H357" s="45"/>
      <c r="I357" s="35"/>
    </row>
    <row r="358" spans="1:9" x14ac:dyDescent="0.25">
      <c r="A358" s="1"/>
      <c r="B358" s="42"/>
      <c r="C358" s="43"/>
      <c r="D358" s="43"/>
      <c r="E358" s="43"/>
      <c r="F358" s="43"/>
      <c r="G358" s="44"/>
      <c r="H358" s="45"/>
      <c r="I358" s="35"/>
    </row>
    <row r="359" spans="1:9" x14ac:dyDescent="0.25">
      <c r="A359" s="1"/>
      <c r="B359" s="42"/>
      <c r="C359" s="43"/>
      <c r="D359" s="43"/>
      <c r="E359" s="43"/>
      <c r="F359" s="43"/>
      <c r="G359" s="44"/>
      <c r="H359" s="45"/>
      <c r="I359" s="35"/>
    </row>
    <row r="360" spans="1:9" x14ac:dyDescent="0.25">
      <c r="A360" s="1"/>
      <c r="B360" s="42"/>
      <c r="C360" s="43"/>
      <c r="D360" s="43"/>
      <c r="E360" s="43"/>
      <c r="F360" s="50"/>
      <c r="G360" s="51"/>
      <c r="H360" s="1"/>
      <c r="I360" s="35"/>
    </row>
    <row r="361" spans="1:9" x14ac:dyDescent="0.25">
      <c r="A361" s="1"/>
      <c r="B361" s="42"/>
      <c r="C361" s="43"/>
      <c r="D361" s="43"/>
      <c r="E361" s="43"/>
      <c r="F361" s="50"/>
      <c r="G361" s="51"/>
      <c r="H361" s="1"/>
      <c r="I361" s="35"/>
    </row>
    <row r="362" spans="1:9" x14ac:dyDescent="0.25">
      <c r="A362" s="1"/>
      <c r="B362" s="42"/>
      <c r="C362" s="43"/>
      <c r="D362" s="43"/>
      <c r="E362" s="43"/>
      <c r="F362" s="50"/>
      <c r="G362" s="51"/>
      <c r="H362" s="1"/>
      <c r="I362" s="35"/>
    </row>
    <row r="363" spans="1:9" x14ac:dyDescent="0.25">
      <c r="A363" s="1"/>
      <c r="B363" s="42"/>
      <c r="C363" s="43"/>
      <c r="D363" s="43"/>
      <c r="E363" s="43"/>
      <c r="F363" s="50"/>
      <c r="G363" s="51"/>
      <c r="H363" s="1"/>
      <c r="I363" s="35"/>
    </row>
    <row r="364" spans="1:9" x14ac:dyDescent="0.25">
      <c r="A364" s="1"/>
      <c r="B364" s="42"/>
      <c r="C364" s="43"/>
      <c r="D364" s="43"/>
      <c r="E364" s="43"/>
      <c r="F364" s="50"/>
      <c r="G364" s="51"/>
      <c r="H364" s="1"/>
      <c r="I364" s="35"/>
    </row>
    <row r="365" spans="1:9" x14ac:dyDescent="0.25">
      <c r="A365" s="1"/>
      <c r="B365" s="42"/>
      <c r="C365" s="43"/>
      <c r="D365" s="43"/>
      <c r="E365" s="43"/>
      <c r="F365" s="50"/>
      <c r="G365" s="51"/>
      <c r="H365" s="1"/>
      <c r="I365" s="35"/>
    </row>
    <row r="366" spans="1:9" x14ac:dyDescent="0.25">
      <c r="A366" s="1"/>
      <c r="B366" s="42"/>
      <c r="C366" s="43"/>
      <c r="D366" s="43"/>
      <c r="E366" s="43"/>
      <c r="F366" s="50"/>
      <c r="G366" s="51"/>
      <c r="H366" s="1"/>
      <c r="I366" s="35"/>
    </row>
    <row r="367" spans="1:9" x14ac:dyDescent="0.25">
      <c r="A367" s="1"/>
      <c r="B367" s="42"/>
      <c r="C367" s="43"/>
      <c r="D367" s="43"/>
      <c r="E367" s="43"/>
      <c r="F367" s="50"/>
      <c r="G367" s="51"/>
      <c r="H367" s="1"/>
      <c r="I367" s="35"/>
    </row>
    <row r="368" spans="1:9" x14ac:dyDescent="0.25">
      <c r="A368" s="1"/>
      <c r="B368" s="42"/>
      <c r="C368" s="43"/>
      <c r="D368" s="43"/>
      <c r="E368" s="43"/>
      <c r="F368" s="50"/>
      <c r="G368" s="51"/>
      <c r="H368" s="1"/>
      <c r="I368" s="35"/>
    </row>
    <row r="369" spans="1:9" x14ac:dyDescent="0.25">
      <c r="A369" s="1"/>
      <c r="B369" s="42"/>
      <c r="C369" s="43"/>
      <c r="D369" s="43"/>
      <c r="E369" s="43"/>
      <c r="F369" s="50"/>
      <c r="G369" s="51"/>
      <c r="H369" s="1"/>
      <c r="I369" s="35"/>
    </row>
    <row r="370" spans="1:9" x14ac:dyDescent="0.25">
      <c r="A370" s="1"/>
      <c r="B370" s="42"/>
      <c r="C370" s="43"/>
      <c r="D370" s="43"/>
      <c r="E370" s="43"/>
      <c r="F370" s="50"/>
      <c r="G370" s="51"/>
      <c r="H370" s="1"/>
      <c r="I370" s="35"/>
    </row>
    <row r="371" spans="1:9" x14ac:dyDescent="0.25">
      <c r="A371" s="1"/>
      <c r="B371" s="42"/>
      <c r="C371" s="43"/>
      <c r="D371" s="43"/>
      <c r="E371" s="43"/>
      <c r="F371" s="50"/>
      <c r="G371" s="51"/>
      <c r="H371" s="1"/>
      <c r="I371" s="35"/>
    </row>
    <row r="372" spans="1:9" x14ac:dyDescent="0.25">
      <c r="A372" s="1"/>
      <c r="B372" s="42"/>
      <c r="C372" s="43"/>
      <c r="D372" s="43"/>
      <c r="E372" s="43"/>
      <c r="F372" s="50"/>
      <c r="G372" s="51"/>
      <c r="H372" s="1"/>
      <c r="I372" s="35"/>
    </row>
    <row r="373" spans="1:9" x14ac:dyDescent="0.25">
      <c r="A373" s="1"/>
      <c r="B373" s="42"/>
      <c r="C373" s="43"/>
      <c r="D373" s="43"/>
      <c r="E373" s="43"/>
      <c r="F373" s="50"/>
      <c r="G373" s="51"/>
      <c r="H373" s="1"/>
      <c r="I373" s="35"/>
    </row>
    <row r="374" spans="1:9" x14ac:dyDescent="0.25">
      <c r="A374" s="1"/>
      <c r="B374" s="42"/>
      <c r="C374" s="43"/>
      <c r="D374" s="43"/>
      <c r="E374" s="43"/>
      <c r="F374" s="50"/>
      <c r="G374" s="51"/>
      <c r="H374" s="1"/>
      <c r="I374" s="35"/>
    </row>
    <row r="375" spans="1:9" x14ac:dyDescent="0.25">
      <c r="A375" s="1"/>
      <c r="B375" s="42"/>
      <c r="C375" s="43"/>
      <c r="D375" s="43"/>
      <c r="E375" s="43"/>
      <c r="F375" s="50"/>
      <c r="G375" s="51"/>
      <c r="H375" s="1"/>
      <c r="I375" s="35"/>
    </row>
    <row r="376" spans="1:9" x14ac:dyDescent="0.25">
      <c r="A376" s="1"/>
      <c r="B376" s="42"/>
      <c r="C376" s="43"/>
      <c r="D376" s="43"/>
      <c r="E376" s="43"/>
      <c r="F376" s="50"/>
      <c r="G376" s="51"/>
      <c r="H376" s="1"/>
      <c r="I376" s="35"/>
    </row>
    <row r="377" spans="1:9" x14ac:dyDescent="0.25">
      <c r="A377" s="1"/>
      <c r="B377" s="42"/>
      <c r="C377" s="43"/>
      <c r="D377" s="43"/>
      <c r="E377" s="43"/>
      <c r="F377" s="50"/>
      <c r="G377" s="51"/>
      <c r="H377" s="1"/>
      <c r="I377" s="35"/>
    </row>
    <row r="378" spans="1:9" x14ac:dyDescent="0.25">
      <c r="A378" s="1"/>
      <c r="B378" s="42"/>
      <c r="C378" s="43"/>
      <c r="D378" s="43"/>
      <c r="E378" s="43"/>
      <c r="F378" s="50"/>
      <c r="G378" s="51"/>
      <c r="H378" s="1"/>
      <c r="I378" s="35"/>
    </row>
    <row r="379" spans="1:9" x14ac:dyDescent="0.25">
      <c r="A379" s="1"/>
      <c r="B379" s="42"/>
      <c r="C379" s="43"/>
      <c r="D379" s="43"/>
      <c r="E379" s="43"/>
      <c r="F379" s="50"/>
      <c r="G379" s="51"/>
      <c r="H379" s="1"/>
      <c r="I379" s="35"/>
    </row>
    <row r="380" spans="1:9" x14ac:dyDescent="0.25">
      <c r="A380" s="1"/>
      <c r="B380" s="42"/>
      <c r="C380" s="43"/>
      <c r="D380" s="43"/>
      <c r="E380" s="43"/>
      <c r="F380" s="50"/>
      <c r="G380" s="51"/>
      <c r="H380" s="1"/>
      <c r="I380" s="35"/>
    </row>
    <row r="381" spans="1:9" x14ac:dyDescent="0.25">
      <c r="A381" s="1"/>
      <c r="B381" s="42"/>
      <c r="C381" s="43"/>
      <c r="D381" s="43"/>
      <c r="E381" s="43"/>
      <c r="F381" s="50"/>
      <c r="G381" s="51"/>
      <c r="H381" s="1"/>
      <c r="I381" s="35"/>
    </row>
    <row r="382" spans="1:9" x14ac:dyDescent="0.25">
      <c r="A382" s="1"/>
      <c r="B382" s="42"/>
      <c r="C382" s="43"/>
      <c r="D382" s="43"/>
      <c r="E382" s="43"/>
      <c r="F382" s="50"/>
      <c r="G382" s="51"/>
      <c r="H382" s="1"/>
      <c r="I382" s="35"/>
    </row>
    <row r="383" spans="1:9" x14ac:dyDescent="0.25">
      <c r="A383" s="1"/>
      <c r="B383" s="42"/>
      <c r="C383" s="43"/>
      <c r="D383" s="43"/>
      <c r="E383" s="43"/>
      <c r="F383" s="50"/>
      <c r="G383" s="51"/>
      <c r="H383" s="1"/>
      <c r="I383" s="35"/>
    </row>
    <row r="384" spans="1:9" x14ac:dyDescent="0.25">
      <c r="A384" s="1"/>
      <c r="B384" s="42"/>
      <c r="C384" s="43"/>
      <c r="D384" s="43"/>
      <c r="E384" s="43"/>
      <c r="F384" s="50"/>
      <c r="G384" s="51"/>
      <c r="H384" s="1"/>
      <c r="I384" s="35"/>
    </row>
    <row r="385" spans="1:9" x14ac:dyDescent="0.25">
      <c r="A385" s="1"/>
      <c r="B385" s="42"/>
      <c r="C385" s="43"/>
      <c r="D385" s="43"/>
      <c r="E385" s="43"/>
      <c r="F385" s="50"/>
      <c r="G385" s="51"/>
      <c r="H385" s="1"/>
      <c r="I385" s="35"/>
    </row>
    <row r="386" spans="1:9" x14ac:dyDescent="0.25">
      <c r="A386" s="1"/>
      <c r="B386" s="42"/>
      <c r="C386" s="43"/>
      <c r="D386" s="43"/>
      <c r="E386" s="43"/>
      <c r="F386" s="50"/>
      <c r="G386" s="51"/>
      <c r="H386" s="1"/>
      <c r="I386" s="35"/>
    </row>
    <row r="387" spans="1:9" x14ac:dyDescent="0.25">
      <c r="A387" s="1"/>
      <c r="B387" s="42"/>
      <c r="C387" s="43"/>
      <c r="D387" s="43"/>
      <c r="E387" s="43"/>
      <c r="F387" s="50"/>
      <c r="G387" s="51"/>
      <c r="H387" s="1"/>
      <c r="I387" s="35"/>
    </row>
    <row r="388" spans="1:9" x14ac:dyDescent="0.25">
      <c r="A388" s="1"/>
      <c r="B388" s="42"/>
      <c r="C388" s="43"/>
      <c r="D388" s="43"/>
      <c r="E388" s="43"/>
      <c r="F388" s="50"/>
      <c r="G388" s="51"/>
      <c r="H388" s="1"/>
      <c r="I388" s="35"/>
    </row>
    <row r="389" spans="1:9" x14ac:dyDescent="0.25">
      <c r="A389" s="1"/>
      <c r="B389" s="42"/>
      <c r="C389" s="43"/>
      <c r="D389" s="43"/>
      <c r="E389" s="43"/>
      <c r="F389" s="50"/>
      <c r="G389" s="51"/>
      <c r="H389" s="1"/>
      <c r="I389" s="35"/>
    </row>
    <row r="390" spans="1:9" x14ac:dyDescent="0.25">
      <c r="A390" s="1"/>
      <c r="B390" s="42"/>
      <c r="C390" s="43"/>
      <c r="D390" s="43"/>
      <c r="E390" s="43"/>
      <c r="F390" s="50"/>
      <c r="G390" s="51"/>
      <c r="H390" s="1"/>
      <c r="I390" s="35"/>
    </row>
    <row r="391" spans="1:9" x14ac:dyDescent="0.25">
      <c r="A391" s="1"/>
      <c r="B391" s="42"/>
      <c r="C391" s="43"/>
      <c r="D391" s="43"/>
      <c r="E391" s="43"/>
      <c r="F391" s="50"/>
      <c r="G391" s="51"/>
      <c r="H391" s="1"/>
      <c r="I391" s="35"/>
    </row>
    <row r="392" spans="1:9" x14ac:dyDescent="0.25">
      <c r="A392" s="1"/>
      <c r="B392" s="42"/>
      <c r="C392" s="43"/>
      <c r="D392" s="43"/>
      <c r="E392" s="43"/>
      <c r="F392" s="50"/>
      <c r="G392" s="51"/>
      <c r="H392" s="1"/>
      <c r="I392" s="35"/>
    </row>
    <row r="393" spans="1:9" x14ac:dyDescent="0.25">
      <c r="A393" s="1"/>
      <c r="B393" s="42"/>
      <c r="C393" s="43"/>
      <c r="D393" s="43"/>
      <c r="E393" s="43"/>
      <c r="F393" s="50"/>
      <c r="G393" s="51"/>
      <c r="H393" s="1"/>
      <c r="I393" s="35"/>
    </row>
    <row r="394" spans="1:9" x14ac:dyDescent="0.25">
      <c r="A394" s="1"/>
      <c r="B394" s="42"/>
      <c r="C394" s="43"/>
      <c r="D394" s="43"/>
      <c r="E394" s="43"/>
      <c r="F394" s="50"/>
      <c r="G394" s="51"/>
      <c r="H394" s="1"/>
      <c r="I394" s="35"/>
    </row>
    <row r="395" spans="1:9" x14ac:dyDescent="0.25">
      <c r="A395" s="1"/>
      <c r="B395" s="42"/>
      <c r="C395" s="43"/>
      <c r="D395" s="43"/>
      <c r="E395" s="43"/>
      <c r="F395" s="50"/>
      <c r="G395" s="51"/>
      <c r="H395" s="1"/>
      <c r="I395" s="35"/>
    </row>
    <row r="396" spans="1:9" x14ac:dyDescent="0.25">
      <c r="A396" s="1"/>
      <c r="B396" s="42"/>
      <c r="C396" s="43"/>
      <c r="D396" s="43"/>
      <c r="E396" s="43"/>
      <c r="F396" s="50"/>
      <c r="G396" s="51"/>
      <c r="H396" s="1"/>
      <c r="I396" s="35"/>
    </row>
    <row r="397" spans="1:9" x14ac:dyDescent="0.25">
      <c r="A397" s="1"/>
      <c r="B397" s="42"/>
      <c r="C397" s="43"/>
      <c r="D397" s="43"/>
      <c r="E397" s="43"/>
      <c r="F397" s="50"/>
      <c r="G397" s="51"/>
      <c r="H397" s="1"/>
      <c r="I397" s="35"/>
    </row>
    <row r="398" spans="1:9" x14ac:dyDescent="0.25">
      <c r="A398" s="1"/>
      <c r="B398" s="42"/>
      <c r="C398" s="43"/>
      <c r="D398" s="43"/>
      <c r="E398" s="43"/>
      <c r="F398" s="50"/>
      <c r="G398" s="51"/>
      <c r="H398" s="1"/>
      <c r="I398" s="35"/>
    </row>
    <row r="399" spans="1:9" x14ac:dyDescent="0.25">
      <c r="A399" s="1"/>
      <c r="B399" s="42"/>
      <c r="C399" s="43"/>
      <c r="D399" s="43"/>
      <c r="E399" s="43"/>
      <c r="F399" s="50"/>
      <c r="G399" s="51"/>
      <c r="H399" s="1"/>
      <c r="I399" s="35"/>
    </row>
    <row r="400" spans="1:9" x14ac:dyDescent="0.25">
      <c r="A400" s="1"/>
      <c r="B400" s="42"/>
      <c r="C400" s="43"/>
      <c r="D400" s="43"/>
      <c r="E400" s="43"/>
      <c r="F400" s="50"/>
      <c r="G400" s="51"/>
      <c r="H400" s="1"/>
      <c r="I400" s="35"/>
    </row>
    <row r="401" spans="1:9" x14ac:dyDescent="0.25">
      <c r="A401" s="1"/>
      <c r="B401" s="42"/>
      <c r="C401" s="43"/>
      <c r="D401" s="43"/>
      <c r="E401" s="43"/>
      <c r="F401" s="50"/>
      <c r="G401" s="51"/>
      <c r="H401" s="1"/>
      <c r="I401" s="35"/>
    </row>
    <row r="402" spans="1:9" x14ac:dyDescent="0.25">
      <c r="A402" s="1"/>
      <c r="B402" s="42"/>
      <c r="C402" s="43"/>
      <c r="D402" s="43"/>
      <c r="E402" s="43"/>
      <c r="F402" s="50"/>
      <c r="G402" s="51"/>
      <c r="H402" s="1"/>
      <c r="I402" s="35"/>
    </row>
    <row r="403" spans="1:9" x14ac:dyDescent="0.25">
      <c r="A403" s="1"/>
      <c r="B403" s="42"/>
      <c r="C403" s="43"/>
      <c r="D403" s="43"/>
      <c r="E403" s="43"/>
      <c r="F403" s="50"/>
      <c r="G403" s="51"/>
      <c r="H403" s="1"/>
      <c r="I403" s="35"/>
    </row>
    <row r="404" spans="1:9" x14ac:dyDescent="0.25">
      <c r="A404" s="1"/>
      <c r="B404" s="42"/>
      <c r="C404" s="43"/>
      <c r="D404" s="43"/>
      <c r="E404" s="43"/>
      <c r="F404" s="50"/>
      <c r="G404" s="51"/>
      <c r="H404" s="1"/>
      <c r="I404" s="35"/>
    </row>
    <row r="405" spans="1:9" x14ac:dyDescent="0.25">
      <c r="A405" s="1"/>
      <c r="B405" s="42"/>
      <c r="C405" s="43"/>
      <c r="D405" s="43"/>
      <c r="E405" s="43"/>
      <c r="F405" s="50"/>
      <c r="G405" s="51"/>
      <c r="H405" s="1"/>
      <c r="I405" s="35"/>
    </row>
    <row r="406" spans="1:9" x14ac:dyDescent="0.25">
      <c r="A406" s="1"/>
      <c r="B406" s="42"/>
      <c r="C406" s="43"/>
      <c r="D406" s="43"/>
      <c r="E406" s="43"/>
      <c r="F406" s="50"/>
      <c r="G406" s="51"/>
      <c r="H406" s="1"/>
      <c r="I406" s="35"/>
    </row>
    <row r="407" spans="1:9" x14ac:dyDescent="0.25">
      <c r="A407" s="1"/>
      <c r="B407" s="42"/>
      <c r="C407" s="43"/>
      <c r="D407" s="43"/>
      <c r="E407" s="43"/>
      <c r="F407" s="50"/>
      <c r="G407" s="51"/>
      <c r="H407" s="1"/>
      <c r="I407" s="35"/>
    </row>
    <row r="408" spans="1:9" x14ac:dyDescent="0.25">
      <c r="A408" s="1"/>
      <c r="B408" s="42"/>
      <c r="C408" s="43"/>
      <c r="D408" s="43"/>
      <c r="E408" s="43"/>
      <c r="F408" s="50"/>
      <c r="G408" s="51"/>
      <c r="H408" s="1"/>
      <c r="I408" s="35"/>
    </row>
    <row r="409" spans="1:9" x14ac:dyDescent="0.25">
      <c r="A409" s="1"/>
      <c r="B409" s="42"/>
      <c r="C409" s="43"/>
      <c r="D409" s="43"/>
      <c r="E409" s="43"/>
      <c r="F409" s="50"/>
      <c r="G409" s="51"/>
      <c r="H409" s="1"/>
      <c r="I409" s="35"/>
    </row>
    <row r="410" spans="1:9" x14ac:dyDescent="0.25">
      <c r="A410" s="1"/>
      <c r="B410" s="42"/>
      <c r="C410" s="43"/>
      <c r="D410" s="43"/>
      <c r="E410" s="43"/>
      <c r="F410" s="50"/>
      <c r="G410" s="51"/>
      <c r="H410" s="1"/>
      <c r="I410" s="35"/>
    </row>
    <row r="411" spans="1:9" x14ac:dyDescent="0.25">
      <c r="A411" s="1"/>
      <c r="B411" s="42"/>
      <c r="C411" s="43"/>
      <c r="D411" s="43"/>
      <c r="E411" s="43"/>
      <c r="F411" s="50"/>
      <c r="G411" s="51"/>
      <c r="H411" s="1"/>
      <c r="I411" s="35"/>
    </row>
    <row r="412" spans="1:9" x14ac:dyDescent="0.25">
      <c r="A412" s="1"/>
      <c r="B412" s="42"/>
      <c r="C412" s="43"/>
      <c r="D412" s="43"/>
      <c r="E412" s="43"/>
      <c r="F412" s="50"/>
      <c r="G412" s="51"/>
      <c r="H412" s="1"/>
      <c r="I412" s="35"/>
    </row>
    <row r="413" spans="1:9" x14ac:dyDescent="0.25">
      <c r="A413" s="1"/>
      <c r="B413" s="42"/>
      <c r="C413" s="43"/>
      <c r="D413" s="43"/>
      <c r="E413" s="43"/>
      <c r="F413" s="50"/>
      <c r="G413" s="51"/>
      <c r="H413" s="1"/>
      <c r="I413" s="35"/>
    </row>
    <row r="414" spans="1:9" x14ac:dyDescent="0.25">
      <c r="A414" s="1"/>
      <c r="B414" s="42"/>
      <c r="C414" s="43"/>
      <c r="D414" s="43"/>
      <c r="E414" s="43"/>
      <c r="F414" s="50"/>
      <c r="G414" s="51"/>
      <c r="H414" s="1"/>
      <c r="I414" s="35"/>
    </row>
    <row r="415" spans="1:9" x14ac:dyDescent="0.25">
      <c r="A415" s="1"/>
      <c r="B415" s="42"/>
      <c r="C415" s="43"/>
      <c r="D415" s="43"/>
      <c r="E415" s="43"/>
      <c r="F415" s="50"/>
      <c r="G415" s="51"/>
      <c r="H415" s="1"/>
      <c r="I415" s="35"/>
    </row>
    <row r="416" spans="1:9" x14ac:dyDescent="0.25">
      <c r="A416" s="1"/>
      <c r="B416" s="42"/>
      <c r="C416" s="43"/>
      <c r="D416" s="43"/>
      <c r="E416" s="43"/>
      <c r="F416" s="50"/>
      <c r="G416" s="51"/>
      <c r="H416" s="1"/>
      <c r="I416" s="35"/>
    </row>
    <row r="417" spans="1:9" x14ac:dyDescent="0.25">
      <c r="A417" s="1"/>
      <c r="B417" s="42"/>
      <c r="C417" s="43"/>
      <c r="D417" s="43"/>
      <c r="E417" s="43"/>
      <c r="F417" s="50"/>
      <c r="G417" s="51"/>
      <c r="H417" s="1"/>
      <c r="I417" s="35"/>
    </row>
    <row r="418" spans="1:9" x14ac:dyDescent="0.25">
      <c r="A418" s="1"/>
      <c r="B418" s="42"/>
      <c r="C418" s="43"/>
      <c r="D418" s="43"/>
      <c r="E418" s="43"/>
      <c r="F418" s="50"/>
      <c r="G418" s="51"/>
      <c r="H418" s="1"/>
      <c r="I418" s="35"/>
    </row>
    <row r="419" spans="1:9" x14ac:dyDescent="0.25">
      <c r="A419" s="1"/>
      <c r="B419" s="42"/>
      <c r="C419" s="43"/>
      <c r="D419" s="43"/>
      <c r="E419" s="43"/>
      <c r="F419" s="50"/>
      <c r="G419" s="51"/>
      <c r="H419" s="1"/>
      <c r="I419" s="35"/>
    </row>
    <row r="420" spans="1:9" x14ac:dyDescent="0.25">
      <c r="A420" s="1"/>
      <c r="B420" s="42"/>
      <c r="C420" s="43"/>
      <c r="D420" s="43"/>
      <c r="E420" s="43"/>
      <c r="F420" s="50"/>
      <c r="G420" s="51"/>
      <c r="H420" s="1"/>
      <c r="I420" s="35"/>
    </row>
    <row r="421" spans="1:9" x14ac:dyDescent="0.25">
      <c r="A421" s="1"/>
      <c r="B421" s="42"/>
      <c r="C421" s="43"/>
      <c r="D421" s="43"/>
      <c r="E421" s="43"/>
      <c r="F421" s="50"/>
      <c r="G421" s="51"/>
      <c r="H421" s="1"/>
      <c r="I421" s="35"/>
    </row>
    <row r="422" spans="1:9" x14ac:dyDescent="0.25">
      <c r="A422" s="1"/>
      <c r="B422" s="42"/>
      <c r="C422" s="43"/>
      <c r="D422" s="43"/>
      <c r="E422" s="43"/>
      <c r="F422" s="50"/>
      <c r="G422" s="51"/>
      <c r="H422" s="1"/>
      <c r="I422" s="35"/>
    </row>
    <row r="423" spans="1:9" x14ac:dyDescent="0.25">
      <c r="A423" s="1"/>
      <c r="B423" s="42"/>
      <c r="C423" s="43"/>
      <c r="D423" s="43"/>
      <c r="E423" s="43"/>
      <c r="F423" s="50"/>
      <c r="G423" s="51"/>
      <c r="H423" s="1"/>
      <c r="I423" s="35"/>
    </row>
    <row r="424" spans="1:9" x14ac:dyDescent="0.25">
      <c r="A424" s="1"/>
      <c r="B424" s="42"/>
      <c r="C424" s="43"/>
      <c r="D424" s="43"/>
      <c r="E424" s="43"/>
      <c r="F424" s="50"/>
      <c r="G424" s="51"/>
      <c r="H424" s="1"/>
      <c r="I424" s="35"/>
    </row>
    <row r="425" spans="1:9" x14ac:dyDescent="0.25">
      <c r="A425" s="1"/>
      <c r="B425" s="42"/>
      <c r="C425" s="43"/>
      <c r="D425" s="43"/>
      <c r="E425" s="43"/>
      <c r="F425" s="50"/>
      <c r="G425" s="51"/>
      <c r="H425" s="1"/>
      <c r="I425" s="35"/>
    </row>
    <row r="426" spans="1:9" x14ac:dyDescent="0.25">
      <c r="A426" s="1"/>
      <c r="B426" s="42"/>
      <c r="C426" s="43"/>
      <c r="D426" s="43"/>
      <c r="E426" s="43"/>
      <c r="F426" s="50"/>
      <c r="G426" s="51"/>
      <c r="H426" s="1"/>
      <c r="I426" s="35"/>
    </row>
    <row r="427" spans="1:9" x14ac:dyDescent="0.25">
      <c r="A427" s="1"/>
      <c r="B427" s="42"/>
      <c r="C427" s="43"/>
      <c r="D427" s="43"/>
      <c r="E427" s="43"/>
      <c r="F427" s="50"/>
      <c r="G427" s="51"/>
      <c r="H427" s="1"/>
      <c r="I427" s="35"/>
    </row>
    <row r="428" spans="1:9" x14ac:dyDescent="0.25">
      <c r="A428" s="1"/>
      <c r="B428" s="42"/>
      <c r="C428" s="43"/>
      <c r="D428" s="43"/>
      <c r="E428" s="43"/>
      <c r="F428" s="50"/>
      <c r="G428" s="51"/>
      <c r="H428" s="1"/>
      <c r="I428" s="35"/>
    </row>
    <row r="429" spans="1:9" x14ac:dyDescent="0.25">
      <c r="A429" s="1"/>
      <c r="B429" s="42"/>
      <c r="C429" s="43"/>
      <c r="D429" s="43"/>
      <c r="E429" s="43"/>
      <c r="F429" s="50"/>
      <c r="G429" s="51"/>
      <c r="H429" s="1"/>
      <c r="I429" s="35"/>
    </row>
    <row r="430" spans="1:9" x14ac:dyDescent="0.25">
      <c r="A430" s="1"/>
      <c r="B430" s="42"/>
      <c r="C430" s="43"/>
      <c r="D430" s="43"/>
      <c r="E430" s="43"/>
      <c r="F430" s="50"/>
      <c r="G430" s="51"/>
      <c r="H430" s="1"/>
      <c r="I430" s="35"/>
    </row>
    <row r="431" spans="1:9" x14ac:dyDescent="0.25">
      <c r="A431" s="1"/>
      <c r="B431" s="42"/>
      <c r="C431" s="43"/>
      <c r="D431" s="43"/>
      <c r="E431" s="43"/>
      <c r="F431" s="50"/>
      <c r="G431" s="51"/>
      <c r="H431" s="1"/>
      <c r="I431" s="35"/>
    </row>
    <row r="432" spans="1:9" x14ac:dyDescent="0.25">
      <c r="A432" s="1"/>
      <c r="B432" s="42"/>
      <c r="C432" s="43"/>
      <c r="D432" s="43"/>
      <c r="E432" s="43"/>
      <c r="F432" s="50"/>
      <c r="G432" s="51"/>
      <c r="H432" s="1"/>
      <c r="I432" s="35"/>
    </row>
    <row r="433" spans="1:9" x14ac:dyDescent="0.25">
      <c r="A433" s="1"/>
      <c r="B433" s="42"/>
      <c r="C433" s="43"/>
      <c r="D433" s="43"/>
      <c r="E433" s="43"/>
      <c r="F433" s="50"/>
      <c r="G433" s="51"/>
      <c r="H433" s="1"/>
      <c r="I433" s="35"/>
    </row>
    <row r="434" spans="1:9" x14ac:dyDescent="0.25">
      <c r="A434" s="1"/>
      <c r="B434" s="42"/>
      <c r="C434" s="43"/>
      <c r="D434" s="43"/>
      <c r="E434" s="43"/>
      <c r="F434" s="50"/>
      <c r="G434" s="51"/>
      <c r="H434" s="1"/>
      <c r="I434" s="35"/>
    </row>
    <row r="435" spans="1:9" x14ac:dyDescent="0.25">
      <c r="A435" s="1"/>
      <c r="B435" s="42"/>
      <c r="C435" s="43"/>
      <c r="D435" s="43"/>
      <c r="E435" s="43"/>
      <c r="F435" s="50"/>
      <c r="G435" s="51"/>
      <c r="H435" s="1"/>
      <c r="I435" s="35"/>
    </row>
    <row r="436" spans="1:9" x14ac:dyDescent="0.25">
      <c r="A436" s="1"/>
      <c r="B436" s="42"/>
      <c r="C436" s="43"/>
      <c r="D436" s="43"/>
      <c r="E436" s="43"/>
      <c r="F436" s="50"/>
      <c r="G436" s="51"/>
      <c r="H436" s="1"/>
      <c r="I436" s="35"/>
    </row>
    <row r="437" spans="1:9" x14ac:dyDescent="0.25">
      <c r="A437" s="1"/>
      <c r="B437" s="42"/>
      <c r="C437" s="43"/>
      <c r="D437" s="43"/>
      <c r="E437" s="43"/>
      <c r="F437" s="50"/>
      <c r="G437" s="51"/>
      <c r="H437" s="1"/>
      <c r="I437" s="35"/>
    </row>
    <row r="438" spans="1:9" x14ac:dyDescent="0.25">
      <c r="A438" s="1"/>
      <c r="B438" s="42"/>
      <c r="C438" s="43"/>
      <c r="D438" s="43"/>
      <c r="E438" s="43"/>
      <c r="F438" s="50"/>
      <c r="G438" s="51"/>
      <c r="H438" s="1"/>
      <c r="I438" s="35"/>
    </row>
    <row r="439" spans="1:9" x14ac:dyDescent="0.25">
      <c r="A439" s="1"/>
      <c r="B439" s="42"/>
      <c r="C439" s="43"/>
      <c r="D439" s="43"/>
      <c r="E439" s="43"/>
      <c r="F439" s="50"/>
      <c r="G439" s="51"/>
      <c r="H439" s="1"/>
      <c r="I439" s="35"/>
    </row>
    <row r="440" spans="1:9" x14ac:dyDescent="0.25">
      <c r="A440" s="1"/>
      <c r="B440" s="42"/>
      <c r="C440" s="43"/>
      <c r="D440" s="43"/>
      <c r="E440" s="43"/>
      <c r="F440" s="50"/>
      <c r="G440" s="51"/>
      <c r="H440" s="1"/>
      <c r="I440" s="35"/>
    </row>
    <row r="441" spans="1:9" x14ac:dyDescent="0.25">
      <c r="A441" s="1"/>
      <c r="B441" s="42"/>
      <c r="C441" s="43"/>
      <c r="D441" s="43"/>
      <c r="E441" s="43"/>
      <c r="F441" s="50"/>
      <c r="G441" s="51"/>
      <c r="H441" s="1"/>
      <c r="I441" s="35"/>
    </row>
    <row r="442" spans="1:9" x14ac:dyDescent="0.25">
      <c r="A442" s="1"/>
      <c r="B442" s="42"/>
      <c r="C442" s="43"/>
      <c r="D442" s="43"/>
      <c r="E442" s="43"/>
      <c r="F442" s="50"/>
      <c r="G442" s="51"/>
      <c r="H442" s="1"/>
      <c r="I442" s="35"/>
    </row>
    <row r="443" spans="1:9" x14ac:dyDescent="0.25">
      <c r="A443" s="1"/>
      <c r="B443" s="42"/>
      <c r="C443" s="43"/>
      <c r="D443" s="43"/>
      <c r="E443" s="43"/>
      <c r="F443" s="50"/>
      <c r="G443" s="51"/>
      <c r="H443" s="1"/>
      <c r="I443" s="35"/>
    </row>
    <row r="444" spans="1:9" x14ac:dyDescent="0.25">
      <c r="A444" s="1"/>
      <c r="B444" s="42"/>
      <c r="C444" s="49"/>
      <c r="D444" s="52"/>
      <c r="E444" s="49"/>
      <c r="F444" s="50"/>
      <c r="G444" s="51"/>
      <c r="H444" s="1"/>
      <c r="I444" s="35"/>
    </row>
    <row r="445" spans="1:9" x14ac:dyDescent="0.25">
      <c r="A445" s="1"/>
      <c r="B445" s="42"/>
      <c r="C445" s="49"/>
      <c r="D445" s="52"/>
      <c r="E445" s="49"/>
      <c r="F445" s="50"/>
      <c r="G445" s="51"/>
      <c r="H445" s="1"/>
      <c r="I445" s="35"/>
    </row>
    <row r="446" spans="1:9" x14ac:dyDescent="0.25">
      <c r="A446" s="1"/>
      <c r="B446" s="42"/>
      <c r="C446" s="49"/>
      <c r="D446" s="52"/>
      <c r="E446" s="49"/>
      <c r="F446" s="50"/>
      <c r="G446" s="51"/>
      <c r="H446" s="1"/>
      <c r="I446" s="35"/>
    </row>
    <row r="447" spans="1:9" x14ac:dyDescent="0.25">
      <c r="A447" s="1"/>
      <c r="B447" s="42"/>
      <c r="C447" s="49"/>
      <c r="D447" s="52"/>
      <c r="E447" s="49"/>
      <c r="F447" s="50"/>
      <c r="G447" s="51"/>
      <c r="H447" s="1"/>
      <c r="I447" s="35"/>
    </row>
    <row r="448" spans="1:9" x14ac:dyDescent="0.25">
      <c r="A448" s="1"/>
      <c r="B448" s="42"/>
      <c r="C448" s="49"/>
      <c r="D448" s="52"/>
      <c r="E448" s="49"/>
      <c r="F448" s="50"/>
      <c r="G448" s="51"/>
      <c r="H448" s="1"/>
      <c r="I448" s="35"/>
    </row>
    <row r="449" spans="1:9" x14ac:dyDescent="0.25">
      <c r="A449" s="1"/>
      <c r="B449" s="42"/>
      <c r="C449" s="49"/>
      <c r="D449" s="52"/>
      <c r="E449" s="49"/>
      <c r="F449" s="50"/>
      <c r="G449" s="51"/>
      <c r="H449" s="1"/>
      <c r="I449" s="35"/>
    </row>
    <row r="450" spans="1:9" x14ac:dyDescent="0.25">
      <c r="A450" s="1"/>
      <c r="B450" s="42"/>
      <c r="C450" s="49"/>
      <c r="D450" s="52"/>
      <c r="E450" s="49"/>
      <c r="F450" s="50"/>
      <c r="G450" s="51"/>
      <c r="H450" s="1"/>
      <c r="I450" s="35"/>
    </row>
    <row r="451" spans="1:9" x14ac:dyDescent="0.25">
      <c r="A451" s="1"/>
      <c r="B451" s="42"/>
      <c r="C451" s="49"/>
      <c r="D451" s="52"/>
      <c r="E451" s="49"/>
      <c r="F451" s="50"/>
      <c r="G451" s="51"/>
      <c r="H451" s="1"/>
      <c r="I451" s="35"/>
    </row>
    <row r="452" spans="1:9" x14ac:dyDescent="0.25">
      <c r="A452" s="1"/>
      <c r="B452" s="42"/>
      <c r="C452" s="49"/>
      <c r="D452" s="52"/>
      <c r="E452" s="49"/>
      <c r="F452" s="50"/>
      <c r="G452" s="51"/>
      <c r="H452" s="1"/>
      <c r="I452" s="35"/>
    </row>
    <row r="453" spans="1:9" x14ac:dyDescent="0.25">
      <c r="A453" s="1"/>
      <c r="B453" s="42"/>
      <c r="C453" s="49"/>
      <c r="D453" s="52"/>
      <c r="E453" s="49"/>
      <c r="F453" s="50"/>
      <c r="G453" s="51"/>
      <c r="H453" s="1"/>
      <c r="I453" s="35"/>
    </row>
    <row r="454" spans="1:9" x14ac:dyDescent="0.25">
      <c r="A454" s="1"/>
      <c r="B454" s="42"/>
      <c r="C454" s="49"/>
      <c r="D454" s="52"/>
      <c r="E454" s="49"/>
      <c r="F454" s="50"/>
      <c r="G454" s="51"/>
      <c r="H454" s="1"/>
      <c r="I454" s="35"/>
    </row>
    <row r="455" spans="1:9" x14ac:dyDescent="0.25">
      <c r="A455" s="1"/>
      <c r="B455" s="42"/>
      <c r="C455" s="49"/>
      <c r="D455" s="52"/>
      <c r="E455" s="49"/>
      <c r="F455" s="50"/>
      <c r="G455" s="51"/>
      <c r="H455" s="1"/>
      <c r="I455" s="35"/>
    </row>
    <row r="456" spans="1:9" x14ac:dyDescent="0.25">
      <c r="A456" s="1"/>
      <c r="B456" s="42"/>
      <c r="C456" s="49"/>
      <c r="D456" s="52"/>
      <c r="E456" s="49"/>
      <c r="F456" s="50"/>
      <c r="G456" s="51"/>
      <c r="H456" s="1"/>
      <c r="I456" s="35"/>
    </row>
    <row r="457" spans="1:9" x14ac:dyDescent="0.25">
      <c r="A457" s="1"/>
      <c r="B457" s="42"/>
      <c r="C457" s="49"/>
      <c r="D457" s="52"/>
      <c r="E457" s="49"/>
      <c r="F457" s="50"/>
      <c r="G457" s="51"/>
      <c r="H457" s="1"/>
      <c r="I457" s="35"/>
    </row>
    <row r="458" spans="1:9" x14ac:dyDescent="0.25">
      <c r="A458" s="1"/>
      <c r="B458" s="42"/>
      <c r="C458" s="49"/>
      <c r="D458" s="52"/>
      <c r="E458" s="49"/>
      <c r="F458" s="50"/>
      <c r="G458" s="51"/>
      <c r="H458" s="1"/>
      <c r="I458" s="35"/>
    </row>
    <row r="459" spans="1:9" x14ac:dyDescent="0.25">
      <c r="A459" s="1"/>
      <c r="B459" s="42"/>
      <c r="C459" s="49"/>
      <c r="D459" s="52"/>
      <c r="E459" s="49"/>
      <c r="F459" s="50"/>
      <c r="G459" s="51"/>
      <c r="H459" s="1"/>
      <c r="I459" s="35"/>
    </row>
    <row r="460" spans="1:9" x14ac:dyDescent="0.25">
      <c r="A460" s="1"/>
      <c r="B460" s="42"/>
      <c r="C460" s="49"/>
      <c r="D460" s="52"/>
      <c r="E460" s="49"/>
      <c r="F460" s="50"/>
      <c r="G460" s="51"/>
      <c r="H460" s="1"/>
      <c r="I460" s="35"/>
    </row>
    <row r="461" spans="1:9" x14ac:dyDescent="0.25">
      <c r="A461" s="1"/>
      <c r="B461" s="42"/>
      <c r="C461" s="49"/>
      <c r="D461" s="52"/>
      <c r="E461" s="49"/>
      <c r="F461" s="50"/>
      <c r="G461" s="51"/>
      <c r="H461" s="1"/>
      <c r="I461" s="35"/>
    </row>
    <row r="462" spans="1:9" x14ac:dyDescent="0.25">
      <c r="A462" s="1"/>
      <c r="B462" s="42"/>
      <c r="C462" s="49"/>
      <c r="D462" s="52"/>
      <c r="E462" s="49"/>
      <c r="F462" s="50"/>
      <c r="G462" s="51"/>
      <c r="H462" s="1"/>
      <c r="I462" s="35"/>
    </row>
    <row r="463" spans="1:9" x14ac:dyDescent="0.25">
      <c r="A463" s="1"/>
      <c r="B463" s="42"/>
      <c r="C463" s="49"/>
      <c r="D463" s="52"/>
      <c r="E463" s="49"/>
      <c r="F463" s="50"/>
      <c r="G463" s="51"/>
      <c r="H463" s="1"/>
      <c r="I463" s="35"/>
    </row>
    <row r="464" spans="1:9" x14ac:dyDescent="0.25">
      <c r="A464" s="1"/>
      <c r="B464" s="42"/>
      <c r="C464" s="49"/>
      <c r="D464" s="52"/>
      <c r="E464" s="49"/>
      <c r="F464" s="50"/>
      <c r="G464" s="51"/>
      <c r="H464" s="1"/>
      <c r="I464" s="35"/>
    </row>
    <row r="465" spans="1:9" x14ac:dyDescent="0.25">
      <c r="A465" s="1"/>
      <c r="B465" s="42"/>
      <c r="C465" s="49"/>
      <c r="D465" s="52"/>
      <c r="E465" s="49"/>
      <c r="F465" s="50"/>
      <c r="G465" s="51"/>
      <c r="H465" s="1"/>
      <c r="I465" s="35"/>
    </row>
    <row r="466" spans="1:9" x14ac:dyDescent="0.25">
      <c r="A466" s="1"/>
      <c r="B466" s="42"/>
      <c r="C466" s="49"/>
      <c r="D466" s="52"/>
      <c r="E466" s="49"/>
      <c r="F466" s="50"/>
      <c r="G466" s="51"/>
      <c r="H466" s="1"/>
      <c r="I466" s="35"/>
    </row>
    <row r="467" spans="1:9" x14ac:dyDescent="0.25">
      <c r="A467" s="1"/>
      <c r="B467" s="42"/>
      <c r="C467" s="49"/>
      <c r="D467" s="52"/>
      <c r="E467" s="49"/>
      <c r="F467" s="50"/>
      <c r="G467" s="51"/>
      <c r="H467" s="1"/>
      <c r="I467" s="35"/>
    </row>
    <row r="468" spans="1:9" x14ac:dyDescent="0.25">
      <c r="A468" s="1"/>
      <c r="B468" s="42"/>
      <c r="C468" s="49"/>
      <c r="D468" s="52"/>
      <c r="E468" s="49"/>
      <c r="F468" s="50"/>
      <c r="G468" s="51"/>
      <c r="H468" s="1"/>
      <c r="I468" s="35"/>
    </row>
    <row r="469" spans="1:9" x14ac:dyDescent="0.25">
      <c r="A469" s="1"/>
      <c r="B469" s="42"/>
      <c r="C469" s="49"/>
      <c r="D469" s="52"/>
      <c r="E469" s="49"/>
      <c r="F469" s="50"/>
      <c r="G469" s="51"/>
      <c r="H469" s="1"/>
      <c r="I469" s="35"/>
    </row>
    <row r="470" spans="1:9" x14ac:dyDescent="0.25">
      <c r="A470" s="1"/>
      <c r="B470" s="42"/>
      <c r="C470" s="49"/>
      <c r="D470" s="52"/>
      <c r="E470" s="49"/>
      <c r="F470" s="50"/>
      <c r="G470" s="51"/>
      <c r="H470" s="1"/>
      <c r="I470" s="35"/>
    </row>
    <row r="471" spans="1:9" x14ac:dyDescent="0.25">
      <c r="A471" s="1"/>
      <c r="B471" s="42"/>
      <c r="C471" s="49"/>
      <c r="D471" s="52"/>
      <c r="E471" s="49"/>
      <c r="F471" s="50"/>
      <c r="G471" s="51"/>
      <c r="H471" s="1"/>
      <c r="I471" s="35"/>
    </row>
    <row r="472" spans="1:9" x14ac:dyDescent="0.25">
      <c r="A472" s="1"/>
      <c r="B472" s="42"/>
      <c r="C472" s="49"/>
      <c r="D472" s="52"/>
      <c r="E472" s="49"/>
      <c r="F472" s="50"/>
      <c r="G472" s="51"/>
      <c r="H472" s="1"/>
      <c r="I472" s="35"/>
    </row>
    <row r="473" spans="1:9" x14ac:dyDescent="0.25">
      <c r="A473" s="1"/>
      <c r="B473" s="42"/>
      <c r="C473" s="49"/>
      <c r="D473" s="52"/>
      <c r="E473" s="49"/>
      <c r="F473" s="50"/>
      <c r="G473" s="51"/>
      <c r="H473" s="1"/>
      <c r="I473" s="35"/>
    </row>
    <row r="474" spans="1:9" x14ac:dyDescent="0.25">
      <c r="A474" s="1"/>
      <c r="B474" s="42"/>
      <c r="C474" s="49"/>
      <c r="D474" s="52"/>
      <c r="E474" s="49"/>
      <c r="F474" s="50"/>
      <c r="G474" s="51"/>
      <c r="H474" s="1"/>
      <c r="I474" s="35"/>
    </row>
    <row r="475" spans="1:9" x14ac:dyDescent="0.25">
      <c r="A475" s="1"/>
      <c r="B475" s="42"/>
      <c r="C475" s="49"/>
      <c r="D475" s="52"/>
      <c r="E475" s="49"/>
      <c r="F475" s="50"/>
      <c r="G475" s="51"/>
      <c r="H475" s="1"/>
      <c r="I475" s="35"/>
    </row>
    <row r="476" spans="1:9" x14ac:dyDescent="0.25">
      <c r="A476" s="1"/>
      <c r="B476" s="42"/>
      <c r="C476" s="49"/>
      <c r="D476" s="52"/>
      <c r="E476" s="49"/>
      <c r="F476" s="50"/>
      <c r="G476" s="51"/>
      <c r="H476" s="1"/>
      <c r="I476" s="35"/>
    </row>
    <row r="477" spans="1:9" x14ac:dyDescent="0.25">
      <c r="A477" s="1"/>
      <c r="B477" s="42"/>
      <c r="C477" s="49"/>
      <c r="D477" s="52"/>
      <c r="E477" s="49"/>
      <c r="F477" s="50"/>
      <c r="G477" s="51"/>
      <c r="H477" s="1"/>
      <c r="I477" s="35"/>
    </row>
  </sheetData>
  <conditionalFormatting sqref="G3">
    <cfRule type="expression" dxfId="0" priority="1" stopIfTrue="1">
      <formula>$G$2=FALSE</formula>
    </cfRule>
  </conditionalFormatting>
  <dataValidations count="1">
    <dataValidation type="list" allowBlank="1" showInputMessage="1" showErrorMessage="1" sqref="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G5 JC5 SY5 ACU5 AMQ5 AWM5 BGI5 BQE5 CAA5 CJW5 CTS5 DDO5 DNK5 DXG5 EHC5 EQY5 FAU5 FKQ5 FUM5 GEI5 GOE5 GYA5 HHW5 HRS5 IBO5 ILK5 IVG5 JFC5 JOY5 JYU5 KIQ5 KSM5 LCI5 LME5 LWA5 MFW5 MPS5 MZO5 NJK5 NTG5 ODC5 OMY5 OWU5 PGQ5 PQM5 QAI5 QKE5 QUA5 RDW5 RNS5 RXO5 SHK5 SRG5 TBC5 TKY5 TUU5 UEQ5 UOM5 UYI5 VIE5 VSA5 WBW5 WLS5 WVO5 G65541 JC65541 SY65541 ACU65541 AMQ65541 AWM65541 BGI65541 BQE65541 CAA65541 CJW65541 CTS65541 DDO65541 DNK65541 DXG65541 EHC65541 EQY65541 FAU65541 FKQ65541 FUM65541 GEI65541 GOE65541 GYA65541 HHW65541 HRS65541 IBO65541 ILK65541 IVG65541 JFC65541 JOY65541 JYU65541 KIQ65541 KSM65541 LCI65541 LME65541 LWA65541 MFW65541 MPS65541 MZO65541 NJK65541 NTG65541 ODC65541 OMY65541 OWU65541 PGQ65541 PQM65541 QAI65541 QKE65541 QUA65541 RDW65541 RNS65541 RXO65541 SHK65541 SRG65541 TBC65541 TKY65541 TUU65541 UEQ65541 UOM65541 UYI65541 VIE65541 VSA65541 WBW65541 WLS65541 WVO65541 G131077 JC131077 SY131077 ACU131077 AMQ131077 AWM131077 BGI131077 BQE131077 CAA131077 CJW131077 CTS131077 DDO131077 DNK131077 DXG131077 EHC131077 EQY131077 FAU131077 FKQ131077 FUM131077 GEI131077 GOE131077 GYA131077 HHW131077 HRS131077 IBO131077 ILK131077 IVG131077 JFC131077 JOY131077 JYU131077 KIQ131077 KSM131077 LCI131077 LME131077 LWA131077 MFW131077 MPS131077 MZO131077 NJK131077 NTG131077 ODC131077 OMY131077 OWU131077 PGQ131077 PQM131077 QAI131077 QKE131077 QUA131077 RDW131077 RNS131077 RXO131077 SHK131077 SRG131077 TBC131077 TKY131077 TUU131077 UEQ131077 UOM131077 UYI131077 VIE131077 VSA131077 WBW131077 WLS131077 WVO131077 G196613 JC196613 SY196613 ACU196613 AMQ196613 AWM196613 BGI196613 BQE196613 CAA196613 CJW196613 CTS196613 DDO196613 DNK196613 DXG196613 EHC196613 EQY196613 FAU196613 FKQ196613 FUM196613 GEI196613 GOE196613 GYA196613 HHW196613 HRS196613 IBO196613 ILK196613 IVG196613 JFC196613 JOY196613 JYU196613 KIQ196613 KSM196613 LCI196613 LME196613 LWA196613 MFW196613 MPS196613 MZO196613 NJK196613 NTG196613 ODC196613 OMY196613 OWU196613 PGQ196613 PQM196613 QAI196613 QKE196613 QUA196613 RDW196613 RNS196613 RXO196613 SHK196613 SRG196613 TBC196613 TKY196613 TUU196613 UEQ196613 UOM196613 UYI196613 VIE196613 VSA196613 WBW196613 WLS196613 WVO196613 G262149 JC262149 SY262149 ACU262149 AMQ262149 AWM262149 BGI262149 BQE262149 CAA262149 CJW262149 CTS262149 DDO262149 DNK262149 DXG262149 EHC262149 EQY262149 FAU262149 FKQ262149 FUM262149 GEI262149 GOE262149 GYA262149 HHW262149 HRS262149 IBO262149 ILK262149 IVG262149 JFC262149 JOY262149 JYU262149 KIQ262149 KSM262149 LCI262149 LME262149 LWA262149 MFW262149 MPS262149 MZO262149 NJK262149 NTG262149 ODC262149 OMY262149 OWU262149 PGQ262149 PQM262149 QAI262149 QKE262149 QUA262149 RDW262149 RNS262149 RXO262149 SHK262149 SRG262149 TBC262149 TKY262149 TUU262149 UEQ262149 UOM262149 UYI262149 VIE262149 VSA262149 WBW262149 WLS262149 WVO262149 G327685 JC327685 SY327685 ACU327685 AMQ327685 AWM327685 BGI327685 BQE327685 CAA327685 CJW327685 CTS327685 DDO327685 DNK327685 DXG327685 EHC327685 EQY327685 FAU327685 FKQ327685 FUM327685 GEI327685 GOE327685 GYA327685 HHW327685 HRS327685 IBO327685 ILK327685 IVG327685 JFC327685 JOY327685 JYU327685 KIQ327685 KSM327685 LCI327685 LME327685 LWA327685 MFW327685 MPS327685 MZO327685 NJK327685 NTG327685 ODC327685 OMY327685 OWU327685 PGQ327685 PQM327685 QAI327685 QKE327685 QUA327685 RDW327685 RNS327685 RXO327685 SHK327685 SRG327685 TBC327685 TKY327685 TUU327685 UEQ327685 UOM327685 UYI327685 VIE327685 VSA327685 WBW327685 WLS327685 WVO327685 G393221 JC393221 SY393221 ACU393221 AMQ393221 AWM393221 BGI393221 BQE393221 CAA393221 CJW393221 CTS393221 DDO393221 DNK393221 DXG393221 EHC393221 EQY393221 FAU393221 FKQ393221 FUM393221 GEI393221 GOE393221 GYA393221 HHW393221 HRS393221 IBO393221 ILK393221 IVG393221 JFC393221 JOY393221 JYU393221 KIQ393221 KSM393221 LCI393221 LME393221 LWA393221 MFW393221 MPS393221 MZO393221 NJK393221 NTG393221 ODC393221 OMY393221 OWU393221 PGQ393221 PQM393221 QAI393221 QKE393221 QUA393221 RDW393221 RNS393221 RXO393221 SHK393221 SRG393221 TBC393221 TKY393221 TUU393221 UEQ393221 UOM393221 UYI393221 VIE393221 VSA393221 WBW393221 WLS393221 WVO393221 G458757 JC458757 SY458757 ACU458757 AMQ458757 AWM458757 BGI458757 BQE458757 CAA458757 CJW458757 CTS458757 DDO458757 DNK458757 DXG458757 EHC458757 EQY458757 FAU458757 FKQ458757 FUM458757 GEI458757 GOE458757 GYA458757 HHW458757 HRS458757 IBO458757 ILK458757 IVG458757 JFC458757 JOY458757 JYU458757 KIQ458757 KSM458757 LCI458757 LME458757 LWA458757 MFW458757 MPS458757 MZO458757 NJK458757 NTG458757 ODC458757 OMY458757 OWU458757 PGQ458757 PQM458757 QAI458757 QKE458757 QUA458757 RDW458757 RNS458757 RXO458757 SHK458757 SRG458757 TBC458757 TKY458757 TUU458757 UEQ458757 UOM458757 UYI458757 VIE458757 VSA458757 WBW458757 WLS458757 WVO458757 G524293 JC524293 SY524293 ACU524293 AMQ524293 AWM524293 BGI524293 BQE524293 CAA524293 CJW524293 CTS524293 DDO524293 DNK524293 DXG524293 EHC524293 EQY524293 FAU524293 FKQ524293 FUM524293 GEI524293 GOE524293 GYA524293 HHW524293 HRS524293 IBO524293 ILK524293 IVG524293 JFC524293 JOY524293 JYU524293 KIQ524293 KSM524293 LCI524293 LME524293 LWA524293 MFW524293 MPS524293 MZO524293 NJK524293 NTG524293 ODC524293 OMY524293 OWU524293 PGQ524293 PQM524293 QAI524293 QKE524293 QUA524293 RDW524293 RNS524293 RXO524293 SHK524293 SRG524293 TBC524293 TKY524293 TUU524293 UEQ524293 UOM524293 UYI524293 VIE524293 VSA524293 WBW524293 WLS524293 WVO524293 G589829 JC589829 SY589829 ACU589829 AMQ589829 AWM589829 BGI589829 BQE589829 CAA589829 CJW589829 CTS589829 DDO589829 DNK589829 DXG589829 EHC589829 EQY589829 FAU589829 FKQ589829 FUM589829 GEI589829 GOE589829 GYA589829 HHW589829 HRS589829 IBO589829 ILK589829 IVG589829 JFC589829 JOY589829 JYU589829 KIQ589829 KSM589829 LCI589829 LME589829 LWA589829 MFW589829 MPS589829 MZO589829 NJK589829 NTG589829 ODC589829 OMY589829 OWU589829 PGQ589829 PQM589829 QAI589829 QKE589829 QUA589829 RDW589829 RNS589829 RXO589829 SHK589829 SRG589829 TBC589829 TKY589829 TUU589829 UEQ589829 UOM589829 UYI589829 VIE589829 VSA589829 WBW589829 WLS589829 WVO589829 G655365 JC655365 SY655365 ACU655365 AMQ655365 AWM655365 BGI655365 BQE655365 CAA655365 CJW655365 CTS655365 DDO655365 DNK655365 DXG655365 EHC655365 EQY655365 FAU655365 FKQ655365 FUM655365 GEI655365 GOE655365 GYA655365 HHW655365 HRS655365 IBO655365 ILK655365 IVG655365 JFC655365 JOY655365 JYU655365 KIQ655365 KSM655365 LCI655365 LME655365 LWA655365 MFW655365 MPS655365 MZO655365 NJK655365 NTG655365 ODC655365 OMY655365 OWU655365 PGQ655365 PQM655365 QAI655365 QKE655365 QUA655365 RDW655365 RNS655365 RXO655365 SHK655365 SRG655365 TBC655365 TKY655365 TUU655365 UEQ655365 UOM655365 UYI655365 VIE655365 VSA655365 WBW655365 WLS655365 WVO655365 G720901 JC720901 SY720901 ACU720901 AMQ720901 AWM720901 BGI720901 BQE720901 CAA720901 CJW720901 CTS720901 DDO720901 DNK720901 DXG720901 EHC720901 EQY720901 FAU720901 FKQ720901 FUM720901 GEI720901 GOE720901 GYA720901 HHW720901 HRS720901 IBO720901 ILK720901 IVG720901 JFC720901 JOY720901 JYU720901 KIQ720901 KSM720901 LCI720901 LME720901 LWA720901 MFW720901 MPS720901 MZO720901 NJK720901 NTG720901 ODC720901 OMY720901 OWU720901 PGQ720901 PQM720901 QAI720901 QKE720901 QUA720901 RDW720901 RNS720901 RXO720901 SHK720901 SRG720901 TBC720901 TKY720901 TUU720901 UEQ720901 UOM720901 UYI720901 VIE720901 VSA720901 WBW720901 WLS720901 WVO720901 G786437 JC786437 SY786437 ACU786437 AMQ786437 AWM786437 BGI786437 BQE786437 CAA786437 CJW786437 CTS786437 DDO786437 DNK786437 DXG786437 EHC786437 EQY786437 FAU786437 FKQ786437 FUM786437 GEI786437 GOE786437 GYA786437 HHW786437 HRS786437 IBO786437 ILK786437 IVG786437 JFC786437 JOY786437 JYU786437 KIQ786437 KSM786437 LCI786437 LME786437 LWA786437 MFW786437 MPS786437 MZO786437 NJK786437 NTG786437 ODC786437 OMY786437 OWU786437 PGQ786437 PQM786437 QAI786437 QKE786437 QUA786437 RDW786437 RNS786437 RXO786437 SHK786437 SRG786437 TBC786437 TKY786437 TUU786437 UEQ786437 UOM786437 UYI786437 VIE786437 VSA786437 WBW786437 WLS786437 WVO786437 G851973 JC851973 SY851973 ACU851973 AMQ851973 AWM851973 BGI851973 BQE851973 CAA851973 CJW851973 CTS851973 DDO851973 DNK851973 DXG851973 EHC851973 EQY851973 FAU851973 FKQ851973 FUM851973 GEI851973 GOE851973 GYA851973 HHW851973 HRS851973 IBO851973 ILK851973 IVG851973 JFC851973 JOY851973 JYU851973 KIQ851973 KSM851973 LCI851973 LME851973 LWA851973 MFW851973 MPS851973 MZO851973 NJK851973 NTG851973 ODC851973 OMY851973 OWU851973 PGQ851973 PQM851973 QAI851973 QKE851973 QUA851973 RDW851973 RNS851973 RXO851973 SHK851973 SRG851973 TBC851973 TKY851973 TUU851973 UEQ851973 UOM851973 UYI851973 VIE851973 VSA851973 WBW851973 WLS851973 WVO851973 G917509 JC917509 SY917509 ACU917509 AMQ917509 AWM917509 BGI917509 BQE917509 CAA917509 CJW917509 CTS917509 DDO917509 DNK917509 DXG917509 EHC917509 EQY917509 FAU917509 FKQ917509 FUM917509 GEI917509 GOE917509 GYA917509 HHW917509 HRS917509 IBO917509 ILK917509 IVG917509 JFC917509 JOY917509 JYU917509 KIQ917509 KSM917509 LCI917509 LME917509 LWA917509 MFW917509 MPS917509 MZO917509 NJK917509 NTG917509 ODC917509 OMY917509 OWU917509 PGQ917509 PQM917509 QAI917509 QKE917509 QUA917509 RDW917509 RNS917509 RXO917509 SHK917509 SRG917509 TBC917509 TKY917509 TUU917509 UEQ917509 UOM917509 UYI917509 VIE917509 VSA917509 WBW917509 WLS917509 WVO917509 G983045 JC983045 SY983045 ACU983045 AMQ983045 AWM983045 BGI983045 BQE983045 CAA983045 CJW983045 CTS983045 DDO983045 DNK983045 DXG983045 EHC983045 EQY983045 FAU983045 FKQ983045 FUM983045 GEI983045 GOE983045 GYA983045 HHW983045 HRS983045 IBO983045 ILK983045 IVG983045 JFC983045 JOY983045 JYU983045 KIQ983045 KSM983045 LCI983045 LME983045 LWA983045 MFW983045 MPS983045 MZO983045 NJK983045 NTG983045 ODC983045 OMY983045 OWU983045 PGQ983045 PQM983045 QAI983045 QKE983045 QUA983045 RDW983045 RNS983045 RXO983045 SHK983045 SRG983045 TBC983045 TKY983045 TUU983045 UEQ983045 UOM983045 UYI983045 VIE983045 VSA983045 WBW983045 WLS983045 WVO983045">
      <formula1>"TRUE, FALSE"</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73"/>
  <sheetViews>
    <sheetView workbookViewId="0">
      <selection activeCell="F3" sqref="F3"/>
    </sheetView>
  </sheetViews>
  <sheetFormatPr defaultRowHeight="15" x14ac:dyDescent="0.25"/>
  <cols>
    <col min="2" max="2" width="23.42578125" customWidth="1"/>
    <col min="3" max="6" width="16.85546875" style="46" customWidth="1"/>
    <col min="7" max="7" width="15.5703125" style="46" bestFit="1" customWidth="1"/>
    <col min="8" max="10" width="15.5703125" style="46" customWidth="1"/>
    <col min="11" max="11" width="11.7109375" bestFit="1" customWidth="1"/>
    <col min="12" max="12" width="11.7109375" customWidth="1"/>
    <col min="258" max="258" width="23.42578125" customWidth="1"/>
    <col min="259" max="262" width="16.85546875" customWidth="1"/>
    <col min="263" max="263" width="15.5703125" bestFit="1" customWidth="1"/>
    <col min="264" max="266" width="15.5703125" customWidth="1"/>
    <col min="267" max="267" width="11.7109375" bestFit="1" customWidth="1"/>
    <col min="268" max="268" width="11.7109375" customWidth="1"/>
    <col min="514" max="514" width="23.42578125" customWidth="1"/>
    <col min="515" max="518" width="16.85546875" customWidth="1"/>
    <col min="519" max="519" width="15.5703125" bestFit="1" customWidth="1"/>
    <col min="520" max="522" width="15.5703125" customWidth="1"/>
    <col min="523" max="523" width="11.7109375" bestFit="1" customWidth="1"/>
    <col min="524" max="524" width="11.7109375" customWidth="1"/>
    <col min="770" max="770" width="23.42578125" customWidth="1"/>
    <col min="771" max="774" width="16.85546875" customWidth="1"/>
    <col min="775" max="775" width="15.5703125" bestFit="1" customWidth="1"/>
    <col min="776" max="778" width="15.5703125" customWidth="1"/>
    <col min="779" max="779" width="11.7109375" bestFit="1" customWidth="1"/>
    <col min="780" max="780" width="11.7109375" customWidth="1"/>
    <col min="1026" max="1026" width="23.42578125" customWidth="1"/>
    <col min="1027" max="1030" width="16.85546875" customWidth="1"/>
    <col min="1031" max="1031" width="15.5703125" bestFit="1" customWidth="1"/>
    <col min="1032" max="1034" width="15.5703125" customWidth="1"/>
    <col min="1035" max="1035" width="11.7109375" bestFit="1" customWidth="1"/>
    <col min="1036" max="1036" width="11.7109375" customWidth="1"/>
    <col min="1282" max="1282" width="23.42578125" customWidth="1"/>
    <col min="1283" max="1286" width="16.85546875" customWidth="1"/>
    <col min="1287" max="1287" width="15.5703125" bestFit="1" customWidth="1"/>
    <col min="1288" max="1290" width="15.5703125" customWidth="1"/>
    <col min="1291" max="1291" width="11.7109375" bestFit="1" customWidth="1"/>
    <col min="1292" max="1292" width="11.7109375" customWidth="1"/>
    <col min="1538" max="1538" width="23.42578125" customWidth="1"/>
    <col min="1539" max="1542" width="16.85546875" customWidth="1"/>
    <col min="1543" max="1543" width="15.5703125" bestFit="1" customWidth="1"/>
    <col min="1544" max="1546" width="15.5703125" customWidth="1"/>
    <col min="1547" max="1547" width="11.7109375" bestFit="1" customWidth="1"/>
    <col min="1548" max="1548" width="11.7109375" customWidth="1"/>
    <col min="1794" max="1794" width="23.42578125" customWidth="1"/>
    <col min="1795" max="1798" width="16.85546875" customWidth="1"/>
    <col min="1799" max="1799" width="15.5703125" bestFit="1" customWidth="1"/>
    <col min="1800" max="1802" width="15.5703125" customWidth="1"/>
    <col min="1803" max="1803" width="11.7109375" bestFit="1" customWidth="1"/>
    <col min="1804" max="1804" width="11.7109375" customWidth="1"/>
    <col min="2050" max="2050" width="23.42578125" customWidth="1"/>
    <col min="2051" max="2054" width="16.85546875" customWidth="1"/>
    <col min="2055" max="2055" width="15.5703125" bestFit="1" customWidth="1"/>
    <col min="2056" max="2058" width="15.5703125" customWidth="1"/>
    <col min="2059" max="2059" width="11.7109375" bestFit="1" customWidth="1"/>
    <col min="2060" max="2060" width="11.7109375" customWidth="1"/>
    <col min="2306" max="2306" width="23.42578125" customWidth="1"/>
    <col min="2307" max="2310" width="16.85546875" customWidth="1"/>
    <col min="2311" max="2311" width="15.5703125" bestFit="1" customWidth="1"/>
    <col min="2312" max="2314" width="15.5703125" customWidth="1"/>
    <col min="2315" max="2315" width="11.7109375" bestFit="1" customWidth="1"/>
    <col min="2316" max="2316" width="11.7109375" customWidth="1"/>
    <col min="2562" max="2562" width="23.42578125" customWidth="1"/>
    <col min="2563" max="2566" width="16.85546875" customWidth="1"/>
    <col min="2567" max="2567" width="15.5703125" bestFit="1" customWidth="1"/>
    <col min="2568" max="2570" width="15.5703125" customWidth="1"/>
    <col min="2571" max="2571" width="11.7109375" bestFit="1" customWidth="1"/>
    <col min="2572" max="2572" width="11.7109375" customWidth="1"/>
    <col min="2818" max="2818" width="23.42578125" customWidth="1"/>
    <col min="2819" max="2822" width="16.85546875" customWidth="1"/>
    <col min="2823" max="2823" width="15.5703125" bestFit="1" customWidth="1"/>
    <col min="2824" max="2826" width="15.5703125" customWidth="1"/>
    <col min="2827" max="2827" width="11.7109375" bestFit="1" customWidth="1"/>
    <col min="2828" max="2828" width="11.7109375" customWidth="1"/>
    <col min="3074" max="3074" width="23.42578125" customWidth="1"/>
    <col min="3075" max="3078" width="16.85546875" customWidth="1"/>
    <col min="3079" max="3079" width="15.5703125" bestFit="1" customWidth="1"/>
    <col min="3080" max="3082" width="15.5703125" customWidth="1"/>
    <col min="3083" max="3083" width="11.7109375" bestFit="1" customWidth="1"/>
    <col min="3084" max="3084" width="11.7109375" customWidth="1"/>
    <col min="3330" max="3330" width="23.42578125" customWidth="1"/>
    <col min="3331" max="3334" width="16.85546875" customWidth="1"/>
    <col min="3335" max="3335" width="15.5703125" bestFit="1" customWidth="1"/>
    <col min="3336" max="3338" width="15.5703125" customWidth="1"/>
    <col min="3339" max="3339" width="11.7109375" bestFit="1" customWidth="1"/>
    <col min="3340" max="3340" width="11.7109375" customWidth="1"/>
    <col min="3586" max="3586" width="23.42578125" customWidth="1"/>
    <col min="3587" max="3590" width="16.85546875" customWidth="1"/>
    <col min="3591" max="3591" width="15.5703125" bestFit="1" customWidth="1"/>
    <col min="3592" max="3594" width="15.5703125" customWidth="1"/>
    <col min="3595" max="3595" width="11.7109375" bestFit="1" customWidth="1"/>
    <col min="3596" max="3596" width="11.7109375" customWidth="1"/>
    <col min="3842" max="3842" width="23.42578125" customWidth="1"/>
    <col min="3843" max="3846" width="16.85546875" customWidth="1"/>
    <col min="3847" max="3847" width="15.5703125" bestFit="1" customWidth="1"/>
    <col min="3848" max="3850" width="15.5703125" customWidth="1"/>
    <col min="3851" max="3851" width="11.7109375" bestFit="1" customWidth="1"/>
    <col min="3852" max="3852" width="11.7109375" customWidth="1"/>
    <col min="4098" max="4098" width="23.42578125" customWidth="1"/>
    <col min="4099" max="4102" width="16.85546875" customWidth="1"/>
    <col min="4103" max="4103" width="15.5703125" bestFit="1" customWidth="1"/>
    <col min="4104" max="4106" width="15.5703125" customWidth="1"/>
    <col min="4107" max="4107" width="11.7109375" bestFit="1" customWidth="1"/>
    <col min="4108" max="4108" width="11.7109375" customWidth="1"/>
    <col min="4354" max="4354" width="23.42578125" customWidth="1"/>
    <col min="4355" max="4358" width="16.85546875" customWidth="1"/>
    <col min="4359" max="4359" width="15.5703125" bestFit="1" customWidth="1"/>
    <col min="4360" max="4362" width="15.5703125" customWidth="1"/>
    <col min="4363" max="4363" width="11.7109375" bestFit="1" customWidth="1"/>
    <col min="4364" max="4364" width="11.7109375" customWidth="1"/>
    <col min="4610" max="4610" width="23.42578125" customWidth="1"/>
    <col min="4611" max="4614" width="16.85546875" customWidth="1"/>
    <col min="4615" max="4615" width="15.5703125" bestFit="1" customWidth="1"/>
    <col min="4616" max="4618" width="15.5703125" customWidth="1"/>
    <col min="4619" max="4619" width="11.7109375" bestFit="1" customWidth="1"/>
    <col min="4620" max="4620" width="11.7109375" customWidth="1"/>
    <col min="4866" max="4866" width="23.42578125" customWidth="1"/>
    <col min="4867" max="4870" width="16.85546875" customWidth="1"/>
    <col min="4871" max="4871" width="15.5703125" bestFit="1" customWidth="1"/>
    <col min="4872" max="4874" width="15.5703125" customWidth="1"/>
    <col min="4875" max="4875" width="11.7109375" bestFit="1" customWidth="1"/>
    <col min="4876" max="4876" width="11.7109375" customWidth="1"/>
    <col min="5122" max="5122" width="23.42578125" customWidth="1"/>
    <col min="5123" max="5126" width="16.85546875" customWidth="1"/>
    <col min="5127" max="5127" width="15.5703125" bestFit="1" customWidth="1"/>
    <col min="5128" max="5130" width="15.5703125" customWidth="1"/>
    <col min="5131" max="5131" width="11.7109375" bestFit="1" customWidth="1"/>
    <col min="5132" max="5132" width="11.7109375" customWidth="1"/>
    <col min="5378" max="5378" width="23.42578125" customWidth="1"/>
    <col min="5379" max="5382" width="16.85546875" customWidth="1"/>
    <col min="5383" max="5383" width="15.5703125" bestFit="1" customWidth="1"/>
    <col min="5384" max="5386" width="15.5703125" customWidth="1"/>
    <col min="5387" max="5387" width="11.7109375" bestFit="1" customWidth="1"/>
    <col min="5388" max="5388" width="11.7109375" customWidth="1"/>
    <col min="5634" max="5634" width="23.42578125" customWidth="1"/>
    <col min="5635" max="5638" width="16.85546875" customWidth="1"/>
    <col min="5639" max="5639" width="15.5703125" bestFit="1" customWidth="1"/>
    <col min="5640" max="5642" width="15.5703125" customWidth="1"/>
    <col min="5643" max="5643" width="11.7109375" bestFit="1" customWidth="1"/>
    <col min="5644" max="5644" width="11.7109375" customWidth="1"/>
    <col min="5890" max="5890" width="23.42578125" customWidth="1"/>
    <col min="5891" max="5894" width="16.85546875" customWidth="1"/>
    <col min="5895" max="5895" width="15.5703125" bestFit="1" customWidth="1"/>
    <col min="5896" max="5898" width="15.5703125" customWidth="1"/>
    <col min="5899" max="5899" width="11.7109375" bestFit="1" customWidth="1"/>
    <col min="5900" max="5900" width="11.7109375" customWidth="1"/>
    <col min="6146" max="6146" width="23.42578125" customWidth="1"/>
    <col min="6147" max="6150" width="16.85546875" customWidth="1"/>
    <col min="6151" max="6151" width="15.5703125" bestFit="1" customWidth="1"/>
    <col min="6152" max="6154" width="15.5703125" customWidth="1"/>
    <col min="6155" max="6155" width="11.7109375" bestFit="1" customWidth="1"/>
    <col min="6156" max="6156" width="11.7109375" customWidth="1"/>
    <col min="6402" max="6402" width="23.42578125" customWidth="1"/>
    <col min="6403" max="6406" width="16.85546875" customWidth="1"/>
    <col min="6407" max="6407" width="15.5703125" bestFit="1" customWidth="1"/>
    <col min="6408" max="6410" width="15.5703125" customWidth="1"/>
    <col min="6411" max="6411" width="11.7109375" bestFit="1" customWidth="1"/>
    <col min="6412" max="6412" width="11.7109375" customWidth="1"/>
    <col min="6658" max="6658" width="23.42578125" customWidth="1"/>
    <col min="6659" max="6662" width="16.85546875" customWidth="1"/>
    <col min="6663" max="6663" width="15.5703125" bestFit="1" customWidth="1"/>
    <col min="6664" max="6666" width="15.5703125" customWidth="1"/>
    <col min="6667" max="6667" width="11.7109375" bestFit="1" customWidth="1"/>
    <col min="6668" max="6668" width="11.7109375" customWidth="1"/>
    <col min="6914" max="6914" width="23.42578125" customWidth="1"/>
    <col min="6915" max="6918" width="16.85546875" customWidth="1"/>
    <col min="6919" max="6919" width="15.5703125" bestFit="1" customWidth="1"/>
    <col min="6920" max="6922" width="15.5703125" customWidth="1"/>
    <col min="6923" max="6923" width="11.7109375" bestFit="1" customWidth="1"/>
    <col min="6924" max="6924" width="11.7109375" customWidth="1"/>
    <col min="7170" max="7170" width="23.42578125" customWidth="1"/>
    <col min="7171" max="7174" width="16.85546875" customWidth="1"/>
    <col min="7175" max="7175" width="15.5703125" bestFit="1" customWidth="1"/>
    <col min="7176" max="7178" width="15.5703125" customWidth="1"/>
    <col min="7179" max="7179" width="11.7109375" bestFit="1" customWidth="1"/>
    <col min="7180" max="7180" width="11.7109375" customWidth="1"/>
    <col min="7426" max="7426" width="23.42578125" customWidth="1"/>
    <col min="7427" max="7430" width="16.85546875" customWidth="1"/>
    <col min="7431" max="7431" width="15.5703125" bestFit="1" customWidth="1"/>
    <col min="7432" max="7434" width="15.5703125" customWidth="1"/>
    <col min="7435" max="7435" width="11.7109375" bestFit="1" customWidth="1"/>
    <col min="7436" max="7436" width="11.7109375" customWidth="1"/>
    <col min="7682" max="7682" width="23.42578125" customWidth="1"/>
    <col min="7683" max="7686" width="16.85546875" customWidth="1"/>
    <col min="7687" max="7687" width="15.5703125" bestFit="1" customWidth="1"/>
    <col min="7688" max="7690" width="15.5703125" customWidth="1"/>
    <col min="7691" max="7691" width="11.7109375" bestFit="1" customWidth="1"/>
    <col min="7692" max="7692" width="11.7109375" customWidth="1"/>
    <col min="7938" max="7938" width="23.42578125" customWidth="1"/>
    <col min="7939" max="7942" width="16.85546875" customWidth="1"/>
    <col min="7943" max="7943" width="15.5703125" bestFit="1" customWidth="1"/>
    <col min="7944" max="7946" width="15.5703125" customWidth="1"/>
    <col min="7947" max="7947" width="11.7109375" bestFit="1" customWidth="1"/>
    <col min="7948" max="7948" width="11.7109375" customWidth="1"/>
    <col min="8194" max="8194" width="23.42578125" customWidth="1"/>
    <col min="8195" max="8198" width="16.85546875" customWidth="1"/>
    <col min="8199" max="8199" width="15.5703125" bestFit="1" customWidth="1"/>
    <col min="8200" max="8202" width="15.5703125" customWidth="1"/>
    <col min="8203" max="8203" width="11.7109375" bestFit="1" customWidth="1"/>
    <col min="8204" max="8204" width="11.7109375" customWidth="1"/>
    <col min="8450" max="8450" width="23.42578125" customWidth="1"/>
    <col min="8451" max="8454" width="16.85546875" customWidth="1"/>
    <col min="8455" max="8455" width="15.5703125" bestFit="1" customWidth="1"/>
    <col min="8456" max="8458" width="15.5703125" customWidth="1"/>
    <col min="8459" max="8459" width="11.7109375" bestFit="1" customWidth="1"/>
    <col min="8460" max="8460" width="11.7109375" customWidth="1"/>
    <col min="8706" max="8706" width="23.42578125" customWidth="1"/>
    <col min="8707" max="8710" width="16.85546875" customWidth="1"/>
    <col min="8711" max="8711" width="15.5703125" bestFit="1" customWidth="1"/>
    <col min="8712" max="8714" width="15.5703125" customWidth="1"/>
    <col min="8715" max="8715" width="11.7109375" bestFit="1" customWidth="1"/>
    <col min="8716" max="8716" width="11.7109375" customWidth="1"/>
    <col min="8962" max="8962" width="23.42578125" customWidth="1"/>
    <col min="8963" max="8966" width="16.85546875" customWidth="1"/>
    <col min="8967" max="8967" width="15.5703125" bestFit="1" customWidth="1"/>
    <col min="8968" max="8970" width="15.5703125" customWidth="1"/>
    <col min="8971" max="8971" width="11.7109375" bestFit="1" customWidth="1"/>
    <col min="8972" max="8972" width="11.7109375" customWidth="1"/>
    <col min="9218" max="9218" width="23.42578125" customWidth="1"/>
    <col min="9219" max="9222" width="16.85546875" customWidth="1"/>
    <col min="9223" max="9223" width="15.5703125" bestFit="1" customWidth="1"/>
    <col min="9224" max="9226" width="15.5703125" customWidth="1"/>
    <col min="9227" max="9227" width="11.7109375" bestFit="1" customWidth="1"/>
    <col min="9228" max="9228" width="11.7109375" customWidth="1"/>
    <col min="9474" max="9474" width="23.42578125" customWidth="1"/>
    <col min="9475" max="9478" width="16.85546875" customWidth="1"/>
    <col min="9479" max="9479" width="15.5703125" bestFit="1" customWidth="1"/>
    <col min="9480" max="9482" width="15.5703125" customWidth="1"/>
    <col min="9483" max="9483" width="11.7109375" bestFit="1" customWidth="1"/>
    <col min="9484" max="9484" width="11.7109375" customWidth="1"/>
    <col min="9730" max="9730" width="23.42578125" customWidth="1"/>
    <col min="9731" max="9734" width="16.85546875" customWidth="1"/>
    <col min="9735" max="9735" width="15.5703125" bestFit="1" customWidth="1"/>
    <col min="9736" max="9738" width="15.5703125" customWidth="1"/>
    <col min="9739" max="9739" width="11.7109375" bestFit="1" customWidth="1"/>
    <col min="9740" max="9740" width="11.7109375" customWidth="1"/>
    <col min="9986" max="9986" width="23.42578125" customWidth="1"/>
    <col min="9987" max="9990" width="16.85546875" customWidth="1"/>
    <col min="9991" max="9991" width="15.5703125" bestFit="1" customWidth="1"/>
    <col min="9992" max="9994" width="15.5703125" customWidth="1"/>
    <col min="9995" max="9995" width="11.7109375" bestFit="1" customWidth="1"/>
    <col min="9996" max="9996" width="11.7109375" customWidth="1"/>
    <col min="10242" max="10242" width="23.42578125" customWidth="1"/>
    <col min="10243" max="10246" width="16.85546875" customWidth="1"/>
    <col min="10247" max="10247" width="15.5703125" bestFit="1" customWidth="1"/>
    <col min="10248" max="10250" width="15.5703125" customWidth="1"/>
    <col min="10251" max="10251" width="11.7109375" bestFit="1" customWidth="1"/>
    <col min="10252" max="10252" width="11.7109375" customWidth="1"/>
    <col min="10498" max="10498" width="23.42578125" customWidth="1"/>
    <col min="10499" max="10502" width="16.85546875" customWidth="1"/>
    <col min="10503" max="10503" width="15.5703125" bestFit="1" customWidth="1"/>
    <col min="10504" max="10506" width="15.5703125" customWidth="1"/>
    <col min="10507" max="10507" width="11.7109375" bestFit="1" customWidth="1"/>
    <col min="10508" max="10508" width="11.7109375" customWidth="1"/>
    <col min="10754" max="10754" width="23.42578125" customWidth="1"/>
    <col min="10755" max="10758" width="16.85546875" customWidth="1"/>
    <col min="10759" max="10759" width="15.5703125" bestFit="1" customWidth="1"/>
    <col min="10760" max="10762" width="15.5703125" customWidth="1"/>
    <col min="10763" max="10763" width="11.7109375" bestFit="1" customWidth="1"/>
    <col min="10764" max="10764" width="11.7109375" customWidth="1"/>
    <col min="11010" max="11010" width="23.42578125" customWidth="1"/>
    <col min="11011" max="11014" width="16.85546875" customWidth="1"/>
    <col min="11015" max="11015" width="15.5703125" bestFit="1" customWidth="1"/>
    <col min="11016" max="11018" width="15.5703125" customWidth="1"/>
    <col min="11019" max="11019" width="11.7109375" bestFit="1" customWidth="1"/>
    <col min="11020" max="11020" width="11.7109375" customWidth="1"/>
    <col min="11266" max="11266" width="23.42578125" customWidth="1"/>
    <col min="11267" max="11270" width="16.85546875" customWidth="1"/>
    <col min="11271" max="11271" width="15.5703125" bestFit="1" customWidth="1"/>
    <col min="11272" max="11274" width="15.5703125" customWidth="1"/>
    <col min="11275" max="11275" width="11.7109375" bestFit="1" customWidth="1"/>
    <col min="11276" max="11276" width="11.7109375" customWidth="1"/>
    <col min="11522" max="11522" width="23.42578125" customWidth="1"/>
    <col min="11523" max="11526" width="16.85546875" customWidth="1"/>
    <col min="11527" max="11527" width="15.5703125" bestFit="1" customWidth="1"/>
    <col min="11528" max="11530" width="15.5703125" customWidth="1"/>
    <col min="11531" max="11531" width="11.7109375" bestFit="1" customWidth="1"/>
    <col min="11532" max="11532" width="11.7109375" customWidth="1"/>
    <col min="11778" max="11778" width="23.42578125" customWidth="1"/>
    <col min="11779" max="11782" width="16.85546875" customWidth="1"/>
    <col min="11783" max="11783" width="15.5703125" bestFit="1" customWidth="1"/>
    <col min="11784" max="11786" width="15.5703125" customWidth="1"/>
    <col min="11787" max="11787" width="11.7109375" bestFit="1" customWidth="1"/>
    <col min="11788" max="11788" width="11.7109375" customWidth="1"/>
    <col min="12034" max="12034" width="23.42578125" customWidth="1"/>
    <col min="12035" max="12038" width="16.85546875" customWidth="1"/>
    <col min="12039" max="12039" width="15.5703125" bestFit="1" customWidth="1"/>
    <col min="12040" max="12042" width="15.5703125" customWidth="1"/>
    <col min="12043" max="12043" width="11.7109375" bestFit="1" customWidth="1"/>
    <col min="12044" max="12044" width="11.7109375" customWidth="1"/>
    <col min="12290" max="12290" width="23.42578125" customWidth="1"/>
    <col min="12291" max="12294" width="16.85546875" customWidth="1"/>
    <col min="12295" max="12295" width="15.5703125" bestFit="1" customWidth="1"/>
    <col min="12296" max="12298" width="15.5703125" customWidth="1"/>
    <col min="12299" max="12299" width="11.7109375" bestFit="1" customWidth="1"/>
    <col min="12300" max="12300" width="11.7109375" customWidth="1"/>
    <col min="12546" max="12546" width="23.42578125" customWidth="1"/>
    <col min="12547" max="12550" width="16.85546875" customWidth="1"/>
    <col min="12551" max="12551" width="15.5703125" bestFit="1" customWidth="1"/>
    <col min="12552" max="12554" width="15.5703125" customWidth="1"/>
    <col min="12555" max="12555" width="11.7109375" bestFit="1" customWidth="1"/>
    <col min="12556" max="12556" width="11.7109375" customWidth="1"/>
    <col min="12802" max="12802" width="23.42578125" customWidth="1"/>
    <col min="12803" max="12806" width="16.85546875" customWidth="1"/>
    <col min="12807" max="12807" width="15.5703125" bestFit="1" customWidth="1"/>
    <col min="12808" max="12810" width="15.5703125" customWidth="1"/>
    <col min="12811" max="12811" width="11.7109375" bestFit="1" customWidth="1"/>
    <col min="12812" max="12812" width="11.7109375" customWidth="1"/>
    <col min="13058" max="13058" width="23.42578125" customWidth="1"/>
    <col min="13059" max="13062" width="16.85546875" customWidth="1"/>
    <col min="13063" max="13063" width="15.5703125" bestFit="1" customWidth="1"/>
    <col min="13064" max="13066" width="15.5703125" customWidth="1"/>
    <col min="13067" max="13067" width="11.7109375" bestFit="1" customWidth="1"/>
    <col min="13068" max="13068" width="11.7109375" customWidth="1"/>
    <col min="13314" max="13314" width="23.42578125" customWidth="1"/>
    <col min="13315" max="13318" width="16.85546875" customWidth="1"/>
    <col min="13319" max="13319" width="15.5703125" bestFit="1" customWidth="1"/>
    <col min="13320" max="13322" width="15.5703125" customWidth="1"/>
    <col min="13323" max="13323" width="11.7109375" bestFit="1" customWidth="1"/>
    <col min="13324" max="13324" width="11.7109375" customWidth="1"/>
    <col min="13570" max="13570" width="23.42578125" customWidth="1"/>
    <col min="13571" max="13574" width="16.85546875" customWidth="1"/>
    <col min="13575" max="13575" width="15.5703125" bestFit="1" customWidth="1"/>
    <col min="13576" max="13578" width="15.5703125" customWidth="1"/>
    <col min="13579" max="13579" width="11.7109375" bestFit="1" customWidth="1"/>
    <col min="13580" max="13580" width="11.7109375" customWidth="1"/>
    <col min="13826" max="13826" width="23.42578125" customWidth="1"/>
    <col min="13827" max="13830" width="16.85546875" customWidth="1"/>
    <col min="13831" max="13831" width="15.5703125" bestFit="1" customWidth="1"/>
    <col min="13832" max="13834" width="15.5703125" customWidth="1"/>
    <col min="13835" max="13835" width="11.7109375" bestFit="1" customWidth="1"/>
    <col min="13836" max="13836" width="11.7109375" customWidth="1"/>
    <col min="14082" max="14082" width="23.42578125" customWidth="1"/>
    <col min="14083" max="14086" width="16.85546875" customWidth="1"/>
    <col min="14087" max="14087" width="15.5703125" bestFit="1" customWidth="1"/>
    <col min="14088" max="14090" width="15.5703125" customWidth="1"/>
    <col min="14091" max="14091" width="11.7109375" bestFit="1" customWidth="1"/>
    <col min="14092" max="14092" width="11.7109375" customWidth="1"/>
    <col min="14338" max="14338" width="23.42578125" customWidth="1"/>
    <col min="14339" max="14342" width="16.85546875" customWidth="1"/>
    <col min="14343" max="14343" width="15.5703125" bestFit="1" customWidth="1"/>
    <col min="14344" max="14346" width="15.5703125" customWidth="1"/>
    <col min="14347" max="14347" width="11.7109375" bestFit="1" customWidth="1"/>
    <col min="14348" max="14348" width="11.7109375" customWidth="1"/>
    <col min="14594" max="14594" width="23.42578125" customWidth="1"/>
    <col min="14595" max="14598" width="16.85546875" customWidth="1"/>
    <col min="14599" max="14599" width="15.5703125" bestFit="1" customWidth="1"/>
    <col min="14600" max="14602" width="15.5703125" customWidth="1"/>
    <col min="14603" max="14603" width="11.7109375" bestFit="1" customWidth="1"/>
    <col min="14604" max="14604" width="11.7109375" customWidth="1"/>
    <col min="14850" max="14850" width="23.42578125" customWidth="1"/>
    <col min="14851" max="14854" width="16.85546875" customWidth="1"/>
    <col min="14855" max="14855" width="15.5703125" bestFit="1" customWidth="1"/>
    <col min="14856" max="14858" width="15.5703125" customWidth="1"/>
    <col min="14859" max="14859" width="11.7109375" bestFit="1" customWidth="1"/>
    <col min="14860" max="14860" width="11.7109375" customWidth="1"/>
    <col min="15106" max="15106" width="23.42578125" customWidth="1"/>
    <col min="15107" max="15110" width="16.85546875" customWidth="1"/>
    <col min="15111" max="15111" width="15.5703125" bestFit="1" customWidth="1"/>
    <col min="15112" max="15114" width="15.5703125" customWidth="1"/>
    <col min="15115" max="15115" width="11.7109375" bestFit="1" customWidth="1"/>
    <col min="15116" max="15116" width="11.7109375" customWidth="1"/>
    <col min="15362" max="15362" width="23.42578125" customWidth="1"/>
    <col min="15363" max="15366" width="16.85546875" customWidth="1"/>
    <col min="15367" max="15367" width="15.5703125" bestFit="1" customWidth="1"/>
    <col min="15368" max="15370" width="15.5703125" customWidth="1"/>
    <col min="15371" max="15371" width="11.7109375" bestFit="1" customWidth="1"/>
    <col min="15372" max="15372" width="11.7109375" customWidth="1"/>
    <col min="15618" max="15618" width="23.42578125" customWidth="1"/>
    <col min="15619" max="15622" width="16.85546875" customWidth="1"/>
    <col min="15623" max="15623" width="15.5703125" bestFit="1" customWidth="1"/>
    <col min="15624" max="15626" width="15.5703125" customWidth="1"/>
    <col min="15627" max="15627" width="11.7109375" bestFit="1" customWidth="1"/>
    <col min="15628" max="15628" width="11.7109375" customWidth="1"/>
    <col min="15874" max="15874" width="23.42578125" customWidth="1"/>
    <col min="15875" max="15878" width="16.85546875" customWidth="1"/>
    <col min="15879" max="15879" width="15.5703125" bestFit="1" customWidth="1"/>
    <col min="15880" max="15882" width="15.5703125" customWidth="1"/>
    <col min="15883" max="15883" width="11.7109375" bestFit="1" customWidth="1"/>
    <col min="15884" max="15884" width="11.7109375" customWidth="1"/>
    <col min="16130" max="16130" width="23.42578125" customWidth="1"/>
    <col min="16131" max="16134" width="16.85546875" customWidth="1"/>
    <col min="16135" max="16135" width="15.5703125" bestFit="1" customWidth="1"/>
    <col min="16136" max="16138" width="15.5703125" customWidth="1"/>
    <col min="16139" max="16139" width="11.7109375" bestFit="1" customWidth="1"/>
    <col min="16140" max="16140" width="11.7109375" customWidth="1"/>
  </cols>
  <sheetData>
    <row r="1" spans="1:12" ht="15.75" thickBot="1" x14ac:dyDescent="0.3">
      <c r="A1" s="1"/>
      <c r="B1" s="2"/>
      <c r="C1" s="2"/>
      <c r="D1" s="3"/>
      <c r="E1" s="2"/>
      <c r="F1" s="7"/>
      <c r="G1" s="1"/>
      <c r="H1" s="1"/>
      <c r="I1" s="1"/>
      <c r="J1" s="1"/>
    </row>
    <row r="2" spans="1:12" ht="15.75" thickTop="1" x14ac:dyDescent="0.25">
      <c r="A2" s="1"/>
      <c r="B2" s="4" t="s">
        <v>0</v>
      </c>
      <c r="C2" s="5">
        <v>1000000</v>
      </c>
      <c r="D2" s="6"/>
      <c r="E2" s="2"/>
      <c r="F2" s="7"/>
      <c r="G2" s="1"/>
      <c r="H2" s="1"/>
      <c r="I2" s="1"/>
      <c r="J2" s="1"/>
    </row>
    <row r="3" spans="1:12" x14ac:dyDescent="0.25">
      <c r="A3" s="1"/>
      <c r="B3" s="8" t="s">
        <v>1</v>
      </c>
      <c r="C3" s="9">
        <v>0.06</v>
      </c>
      <c r="D3" s="10"/>
      <c r="E3" s="2"/>
      <c r="F3" s="11"/>
      <c r="G3" s="1"/>
      <c r="H3" s="1"/>
      <c r="I3" s="1"/>
      <c r="J3" s="1"/>
    </row>
    <row r="4" spans="1:12" x14ac:dyDescent="0.25">
      <c r="A4" s="1"/>
      <c r="B4" s="8" t="s">
        <v>2</v>
      </c>
      <c r="C4" s="12">
        <f>C3/12</f>
        <v>5.0000000000000001E-3</v>
      </c>
      <c r="D4" s="13">
        <f>(1+C3)^(1/12)-1</f>
        <v>4.8675505653430484E-3</v>
      </c>
      <c r="E4" s="2"/>
      <c r="F4" s="7"/>
      <c r="G4" s="1"/>
      <c r="H4" s="1"/>
      <c r="I4" s="1"/>
      <c r="J4" s="1"/>
    </row>
    <row r="5" spans="1:12" x14ac:dyDescent="0.25">
      <c r="A5" s="1"/>
      <c r="B5" s="8" t="s">
        <v>4</v>
      </c>
      <c r="C5" s="15">
        <v>25</v>
      </c>
      <c r="D5" s="13"/>
      <c r="E5" s="2"/>
      <c r="F5" s="7"/>
      <c r="G5" s="1"/>
      <c r="H5" s="1"/>
      <c r="I5" s="1"/>
      <c r="J5" s="1"/>
    </row>
    <row r="6" spans="1:12" x14ac:dyDescent="0.25">
      <c r="A6" s="1"/>
      <c r="B6" s="8" t="s">
        <v>5</v>
      </c>
      <c r="C6" s="72">
        <f>C5*12</f>
        <v>300</v>
      </c>
      <c r="D6" s="10"/>
      <c r="E6" s="2"/>
      <c r="F6" s="7"/>
      <c r="G6" s="1"/>
      <c r="H6" s="1"/>
      <c r="I6" s="1"/>
      <c r="J6" s="1"/>
    </row>
    <row r="7" spans="1:12" ht="15.75" thickBot="1" x14ac:dyDescent="0.3">
      <c r="A7" s="73"/>
      <c r="B7" s="74" t="s">
        <v>33</v>
      </c>
      <c r="C7" s="75">
        <v>40025</v>
      </c>
      <c r="D7" s="18"/>
      <c r="E7" s="22"/>
      <c r="F7" s="23"/>
      <c r="G7" s="19"/>
      <c r="H7" s="19"/>
      <c r="I7" s="19"/>
      <c r="J7" s="19"/>
    </row>
    <row r="8" spans="1:12" ht="15.75" thickTop="1" x14ac:dyDescent="0.25">
      <c r="A8" s="19"/>
      <c r="B8" s="19"/>
      <c r="C8" s="19"/>
      <c r="D8" s="21"/>
      <c r="E8" s="22"/>
      <c r="F8" s="23"/>
      <c r="G8" s="19"/>
      <c r="H8" s="19"/>
      <c r="I8" s="19"/>
      <c r="J8" s="19"/>
    </row>
    <row r="9" spans="1:12" x14ac:dyDescent="0.25">
      <c r="A9" s="19"/>
      <c r="B9" s="19"/>
      <c r="C9" s="19"/>
      <c r="D9" s="21"/>
      <c r="E9" s="22"/>
      <c r="F9" s="23"/>
      <c r="G9" s="19"/>
      <c r="H9" s="19"/>
      <c r="I9" s="19"/>
      <c r="J9" s="19"/>
    </row>
    <row r="10" spans="1:12" x14ac:dyDescent="0.25">
      <c r="A10" s="19"/>
      <c r="B10" s="19"/>
      <c r="C10" s="19"/>
      <c r="D10" s="21"/>
      <c r="E10" s="22"/>
      <c r="F10" s="23"/>
      <c r="G10" s="19"/>
      <c r="H10" s="19"/>
      <c r="I10" s="19"/>
      <c r="J10" s="19"/>
    </row>
    <row r="11" spans="1:12" x14ac:dyDescent="0.25">
      <c r="A11" s="19"/>
      <c r="B11" s="19"/>
      <c r="C11" s="19"/>
      <c r="D11" s="21"/>
      <c r="E11" s="22"/>
      <c r="F11" s="23"/>
      <c r="G11" s="19"/>
      <c r="H11" s="19"/>
      <c r="I11" s="19"/>
      <c r="J11" s="19"/>
    </row>
    <row r="12" spans="1:12" x14ac:dyDescent="0.25">
      <c r="A12" s="19"/>
      <c r="B12" s="19"/>
      <c r="C12" s="19"/>
      <c r="D12" s="21"/>
      <c r="E12" s="22"/>
      <c r="F12" s="23"/>
      <c r="G12" s="19"/>
      <c r="H12" s="19"/>
      <c r="I12" s="19"/>
      <c r="J12" s="19"/>
    </row>
    <row r="13" spans="1:12" x14ac:dyDescent="0.25">
      <c r="A13" s="1"/>
      <c r="B13" s="2"/>
      <c r="C13" s="2"/>
      <c r="D13" s="3"/>
      <c r="E13" s="2"/>
      <c r="F13" s="7"/>
      <c r="G13" s="1"/>
      <c r="H13" s="1"/>
      <c r="I13" s="1"/>
      <c r="J13" s="1"/>
    </row>
    <row r="14" spans="1:12" x14ac:dyDescent="0.25">
      <c r="A14" s="1"/>
      <c r="B14" s="2"/>
      <c r="C14" s="2"/>
      <c r="D14" s="3"/>
      <c r="E14" s="2"/>
      <c r="F14" s="7"/>
      <c r="G14" s="1"/>
      <c r="H14" s="1"/>
      <c r="I14" s="1"/>
      <c r="J14" s="1"/>
    </row>
    <row r="15" spans="1:12" ht="15.75" thickBot="1" x14ac:dyDescent="0.3">
      <c r="A15" s="24" t="s">
        <v>6</v>
      </c>
      <c r="B15" s="24" t="s">
        <v>7</v>
      </c>
      <c r="C15" s="76" t="s">
        <v>34</v>
      </c>
      <c r="D15" s="77" t="s">
        <v>35</v>
      </c>
      <c r="E15" s="24" t="s">
        <v>8</v>
      </c>
      <c r="F15" s="25" t="s">
        <v>9</v>
      </c>
      <c r="G15" s="76" t="s">
        <v>36</v>
      </c>
      <c r="H15" s="77" t="s">
        <v>37</v>
      </c>
      <c r="I15" s="76" t="s">
        <v>38</v>
      </c>
      <c r="J15" s="77" t="s">
        <v>39</v>
      </c>
      <c r="K15" s="78" t="s">
        <v>40</v>
      </c>
      <c r="L15" s="79" t="s">
        <v>41</v>
      </c>
    </row>
    <row r="16" spans="1:12" x14ac:dyDescent="0.25">
      <c r="A16" s="28"/>
      <c r="B16" s="80">
        <f>EOMONTH(B17,-1)</f>
        <v>39994</v>
      </c>
      <c r="C16" s="81"/>
      <c r="D16" s="82"/>
      <c r="E16" s="30"/>
      <c r="F16" s="31"/>
      <c r="G16" s="83"/>
      <c r="H16" s="84"/>
      <c r="I16" s="83"/>
      <c r="J16" s="84"/>
      <c r="K16" s="83">
        <f>C2</f>
        <v>1000000</v>
      </c>
      <c r="L16" s="84">
        <f>C2</f>
        <v>1000000</v>
      </c>
    </row>
    <row r="17" spans="1:12" s="38" customFormat="1" ht="12.75" x14ac:dyDescent="0.2">
      <c r="A17" s="33">
        <v>1</v>
      </c>
      <c r="B17" s="80">
        <f>C7</f>
        <v>40025</v>
      </c>
      <c r="C17" s="81">
        <f t="shared" ref="C17:C80" si="0">B17-B16</f>
        <v>31</v>
      </c>
      <c r="D17" s="85">
        <f>DAYS360($B$16,B17)-SUM($D16:D$16)</f>
        <v>30</v>
      </c>
      <c r="E17" s="35">
        <f t="shared" ref="E17:E80" si="1">K16</f>
        <v>1000000</v>
      </c>
      <c r="F17" s="36">
        <f t="shared" ref="F17:F80" si="2">PMT($C$4,$C$6,$C$2)</f>
        <v>-6443.0140148550854</v>
      </c>
      <c r="G17" s="86">
        <f t="shared" ref="G17:G80" si="3">F17-I17</f>
        <v>-1276.3473481884184</v>
      </c>
      <c r="H17" s="87">
        <f t="shared" ref="H17:H80" si="4">F17-J17</f>
        <v>-1443.0140148550854</v>
      </c>
      <c r="I17" s="86">
        <f t="shared" ref="I17:I80" si="5">-E17*$C$4*C17/30</f>
        <v>-5166.666666666667</v>
      </c>
      <c r="J17" s="87">
        <f t="shared" ref="J17:J80" si="6">-E17*$C$4*D17/30</f>
        <v>-5000</v>
      </c>
      <c r="K17" s="86">
        <f t="shared" ref="K17:K80" si="7">E17+G17</f>
        <v>998723.6526518116</v>
      </c>
      <c r="L17" s="87">
        <f t="shared" ref="L17:L80" si="8">E17+H17</f>
        <v>998556.98598514497</v>
      </c>
    </row>
    <row r="18" spans="1:12" s="38" customFormat="1" ht="12.75" x14ac:dyDescent="0.2">
      <c r="A18" s="33">
        <v>1</v>
      </c>
      <c r="B18" s="80">
        <f t="shared" ref="B18:B81" si="9">EOMONTH(B17,1)</f>
        <v>40056</v>
      </c>
      <c r="C18" s="81">
        <f t="shared" si="0"/>
        <v>31</v>
      </c>
      <c r="D18" s="85">
        <f>DAYS360($B$16,B18)-SUM($D$16:D17)</f>
        <v>30</v>
      </c>
      <c r="E18" s="35">
        <f t="shared" si="1"/>
        <v>998723.6526518116</v>
      </c>
      <c r="F18" s="36">
        <f t="shared" si="2"/>
        <v>-6443.0140148550854</v>
      </c>
      <c r="G18" s="86">
        <f t="shared" si="3"/>
        <v>-1282.9418094873927</v>
      </c>
      <c r="H18" s="87">
        <f t="shared" si="4"/>
        <v>-1449.3957515960274</v>
      </c>
      <c r="I18" s="86">
        <f t="shared" si="5"/>
        <v>-5160.0722053676927</v>
      </c>
      <c r="J18" s="87">
        <f t="shared" si="6"/>
        <v>-4993.618263259058</v>
      </c>
      <c r="K18" s="86">
        <f t="shared" si="7"/>
        <v>997440.71084232419</v>
      </c>
      <c r="L18" s="87">
        <f t="shared" si="8"/>
        <v>997274.25690021552</v>
      </c>
    </row>
    <row r="19" spans="1:12" s="38" customFormat="1" ht="12.75" x14ac:dyDescent="0.2">
      <c r="A19" s="33">
        <v>1</v>
      </c>
      <c r="B19" s="80">
        <f t="shared" si="9"/>
        <v>40086</v>
      </c>
      <c r="C19" s="81">
        <f t="shared" si="0"/>
        <v>30</v>
      </c>
      <c r="D19" s="85">
        <f>DAYS360($B$16,B19)-SUM($D$16:D18)</f>
        <v>30</v>
      </c>
      <c r="E19" s="35">
        <f t="shared" si="1"/>
        <v>997440.71084232419</v>
      </c>
      <c r="F19" s="36">
        <f t="shared" si="2"/>
        <v>-6443.0140148550854</v>
      </c>
      <c r="G19" s="86">
        <f t="shared" si="3"/>
        <v>-1455.8104606434645</v>
      </c>
      <c r="H19" s="87">
        <f t="shared" si="4"/>
        <v>-1455.8104606434645</v>
      </c>
      <c r="I19" s="86">
        <f t="shared" si="5"/>
        <v>-4987.2035542116209</v>
      </c>
      <c r="J19" s="87">
        <f t="shared" si="6"/>
        <v>-4987.2035542116209</v>
      </c>
      <c r="K19" s="86">
        <f t="shared" si="7"/>
        <v>995984.90038168069</v>
      </c>
      <c r="L19" s="87">
        <f t="shared" si="8"/>
        <v>995984.90038168069</v>
      </c>
    </row>
    <row r="20" spans="1:12" s="38" customFormat="1" ht="12.75" x14ac:dyDescent="0.2">
      <c r="A20" s="33">
        <v>1</v>
      </c>
      <c r="B20" s="80">
        <f t="shared" si="9"/>
        <v>40117</v>
      </c>
      <c r="C20" s="81">
        <f t="shared" si="0"/>
        <v>31</v>
      </c>
      <c r="D20" s="85">
        <f>DAYS360($B$16,B20)-SUM($D$16:D19)</f>
        <v>30</v>
      </c>
      <c r="E20" s="35">
        <f t="shared" si="1"/>
        <v>995984.90038168069</v>
      </c>
      <c r="F20" s="36">
        <f t="shared" si="2"/>
        <v>-6443.0140148550854</v>
      </c>
      <c r="G20" s="86">
        <f t="shared" si="3"/>
        <v>-1297.0920295497344</v>
      </c>
      <c r="H20" s="87">
        <f t="shared" si="4"/>
        <v>-1463.0895129466817</v>
      </c>
      <c r="I20" s="86">
        <f t="shared" si="5"/>
        <v>-5145.921985305351</v>
      </c>
      <c r="J20" s="87">
        <f t="shared" si="6"/>
        <v>-4979.9245019084037</v>
      </c>
      <c r="K20" s="86">
        <f t="shared" si="7"/>
        <v>994687.80835213093</v>
      </c>
      <c r="L20" s="87">
        <f t="shared" si="8"/>
        <v>994521.81086873403</v>
      </c>
    </row>
    <row r="21" spans="1:12" s="38" customFormat="1" ht="12.75" x14ac:dyDescent="0.2">
      <c r="A21" s="33">
        <v>1</v>
      </c>
      <c r="B21" s="80">
        <f t="shared" si="9"/>
        <v>40147</v>
      </c>
      <c r="C21" s="81">
        <f t="shared" si="0"/>
        <v>30</v>
      </c>
      <c r="D21" s="85">
        <f>DAYS360($B$16,B21)-SUM($D$16:D20)</f>
        <v>30</v>
      </c>
      <c r="E21" s="35">
        <f t="shared" si="1"/>
        <v>994687.80835213093</v>
      </c>
      <c r="F21" s="36">
        <f t="shared" si="2"/>
        <v>-6443.0140148550854</v>
      </c>
      <c r="G21" s="86">
        <f t="shared" si="3"/>
        <v>-1469.5749730944308</v>
      </c>
      <c r="H21" s="87">
        <f t="shared" si="4"/>
        <v>-1469.5749730944308</v>
      </c>
      <c r="I21" s="86">
        <f t="shared" si="5"/>
        <v>-4973.4390417606546</v>
      </c>
      <c r="J21" s="87">
        <f t="shared" si="6"/>
        <v>-4973.4390417606546</v>
      </c>
      <c r="K21" s="86">
        <f t="shared" si="7"/>
        <v>993218.23337903654</v>
      </c>
      <c r="L21" s="87">
        <f t="shared" si="8"/>
        <v>993218.23337903654</v>
      </c>
    </row>
    <row r="22" spans="1:12" s="38" customFormat="1" ht="12.75" x14ac:dyDescent="0.2">
      <c r="A22" s="33">
        <v>1</v>
      </c>
      <c r="B22" s="80">
        <f t="shared" si="9"/>
        <v>40178</v>
      </c>
      <c r="C22" s="81">
        <f t="shared" si="0"/>
        <v>31</v>
      </c>
      <c r="D22" s="85">
        <f>DAYS360($B$16,B22)-SUM($D$16:D21)</f>
        <v>30</v>
      </c>
      <c r="E22" s="35">
        <f t="shared" si="1"/>
        <v>993218.23337903654</v>
      </c>
      <c r="F22" s="36">
        <f t="shared" si="2"/>
        <v>-6443.0140148550854</v>
      </c>
      <c r="G22" s="86">
        <f t="shared" si="3"/>
        <v>-1311.3864757300626</v>
      </c>
      <c r="H22" s="87">
        <f t="shared" si="4"/>
        <v>-1476.9228479599024</v>
      </c>
      <c r="I22" s="86">
        <f t="shared" si="5"/>
        <v>-5131.6275391250228</v>
      </c>
      <c r="J22" s="87">
        <f t="shared" si="6"/>
        <v>-4966.0911668951831</v>
      </c>
      <c r="K22" s="86">
        <f t="shared" si="7"/>
        <v>991906.84690330643</v>
      </c>
      <c r="L22" s="87">
        <f t="shared" si="8"/>
        <v>991741.31053107663</v>
      </c>
    </row>
    <row r="23" spans="1:12" s="38" customFormat="1" ht="12.75" x14ac:dyDescent="0.2">
      <c r="A23" s="33">
        <v>1</v>
      </c>
      <c r="B23" s="80">
        <f t="shared" si="9"/>
        <v>40209</v>
      </c>
      <c r="C23" s="81">
        <f t="shared" si="0"/>
        <v>31</v>
      </c>
      <c r="D23" s="85">
        <f>DAYS360($B$16,B23)-SUM($D$16:D22)</f>
        <v>30</v>
      </c>
      <c r="E23" s="35">
        <f t="shared" si="1"/>
        <v>991906.84690330643</v>
      </c>
      <c r="F23" s="36">
        <f t="shared" si="2"/>
        <v>-6443.0140148550854</v>
      </c>
      <c r="G23" s="86">
        <f t="shared" si="3"/>
        <v>-1318.161972521335</v>
      </c>
      <c r="H23" s="87">
        <f t="shared" si="4"/>
        <v>-1483.4797803385527</v>
      </c>
      <c r="I23" s="86">
        <f t="shared" si="5"/>
        <v>-5124.8520423337504</v>
      </c>
      <c r="J23" s="87">
        <f t="shared" si="6"/>
        <v>-4959.5342345165327</v>
      </c>
      <c r="K23" s="86">
        <f t="shared" si="7"/>
        <v>990588.68493078509</v>
      </c>
      <c r="L23" s="87">
        <f t="shared" si="8"/>
        <v>990423.36712296784</v>
      </c>
    </row>
    <row r="24" spans="1:12" s="38" customFormat="1" ht="12.75" x14ac:dyDescent="0.2">
      <c r="A24" s="33">
        <v>1</v>
      </c>
      <c r="B24" s="80">
        <f t="shared" si="9"/>
        <v>40237</v>
      </c>
      <c r="C24" s="81">
        <f t="shared" si="0"/>
        <v>28</v>
      </c>
      <c r="D24" s="85">
        <f>DAYS360($B$16,B24)-SUM($D$16:D23)</f>
        <v>28</v>
      </c>
      <c r="E24" s="35">
        <f t="shared" si="1"/>
        <v>990588.68493078509</v>
      </c>
      <c r="F24" s="36">
        <f t="shared" si="2"/>
        <v>-6443.0140148550854</v>
      </c>
      <c r="G24" s="86">
        <f t="shared" si="3"/>
        <v>-1820.2668185114208</v>
      </c>
      <c r="H24" s="87">
        <f t="shared" si="4"/>
        <v>-1820.2668185114208</v>
      </c>
      <c r="I24" s="86">
        <f t="shared" si="5"/>
        <v>-4622.7471963436647</v>
      </c>
      <c r="J24" s="87">
        <f t="shared" si="6"/>
        <v>-4622.7471963436647</v>
      </c>
      <c r="K24" s="86">
        <f t="shared" si="7"/>
        <v>988768.41811227368</v>
      </c>
      <c r="L24" s="87">
        <f t="shared" si="8"/>
        <v>988768.41811227368</v>
      </c>
    </row>
    <row r="25" spans="1:12" s="38" customFormat="1" ht="12.75" x14ac:dyDescent="0.2">
      <c r="A25" s="33">
        <v>1</v>
      </c>
      <c r="B25" s="80">
        <f t="shared" si="9"/>
        <v>40268</v>
      </c>
      <c r="C25" s="81">
        <f t="shared" si="0"/>
        <v>31</v>
      </c>
      <c r="D25" s="85">
        <f>DAYS360($B$16,B25)-SUM($D$16:D24)</f>
        <v>32</v>
      </c>
      <c r="E25" s="35">
        <f t="shared" si="1"/>
        <v>988768.41811227368</v>
      </c>
      <c r="F25" s="36">
        <f t="shared" si="2"/>
        <v>-6443.0140148550854</v>
      </c>
      <c r="G25" s="86">
        <f t="shared" si="3"/>
        <v>-1334.3771879416718</v>
      </c>
      <c r="H25" s="87">
        <f t="shared" si="4"/>
        <v>-1169.5824515896256</v>
      </c>
      <c r="I25" s="86">
        <f t="shared" si="5"/>
        <v>-5108.6368269134136</v>
      </c>
      <c r="J25" s="87">
        <f t="shared" si="6"/>
        <v>-5273.4315632654598</v>
      </c>
      <c r="K25" s="86">
        <f t="shared" si="7"/>
        <v>987434.04092433199</v>
      </c>
      <c r="L25" s="87">
        <f t="shared" si="8"/>
        <v>987598.83566068404</v>
      </c>
    </row>
    <row r="26" spans="1:12" s="38" customFormat="1" ht="12.75" x14ac:dyDescent="0.2">
      <c r="A26" s="33">
        <v>1</v>
      </c>
      <c r="B26" s="80">
        <f t="shared" si="9"/>
        <v>40298</v>
      </c>
      <c r="C26" s="81">
        <f t="shared" si="0"/>
        <v>30</v>
      </c>
      <c r="D26" s="85">
        <f>DAYS360($B$16,B26)-SUM($D$16:D25)</f>
        <v>30</v>
      </c>
      <c r="E26" s="35">
        <f t="shared" si="1"/>
        <v>987434.04092433199</v>
      </c>
      <c r="F26" s="36">
        <f t="shared" si="2"/>
        <v>-6443.0140148550854</v>
      </c>
      <c r="G26" s="86">
        <f t="shared" si="3"/>
        <v>-1505.8438102334248</v>
      </c>
      <c r="H26" s="87">
        <f t="shared" si="4"/>
        <v>-1505.8438102334248</v>
      </c>
      <c r="I26" s="86">
        <f t="shared" si="5"/>
        <v>-4937.1702046216606</v>
      </c>
      <c r="J26" s="87">
        <f t="shared" si="6"/>
        <v>-4937.1702046216606</v>
      </c>
      <c r="K26" s="86">
        <f t="shared" si="7"/>
        <v>985928.19711409858</v>
      </c>
      <c r="L26" s="87">
        <f t="shared" si="8"/>
        <v>985928.19711409858</v>
      </c>
    </row>
    <row r="27" spans="1:12" s="38" customFormat="1" ht="12.75" x14ac:dyDescent="0.2">
      <c r="A27" s="33">
        <v>1</v>
      </c>
      <c r="B27" s="80">
        <f t="shared" si="9"/>
        <v>40329</v>
      </c>
      <c r="C27" s="81">
        <f t="shared" si="0"/>
        <v>31</v>
      </c>
      <c r="D27" s="85">
        <f>DAYS360($B$16,B27)-SUM($D$16:D26)</f>
        <v>30</v>
      </c>
      <c r="E27" s="35">
        <f t="shared" si="1"/>
        <v>985928.19711409858</v>
      </c>
      <c r="F27" s="36">
        <f t="shared" si="2"/>
        <v>-6443.0140148550854</v>
      </c>
      <c r="G27" s="86">
        <f t="shared" si="3"/>
        <v>-1349.0516630989096</v>
      </c>
      <c r="H27" s="87">
        <f t="shared" si="4"/>
        <v>-1513.3730292845921</v>
      </c>
      <c r="I27" s="86">
        <f t="shared" si="5"/>
        <v>-5093.9623517561758</v>
      </c>
      <c r="J27" s="87">
        <f t="shared" si="6"/>
        <v>-4929.6409855704933</v>
      </c>
      <c r="K27" s="86">
        <f t="shared" si="7"/>
        <v>984579.14545099973</v>
      </c>
      <c r="L27" s="87">
        <f t="shared" si="8"/>
        <v>984414.82408481394</v>
      </c>
    </row>
    <row r="28" spans="1:12" s="38" customFormat="1" ht="12.75" x14ac:dyDescent="0.2">
      <c r="A28" s="33">
        <v>1</v>
      </c>
      <c r="B28" s="80">
        <f t="shared" si="9"/>
        <v>40359</v>
      </c>
      <c r="C28" s="81">
        <f t="shared" si="0"/>
        <v>30</v>
      </c>
      <c r="D28" s="85">
        <f>DAYS360($B$16,B28)-SUM($D$16:D27)</f>
        <v>30</v>
      </c>
      <c r="E28" s="35">
        <f t="shared" si="1"/>
        <v>984579.14545099973</v>
      </c>
      <c r="F28" s="36">
        <f t="shared" si="2"/>
        <v>-6443.0140148550854</v>
      </c>
      <c r="G28" s="86">
        <f t="shared" si="3"/>
        <v>-1520.1182876000867</v>
      </c>
      <c r="H28" s="87">
        <f t="shared" si="4"/>
        <v>-1520.1182876000867</v>
      </c>
      <c r="I28" s="86">
        <f t="shared" si="5"/>
        <v>-4922.8957272549987</v>
      </c>
      <c r="J28" s="87">
        <f t="shared" si="6"/>
        <v>-4922.8957272549987</v>
      </c>
      <c r="K28" s="86">
        <f t="shared" si="7"/>
        <v>983059.02716339962</v>
      </c>
      <c r="L28" s="87">
        <f t="shared" si="8"/>
        <v>983059.02716339962</v>
      </c>
    </row>
    <row r="29" spans="1:12" s="38" customFormat="1" ht="12.75" x14ac:dyDescent="0.2">
      <c r="A29" s="40">
        <f>A17+1</f>
        <v>2</v>
      </c>
      <c r="B29" s="80">
        <f t="shared" si="9"/>
        <v>40390</v>
      </c>
      <c r="C29" s="81">
        <f t="shared" si="0"/>
        <v>31</v>
      </c>
      <c r="D29" s="85">
        <f>DAYS360($B$16,B29)-SUM($D$16:D28)</f>
        <v>30</v>
      </c>
      <c r="E29" s="35">
        <f t="shared" si="1"/>
        <v>983059.02716339962</v>
      </c>
      <c r="F29" s="36">
        <f t="shared" si="2"/>
        <v>-6443.0140148550854</v>
      </c>
      <c r="G29" s="86">
        <f t="shared" si="3"/>
        <v>-1363.8757078441868</v>
      </c>
      <c r="H29" s="87">
        <f t="shared" si="4"/>
        <v>-1527.7188790380869</v>
      </c>
      <c r="I29" s="86">
        <f t="shared" si="5"/>
        <v>-5079.1383070108986</v>
      </c>
      <c r="J29" s="87">
        <f t="shared" si="6"/>
        <v>-4915.2951358169985</v>
      </c>
      <c r="K29" s="86">
        <f t="shared" si="7"/>
        <v>981695.15145555546</v>
      </c>
      <c r="L29" s="87">
        <f t="shared" si="8"/>
        <v>981531.3082843615</v>
      </c>
    </row>
    <row r="30" spans="1:12" s="38" customFormat="1" ht="12.75" x14ac:dyDescent="0.2">
      <c r="A30" s="40">
        <f t="shared" ref="A30:A40" si="10">A29</f>
        <v>2</v>
      </c>
      <c r="B30" s="80">
        <f t="shared" si="9"/>
        <v>40421</v>
      </c>
      <c r="C30" s="81">
        <f t="shared" si="0"/>
        <v>31</v>
      </c>
      <c r="D30" s="85">
        <f>DAYS360($B$16,B30)-SUM($D$16:D29)</f>
        <v>30</v>
      </c>
      <c r="E30" s="35">
        <f t="shared" si="1"/>
        <v>981695.15145555546</v>
      </c>
      <c r="F30" s="36">
        <f t="shared" si="2"/>
        <v>-6443.0140148550854</v>
      </c>
      <c r="G30" s="86">
        <f t="shared" si="3"/>
        <v>-1370.9223990013825</v>
      </c>
      <c r="H30" s="87">
        <f t="shared" si="4"/>
        <v>-1534.5382575773083</v>
      </c>
      <c r="I30" s="86">
        <f t="shared" si="5"/>
        <v>-5072.0916158537029</v>
      </c>
      <c r="J30" s="87">
        <f t="shared" si="6"/>
        <v>-4908.4757572777771</v>
      </c>
      <c r="K30" s="86">
        <f t="shared" si="7"/>
        <v>980324.22905655403</v>
      </c>
      <c r="L30" s="87">
        <f t="shared" si="8"/>
        <v>980160.61319797812</v>
      </c>
    </row>
    <row r="31" spans="1:12" s="38" customFormat="1" ht="12.75" x14ac:dyDescent="0.2">
      <c r="A31" s="40">
        <f t="shared" si="10"/>
        <v>2</v>
      </c>
      <c r="B31" s="80">
        <f t="shared" si="9"/>
        <v>40451</v>
      </c>
      <c r="C31" s="81">
        <f t="shared" si="0"/>
        <v>30</v>
      </c>
      <c r="D31" s="85">
        <f>DAYS360($B$16,B31)-SUM($D$16:D30)</f>
        <v>30</v>
      </c>
      <c r="E31" s="35">
        <f t="shared" si="1"/>
        <v>980324.22905655403</v>
      </c>
      <c r="F31" s="36">
        <f t="shared" si="2"/>
        <v>-6443.0140148550854</v>
      </c>
      <c r="G31" s="86">
        <f t="shared" si="3"/>
        <v>-1541.3928695723152</v>
      </c>
      <c r="H31" s="87">
        <f t="shared" si="4"/>
        <v>-1541.3928695723152</v>
      </c>
      <c r="I31" s="86">
        <f t="shared" si="5"/>
        <v>-4901.6211452827702</v>
      </c>
      <c r="J31" s="87">
        <f t="shared" si="6"/>
        <v>-4901.6211452827702</v>
      </c>
      <c r="K31" s="86">
        <f t="shared" si="7"/>
        <v>978782.83618698176</v>
      </c>
      <c r="L31" s="87">
        <f t="shared" si="8"/>
        <v>978782.83618698176</v>
      </c>
    </row>
    <row r="32" spans="1:12" s="38" customFormat="1" ht="12.75" x14ac:dyDescent="0.2">
      <c r="A32" s="40">
        <f t="shared" si="10"/>
        <v>2</v>
      </c>
      <c r="B32" s="80">
        <f t="shared" si="9"/>
        <v>40482</v>
      </c>
      <c r="C32" s="81">
        <f t="shared" si="0"/>
        <v>31</v>
      </c>
      <c r="D32" s="85">
        <f>DAYS360($B$16,B32)-SUM($D$16:D31)</f>
        <v>30</v>
      </c>
      <c r="E32" s="35">
        <f t="shared" si="1"/>
        <v>978782.83618698176</v>
      </c>
      <c r="F32" s="36">
        <f t="shared" si="2"/>
        <v>-6443.0140148550854</v>
      </c>
      <c r="G32" s="86">
        <f t="shared" si="3"/>
        <v>-1385.9693612223464</v>
      </c>
      <c r="H32" s="87">
        <f t="shared" si="4"/>
        <v>-1549.0998339201769</v>
      </c>
      <c r="I32" s="86">
        <f t="shared" si="5"/>
        <v>-5057.044653632739</v>
      </c>
      <c r="J32" s="87">
        <f t="shared" si="6"/>
        <v>-4893.9141809349085</v>
      </c>
      <c r="K32" s="86">
        <f t="shared" si="7"/>
        <v>977396.86682575941</v>
      </c>
      <c r="L32" s="87">
        <f t="shared" si="8"/>
        <v>977233.73635306163</v>
      </c>
    </row>
    <row r="33" spans="1:12" s="38" customFormat="1" ht="12.75" x14ac:dyDescent="0.2">
      <c r="A33" s="40">
        <f t="shared" si="10"/>
        <v>2</v>
      </c>
      <c r="B33" s="80">
        <f t="shared" si="9"/>
        <v>40512</v>
      </c>
      <c r="C33" s="81">
        <f t="shared" si="0"/>
        <v>30</v>
      </c>
      <c r="D33" s="85">
        <f>DAYS360($B$16,B33)-SUM($D$16:D32)</f>
        <v>30</v>
      </c>
      <c r="E33" s="35">
        <f t="shared" si="1"/>
        <v>977396.86682575941</v>
      </c>
      <c r="F33" s="36">
        <f t="shared" si="2"/>
        <v>-6443.0140148550854</v>
      </c>
      <c r="G33" s="86">
        <f t="shared" si="3"/>
        <v>-1556.0296807262885</v>
      </c>
      <c r="H33" s="87">
        <f t="shared" si="4"/>
        <v>-1556.0296807262885</v>
      </c>
      <c r="I33" s="86">
        <f t="shared" si="5"/>
        <v>-4886.9843341287969</v>
      </c>
      <c r="J33" s="87">
        <f t="shared" si="6"/>
        <v>-4886.9843341287969</v>
      </c>
      <c r="K33" s="86">
        <f t="shared" si="7"/>
        <v>975840.83714503318</v>
      </c>
      <c r="L33" s="87">
        <f t="shared" si="8"/>
        <v>975840.83714503318</v>
      </c>
    </row>
    <row r="34" spans="1:12" s="38" customFormat="1" ht="12.75" x14ac:dyDescent="0.2">
      <c r="A34" s="40">
        <f t="shared" si="10"/>
        <v>2</v>
      </c>
      <c r="B34" s="80">
        <f t="shared" si="9"/>
        <v>40543</v>
      </c>
      <c r="C34" s="81">
        <f t="shared" si="0"/>
        <v>31</v>
      </c>
      <c r="D34" s="85">
        <f>DAYS360($B$16,B34)-SUM($D$16:D33)</f>
        <v>30</v>
      </c>
      <c r="E34" s="35">
        <f t="shared" si="1"/>
        <v>975840.83714503318</v>
      </c>
      <c r="F34" s="36">
        <f t="shared" si="2"/>
        <v>-6443.0140148550854</v>
      </c>
      <c r="G34" s="86">
        <f t="shared" si="3"/>
        <v>-1401.1696896057465</v>
      </c>
      <c r="H34" s="87">
        <f t="shared" si="4"/>
        <v>-1563.8098291299193</v>
      </c>
      <c r="I34" s="86">
        <f t="shared" si="5"/>
        <v>-5041.8443252493389</v>
      </c>
      <c r="J34" s="87">
        <f t="shared" si="6"/>
        <v>-4879.2041857251661</v>
      </c>
      <c r="K34" s="86">
        <f t="shared" si="7"/>
        <v>974439.66745542747</v>
      </c>
      <c r="L34" s="87">
        <f t="shared" si="8"/>
        <v>974277.02731590322</v>
      </c>
    </row>
    <row r="35" spans="1:12" s="38" customFormat="1" ht="12.75" x14ac:dyDescent="0.2">
      <c r="A35" s="40">
        <f t="shared" si="10"/>
        <v>2</v>
      </c>
      <c r="B35" s="80">
        <f t="shared" si="9"/>
        <v>40574</v>
      </c>
      <c r="C35" s="81">
        <f t="shared" si="0"/>
        <v>31</v>
      </c>
      <c r="D35" s="85">
        <f>DAYS360($B$16,B35)-SUM($D$16:D34)</f>
        <v>30</v>
      </c>
      <c r="E35" s="35">
        <f t="shared" si="1"/>
        <v>974439.66745542747</v>
      </c>
      <c r="F35" s="36">
        <f t="shared" si="2"/>
        <v>-6443.0140148550854</v>
      </c>
      <c r="G35" s="86">
        <f t="shared" si="3"/>
        <v>-1408.4090663353763</v>
      </c>
      <c r="H35" s="87">
        <f t="shared" si="4"/>
        <v>-1570.815677577948</v>
      </c>
      <c r="I35" s="86">
        <f t="shared" si="5"/>
        <v>-5034.6049485197091</v>
      </c>
      <c r="J35" s="87">
        <f t="shared" si="6"/>
        <v>-4872.1983372771374</v>
      </c>
      <c r="K35" s="86">
        <f t="shared" si="7"/>
        <v>973031.25838909205</v>
      </c>
      <c r="L35" s="87">
        <f t="shared" si="8"/>
        <v>972868.85177784949</v>
      </c>
    </row>
    <row r="36" spans="1:12" s="38" customFormat="1" ht="12.75" x14ac:dyDescent="0.2">
      <c r="A36" s="40">
        <f t="shared" si="10"/>
        <v>2</v>
      </c>
      <c r="B36" s="80">
        <f t="shared" si="9"/>
        <v>40602</v>
      </c>
      <c r="C36" s="81">
        <f t="shared" si="0"/>
        <v>28</v>
      </c>
      <c r="D36" s="85">
        <f>DAYS360($B$16,B36)-SUM($D$16:D35)</f>
        <v>28</v>
      </c>
      <c r="E36" s="35">
        <f t="shared" si="1"/>
        <v>973031.25838909205</v>
      </c>
      <c r="F36" s="36">
        <f t="shared" si="2"/>
        <v>-6443.0140148550854</v>
      </c>
      <c r="G36" s="86">
        <f t="shared" si="3"/>
        <v>-1902.2014757059897</v>
      </c>
      <c r="H36" s="87">
        <f t="shared" si="4"/>
        <v>-1902.2014757059897</v>
      </c>
      <c r="I36" s="86">
        <f t="shared" si="5"/>
        <v>-4540.8125391490958</v>
      </c>
      <c r="J36" s="87">
        <f t="shared" si="6"/>
        <v>-4540.8125391490958</v>
      </c>
      <c r="K36" s="86">
        <f t="shared" si="7"/>
        <v>971129.0569133861</v>
      </c>
      <c r="L36" s="87">
        <f t="shared" si="8"/>
        <v>971129.0569133861</v>
      </c>
    </row>
    <row r="37" spans="1:12" s="38" customFormat="1" ht="12.75" x14ac:dyDescent="0.2">
      <c r="A37" s="40">
        <f t="shared" si="10"/>
        <v>2</v>
      </c>
      <c r="B37" s="80">
        <f t="shared" si="9"/>
        <v>40633</v>
      </c>
      <c r="C37" s="81">
        <f t="shared" si="0"/>
        <v>31</v>
      </c>
      <c r="D37" s="85">
        <f>DAYS360($B$16,B37)-SUM($D$16:D36)</f>
        <v>32</v>
      </c>
      <c r="E37" s="35">
        <f t="shared" si="1"/>
        <v>971129.0569133861</v>
      </c>
      <c r="F37" s="36">
        <f t="shared" si="2"/>
        <v>-6443.0140148550854</v>
      </c>
      <c r="G37" s="86">
        <f t="shared" si="3"/>
        <v>-1425.5138874692575</v>
      </c>
      <c r="H37" s="87">
        <f t="shared" si="4"/>
        <v>-1263.6590446503587</v>
      </c>
      <c r="I37" s="86">
        <f t="shared" si="5"/>
        <v>-5017.5001273858279</v>
      </c>
      <c r="J37" s="87">
        <f t="shared" si="6"/>
        <v>-5179.3549702047267</v>
      </c>
      <c r="K37" s="86">
        <f t="shared" si="7"/>
        <v>969703.54302591679</v>
      </c>
      <c r="L37" s="87">
        <f t="shared" si="8"/>
        <v>969865.39786873572</v>
      </c>
    </row>
    <row r="38" spans="1:12" s="38" customFormat="1" ht="12.75" x14ac:dyDescent="0.2">
      <c r="A38" s="40">
        <f t="shared" si="10"/>
        <v>2</v>
      </c>
      <c r="B38" s="80">
        <f t="shared" si="9"/>
        <v>40663</v>
      </c>
      <c r="C38" s="81">
        <f t="shared" si="0"/>
        <v>30</v>
      </c>
      <c r="D38" s="85">
        <f>DAYS360($B$16,B38)-SUM($D$16:D37)</f>
        <v>30</v>
      </c>
      <c r="E38" s="35">
        <f t="shared" si="1"/>
        <v>969703.54302591679</v>
      </c>
      <c r="F38" s="36">
        <f t="shared" si="2"/>
        <v>-6443.0140148550854</v>
      </c>
      <c r="G38" s="86">
        <f t="shared" si="3"/>
        <v>-1594.4962997255016</v>
      </c>
      <c r="H38" s="87">
        <f t="shared" si="4"/>
        <v>-1594.4962997255016</v>
      </c>
      <c r="I38" s="86">
        <f t="shared" si="5"/>
        <v>-4848.5177151295838</v>
      </c>
      <c r="J38" s="87">
        <f t="shared" si="6"/>
        <v>-4848.5177151295838</v>
      </c>
      <c r="K38" s="86">
        <f t="shared" si="7"/>
        <v>968109.0467261913</v>
      </c>
      <c r="L38" s="87">
        <f t="shared" si="8"/>
        <v>968109.0467261913</v>
      </c>
    </row>
    <row r="39" spans="1:12" s="38" customFormat="1" ht="12.75" x14ac:dyDescent="0.2">
      <c r="A39" s="40">
        <f t="shared" si="10"/>
        <v>2</v>
      </c>
      <c r="B39" s="80">
        <f t="shared" si="9"/>
        <v>40694</v>
      </c>
      <c r="C39" s="81">
        <f t="shared" si="0"/>
        <v>31</v>
      </c>
      <c r="D39" s="85">
        <f>DAYS360($B$16,B39)-SUM($D$16:D38)</f>
        <v>30</v>
      </c>
      <c r="E39" s="35">
        <f t="shared" si="1"/>
        <v>968109.0467261913</v>
      </c>
      <c r="F39" s="36">
        <f t="shared" si="2"/>
        <v>-6443.0140148550854</v>
      </c>
      <c r="G39" s="86">
        <f t="shared" si="3"/>
        <v>-1441.1172734364309</v>
      </c>
      <c r="H39" s="87">
        <f t="shared" si="4"/>
        <v>-1602.4687812241291</v>
      </c>
      <c r="I39" s="86">
        <f t="shared" si="5"/>
        <v>-5001.8967414186545</v>
      </c>
      <c r="J39" s="87">
        <f t="shared" si="6"/>
        <v>-4840.5452336309563</v>
      </c>
      <c r="K39" s="86">
        <f t="shared" si="7"/>
        <v>966667.92945275491</v>
      </c>
      <c r="L39" s="87">
        <f t="shared" si="8"/>
        <v>966506.5779449672</v>
      </c>
    </row>
    <row r="40" spans="1:12" s="38" customFormat="1" ht="12.75" x14ac:dyDescent="0.2">
      <c r="A40" s="40">
        <f t="shared" si="10"/>
        <v>2</v>
      </c>
      <c r="B40" s="80">
        <f t="shared" si="9"/>
        <v>40724</v>
      </c>
      <c r="C40" s="81">
        <f t="shared" si="0"/>
        <v>30</v>
      </c>
      <c r="D40" s="85">
        <f>DAYS360($B$16,B40)-SUM($D$16:D39)</f>
        <v>30</v>
      </c>
      <c r="E40" s="35">
        <f t="shared" si="1"/>
        <v>966667.92945275491</v>
      </c>
      <c r="F40" s="36">
        <f t="shared" si="2"/>
        <v>-6443.0140148550854</v>
      </c>
      <c r="G40" s="86">
        <f t="shared" si="3"/>
        <v>-1609.6743675913103</v>
      </c>
      <c r="H40" s="87">
        <f t="shared" si="4"/>
        <v>-1609.6743675913103</v>
      </c>
      <c r="I40" s="86">
        <f t="shared" si="5"/>
        <v>-4833.3396472637751</v>
      </c>
      <c r="J40" s="87">
        <f t="shared" si="6"/>
        <v>-4833.3396472637751</v>
      </c>
      <c r="K40" s="86">
        <f t="shared" si="7"/>
        <v>965058.25508516363</v>
      </c>
      <c r="L40" s="87">
        <f t="shared" si="8"/>
        <v>965058.25508516363</v>
      </c>
    </row>
    <row r="41" spans="1:12" s="38" customFormat="1" ht="12.75" x14ac:dyDescent="0.2">
      <c r="A41" s="40">
        <f>A29+1</f>
        <v>3</v>
      </c>
      <c r="B41" s="80">
        <f t="shared" si="9"/>
        <v>40755</v>
      </c>
      <c r="C41" s="81">
        <f t="shared" si="0"/>
        <v>31</v>
      </c>
      <c r="D41" s="85">
        <f>DAYS360($B$16,B41)-SUM($D$16:D40)</f>
        <v>30</v>
      </c>
      <c r="E41" s="35">
        <f t="shared" si="1"/>
        <v>965058.25508516363</v>
      </c>
      <c r="F41" s="36">
        <f t="shared" si="2"/>
        <v>-6443.0140148550854</v>
      </c>
      <c r="G41" s="86">
        <f t="shared" si="3"/>
        <v>-1456.8796969150726</v>
      </c>
      <c r="H41" s="87">
        <f t="shared" si="4"/>
        <v>-1617.7227394292668</v>
      </c>
      <c r="I41" s="86">
        <f t="shared" si="5"/>
        <v>-4986.1343179400128</v>
      </c>
      <c r="J41" s="87">
        <f t="shared" si="6"/>
        <v>-4825.2912754258186</v>
      </c>
      <c r="K41" s="86">
        <f t="shared" si="7"/>
        <v>963601.37538824859</v>
      </c>
      <c r="L41" s="87">
        <f t="shared" si="8"/>
        <v>963440.53234573442</v>
      </c>
    </row>
    <row r="42" spans="1:12" s="38" customFormat="1" ht="12.75" x14ac:dyDescent="0.2">
      <c r="A42" s="40">
        <f t="shared" ref="A42:A52" si="11">A41</f>
        <v>3</v>
      </c>
      <c r="B42" s="80">
        <f t="shared" si="9"/>
        <v>40786</v>
      </c>
      <c r="C42" s="81">
        <f t="shared" si="0"/>
        <v>31</v>
      </c>
      <c r="D42" s="85">
        <f>DAYS360($B$16,B42)-SUM($D$16:D41)</f>
        <v>30</v>
      </c>
      <c r="E42" s="35">
        <f t="shared" si="1"/>
        <v>963601.37538824859</v>
      </c>
      <c r="F42" s="36">
        <f t="shared" si="2"/>
        <v>-6443.0140148550854</v>
      </c>
      <c r="G42" s="86">
        <f t="shared" si="3"/>
        <v>-1464.4069086824684</v>
      </c>
      <c r="H42" s="87">
        <f t="shared" si="4"/>
        <v>-1625.0071379138426</v>
      </c>
      <c r="I42" s="86">
        <f t="shared" si="5"/>
        <v>-4978.607106172617</v>
      </c>
      <c r="J42" s="87">
        <f t="shared" si="6"/>
        <v>-4818.0068769412428</v>
      </c>
      <c r="K42" s="86">
        <f t="shared" si="7"/>
        <v>962136.96847956616</v>
      </c>
      <c r="L42" s="87">
        <f t="shared" si="8"/>
        <v>961976.36825033475</v>
      </c>
    </row>
    <row r="43" spans="1:12" s="38" customFormat="1" ht="12.75" x14ac:dyDescent="0.2">
      <c r="A43" s="40">
        <f t="shared" si="11"/>
        <v>3</v>
      </c>
      <c r="B43" s="80">
        <f t="shared" si="9"/>
        <v>40816</v>
      </c>
      <c r="C43" s="81">
        <f t="shared" si="0"/>
        <v>30</v>
      </c>
      <c r="D43" s="85">
        <f>DAYS360($B$16,B43)-SUM($D$16:D42)</f>
        <v>30</v>
      </c>
      <c r="E43" s="35">
        <f t="shared" si="1"/>
        <v>962136.96847956616</v>
      </c>
      <c r="F43" s="36">
        <f t="shared" si="2"/>
        <v>-6443.0140148550854</v>
      </c>
      <c r="G43" s="86">
        <f t="shared" si="3"/>
        <v>-1632.3291724572546</v>
      </c>
      <c r="H43" s="87">
        <f t="shared" si="4"/>
        <v>-1632.3291724572546</v>
      </c>
      <c r="I43" s="86">
        <f t="shared" si="5"/>
        <v>-4810.6848423978308</v>
      </c>
      <c r="J43" s="87">
        <f t="shared" si="6"/>
        <v>-4810.6848423978308</v>
      </c>
      <c r="K43" s="86">
        <f t="shared" si="7"/>
        <v>960504.63930710894</v>
      </c>
      <c r="L43" s="87">
        <f t="shared" si="8"/>
        <v>960504.63930710894</v>
      </c>
    </row>
    <row r="44" spans="1:12" s="38" customFormat="1" ht="12.75" x14ac:dyDescent="0.2">
      <c r="A44" s="40">
        <f t="shared" si="11"/>
        <v>3</v>
      </c>
      <c r="B44" s="80">
        <f t="shared" si="9"/>
        <v>40847</v>
      </c>
      <c r="C44" s="81">
        <f t="shared" si="0"/>
        <v>31</v>
      </c>
      <c r="D44" s="85">
        <f>DAYS360($B$16,B44)-SUM($D$16:D43)</f>
        <v>30</v>
      </c>
      <c r="E44" s="35">
        <f t="shared" si="1"/>
        <v>960504.63930710894</v>
      </c>
      <c r="F44" s="36">
        <f t="shared" si="2"/>
        <v>-6443.0140148550854</v>
      </c>
      <c r="G44" s="86">
        <f t="shared" si="3"/>
        <v>-1480.4067117683553</v>
      </c>
      <c r="H44" s="87">
        <f t="shared" si="4"/>
        <v>-1640.4908183195403</v>
      </c>
      <c r="I44" s="86">
        <f t="shared" si="5"/>
        <v>-4962.6073030867301</v>
      </c>
      <c r="J44" s="87">
        <f t="shared" si="6"/>
        <v>-4802.5231965355451</v>
      </c>
      <c r="K44" s="86">
        <f t="shared" si="7"/>
        <v>959024.23259534058</v>
      </c>
      <c r="L44" s="87">
        <f t="shared" si="8"/>
        <v>958864.14848878945</v>
      </c>
    </row>
    <row r="45" spans="1:12" s="38" customFormat="1" ht="12.75" x14ac:dyDescent="0.2">
      <c r="A45" s="40">
        <f t="shared" si="11"/>
        <v>3</v>
      </c>
      <c r="B45" s="80">
        <f t="shared" si="9"/>
        <v>40877</v>
      </c>
      <c r="C45" s="81">
        <f t="shared" si="0"/>
        <v>30</v>
      </c>
      <c r="D45" s="85">
        <f>DAYS360($B$16,B45)-SUM($D$16:D44)</f>
        <v>30</v>
      </c>
      <c r="E45" s="35">
        <f t="shared" si="1"/>
        <v>959024.23259534058</v>
      </c>
      <c r="F45" s="36">
        <f t="shared" si="2"/>
        <v>-6443.0140148550854</v>
      </c>
      <c r="G45" s="86">
        <f t="shared" si="3"/>
        <v>-1647.8928518783823</v>
      </c>
      <c r="H45" s="87">
        <f t="shared" si="4"/>
        <v>-1647.8928518783823</v>
      </c>
      <c r="I45" s="86">
        <f t="shared" si="5"/>
        <v>-4795.1211629767031</v>
      </c>
      <c r="J45" s="87">
        <f t="shared" si="6"/>
        <v>-4795.1211629767031</v>
      </c>
      <c r="K45" s="86">
        <f t="shared" si="7"/>
        <v>957376.33974346216</v>
      </c>
      <c r="L45" s="87">
        <f t="shared" si="8"/>
        <v>957376.33974346216</v>
      </c>
    </row>
    <row r="46" spans="1:12" s="38" customFormat="1" ht="12.75" x14ac:dyDescent="0.2">
      <c r="A46" s="40">
        <f t="shared" si="11"/>
        <v>3</v>
      </c>
      <c r="B46" s="80">
        <f t="shared" si="9"/>
        <v>40908</v>
      </c>
      <c r="C46" s="81">
        <f t="shared" si="0"/>
        <v>31</v>
      </c>
      <c r="D46" s="85">
        <f>DAYS360($B$16,B46)-SUM($D$16:D45)</f>
        <v>30</v>
      </c>
      <c r="E46" s="35">
        <f t="shared" si="1"/>
        <v>957376.33974346216</v>
      </c>
      <c r="F46" s="36">
        <f t="shared" si="2"/>
        <v>-6443.0140148550854</v>
      </c>
      <c r="G46" s="86">
        <f t="shared" si="3"/>
        <v>-1496.5695928471969</v>
      </c>
      <c r="H46" s="87">
        <f t="shared" si="4"/>
        <v>-1656.1323161377741</v>
      </c>
      <c r="I46" s="86">
        <f t="shared" si="5"/>
        <v>-4946.4444220078885</v>
      </c>
      <c r="J46" s="87">
        <f t="shared" si="6"/>
        <v>-4786.8816987173113</v>
      </c>
      <c r="K46" s="86">
        <f t="shared" si="7"/>
        <v>955879.77015061502</v>
      </c>
      <c r="L46" s="87">
        <f t="shared" si="8"/>
        <v>955720.20742732438</v>
      </c>
    </row>
    <row r="47" spans="1:12" s="38" customFormat="1" ht="12.75" x14ac:dyDescent="0.2">
      <c r="A47" s="40">
        <f t="shared" si="11"/>
        <v>3</v>
      </c>
      <c r="B47" s="80">
        <f t="shared" si="9"/>
        <v>40939</v>
      </c>
      <c r="C47" s="81">
        <f t="shared" si="0"/>
        <v>31</v>
      </c>
      <c r="D47" s="85">
        <f>DAYS360($B$16,B47)-SUM($D$16:D46)</f>
        <v>30</v>
      </c>
      <c r="E47" s="35">
        <f t="shared" si="1"/>
        <v>955879.77015061502</v>
      </c>
      <c r="F47" s="36">
        <f t="shared" si="2"/>
        <v>-6443.0140148550854</v>
      </c>
      <c r="G47" s="86">
        <f t="shared" si="3"/>
        <v>-1504.3018690769086</v>
      </c>
      <c r="H47" s="87">
        <f t="shared" si="4"/>
        <v>-1663.6151641020106</v>
      </c>
      <c r="I47" s="86">
        <f t="shared" si="5"/>
        <v>-4938.7121457781768</v>
      </c>
      <c r="J47" s="87">
        <f t="shared" si="6"/>
        <v>-4779.3988507530748</v>
      </c>
      <c r="K47" s="86">
        <f t="shared" si="7"/>
        <v>954375.46828153811</v>
      </c>
      <c r="L47" s="87">
        <f t="shared" si="8"/>
        <v>954216.15498651296</v>
      </c>
    </row>
    <row r="48" spans="1:12" s="38" customFormat="1" ht="12.75" x14ac:dyDescent="0.2">
      <c r="A48" s="40">
        <f t="shared" si="11"/>
        <v>3</v>
      </c>
      <c r="B48" s="80">
        <f t="shared" si="9"/>
        <v>40968</v>
      </c>
      <c r="C48" s="81">
        <f t="shared" si="0"/>
        <v>29</v>
      </c>
      <c r="D48" s="85">
        <f>DAYS360($B$16,B48)-SUM($D$16:D47)</f>
        <v>29</v>
      </c>
      <c r="E48" s="35">
        <f t="shared" si="1"/>
        <v>954375.46828153811</v>
      </c>
      <c r="F48" s="36">
        <f t="shared" si="2"/>
        <v>-6443.0140148550854</v>
      </c>
      <c r="G48" s="86">
        <f t="shared" si="3"/>
        <v>-1830.1992514943177</v>
      </c>
      <c r="H48" s="87">
        <f t="shared" si="4"/>
        <v>-1830.1992514943177</v>
      </c>
      <c r="I48" s="86">
        <f t="shared" si="5"/>
        <v>-4612.8147633607678</v>
      </c>
      <c r="J48" s="87">
        <f t="shared" si="6"/>
        <v>-4612.8147633607678</v>
      </c>
      <c r="K48" s="86">
        <f t="shared" si="7"/>
        <v>952545.26903004374</v>
      </c>
      <c r="L48" s="87">
        <f t="shared" si="8"/>
        <v>952545.26903004374</v>
      </c>
    </row>
    <row r="49" spans="1:12" s="38" customFormat="1" ht="12.75" x14ac:dyDescent="0.2">
      <c r="A49" s="40">
        <f t="shared" si="11"/>
        <v>3</v>
      </c>
      <c r="B49" s="80">
        <f t="shared" si="9"/>
        <v>40999</v>
      </c>
      <c r="C49" s="81">
        <f t="shared" si="0"/>
        <v>31</v>
      </c>
      <c r="D49" s="85">
        <f>DAYS360($B$16,B49)-SUM($D$16:D48)</f>
        <v>31</v>
      </c>
      <c r="E49" s="35">
        <f t="shared" si="1"/>
        <v>952545.26903004374</v>
      </c>
      <c r="F49" s="36">
        <f t="shared" si="2"/>
        <v>-6443.0140148550854</v>
      </c>
      <c r="G49" s="86">
        <f t="shared" si="3"/>
        <v>-1521.5301248665255</v>
      </c>
      <c r="H49" s="87">
        <f t="shared" si="4"/>
        <v>-1521.5301248665255</v>
      </c>
      <c r="I49" s="86">
        <f t="shared" si="5"/>
        <v>-4921.4838899885599</v>
      </c>
      <c r="J49" s="87">
        <f t="shared" si="6"/>
        <v>-4921.4838899885599</v>
      </c>
      <c r="K49" s="86">
        <f t="shared" si="7"/>
        <v>951023.73890517722</v>
      </c>
      <c r="L49" s="87">
        <f t="shared" si="8"/>
        <v>951023.73890517722</v>
      </c>
    </row>
    <row r="50" spans="1:12" s="38" customFormat="1" ht="12.75" x14ac:dyDescent="0.2">
      <c r="A50" s="40">
        <f t="shared" si="11"/>
        <v>3</v>
      </c>
      <c r="B50" s="80">
        <f t="shared" si="9"/>
        <v>41029</v>
      </c>
      <c r="C50" s="81">
        <f t="shared" si="0"/>
        <v>30</v>
      </c>
      <c r="D50" s="85">
        <f>DAYS360($B$16,B50)-SUM($D$16:D49)</f>
        <v>30</v>
      </c>
      <c r="E50" s="35">
        <f t="shared" si="1"/>
        <v>951023.73890517722</v>
      </c>
      <c r="F50" s="36">
        <f t="shared" si="2"/>
        <v>-6443.0140148550854</v>
      </c>
      <c r="G50" s="86">
        <f t="shared" si="3"/>
        <v>-1687.8953203291994</v>
      </c>
      <c r="H50" s="87">
        <f t="shared" si="4"/>
        <v>-1687.8953203291994</v>
      </c>
      <c r="I50" s="86">
        <f t="shared" si="5"/>
        <v>-4755.118694525886</v>
      </c>
      <c r="J50" s="87">
        <f t="shared" si="6"/>
        <v>-4755.118694525886</v>
      </c>
      <c r="K50" s="86">
        <f t="shared" si="7"/>
        <v>949335.84358484799</v>
      </c>
      <c r="L50" s="87">
        <f t="shared" si="8"/>
        <v>949335.84358484799</v>
      </c>
    </row>
    <row r="51" spans="1:12" s="38" customFormat="1" ht="12.75" x14ac:dyDescent="0.2">
      <c r="A51" s="40">
        <f t="shared" si="11"/>
        <v>3</v>
      </c>
      <c r="B51" s="80">
        <f t="shared" si="9"/>
        <v>41060</v>
      </c>
      <c r="C51" s="81">
        <f t="shared" si="0"/>
        <v>31</v>
      </c>
      <c r="D51" s="85">
        <f>DAYS360($B$16,B51)-SUM($D$16:D50)</f>
        <v>30</v>
      </c>
      <c r="E51" s="35">
        <f t="shared" si="1"/>
        <v>949335.84358484799</v>
      </c>
      <c r="F51" s="36">
        <f t="shared" si="2"/>
        <v>-6443.0140148550854</v>
      </c>
      <c r="G51" s="86">
        <f t="shared" si="3"/>
        <v>-1538.1121563333709</v>
      </c>
      <c r="H51" s="87">
        <f t="shared" si="4"/>
        <v>-1696.3347969308461</v>
      </c>
      <c r="I51" s="86">
        <f t="shared" si="5"/>
        <v>-4904.9018585217145</v>
      </c>
      <c r="J51" s="87">
        <f t="shared" si="6"/>
        <v>-4746.6792179242393</v>
      </c>
      <c r="K51" s="86">
        <f t="shared" si="7"/>
        <v>947797.73142851458</v>
      </c>
      <c r="L51" s="87">
        <f t="shared" si="8"/>
        <v>947639.50878791709</v>
      </c>
    </row>
    <row r="52" spans="1:12" s="38" customFormat="1" ht="12.75" x14ac:dyDescent="0.2">
      <c r="A52" s="40">
        <f t="shared" si="11"/>
        <v>3</v>
      </c>
      <c r="B52" s="80">
        <f t="shared" si="9"/>
        <v>41090</v>
      </c>
      <c r="C52" s="81">
        <f t="shared" si="0"/>
        <v>30</v>
      </c>
      <c r="D52" s="85">
        <f>DAYS360($B$16,B52)-SUM($D$16:D51)</f>
        <v>30</v>
      </c>
      <c r="E52" s="35">
        <f t="shared" si="1"/>
        <v>947797.73142851458</v>
      </c>
      <c r="F52" s="36">
        <f t="shared" si="2"/>
        <v>-6443.0140148550854</v>
      </c>
      <c r="G52" s="86">
        <f t="shared" si="3"/>
        <v>-1704.0253577125122</v>
      </c>
      <c r="H52" s="87">
        <f t="shared" si="4"/>
        <v>-1704.0253577125122</v>
      </c>
      <c r="I52" s="86">
        <f t="shared" si="5"/>
        <v>-4738.9886571425732</v>
      </c>
      <c r="J52" s="87">
        <f t="shared" si="6"/>
        <v>-4738.9886571425732</v>
      </c>
      <c r="K52" s="86">
        <f t="shared" si="7"/>
        <v>946093.70607080206</v>
      </c>
      <c r="L52" s="87">
        <f t="shared" si="8"/>
        <v>946093.70607080206</v>
      </c>
    </row>
    <row r="53" spans="1:12" s="38" customFormat="1" ht="12.75" x14ac:dyDescent="0.2">
      <c r="A53" s="40">
        <f>A41+1</f>
        <v>4</v>
      </c>
      <c r="B53" s="80">
        <f t="shared" si="9"/>
        <v>41121</v>
      </c>
      <c r="C53" s="81">
        <f t="shared" si="0"/>
        <v>31</v>
      </c>
      <c r="D53" s="85">
        <f>DAYS360($B$16,B53)-SUM($D$16:D52)</f>
        <v>30</v>
      </c>
      <c r="E53" s="35">
        <f t="shared" si="1"/>
        <v>946093.70607080206</v>
      </c>
      <c r="F53" s="36">
        <f t="shared" si="2"/>
        <v>-6443.0140148550854</v>
      </c>
      <c r="G53" s="86">
        <f t="shared" si="3"/>
        <v>-1554.8632001559417</v>
      </c>
      <c r="H53" s="87">
        <f t="shared" si="4"/>
        <v>-1712.5454845010745</v>
      </c>
      <c r="I53" s="86">
        <f t="shared" si="5"/>
        <v>-4888.1508146991437</v>
      </c>
      <c r="J53" s="87">
        <f t="shared" si="6"/>
        <v>-4730.4685303540109</v>
      </c>
      <c r="K53" s="86">
        <f t="shared" si="7"/>
        <v>944538.84287064616</v>
      </c>
      <c r="L53" s="87">
        <f t="shared" si="8"/>
        <v>944381.160586301</v>
      </c>
    </row>
    <row r="54" spans="1:12" s="38" customFormat="1" ht="12.75" x14ac:dyDescent="0.2">
      <c r="A54" s="40">
        <f t="shared" ref="A54:A64" si="12">A53</f>
        <v>4</v>
      </c>
      <c r="B54" s="80">
        <f t="shared" si="9"/>
        <v>41152</v>
      </c>
      <c r="C54" s="81">
        <f t="shared" si="0"/>
        <v>31</v>
      </c>
      <c r="D54" s="85">
        <f>DAYS360($B$16,B54)-SUM($D$16:D53)</f>
        <v>30</v>
      </c>
      <c r="E54" s="35">
        <f t="shared" si="1"/>
        <v>944538.84287064616</v>
      </c>
      <c r="F54" s="36">
        <f t="shared" si="2"/>
        <v>-6443.0140148550854</v>
      </c>
      <c r="G54" s="86">
        <f t="shared" si="3"/>
        <v>-1562.8966600234135</v>
      </c>
      <c r="H54" s="87">
        <f t="shared" si="4"/>
        <v>-1720.3198005018548</v>
      </c>
      <c r="I54" s="86">
        <f t="shared" si="5"/>
        <v>-4880.1173548316719</v>
      </c>
      <c r="J54" s="87">
        <f t="shared" si="6"/>
        <v>-4722.6942143532306</v>
      </c>
      <c r="K54" s="86">
        <f t="shared" si="7"/>
        <v>942975.94621062279</v>
      </c>
      <c r="L54" s="87">
        <f t="shared" si="8"/>
        <v>942818.52307014435</v>
      </c>
    </row>
    <row r="55" spans="1:12" s="38" customFormat="1" ht="12.75" x14ac:dyDescent="0.2">
      <c r="A55" s="40">
        <f t="shared" si="12"/>
        <v>4</v>
      </c>
      <c r="B55" s="80">
        <f t="shared" si="9"/>
        <v>41182</v>
      </c>
      <c r="C55" s="81">
        <f t="shared" si="0"/>
        <v>30</v>
      </c>
      <c r="D55" s="85">
        <f>DAYS360($B$16,B55)-SUM($D$16:D54)</f>
        <v>30</v>
      </c>
      <c r="E55" s="35">
        <f t="shared" si="1"/>
        <v>942975.94621062279</v>
      </c>
      <c r="F55" s="36">
        <f t="shared" si="2"/>
        <v>-6443.0140148550854</v>
      </c>
      <c r="G55" s="86">
        <f t="shared" si="3"/>
        <v>-1728.1342838019709</v>
      </c>
      <c r="H55" s="87">
        <f t="shared" si="4"/>
        <v>-1728.1342838019709</v>
      </c>
      <c r="I55" s="86">
        <f t="shared" si="5"/>
        <v>-4714.8797310531145</v>
      </c>
      <c r="J55" s="87">
        <f t="shared" si="6"/>
        <v>-4714.8797310531145</v>
      </c>
      <c r="K55" s="86">
        <f t="shared" si="7"/>
        <v>941247.81192682078</v>
      </c>
      <c r="L55" s="87">
        <f t="shared" si="8"/>
        <v>941247.81192682078</v>
      </c>
    </row>
    <row r="56" spans="1:12" s="38" customFormat="1" ht="12.75" x14ac:dyDescent="0.2">
      <c r="A56" s="40">
        <f t="shared" si="12"/>
        <v>4</v>
      </c>
      <c r="B56" s="80">
        <f t="shared" si="9"/>
        <v>41213</v>
      </c>
      <c r="C56" s="81">
        <f t="shared" si="0"/>
        <v>31</v>
      </c>
      <c r="D56" s="85">
        <f>DAYS360($B$16,B56)-SUM($D$16:D55)</f>
        <v>30</v>
      </c>
      <c r="E56" s="35">
        <f t="shared" si="1"/>
        <v>941247.81192682078</v>
      </c>
      <c r="F56" s="36">
        <f t="shared" si="2"/>
        <v>-6443.0140148550854</v>
      </c>
      <c r="G56" s="86">
        <f t="shared" si="3"/>
        <v>-1579.9003198998444</v>
      </c>
      <c r="H56" s="87">
        <f t="shared" si="4"/>
        <v>-1736.7749552209816</v>
      </c>
      <c r="I56" s="86">
        <f t="shared" si="5"/>
        <v>-4863.113694955241</v>
      </c>
      <c r="J56" s="87">
        <f t="shared" si="6"/>
        <v>-4706.2390596341038</v>
      </c>
      <c r="K56" s="86">
        <f t="shared" si="7"/>
        <v>939667.91160692088</v>
      </c>
      <c r="L56" s="87">
        <f t="shared" si="8"/>
        <v>939511.03697159979</v>
      </c>
    </row>
    <row r="57" spans="1:12" s="38" customFormat="1" ht="12.75" x14ac:dyDescent="0.2">
      <c r="A57" s="40">
        <f t="shared" si="12"/>
        <v>4</v>
      </c>
      <c r="B57" s="80">
        <f t="shared" si="9"/>
        <v>41243</v>
      </c>
      <c r="C57" s="81">
        <f t="shared" si="0"/>
        <v>30</v>
      </c>
      <c r="D57" s="85">
        <f>DAYS360($B$16,B57)-SUM($D$16:D56)</f>
        <v>30</v>
      </c>
      <c r="E57" s="35">
        <f t="shared" si="1"/>
        <v>939667.91160692088</v>
      </c>
      <c r="F57" s="36">
        <f t="shared" si="2"/>
        <v>-6443.0140148550854</v>
      </c>
      <c r="G57" s="86">
        <f t="shared" si="3"/>
        <v>-1744.6744568204822</v>
      </c>
      <c r="H57" s="87">
        <f t="shared" si="4"/>
        <v>-1744.6744568204822</v>
      </c>
      <c r="I57" s="86">
        <f t="shared" si="5"/>
        <v>-4698.3395580346032</v>
      </c>
      <c r="J57" s="87">
        <f t="shared" si="6"/>
        <v>-4698.3395580346032</v>
      </c>
      <c r="K57" s="86">
        <f t="shared" si="7"/>
        <v>937923.23715010041</v>
      </c>
      <c r="L57" s="87">
        <f t="shared" si="8"/>
        <v>937923.23715010041</v>
      </c>
    </row>
    <row r="58" spans="1:12" s="38" customFormat="1" ht="12.75" x14ac:dyDescent="0.2">
      <c r="A58" s="40">
        <f t="shared" si="12"/>
        <v>4</v>
      </c>
      <c r="B58" s="80">
        <f t="shared" si="9"/>
        <v>41274</v>
      </c>
      <c r="C58" s="81">
        <f t="shared" si="0"/>
        <v>31</v>
      </c>
      <c r="D58" s="85">
        <f>DAYS360($B$16,B58)-SUM($D$16:D57)</f>
        <v>30</v>
      </c>
      <c r="E58" s="35">
        <f t="shared" si="1"/>
        <v>937923.23715010041</v>
      </c>
      <c r="F58" s="36">
        <f t="shared" si="2"/>
        <v>-6443.0140148550854</v>
      </c>
      <c r="G58" s="86">
        <f t="shared" si="3"/>
        <v>-1597.0772895795662</v>
      </c>
      <c r="H58" s="87">
        <f t="shared" si="4"/>
        <v>-1753.3978291045833</v>
      </c>
      <c r="I58" s="86">
        <f t="shared" si="5"/>
        <v>-4845.9367252755192</v>
      </c>
      <c r="J58" s="87">
        <f t="shared" si="6"/>
        <v>-4689.6161857505022</v>
      </c>
      <c r="K58" s="86">
        <f t="shared" si="7"/>
        <v>936326.15986052086</v>
      </c>
      <c r="L58" s="87">
        <f t="shared" si="8"/>
        <v>936169.83932099584</v>
      </c>
    </row>
    <row r="59" spans="1:12" s="38" customFormat="1" ht="12.75" x14ac:dyDescent="0.2">
      <c r="A59" s="40">
        <f t="shared" si="12"/>
        <v>4</v>
      </c>
      <c r="B59" s="80">
        <f t="shared" si="9"/>
        <v>41305</v>
      </c>
      <c r="C59" s="81">
        <f t="shared" si="0"/>
        <v>31</v>
      </c>
      <c r="D59" s="85">
        <f>DAYS360($B$16,B59)-SUM($D$16:D58)</f>
        <v>30</v>
      </c>
      <c r="E59" s="35">
        <f t="shared" si="1"/>
        <v>936326.15986052086</v>
      </c>
      <c r="F59" s="36">
        <f t="shared" si="2"/>
        <v>-6443.0140148550854</v>
      </c>
      <c r="G59" s="86">
        <f t="shared" si="3"/>
        <v>-1605.3288555757272</v>
      </c>
      <c r="H59" s="87">
        <f t="shared" si="4"/>
        <v>-1761.3832155524806</v>
      </c>
      <c r="I59" s="86">
        <f t="shared" si="5"/>
        <v>-4837.6851592793582</v>
      </c>
      <c r="J59" s="87">
        <f t="shared" si="6"/>
        <v>-4681.6307993026048</v>
      </c>
      <c r="K59" s="86">
        <f t="shared" si="7"/>
        <v>934720.8310049451</v>
      </c>
      <c r="L59" s="87">
        <f t="shared" si="8"/>
        <v>934564.77664496843</v>
      </c>
    </row>
    <row r="60" spans="1:12" s="38" customFormat="1" ht="12.75" x14ac:dyDescent="0.2">
      <c r="A60" s="40">
        <f t="shared" si="12"/>
        <v>4</v>
      </c>
      <c r="B60" s="80">
        <f t="shared" si="9"/>
        <v>41333</v>
      </c>
      <c r="C60" s="81">
        <f t="shared" si="0"/>
        <v>28</v>
      </c>
      <c r="D60" s="85">
        <f>DAYS360($B$16,B60)-SUM($D$16:D59)</f>
        <v>28</v>
      </c>
      <c r="E60" s="35">
        <f t="shared" si="1"/>
        <v>934720.8310049451</v>
      </c>
      <c r="F60" s="36">
        <f t="shared" si="2"/>
        <v>-6443.0140148550854</v>
      </c>
      <c r="G60" s="86">
        <f t="shared" si="3"/>
        <v>-2080.9834701653417</v>
      </c>
      <c r="H60" s="87">
        <f t="shared" si="4"/>
        <v>-2080.9834701653417</v>
      </c>
      <c r="I60" s="86">
        <f t="shared" si="5"/>
        <v>-4362.0305446897437</v>
      </c>
      <c r="J60" s="87">
        <f t="shared" si="6"/>
        <v>-4362.0305446897437</v>
      </c>
      <c r="K60" s="86">
        <f t="shared" si="7"/>
        <v>932639.84753477981</v>
      </c>
      <c r="L60" s="87">
        <f t="shared" si="8"/>
        <v>932639.84753477981</v>
      </c>
    </row>
    <row r="61" spans="1:12" s="38" customFormat="1" ht="12.75" x14ac:dyDescent="0.2">
      <c r="A61" s="40">
        <f t="shared" si="12"/>
        <v>4</v>
      </c>
      <c r="B61" s="80">
        <f t="shared" si="9"/>
        <v>41364</v>
      </c>
      <c r="C61" s="81">
        <f t="shared" si="0"/>
        <v>31</v>
      </c>
      <c r="D61" s="85">
        <f>DAYS360($B$16,B61)-SUM($D$16:D60)</f>
        <v>32</v>
      </c>
      <c r="E61" s="35">
        <f t="shared" si="1"/>
        <v>932639.84753477981</v>
      </c>
      <c r="F61" s="36">
        <f t="shared" si="2"/>
        <v>-6443.0140148550854</v>
      </c>
      <c r="G61" s="86">
        <f t="shared" si="3"/>
        <v>-1624.3748025920559</v>
      </c>
      <c r="H61" s="87">
        <f t="shared" si="4"/>
        <v>-1468.9348280029262</v>
      </c>
      <c r="I61" s="86">
        <f t="shared" si="5"/>
        <v>-4818.6392122630295</v>
      </c>
      <c r="J61" s="87">
        <f t="shared" si="6"/>
        <v>-4974.0791868521592</v>
      </c>
      <c r="K61" s="86">
        <f t="shared" si="7"/>
        <v>931015.47273218771</v>
      </c>
      <c r="L61" s="87">
        <f t="shared" si="8"/>
        <v>931170.91270677687</v>
      </c>
    </row>
    <row r="62" spans="1:12" s="38" customFormat="1" ht="12.75" x14ac:dyDescent="0.2">
      <c r="A62" s="40">
        <f t="shared" si="12"/>
        <v>4</v>
      </c>
      <c r="B62" s="80">
        <f t="shared" si="9"/>
        <v>41394</v>
      </c>
      <c r="C62" s="81">
        <f t="shared" si="0"/>
        <v>30</v>
      </c>
      <c r="D62" s="85">
        <f>DAYS360($B$16,B62)-SUM($D$16:D61)</f>
        <v>30</v>
      </c>
      <c r="E62" s="35">
        <f t="shared" si="1"/>
        <v>931015.47273218771</v>
      </c>
      <c r="F62" s="36">
        <f t="shared" si="2"/>
        <v>-6443.0140148550854</v>
      </c>
      <c r="G62" s="86">
        <f t="shared" si="3"/>
        <v>-1787.9366511941471</v>
      </c>
      <c r="H62" s="87">
        <f t="shared" si="4"/>
        <v>-1787.9366511941471</v>
      </c>
      <c r="I62" s="86">
        <f t="shared" si="5"/>
        <v>-4655.0773636609383</v>
      </c>
      <c r="J62" s="87">
        <f t="shared" si="6"/>
        <v>-4655.0773636609383</v>
      </c>
      <c r="K62" s="86">
        <f t="shared" si="7"/>
        <v>929227.5360809936</v>
      </c>
      <c r="L62" s="87">
        <f t="shared" si="8"/>
        <v>929227.5360809936</v>
      </c>
    </row>
    <row r="63" spans="1:12" s="38" customFormat="1" ht="12.75" x14ac:dyDescent="0.2">
      <c r="A63" s="40">
        <f t="shared" si="12"/>
        <v>4</v>
      </c>
      <c r="B63" s="80">
        <f t="shared" si="9"/>
        <v>41425</v>
      </c>
      <c r="C63" s="81">
        <f t="shared" si="0"/>
        <v>31</v>
      </c>
      <c r="D63" s="85">
        <f>DAYS360($B$16,B63)-SUM($D$16:D62)</f>
        <v>30</v>
      </c>
      <c r="E63" s="35">
        <f t="shared" si="1"/>
        <v>929227.5360809936</v>
      </c>
      <c r="F63" s="36">
        <f t="shared" si="2"/>
        <v>-6443.0140148550854</v>
      </c>
      <c r="G63" s="86">
        <f t="shared" si="3"/>
        <v>-1642.0050784366185</v>
      </c>
      <c r="H63" s="87">
        <f t="shared" si="4"/>
        <v>-1796.8763344501176</v>
      </c>
      <c r="I63" s="86">
        <f t="shared" si="5"/>
        <v>-4801.0089364184669</v>
      </c>
      <c r="J63" s="87">
        <f t="shared" si="6"/>
        <v>-4646.1376804049678</v>
      </c>
      <c r="K63" s="86">
        <f t="shared" si="7"/>
        <v>927585.53100255702</v>
      </c>
      <c r="L63" s="87">
        <f t="shared" si="8"/>
        <v>927430.6597465435</v>
      </c>
    </row>
    <row r="64" spans="1:12" s="38" customFormat="1" ht="12.75" x14ac:dyDescent="0.2">
      <c r="A64" s="40">
        <f t="shared" si="12"/>
        <v>4</v>
      </c>
      <c r="B64" s="80">
        <f t="shared" si="9"/>
        <v>41455</v>
      </c>
      <c r="C64" s="81">
        <f t="shared" si="0"/>
        <v>30</v>
      </c>
      <c r="D64" s="85">
        <f>DAYS360($B$16,B64)-SUM($D$16:D63)</f>
        <v>30</v>
      </c>
      <c r="E64" s="35">
        <f t="shared" si="1"/>
        <v>927585.53100255702</v>
      </c>
      <c r="F64" s="36">
        <f t="shared" si="2"/>
        <v>-6443.0140148550854</v>
      </c>
      <c r="G64" s="86">
        <f t="shared" si="3"/>
        <v>-1805.0863598423002</v>
      </c>
      <c r="H64" s="87">
        <f t="shared" si="4"/>
        <v>-1805.0863598423002</v>
      </c>
      <c r="I64" s="86">
        <f t="shared" si="5"/>
        <v>-4637.9276550127852</v>
      </c>
      <c r="J64" s="87">
        <f t="shared" si="6"/>
        <v>-4637.9276550127852</v>
      </c>
      <c r="K64" s="86">
        <f t="shared" si="7"/>
        <v>925780.44464271469</v>
      </c>
      <c r="L64" s="87">
        <f t="shared" si="8"/>
        <v>925780.44464271469</v>
      </c>
    </row>
    <row r="65" spans="1:12" s="38" customFormat="1" ht="12.75" x14ac:dyDescent="0.2">
      <c r="A65" s="40">
        <f>A53+1</f>
        <v>5</v>
      </c>
      <c r="B65" s="80">
        <f t="shared" si="9"/>
        <v>41486</v>
      </c>
      <c r="C65" s="81">
        <f t="shared" si="0"/>
        <v>31</v>
      </c>
      <c r="D65" s="85">
        <f>DAYS360($B$16,B65)-SUM($D$16:D64)</f>
        <v>30</v>
      </c>
      <c r="E65" s="35">
        <f t="shared" si="1"/>
        <v>925780.44464271469</v>
      </c>
      <c r="F65" s="36">
        <f t="shared" si="2"/>
        <v>-6443.0140148550854</v>
      </c>
      <c r="G65" s="86">
        <f t="shared" si="3"/>
        <v>-1659.8150508677254</v>
      </c>
      <c r="H65" s="87">
        <f t="shared" si="4"/>
        <v>-1814.1117916415114</v>
      </c>
      <c r="I65" s="86">
        <f t="shared" si="5"/>
        <v>-4783.19896398736</v>
      </c>
      <c r="J65" s="87">
        <f t="shared" si="6"/>
        <v>-4628.902223213574</v>
      </c>
      <c r="K65" s="86">
        <f t="shared" si="7"/>
        <v>924120.62959184696</v>
      </c>
      <c r="L65" s="87">
        <f t="shared" si="8"/>
        <v>923966.33285107312</v>
      </c>
    </row>
    <row r="66" spans="1:12" s="38" customFormat="1" ht="12.75" x14ac:dyDescent="0.2">
      <c r="A66" s="40">
        <f t="shared" ref="A66:A76" si="13">A65</f>
        <v>5</v>
      </c>
      <c r="B66" s="80">
        <f t="shared" si="9"/>
        <v>41517</v>
      </c>
      <c r="C66" s="81">
        <f t="shared" si="0"/>
        <v>31</v>
      </c>
      <c r="D66" s="85">
        <f>DAYS360($B$16,B66)-SUM($D$16:D65)</f>
        <v>30</v>
      </c>
      <c r="E66" s="35">
        <f t="shared" si="1"/>
        <v>924120.62959184696</v>
      </c>
      <c r="F66" s="36">
        <f t="shared" si="2"/>
        <v>-6443.0140148550854</v>
      </c>
      <c r="G66" s="86">
        <f t="shared" si="3"/>
        <v>-1668.3907619638758</v>
      </c>
      <c r="H66" s="87">
        <f t="shared" si="4"/>
        <v>-1822.4108668958506</v>
      </c>
      <c r="I66" s="86">
        <f t="shared" si="5"/>
        <v>-4774.6232528912096</v>
      </c>
      <c r="J66" s="87">
        <f t="shared" si="6"/>
        <v>-4620.6031479592348</v>
      </c>
      <c r="K66" s="86">
        <f t="shared" si="7"/>
        <v>922452.23882988305</v>
      </c>
      <c r="L66" s="87">
        <f t="shared" si="8"/>
        <v>922298.21872495115</v>
      </c>
    </row>
    <row r="67" spans="1:12" s="38" customFormat="1" ht="12.75" x14ac:dyDescent="0.2">
      <c r="A67" s="40">
        <f t="shared" si="13"/>
        <v>5</v>
      </c>
      <c r="B67" s="80">
        <f t="shared" si="9"/>
        <v>41547</v>
      </c>
      <c r="C67" s="81">
        <f t="shared" si="0"/>
        <v>30</v>
      </c>
      <c r="D67" s="85">
        <f>DAYS360($B$16,B67)-SUM($D$16:D66)</f>
        <v>30</v>
      </c>
      <c r="E67" s="35">
        <f t="shared" si="1"/>
        <v>922452.23882988305</v>
      </c>
      <c r="F67" s="36">
        <f t="shared" si="2"/>
        <v>-6443.0140148550854</v>
      </c>
      <c r="G67" s="86">
        <f t="shared" si="3"/>
        <v>-1830.7528207056703</v>
      </c>
      <c r="H67" s="87">
        <f t="shared" si="4"/>
        <v>-1830.7528207056703</v>
      </c>
      <c r="I67" s="86">
        <f t="shared" si="5"/>
        <v>-4612.2611941494151</v>
      </c>
      <c r="J67" s="87">
        <f t="shared" si="6"/>
        <v>-4612.2611941494151</v>
      </c>
      <c r="K67" s="86">
        <f t="shared" si="7"/>
        <v>920621.4860091774</v>
      </c>
      <c r="L67" s="87">
        <f t="shared" si="8"/>
        <v>920621.4860091774</v>
      </c>
    </row>
    <row r="68" spans="1:12" s="38" customFormat="1" ht="12.75" x14ac:dyDescent="0.2">
      <c r="A68" s="40">
        <f t="shared" si="13"/>
        <v>5</v>
      </c>
      <c r="B68" s="80">
        <f t="shared" si="9"/>
        <v>41578</v>
      </c>
      <c r="C68" s="81">
        <f t="shared" si="0"/>
        <v>31</v>
      </c>
      <c r="D68" s="85">
        <f>DAYS360($B$16,B68)-SUM($D$16:D67)</f>
        <v>30</v>
      </c>
      <c r="E68" s="35">
        <f t="shared" si="1"/>
        <v>920621.4860091774</v>
      </c>
      <c r="F68" s="36">
        <f t="shared" si="2"/>
        <v>-6443.0140148550854</v>
      </c>
      <c r="G68" s="86">
        <f t="shared" si="3"/>
        <v>-1686.4696704743365</v>
      </c>
      <c r="H68" s="87">
        <f t="shared" si="4"/>
        <v>-1839.9065848091986</v>
      </c>
      <c r="I68" s="86">
        <f t="shared" si="5"/>
        <v>-4756.544344380749</v>
      </c>
      <c r="J68" s="87">
        <f t="shared" si="6"/>
        <v>-4603.1074300458868</v>
      </c>
      <c r="K68" s="86">
        <f t="shared" si="7"/>
        <v>918935.01633870311</v>
      </c>
      <c r="L68" s="87">
        <f t="shared" si="8"/>
        <v>918781.57942436822</v>
      </c>
    </row>
    <row r="69" spans="1:12" s="38" customFormat="1" ht="12.75" x14ac:dyDescent="0.2">
      <c r="A69" s="40">
        <f t="shared" si="13"/>
        <v>5</v>
      </c>
      <c r="B69" s="80">
        <f t="shared" si="9"/>
        <v>41608</v>
      </c>
      <c r="C69" s="81">
        <f t="shared" si="0"/>
        <v>30</v>
      </c>
      <c r="D69" s="85">
        <f>DAYS360($B$16,B69)-SUM($D$16:D68)</f>
        <v>30</v>
      </c>
      <c r="E69" s="35">
        <f t="shared" si="1"/>
        <v>918935.01633870311</v>
      </c>
      <c r="F69" s="36">
        <f t="shared" si="2"/>
        <v>-6443.0140148550854</v>
      </c>
      <c r="G69" s="86">
        <f t="shared" si="3"/>
        <v>-1848.3389331615699</v>
      </c>
      <c r="H69" s="87">
        <f t="shared" si="4"/>
        <v>-1848.3389331615699</v>
      </c>
      <c r="I69" s="86">
        <f t="shared" si="5"/>
        <v>-4594.6750816935155</v>
      </c>
      <c r="J69" s="87">
        <f t="shared" si="6"/>
        <v>-4594.6750816935155</v>
      </c>
      <c r="K69" s="86">
        <f t="shared" si="7"/>
        <v>917086.67740554153</v>
      </c>
      <c r="L69" s="87">
        <f t="shared" si="8"/>
        <v>917086.67740554153</v>
      </c>
    </row>
    <row r="70" spans="1:12" s="38" customFormat="1" ht="12.75" x14ac:dyDescent="0.2">
      <c r="A70" s="40">
        <f t="shared" si="13"/>
        <v>5</v>
      </c>
      <c r="B70" s="80">
        <f t="shared" si="9"/>
        <v>41639</v>
      </c>
      <c r="C70" s="81">
        <f t="shared" si="0"/>
        <v>31</v>
      </c>
      <c r="D70" s="85">
        <f>DAYS360($B$16,B70)-SUM($D$16:D69)</f>
        <v>30</v>
      </c>
      <c r="E70" s="35">
        <f t="shared" si="1"/>
        <v>917086.67740554153</v>
      </c>
      <c r="F70" s="36">
        <f t="shared" si="2"/>
        <v>-6443.0140148550854</v>
      </c>
      <c r="G70" s="86">
        <f t="shared" si="3"/>
        <v>-1704.7328482597868</v>
      </c>
      <c r="H70" s="87">
        <f t="shared" si="4"/>
        <v>-1857.5806278273776</v>
      </c>
      <c r="I70" s="86">
        <f t="shared" si="5"/>
        <v>-4738.2811665952986</v>
      </c>
      <c r="J70" s="87">
        <f t="shared" si="6"/>
        <v>-4585.4333870277078</v>
      </c>
      <c r="K70" s="86">
        <f t="shared" si="7"/>
        <v>915381.94455728179</v>
      </c>
      <c r="L70" s="87">
        <f t="shared" si="8"/>
        <v>915229.09677771421</v>
      </c>
    </row>
    <row r="71" spans="1:12" s="38" customFormat="1" ht="12.75" x14ac:dyDescent="0.2">
      <c r="A71" s="40">
        <f t="shared" si="13"/>
        <v>5</v>
      </c>
      <c r="B71" s="80">
        <f t="shared" si="9"/>
        <v>41670</v>
      </c>
      <c r="C71" s="81">
        <f t="shared" si="0"/>
        <v>31</v>
      </c>
      <c r="D71" s="85">
        <f>DAYS360($B$16,B71)-SUM($D$16:D70)</f>
        <v>30</v>
      </c>
      <c r="E71" s="35">
        <f t="shared" si="1"/>
        <v>915381.94455728179</v>
      </c>
      <c r="F71" s="36">
        <f t="shared" si="2"/>
        <v>-6443.0140148550854</v>
      </c>
      <c r="G71" s="86">
        <f t="shared" si="3"/>
        <v>-1713.5406346424616</v>
      </c>
      <c r="H71" s="87">
        <f t="shared" si="4"/>
        <v>-1866.1042920686759</v>
      </c>
      <c r="I71" s="86">
        <f t="shared" si="5"/>
        <v>-4729.4733802126239</v>
      </c>
      <c r="J71" s="87">
        <f t="shared" si="6"/>
        <v>-4576.9097227864095</v>
      </c>
      <c r="K71" s="86">
        <f t="shared" si="7"/>
        <v>913668.40392263932</v>
      </c>
      <c r="L71" s="87">
        <f t="shared" si="8"/>
        <v>913515.84026521316</v>
      </c>
    </row>
    <row r="72" spans="1:12" s="38" customFormat="1" ht="12.75" x14ac:dyDescent="0.2">
      <c r="A72" s="40">
        <f t="shared" si="13"/>
        <v>5</v>
      </c>
      <c r="B72" s="80">
        <f t="shared" si="9"/>
        <v>41698</v>
      </c>
      <c r="C72" s="81">
        <f t="shared" si="0"/>
        <v>28</v>
      </c>
      <c r="D72" s="85">
        <f>DAYS360($B$16,B72)-SUM($D$16:D71)</f>
        <v>28</v>
      </c>
      <c r="E72" s="35">
        <f t="shared" si="1"/>
        <v>913668.40392263932</v>
      </c>
      <c r="F72" s="36">
        <f t="shared" si="2"/>
        <v>-6443.0140148550854</v>
      </c>
      <c r="G72" s="86">
        <f t="shared" si="3"/>
        <v>-2179.2281298827684</v>
      </c>
      <c r="H72" s="87">
        <f t="shared" si="4"/>
        <v>-2179.2281298827684</v>
      </c>
      <c r="I72" s="86">
        <f t="shared" si="5"/>
        <v>-4263.785884972317</v>
      </c>
      <c r="J72" s="87">
        <f t="shared" si="6"/>
        <v>-4263.785884972317</v>
      </c>
      <c r="K72" s="86">
        <f t="shared" si="7"/>
        <v>911489.17579275661</v>
      </c>
      <c r="L72" s="87">
        <f t="shared" si="8"/>
        <v>911489.17579275661</v>
      </c>
    </row>
    <row r="73" spans="1:12" s="38" customFormat="1" ht="12.75" x14ac:dyDescent="0.2">
      <c r="A73" s="40">
        <f t="shared" si="13"/>
        <v>5</v>
      </c>
      <c r="B73" s="80">
        <f t="shared" si="9"/>
        <v>41729</v>
      </c>
      <c r="C73" s="81">
        <f t="shared" si="0"/>
        <v>31</v>
      </c>
      <c r="D73" s="85">
        <f>DAYS360($B$16,B73)-SUM($D$16:D72)</f>
        <v>32</v>
      </c>
      <c r="E73" s="35">
        <f t="shared" si="1"/>
        <v>911489.17579275661</v>
      </c>
      <c r="F73" s="36">
        <f t="shared" si="2"/>
        <v>-6443.0140148550854</v>
      </c>
      <c r="G73" s="86">
        <f t="shared" si="3"/>
        <v>-1733.6532732591759</v>
      </c>
      <c r="H73" s="87">
        <f t="shared" si="4"/>
        <v>-1581.7384106270501</v>
      </c>
      <c r="I73" s="86">
        <f t="shared" si="5"/>
        <v>-4709.3607415959095</v>
      </c>
      <c r="J73" s="87">
        <f t="shared" si="6"/>
        <v>-4861.2756042280353</v>
      </c>
      <c r="K73" s="86">
        <f t="shared" si="7"/>
        <v>909755.52251949743</v>
      </c>
      <c r="L73" s="87">
        <f t="shared" si="8"/>
        <v>909907.4373821296</v>
      </c>
    </row>
    <row r="74" spans="1:12" s="38" customFormat="1" ht="12.75" x14ac:dyDescent="0.2">
      <c r="A74" s="40">
        <f t="shared" si="13"/>
        <v>5</v>
      </c>
      <c r="B74" s="80">
        <f t="shared" si="9"/>
        <v>41759</v>
      </c>
      <c r="C74" s="81">
        <f t="shared" si="0"/>
        <v>30</v>
      </c>
      <c r="D74" s="85">
        <f>DAYS360($B$16,B74)-SUM($D$16:D73)</f>
        <v>30</v>
      </c>
      <c r="E74" s="35">
        <f t="shared" si="1"/>
        <v>909755.52251949743</v>
      </c>
      <c r="F74" s="36">
        <f t="shared" si="2"/>
        <v>-6443.0140148550854</v>
      </c>
      <c r="G74" s="86">
        <f t="shared" si="3"/>
        <v>-1894.2364022575985</v>
      </c>
      <c r="H74" s="87">
        <f t="shared" si="4"/>
        <v>-1894.2364022575985</v>
      </c>
      <c r="I74" s="86">
        <f t="shared" si="5"/>
        <v>-4548.777612597487</v>
      </c>
      <c r="J74" s="87">
        <f t="shared" si="6"/>
        <v>-4548.777612597487</v>
      </c>
      <c r="K74" s="86">
        <f t="shared" si="7"/>
        <v>907861.28611723986</v>
      </c>
      <c r="L74" s="87">
        <f t="shared" si="8"/>
        <v>907861.28611723986</v>
      </c>
    </row>
    <row r="75" spans="1:12" s="38" customFormat="1" ht="12.75" x14ac:dyDescent="0.2">
      <c r="A75" s="40">
        <f t="shared" si="13"/>
        <v>5</v>
      </c>
      <c r="B75" s="80">
        <f t="shared" si="9"/>
        <v>41790</v>
      </c>
      <c r="C75" s="81">
        <f t="shared" si="0"/>
        <v>31</v>
      </c>
      <c r="D75" s="85">
        <f>DAYS360($B$16,B75)-SUM($D$16:D74)</f>
        <v>30</v>
      </c>
      <c r="E75" s="35">
        <f t="shared" si="1"/>
        <v>907861.28611723986</v>
      </c>
      <c r="F75" s="36">
        <f t="shared" si="2"/>
        <v>-6443.0140148550854</v>
      </c>
      <c r="G75" s="86">
        <f t="shared" si="3"/>
        <v>-1752.3973699160133</v>
      </c>
      <c r="H75" s="87">
        <f t="shared" si="4"/>
        <v>-1903.7075842688873</v>
      </c>
      <c r="I75" s="86">
        <f t="shared" si="5"/>
        <v>-4690.6166449390721</v>
      </c>
      <c r="J75" s="87">
        <f t="shared" si="6"/>
        <v>-4539.3064305861981</v>
      </c>
      <c r="K75" s="86">
        <f t="shared" si="7"/>
        <v>906108.88874732389</v>
      </c>
      <c r="L75" s="87">
        <f t="shared" si="8"/>
        <v>905957.57853297098</v>
      </c>
    </row>
    <row r="76" spans="1:12" s="38" customFormat="1" ht="12.75" x14ac:dyDescent="0.2">
      <c r="A76" s="40">
        <f t="shared" si="13"/>
        <v>5</v>
      </c>
      <c r="B76" s="80">
        <f t="shared" si="9"/>
        <v>41820</v>
      </c>
      <c r="C76" s="81">
        <f t="shared" si="0"/>
        <v>30</v>
      </c>
      <c r="D76" s="85">
        <f>DAYS360($B$16,B76)-SUM($D$16:D75)</f>
        <v>30</v>
      </c>
      <c r="E76" s="35">
        <f t="shared" si="1"/>
        <v>906108.88874732389</v>
      </c>
      <c r="F76" s="36">
        <f t="shared" si="2"/>
        <v>-6443.0140148550854</v>
      </c>
      <c r="G76" s="86">
        <f t="shared" si="3"/>
        <v>-1912.4695711184659</v>
      </c>
      <c r="H76" s="87">
        <f t="shared" si="4"/>
        <v>-1912.4695711184659</v>
      </c>
      <c r="I76" s="86">
        <f t="shared" si="5"/>
        <v>-4530.5444437366195</v>
      </c>
      <c r="J76" s="87">
        <f t="shared" si="6"/>
        <v>-4530.5444437366195</v>
      </c>
      <c r="K76" s="86">
        <f t="shared" si="7"/>
        <v>904196.41917620541</v>
      </c>
      <c r="L76" s="87">
        <f t="shared" si="8"/>
        <v>904196.41917620541</v>
      </c>
    </row>
    <row r="77" spans="1:12" s="38" customFormat="1" ht="12.75" x14ac:dyDescent="0.2">
      <c r="A77" s="40">
        <f>A65+1</f>
        <v>6</v>
      </c>
      <c r="B77" s="80">
        <f t="shared" si="9"/>
        <v>41851</v>
      </c>
      <c r="C77" s="81">
        <f t="shared" si="0"/>
        <v>31</v>
      </c>
      <c r="D77" s="85">
        <f>DAYS360($B$16,B77)-SUM($D$16:D76)</f>
        <v>30</v>
      </c>
      <c r="E77" s="35">
        <f t="shared" si="1"/>
        <v>904196.41917620541</v>
      </c>
      <c r="F77" s="36">
        <f t="shared" si="2"/>
        <v>-6443.0140148550854</v>
      </c>
      <c r="G77" s="86">
        <f t="shared" si="3"/>
        <v>-1771.3325157780237</v>
      </c>
      <c r="H77" s="87">
        <f t="shared" si="4"/>
        <v>-1922.0319189740585</v>
      </c>
      <c r="I77" s="86">
        <f t="shared" si="5"/>
        <v>-4671.6814990770617</v>
      </c>
      <c r="J77" s="87">
        <f t="shared" si="6"/>
        <v>-4520.9820958810269</v>
      </c>
      <c r="K77" s="86">
        <f t="shared" si="7"/>
        <v>902425.08666042739</v>
      </c>
      <c r="L77" s="87">
        <f t="shared" si="8"/>
        <v>902274.3872572314</v>
      </c>
    </row>
    <row r="78" spans="1:12" s="38" customFormat="1" ht="12.75" x14ac:dyDescent="0.2">
      <c r="A78" s="40">
        <f t="shared" ref="A78:A88" si="14">A77</f>
        <v>6</v>
      </c>
      <c r="B78" s="80">
        <f t="shared" si="9"/>
        <v>41882</v>
      </c>
      <c r="C78" s="81">
        <f t="shared" si="0"/>
        <v>31</v>
      </c>
      <c r="D78" s="85">
        <f>DAYS360($B$16,B78)-SUM($D$16:D77)</f>
        <v>30</v>
      </c>
      <c r="E78" s="35">
        <f t="shared" si="1"/>
        <v>902425.08666042739</v>
      </c>
      <c r="F78" s="36">
        <f t="shared" si="2"/>
        <v>-6443.0140148550854</v>
      </c>
      <c r="G78" s="86">
        <f t="shared" si="3"/>
        <v>-1780.4844004428769</v>
      </c>
      <c r="H78" s="87">
        <f t="shared" si="4"/>
        <v>-1930.8885815529484</v>
      </c>
      <c r="I78" s="86">
        <f t="shared" si="5"/>
        <v>-4662.5296144122085</v>
      </c>
      <c r="J78" s="87">
        <f t="shared" si="6"/>
        <v>-4512.125433302137</v>
      </c>
      <c r="K78" s="86">
        <f t="shared" si="7"/>
        <v>900644.60225998447</v>
      </c>
      <c r="L78" s="87">
        <f t="shared" si="8"/>
        <v>900494.1980788745</v>
      </c>
    </row>
    <row r="79" spans="1:12" s="38" customFormat="1" ht="12.75" x14ac:dyDescent="0.2">
      <c r="A79" s="40">
        <f t="shared" si="14"/>
        <v>6</v>
      </c>
      <c r="B79" s="80">
        <f t="shared" si="9"/>
        <v>41912</v>
      </c>
      <c r="C79" s="81">
        <f t="shared" si="0"/>
        <v>30</v>
      </c>
      <c r="D79" s="85">
        <f>DAYS360($B$16,B79)-SUM($D$16:D78)</f>
        <v>30</v>
      </c>
      <c r="E79" s="35">
        <f t="shared" si="1"/>
        <v>900644.60225998447</v>
      </c>
      <c r="F79" s="36">
        <f t="shared" si="2"/>
        <v>-6443.0140148550854</v>
      </c>
      <c r="G79" s="86">
        <f t="shared" si="3"/>
        <v>-1939.7910035551631</v>
      </c>
      <c r="H79" s="87">
        <f t="shared" si="4"/>
        <v>-1939.7910035551631</v>
      </c>
      <c r="I79" s="86">
        <f t="shared" si="5"/>
        <v>-4503.2230112999223</v>
      </c>
      <c r="J79" s="87">
        <f t="shared" si="6"/>
        <v>-4503.2230112999223</v>
      </c>
      <c r="K79" s="86">
        <f t="shared" si="7"/>
        <v>898704.8112564293</v>
      </c>
      <c r="L79" s="87">
        <f t="shared" si="8"/>
        <v>898704.8112564293</v>
      </c>
    </row>
    <row r="80" spans="1:12" s="38" customFormat="1" ht="12.75" x14ac:dyDescent="0.2">
      <c r="A80" s="40">
        <f t="shared" si="14"/>
        <v>6</v>
      </c>
      <c r="B80" s="80">
        <f t="shared" si="9"/>
        <v>41943</v>
      </c>
      <c r="C80" s="81">
        <f t="shared" si="0"/>
        <v>31</v>
      </c>
      <c r="D80" s="85">
        <f>DAYS360($B$16,B80)-SUM($D$16:D79)</f>
        <v>30</v>
      </c>
      <c r="E80" s="35">
        <f t="shared" si="1"/>
        <v>898704.8112564293</v>
      </c>
      <c r="F80" s="36">
        <f t="shared" si="2"/>
        <v>-6443.0140148550854</v>
      </c>
      <c r="G80" s="86">
        <f t="shared" si="3"/>
        <v>-1799.7058233635344</v>
      </c>
      <c r="H80" s="87">
        <f t="shared" si="4"/>
        <v>-1949.489958572939</v>
      </c>
      <c r="I80" s="86">
        <f t="shared" si="5"/>
        <v>-4643.308191491551</v>
      </c>
      <c r="J80" s="87">
        <f t="shared" si="6"/>
        <v>-4493.5240562821464</v>
      </c>
      <c r="K80" s="86">
        <f t="shared" si="7"/>
        <v>896905.10543306579</v>
      </c>
      <c r="L80" s="87">
        <f t="shared" si="8"/>
        <v>896755.3212978564</v>
      </c>
    </row>
    <row r="81" spans="1:12" s="38" customFormat="1" ht="12.75" x14ac:dyDescent="0.2">
      <c r="A81" s="40">
        <f t="shared" si="14"/>
        <v>6</v>
      </c>
      <c r="B81" s="80">
        <f t="shared" si="9"/>
        <v>41973</v>
      </c>
      <c r="C81" s="81">
        <f t="shared" ref="C81:C144" si="15">B81-B80</f>
        <v>30</v>
      </c>
      <c r="D81" s="85">
        <f>DAYS360($B$16,B81)-SUM($D$16:D80)</f>
        <v>30</v>
      </c>
      <c r="E81" s="35">
        <f t="shared" ref="E81:E144" si="16">K80</f>
        <v>896905.10543306579</v>
      </c>
      <c r="F81" s="36">
        <f t="shared" ref="F81:F144" si="17">PMT($C$4,$C$6,$C$2)</f>
        <v>-6443.0140148550854</v>
      </c>
      <c r="G81" s="86">
        <f t="shared" ref="G81:G144" si="18">F81-I81</f>
        <v>-1958.4884876897568</v>
      </c>
      <c r="H81" s="87">
        <f t="shared" ref="H81:H144" si="19">F81-J81</f>
        <v>-1958.4884876897568</v>
      </c>
      <c r="I81" s="86">
        <f t="shared" ref="I81:I144" si="20">-E81*$C$4*C81/30</f>
        <v>-4484.5255271653286</v>
      </c>
      <c r="J81" s="87">
        <f t="shared" ref="J81:J144" si="21">-E81*$C$4*D81/30</f>
        <v>-4484.5255271653286</v>
      </c>
      <c r="K81" s="86">
        <f t="shared" ref="K81:K144" si="22">E81+G81</f>
        <v>894946.61694537604</v>
      </c>
      <c r="L81" s="87">
        <f t="shared" ref="L81:L144" si="23">E81+H81</f>
        <v>894946.61694537604</v>
      </c>
    </row>
    <row r="82" spans="1:12" s="38" customFormat="1" ht="12.75" x14ac:dyDescent="0.2">
      <c r="A82" s="40">
        <f t="shared" si="14"/>
        <v>6</v>
      </c>
      <c r="B82" s="80">
        <f t="shared" ref="B82:B145" si="24">EOMONTH(B81,1)</f>
        <v>42004</v>
      </c>
      <c r="C82" s="81">
        <f t="shared" si="15"/>
        <v>31</v>
      </c>
      <c r="D82" s="85">
        <f>DAYS360($B$16,B82)-SUM($D$16:D81)</f>
        <v>30</v>
      </c>
      <c r="E82" s="35">
        <f t="shared" si="16"/>
        <v>894946.61694537604</v>
      </c>
      <c r="F82" s="36">
        <f t="shared" si="17"/>
        <v>-6443.0140148550854</v>
      </c>
      <c r="G82" s="86">
        <f t="shared" si="18"/>
        <v>-1819.1231606373085</v>
      </c>
      <c r="H82" s="87">
        <f t="shared" si="19"/>
        <v>-1968.280930128205</v>
      </c>
      <c r="I82" s="86">
        <f t="shared" si="20"/>
        <v>-4623.8908542177769</v>
      </c>
      <c r="J82" s="87">
        <f t="shared" si="21"/>
        <v>-4474.7330847268804</v>
      </c>
      <c r="K82" s="86">
        <f t="shared" si="22"/>
        <v>893127.4937847387</v>
      </c>
      <c r="L82" s="87">
        <f t="shared" si="23"/>
        <v>892978.33601524786</v>
      </c>
    </row>
    <row r="83" spans="1:12" s="38" customFormat="1" ht="12.75" x14ac:dyDescent="0.2">
      <c r="A83" s="40">
        <f t="shared" si="14"/>
        <v>6</v>
      </c>
      <c r="B83" s="80">
        <f t="shared" si="24"/>
        <v>42035</v>
      </c>
      <c r="C83" s="81">
        <f t="shared" si="15"/>
        <v>31</v>
      </c>
      <c r="D83" s="85">
        <f>DAYS360($B$16,B83)-SUM($D$16:D82)</f>
        <v>30</v>
      </c>
      <c r="E83" s="35">
        <f t="shared" si="16"/>
        <v>893127.4937847387</v>
      </c>
      <c r="F83" s="36">
        <f t="shared" si="17"/>
        <v>-6443.0140148550854</v>
      </c>
      <c r="G83" s="86">
        <f t="shared" si="18"/>
        <v>-1828.5219636339352</v>
      </c>
      <c r="H83" s="87">
        <f t="shared" si="19"/>
        <v>-1977.3765459313918</v>
      </c>
      <c r="I83" s="86">
        <f t="shared" si="20"/>
        <v>-4614.4920512211502</v>
      </c>
      <c r="J83" s="87">
        <f t="shared" si="21"/>
        <v>-4465.6374689236936</v>
      </c>
      <c r="K83" s="86">
        <f t="shared" si="22"/>
        <v>891298.97182110476</v>
      </c>
      <c r="L83" s="87">
        <f t="shared" si="23"/>
        <v>891150.11723880726</v>
      </c>
    </row>
    <row r="84" spans="1:12" s="38" customFormat="1" ht="12.75" x14ac:dyDescent="0.2">
      <c r="A84" s="40">
        <f t="shared" si="14"/>
        <v>6</v>
      </c>
      <c r="B84" s="80">
        <f t="shared" si="24"/>
        <v>42063</v>
      </c>
      <c r="C84" s="81">
        <f t="shared" si="15"/>
        <v>28</v>
      </c>
      <c r="D84" s="85">
        <f>DAYS360($B$16,B84)-SUM($D$16:D83)</f>
        <v>28</v>
      </c>
      <c r="E84" s="35">
        <f t="shared" si="16"/>
        <v>891298.97182110476</v>
      </c>
      <c r="F84" s="36">
        <f t="shared" si="17"/>
        <v>-6443.0140148550854</v>
      </c>
      <c r="G84" s="86">
        <f t="shared" si="18"/>
        <v>-2283.6188130232631</v>
      </c>
      <c r="H84" s="87">
        <f t="shared" si="19"/>
        <v>-2283.6188130232631</v>
      </c>
      <c r="I84" s="86">
        <f t="shared" si="20"/>
        <v>-4159.3952018318223</v>
      </c>
      <c r="J84" s="87">
        <f t="shared" si="21"/>
        <v>-4159.3952018318223</v>
      </c>
      <c r="K84" s="86">
        <f t="shared" si="22"/>
        <v>889015.35300808144</v>
      </c>
      <c r="L84" s="87">
        <f t="shared" si="23"/>
        <v>889015.35300808144</v>
      </c>
    </row>
    <row r="85" spans="1:12" s="38" customFormat="1" ht="12.75" x14ac:dyDescent="0.2">
      <c r="A85" s="40">
        <f t="shared" si="14"/>
        <v>6</v>
      </c>
      <c r="B85" s="80">
        <f t="shared" si="24"/>
        <v>42094</v>
      </c>
      <c r="C85" s="81">
        <f t="shared" si="15"/>
        <v>31</v>
      </c>
      <c r="D85" s="85">
        <f>DAYS360($B$16,B85)-SUM($D$16:D84)</f>
        <v>32</v>
      </c>
      <c r="E85" s="35">
        <f t="shared" si="16"/>
        <v>889015.35300808144</v>
      </c>
      <c r="F85" s="36">
        <f t="shared" si="17"/>
        <v>-6443.0140148550854</v>
      </c>
      <c r="G85" s="86">
        <f t="shared" si="18"/>
        <v>-1849.7680243133309</v>
      </c>
      <c r="H85" s="87">
        <f t="shared" si="19"/>
        <v>-1701.5987988119841</v>
      </c>
      <c r="I85" s="86">
        <f t="shared" si="20"/>
        <v>-4593.2459905417545</v>
      </c>
      <c r="J85" s="87">
        <f t="shared" si="21"/>
        <v>-4741.4152160431013</v>
      </c>
      <c r="K85" s="86">
        <f t="shared" si="22"/>
        <v>887165.58498376806</v>
      </c>
      <c r="L85" s="87">
        <f t="shared" si="23"/>
        <v>887313.75420926942</v>
      </c>
    </row>
    <row r="86" spans="1:12" s="38" customFormat="1" ht="12.75" x14ac:dyDescent="0.2">
      <c r="A86" s="40">
        <f t="shared" si="14"/>
        <v>6</v>
      </c>
      <c r="B86" s="80">
        <f t="shared" si="24"/>
        <v>42124</v>
      </c>
      <c r="C86" s="81">
        <f t="shared" si="15"/>
        <v>30</v>
      </c>
      <c r="D86" s="85">
        <f>DAYS360($B$16,B86)-SUM($D$16:D85)</f>
        <v>30</v>
      </c>
      <c r="E86" s="35">
        <f t="shared" si="16"/>
        <v>887165.58498376806</v>
      </c>
      <c r="F86" s="36">
        <f t="shared" si="17"/>
        <v>-6443.0140148550854</v>
      </c>
      <c r="G86" s="86">
        <f t="shared" si="18"/>
        <v>-2007.1860899362446</v>
      </c>
      <c r="H86" s="87">
        <f t="shared" si="19"/>
        <v>-2007.1860899362446</v>
      </c>
      <c r="I86" s="86">
        <f t="shared" si="20"/>
        <v>-4435.8279249188408</v>
      </c>
      <c r="J86" s="87">
        <f t="shared" si="21"/>
        <v>-4435.8279249188408</v>
      </c>
      <c r="K86" s="86">
        <f t="shared" si="22"/>
        <v>885158.39889383176</v>
      </c>
      <c r="L86" s="87">
        <f t="shared" si="23"/>
        <v>885158.39889383176</v>
      </c>
    </row>
    <row r="87" spans="1:12" s="38" customFormat="1" ht="12.75" x14ac:dyDescent="0.2">
      <c r="A87" s="40">
        <f t="shared" si="14"/>
        <v>6</v>
      </c>
      <c r="B87" s="80">
        <f t="shared" si="24"/>
        <v>42155</v>
      </c>
      <c r="C87" s="81">
        <f t="shared" si="15"/>
        <v>31</v>
      </c>
      <c r="D87" s="85">
        <f>DAYS360($B$16,B87)-SUM($D$16:D86)</f>
        <v>30</v>
      </c>
      <c r="E87" s="35">
        <f t="shared" si="16"/>
        <v>885158.39889383176</v>
      </c>
      <c r="F87" s="36">
        <f t="shared" si="17"/>
        <v>-6443.0140148550854</v>
      </c>
      <c r="G87" s="86">
        <f t="shared" si="18"/>
        <v>-1869.6956205702872</v>
      </c>
      <c r="H87" s="87">
        <f t="shared" si="19"/>
        <v>-2017.222020385926</v>
      </c>
      <c r="I87" s="86">
        <f t="shared" si="20"/>
        <v>-4573.3183942847982</v>
      </c>
      <c r="J87" s="87">
        <f t="shared" si="21"/>
        <v>-4425.7919944691594</v>
      </c>
      <c r="K87" s="86">
        <f t="shared" si="22"/>
        <v>883288.70327326143</v>
      </c>
      <c r="L87" s="87">
        <f t="shared" si="23"/>
        <v>883141.17687344586</v>
      </c>
    </row>
    <row r="88" spans="1:12" s="38" customFormat="1" ht="12.75" x14ac:dyDescent="0.2">
      <c r="A88" s="40">
        <f t="shared" si="14"/>
        <v>6</v>
      </c>
      <c r="B88" s="80">
        <f t="shared" si="24"/>
        <v>42185</v>
      </c>
      <c r="C88" s="81">
        <f t="shared" si="15"/>
        <v>30</v>
      </c>
      <c r="D88" s="85">
        <f>DAYS360($B$16,B88)-SUM($D$16:D87)</f>
        <v>30</v>
      </c>
      <c r="E88" s="35">
        <f t="shared" si="16"/>
        <v>883288.70327326143</v>
      </c>
      <c r="F88" s="36">
        <f t="shared" si="17"/>
        <v>-6443.0140148550854</v>
      </c>
      <c r="G88" s="86">
        <f t="shared" si="18"/>
        <v>-2026.570498488777</v>
      </c>
      <c r="H88" s="87">
        <f t="shared" si="19"/>
        <v>-2026.570498488777</v>
      </c>
      <c r="I88" s="86">
        <f t="shared" si="20"/>
        <v>-4416.4435163663084</v>
      </c>
      <c r="J88" s="87">
        <f t="shared" si="21"/>
        <v>-4416.4435163663084</v>
      </c>
      <c r="K88" s="86">
        <f t="shared" si="22"/>
        <v>881262.1327747727</v>
      </c>
      <c r="L88" s="87">
        <f t="shared" si="23"/>
        <v>881262.1327747727</v>
      </c>
    </row>
    <row r="89" spans="1:12" s="38" customFormat="1" ht="12.75" x14ac:dyDescent="0.2">
      <c r="A89" s="40">
        <f>A77+1</f>
        <v>7</v>
      </c>
      <c r="B89" s="80">
        <f t="shared" si="24"/>
        <v>42216</v>
      </c>
      <c r="C89" s="81">
        <f t="shared" si="15"/>
        <v>31</v>
      </c>
      <c r="D89" s="85">
        <f>DAYS360($B$16,B89)-SUM($D$16:D88)</f>
        <v>30</v>
      </c>
      <c r="E89" s="35">
        <f t="shared" si="16"/>
        <v>881262.1327747727</v>
      </c>
      <c r="F89" s="36">
        <f t="shared" si="17"/>
        <v>-6443.0140148550854</v>
      </c>
      <c r="G89" s="86">
        <f t="shared" si="18"/>
        <v>-1889.826328852093</v>
      </c>
      <c r="H89" s="87">
        <f t="shared" si="19"/>
        <v>-2036.7033509812218</v>
      </c>
      <c r="I89" s="86">
        <f t="shared" si="20"/>
        <v>-4553.1876860029925</v>
      </c>
      <c r="J89" s="87">
        <f t="shared" si="21"/>
        <v>-4406.3106638738636</v>
      </c>
      <c r="K89" s="86">
        <f t="shared" si="22"/>
        <v>879372.30644592061</v>
      </c>
      <c r="L89" s="87">
        <f t="shared" si="23"/>
        <v>879225.42942379147</v>
      </c>
    </row>
    <row r="90" spans="1:12" s="38" customFormat="1" ht="12.75" x14ac:dyDescent="0.2">
      <c r="A90" s="40">
        <f t="shared" ref="A90:A100" si="25">A89</f>
        <v>7</v>
      </c>
      <c r="B90" s="80">
        <f t="shared" si="24"/>
        <v>42247</v>
      </c>
      <c r="C90" s="81">
        <f t="shared" si="15"/>
        <v>31</v>
      </c>
      <c r="D90" s="85">
        <f>DAYS360($B$16,B90)-SUM($D$16:D89)</f>
        <v>30</v>
      </c>
      <c r="E90" s="35">
        <f t="shared" si="16"/>
        <v>879372.30644592061</v>
      </c>
      <c r="F90" s="36">
        <f t="shared" si="17"/>
        <v>-6443.0140148550854</v>
      </c>
      <c r="G90" s="86">
        <f t="shared" si="18"/>
        <v>-1899.5904315511625</v>
      </c>
      <c r="H90" s="87">
        <f t="shared" si="19"/>
        <v>-2046.1524826254836</v>
      </c>
      <c r="I90" s="86">
        <f t="shared" si="20"/>
        <v>-4543.4235833039229</v>
      </c>
      <c r="J90" s="87">
        <f t="shared" si="21"/>
        <v>-4396.8615322296018</v>
      </c>
      <c r="K90" s="86">
        <f t="shared" si="22"/>
        <v>877472.71601436939</v>
      </c>
      <c r="L90" s="87">
        <f t="shared" si="23"/>
        <v>877326.15396329516</v>
      </c>
    </row>
    <row r="91" spans="1:12" s="38" customFormat="1" ht="12.75" x14ac:dyDescent="0.2">
      <c r="A91" s="40">
        <f t="shared" si="25"/>
        <v>7</v>
      </c>
      <c r="B91" s="80">
        <f t="shared" si="24"/>
        <v>42277</v>
      </c>
      <c r="C91" s="81">
        <f t="shared" si="15"/>
        <v>30</v>
      </c>
      <c r="D91" s="85">
        <f>DAYS360($B$16,B91)-SUM($D$16:D90)</f>
        <v>30</v>
      </c>
      <c r="E91" s="35">
        <f t="shared" si="16"/>
        <v>877472.71601436939</v>
      </c>
      <c r="F91" s="36">
        <f t="shared" si="17"/>
        <v>-6443.0140148550854</v>
      </c>
      <c r="G91" s="86">
        <f t="shared" si="18"/>
        <v>-2055.6504347832388</v>
      </c>
      <c r="H91" s="87">
        <f t="shared" si="19"/>
        <v>-2055.6504347832388</v>
      </c>
      <c r="I91" s="86">
        <f t="shared" si="20"/>
        <v>-4387.3635800718466</v>
      </c>
      <c r="J91" s="87">
        <f t="shared" si="21"/>
        <v>-4387.3635800718466</v>
      </c>
      <c r="K91" s="86">
        <f t="shared" si="22"/>
        <v>875417.0655795862</v>
      </c>
      <c r="L91" s="87">
        <f t="shared" si="23"/>
        <v>875417.0655795862</v>
      </c>
    </row>
    <row r="92" spans="1:12" s="38" customFormat="1" ht="12.75" x14ac:dyDescent="0.2">
      <c r="A92" s="40">
        <f t="shared" si="25"/>
        <v>7</v>
      </c>
      <c r="B92" s="80">
        <f t="shared" si="24"/>
        <v>42308</v>
      </c>
      <c r="C92" s="81">
        <f t="shared" si="15"/>
        <v>31</v>
      </c>
      <c r="D92" s="85">
        <f>DAYS360($B$16,B92)-SUM($D$16:D91)</f>
        <v>30</v>
      </c>
      <c r="E92" s="35">
        <f t="shared" si="16"/>
        <v>875417.0655795862</v>
      </c>
      <c r="F92" s="36">
        <f t="shared" si="17"/>
        <v>-6443.0140148550854</v>
      </c>
      <c r="G92" s="86">
        <f t="shared" si="18"/>
        <v>-1920.0258426938899</v>
      </c>
      <c r="H92" s="87">
        <f t="shared" si="19"/>
        <v>-2065.9286869571542</v>
      </c>
      <c r="I92" s="86">
        <f t="shared" si="20"/>
        <v>-4522.9881721611955</v>
      </c>
      <c r="J92" s="87">
        <f t="shared" si="21"/>
        <v>-4377.0853278979312</v>
      </c>
      <c r="K92" s="86">
        <f t="shared" si="22"/>
        <v>873497.03973689233</v>
      </c>
      <c r="L92" s="87">
        <f t="shared" si="23"/>
        <v>873351.13689262909</v>
      </c>
    </row>
    <row r="93" spans="1:12" s="38" customFormat="1" ht="12.75" x14ac:dyDescent="0.2">
      <c r="A93" s="40">
        <f t="shared" si="25"/>
        <v>7</v>
      </c>
      <c r="B93" s="80">
        <f t="shared" si="24"/>
        <v>42338</v>
      </c>
      <c r="C93" s="81">
        <f t="shared" si="15"/>
        <v>30</v>
      </c>
      <c r="D93" s="85">
        <f>DAYS360($B$16,B93)-SUM($D$16:D92)</f>
        <v>30</v>
      </c>
      <c r="E93" s="35">
        <f t="shared" si="16"/>
        <v>873497.03973689233</v>
      </c>
      <c r="F93" s="36">
        <f t="shared" si="17"/>
        <v>-6443.0140148550854</v>
      </c>
      <c r="G93" s="86">
        <f t="shared" si="18"/>
        <v>-2075.5288161706239</v>
      </c>
      <c r="H93" s="87">
        <f t="shared" si="19"/>
        <v>-2075.5288161706239</v>
      </c>
      <c r="I93" s="86">
        <f t="shared" si="20"/>
        <v>-4367.4851986844615</v>
      </c>
      <c r="J93" s="87">
        <f t="shared" si="21"/>
        <v>-4367.4851986844615</v>
      </c>
      <c r="K93" s="86">
        <f t="shared" si="22"/>
        <v>871421.51092072169</v>
      </c>
      <c r="L93" s="87">
        <f t="shared" si="23"/>
        <v>871421.51092072169</v>
      </c>
    </row>
    <row r="94" spans="1:12" s="38" customFormat="1" ht="12.75" x14ac:dyDescent="0.2">
      <c r="A94" s="40">
        <f t="shared" si="25"/>
        <v>7</v>
      </c>
      <c r="B94" s="80">
        <f t="shared" si="24"/>
        <v>42369</v>
      </c>
      <c r="C94" s="81">
        <f t="shared" si="15"/>
        <v>31</v>
      </c>
      <c r="D94" s="85">
        <f>DAYS360($B$16,B94)-SUM($D$16:D93)</f>
        <v>30</v>
      </c>
      <c r="E94" s="35">
        <f t="shared" si="16"/>
        <v>871421.51092072169</v>
      </c>
      <c r="F94" s="36">
        <f t="shared" si="17"/>
        <v>-6443.0140148550854</v>
      </c>
      <c r="G94" s="86">
        <f t="shared" si="18"/>
        <v>-1940.6695417646897</v>
      </c>
      <c r="H94" s="87">
        <f t="shared" si="19"/>
        <v>-2085.9064602514773</v>
      </c>
      <c r="I94" s="86">
        <f t="shared" si="20"/>
        <v>-4502.3444730903957</v>
      </c>
      <c r="J94" s="87">
        <f t="shared" si="21"/>
        <v>-4357.1075546036082</v>
      </c>
      <c r="K94" s="86">
        <f t="shared" si="22"/>
        <v>869480.84137895703</v>
      </c>
      <c r="L94" s="87">
        <f t="shared" si="23"/>
        <v>869335.60446047026</v>
      </c>
    </row>
    <row r="95" spans="1:12" s="38" customFormat="1" ht="12.75" x14ac:dyDescent="0.2">
      <c r="A95" s="40">
        <f t="shared" si="25"/>
        <v>7</v>
      </c>
      <c r="B95" s="80">
        <f t="shared" si="24"/>
        <v>42400</v>
      </c>
      <c r="C95" s="81">
        <f t="shared" si="15"/>
        <v>31</v>
      </c>
      <c r="D95" s="85">
        <f>DAYS360($B$16,B95)-SUM($D$16:D94)</f>
        <v>30</v>
      </c>
      <c r="E95" s="35">
        <f t="shared" si="16"/>
        <v>869480.84137895703</v>
      </c>
      <c r="F95" s="36">
        <f t="shared" si="17"/>
        <v>-6443.0140148550854</v>
      </c>
      <c r="G95" s="86">
        <f t="shared" si="18"/>
        <v>-1950.6963343971402</v>
      </c>
      <c r="H95" s="87">
        <f t="shared" si="19"/>
        <v>-2095.6098079602998</v>
      </c>
      <c r="I95" s="86">
        <f t="shared" si="20"/>
        <v>-4492.3176804579452</v>
      </c>
      <c r="J95" s="87">
        <f t="shared" si="21"/>
        <v>-4347.4042068947856</v>
      </c>
      <c r="K95" s="86">
        <f t="shared" si="22"/>
        <v>867530.14504455985</v>
      </c>
      <c r="L95" s="87">
        <f t="shared" si="23"/>
        <v>867385.23157099669</v>
      </c>
    </row>
    <row r="96" spans="1:12" s="38" customFormat="1" ht="12.75" x14ac:dyDescent="0.2">
      <c r="A96" s="40">
        <f t="shared" si="25"/>
        <v>7</v>
      </c>
      <c r="B96" s="80">
        <f t="shared" si="24"/>
        <v>42429</v>
      </c>
      <c r="C96" s="81">
        <f t="shared" si="15"/>
        <v>29</v>
      </c>
      <c r="D96" s="85">
        <f>DAYS360($B$16,B96)-SUM($D$16:D95)</f>
        <v>29</v>
      </c>
      <c r="E96" s="35">
        <f t="shared" si="16"/>
        <v>867530.14504455985</v>
      </c>
      <c r="F96" s="36">
        <f t="shared" si="17"/>
        <v>-6443.0140148550854</v>
      </c>
      <c r="G96" s="86">
        <f t="shared" si="18"/>
        <v>-2249.9516471397128</v>
      </c>
      <c r="H96" s="87">
        <f t="shared" si="19"/>
        <v>-2249.9516471397128</v>
      </c>
      <c r="I96" s="86">
        <f t="shared" si="20"/>
        <v>-4193.0623677153726</v>
      </c>
      <c r="J96" s="87">
        <f t="shared" si="21"/>
        <v>-4193.0623677153726</v>
      </c>
      <c r="K96" s="86">
        <f t="shared" si="22"/>
        <v>865280.19339742011</v>
      </c>
      <c r="L96" s="87">
        <f t="shared" si="23"/>
        <v>865280.19339742011</v>
      </c>
    </row>
    <row r="97" spans="1:12" s="38" customFormat="1" ht="12.75" x14ac:dyDescent="0.2">
      <c r="A97" s="40">
        <f t="shared" si="25"/>
        <v>7</v>
      </c>
      <c r="B97" s="80">
        <f t="shared" si="24"/>
        <v>42460</v>
      </c>
      <c r="C97" s="81">
        <f t="shared" si="15"/>
        <v>31</v>
      </c>
      <c r="D97" s="85">
        <f>DAYS360($B$16,B97)-SUM($D$16:D96)</f>
        <v>31</v>
      </c>
      <c r="E97" s="35">
        <f t="shared" si="16"/>
        <v>865280.19339742011</v>
      </c>
      <c r="F97" s="36">
        <f t="shared" si="17"/>
        <v>-6443.0140148550854</v>
      </c>
      <c r="G97" s="86">
        <f t="shared" si="18"/>
        <v>-1972.3996823017487</v>
      </c>
      <c r="H97" s="87">
        <f t="shared" si="19"/>
        <v>-1972.3996823017487</v>
      </c>
      <c r="I97" s="86">
        <f t="shared" si="20"/>
        <v>-4470.6143325533367</v>
      </c>
      <c r="J97" s="87">
        <f t="shared" si="21"/>
        <v>-4470.6143325533367</v>
      </c>
      <c r="K97" s="86">
        <f t="shared" si="22"/>
        <v>863307.79371511831</v>
      </c>
      <c r="L97" s="87">
        <f t="shared" si="23"/>
        <v>863307.79371511831</v>
      </c>
    </row>
    <row r="98" spans="1:12" s="38" customFormat="1" ht="12.75" x14ac:dyDescent="0.2">
      <c r="A98" s="40">
        <f t="shared" si="25"/>
        <v>7</v>
      </c>
      <c r="B98" s="80">
        <f t="shared" si="24"/>
        <v>42490</v>
      </c>
      <c r="C98" s="81">
        <f t="shared" si="15"/>
        <v>30</v>
      </c>
      <c r="D98" s="85">
        <f>DAYS360($B$16,B98)-SUM($D$16:D97)</f>
        <v>30</v>
      </c>
      <c r="E98" s="35">
        <f t="shared" si="16"/>
        <v>863307.79371511831</v>
      </c>
      <c r="F98" s="36">
        <f t="shared" si="17"/>
        <v>-6443.0140148550854</v>
      </c>
      <c r="G98" s="86">
        <f t="shared" si="18"/>
        <v>-2126.4750462794937</v>
      </c>
      <c r="H98" s="87">
        <f t="shared" si="19"/>
        <v>-2126.4750462794937</v>
      </c>
      <c r="I98" s="86">
        <f t="shared" si="20"/>
        <v>-4316.5389685755918</v>
      </c>
      <c r="J98" s="87">
        <f t="shared" si="21"/>
        <v>-4316.5389685755918</v>
      </c>
      <c r="K98" s="86">
        <f t="shared" si="22"/>
        <v>861181.31866883882</v>
      </c>
      <c r="L98" s="87">
        <f t="shared" si="23"/>
        <v>861181.31866883882</v>
      </c>
    </row>
    <row r="99" spans="1:12" s="38" customFormat="1" ht="12.75" x14ac:dyDescent="0.2">
      <c r="A99" s="40">
        <f t="shared" si="25"/>
        <v>7</v>
      </c>
      <c r="B99" s="80">
        <f t="shared" si="24"/>
        <v>42521</v>
      </c>
      <c r="C99" s="81">
        <f t="shared" si="15"/>
        <v>31</v>
      </c>
      <c r="D99" s="85">
        <f>DAYS360($B$16,B99)-SUM($D$16:D98)</f>
        <v>30</v>
      </c>
      <c r="E99" s="35">
        <f t="shared" si="16"/>
        <v>861181.31866883882</v>
      </c>
      <c r="F99" s="36">
        <f t="shared" si="17"/>
        <v>-6443.0140148550854</v>
      </c>
      <c r="G99" s="86">
        <f t="shared" si="18"/>
        <v>-1993.5772017327517</v>
      </c>
      <c r="H99" s="87">
        <f t="shared" si="19"/>
        <v>-2137.1074215108911</v>
      </c>
      <c r="I99" s="86">
        <f t="shared" si="20"/>
        <v>-4449.4368131223337</v>
      </c>
      <c r="J99" s="87">
        <f t="shared" si="21"/>
        <v>-4305.9065933441943</v>
      </c>
      <c r="K99" s="86">
        <f t="shared" si="22"/>
        <v>859187.74146710604</v>
      </c>
      <c r="L99" s="87">
        <f t="shared" si="23"/>
        <v>859044.21124732797</v>
      </c>
    </row>
    <row r="100" spans="1:12" s="38" customFormat="1" ht="12.75" x14ac:dyDescent="0.2">
      <c r="A100" s="40">
        <f t="shared" si="25"/>
        <v>7</v>
      </c>
      <c r="B100" s="80">
        <f t="shared" si="24"/>
        <v>42551</v>
      </c>
      <c r="C100" s="81">
        <f t="shared" si="15"/>
        <v>30</v>
      </c>
      <c r="D100" s="85">
        <f>DAYS360($B$16,B100)-SUM($D$16:D99)</f>
        <v>30</v>
      </c>
      <c r="E100" s="35">
        <f t="shared" si="16"/>
        <v>859187.74146710604</v>
      </c>
      <c r="F100" s="36">
        <f t="shared" si="17"/>
        <v>-6443.0140148550854</v>
      </c>
      <c r="G100" s="86">
        <f t="shared" si="18"/>
        <v>-2147.0753075195553</v>
      </c>
      <c r="H100" s="87">
        <f t="shared" si="19"/>
        <v>-2147.0753075195553</v>
      </c>
      <c r="I100" s="86">
        <f t="shared" si="20"/>
        <v>-4295.9387073355301</v>
      </c>
      <c r="J100" s="87">
        <f t="shared" si="21"/>
        <v>-4295.9387073355301</v>
      </c>
      <c r="K100" s="86">
        <f t="shared" si="22"/>
        <v>857040.66615958652</v>
      </c>
      <c r="L100" s="87">
        <f t="shared" si="23"/>
        <v>857040.66615958652</v>
      </c>
    </row>
    <row r="101" spans="1:12" s="38" customFormat="1" ht="12.75" x14ac:dyDescent="0.2">
      <c r="A101" s="40">
        <f>A89+1</f>
        <v>8</v>
      </c>
      <c r="B101" s="80">
        <f t="shared" si="24"/>
        <v>42582</v>
      </c>
      <c r="C101" s="81">
        <f t="shared" si="15"/>
        <v>31</v>
      </c>
      <c r="D101" s="85">
        <f>DAYS360($B$16,B101)-SUM($D$16:D100)</f>
        <v>30</v>
      </c>
      <c r="E101" s="35">
        <f t="shared" si="16"/>
        <v>857040.66615958652</v>
      </c>
      <c r="F101" s="36">
        <f t="shared" si="17"/>
        <v>-6443.0140148550854</v>
      </c>
      <c r="G101" s="86">
        <f t="shared" si="18"/>
        <v>-2014.970573030555</v>
      </c>
      <c r="H101" s="87">
        <f t="shared" si="19"/>
        <v>-2157.8106840571527</v>
      </c>
      <c r="I101" s="86">
        <f t="shared" si="20"/>
        <v>-4428.0434418245304</v>
      </c>
      <c r="J101" s="87">
        <f t="shared" si="21"/>
        <v>-4285.2033307979327</v>
      </c>
      <c r="K101" s="86">
        <f t="shared" si="22"/>
        <v>855025.69558655599</v>
      </c>
      <c r="L101" s="87">
        <f t="shared" si="23"/>
        <v>854882.85547552933</v>
      </c>
    </row>
    <row r="102" spans="1:12" s="38" customFormat="1" ht="12.75" x14ac:dyDescent="0.2">
      <c r="A102" s="40">
        <f t="shared" ref="A102:A112" si="26">A101</f>
        <v>8</v>
      </c>
      <c r="B102" s="80">
        <f t="shared" si="24"/>
        <v>42613</v>
      </c>
      <c r="C102" s="81">
        <f t="shared" si="15"/>
        <v>31</v>
      </c>
      <c r="D102" s="85">
        <f>DAYS360($B$16,B102)-SUM($D$16:D101)</f>
        <v>30</v>
      </c>
      <c r="E102" s="35">
        <f t="shared" si="16"/>
        <v>855025.69558655599</v>
      </c>
      <c r="F102" s="36">
        <f t="shared" si="17"/>
        <v>-6443.0140148550854</v>
      </c>
      <c r="G102" s="86">
        <f t="shared" si="18"/>
        <v>-2025.3812543245458</v>
      </c>
      <c r="H102" s="87">
        <f t="shared" si="19"/>
        <v>-2167.8855369223056</v>
      </c>
      <c r="I102" s="86">
        <f t="shared" si="20"/>
        <v>-4417.6327605305396</v>
      </c>
      <c r="J102" s="87">
        <f t="shared" si="21"/>
        <v>-4275.1284779327798</v>
      </c>
      <c r="K102" s="86">
        <f t="shared" si="22"/>
        <v>853000.31433223141</v>
      </c>
      <c r="L102" s="87">
        <f t="shared" si="23"/>
        <v>852857.81004963373</v>
      </c>
    </row>
    <row r="103" spans="1:12" s="38" customFormat="1" ht="12.75" x14ac:dyDescent="0.2">
      <c r="A103" s="40">
        <f t="shared" si="26"/>
        <v>8</v>
      </c>
      <c r="B103" s="80">
        <f t="shared" si="24"/>
        <v>42643</v>
      </c>
      <c r="C103" s="81">
        <f t="shared" si="15"/>
        <v>30</v>
      </c>
      <c r="D103" s="85">
        <f>DAYS360($B$16,B103)-SUM($D$16:D102)</f>
        <v>30</v>
      </c>
      <c r="E103" s="35">
        <f t="shared" si="16"/>
        <v>853000.31433223141</v>
      </c>
      <c r="F103" s="36">
        <f t="shared" si="17"/>
        <v>-6443.0140148550854</v>
      </c>
      <c r="G103" s="86">
        <f t="shared" si="18"/>
        <v>-2178.0124431939284</v>
      </c>
      <c r="H103" s="87">
        <f t="shared" si="19"/>
        <v>-2178.0124431939284</v>
      </c>
      <c r="I103" s="86">
        <f t="shared" si="20"/>
        <v>-4265.001571661157</v>
      </c>
      <c r="J103" s="87">
        <f t="shared" si="21"/>
        <v>-4265.001571661157</v>
      </c>
      <c r="K103" s="86">
        <f t="shared" si="22"/>
        <v>850822.30188903748</v>
      </c>
      <c r="L103" s="87">
        <f t="shared" si="23"/>
        <v>850822.30188903748</v>
      </c>
    </row>
    <row r="104" spans="1:12" s="38" customFormat="1" ht="12.75" x14ac:dyDescent="0.2">
      <c r="A104" s="40">
        <f t="shared" si="26"/>
        <v>8</v>
      </c>
      <c r="B104" s="80">
        <f t="shared" si="24"/>
        <v>42674</v>
      </c>
      <c r="C104" s="81">
        <f t="shared" si="15"/>
        <v>31</v>
      </c>
      <c r="D104" s="85">
        <f>DAYS360($B$16,B104)-SUM($D$16:D103)</f>
        <v>30</v>
      </c>
      <c r="E104" s="35">
        <f t="shared" si="16"/>
        <v>850822.30188903748</v>
      </c>
      <c r="F104" s="36">
        <f t="shared" si="17"/>
        <v>-6443.0140148550854</v>
      </c>
      <c r="G104" s="86">
        <f t="shared" si="18"/>
        <v>-2047.0987884283923</v>
      </c>
      <c r="H104" s="87">
        <f t="shared" si="19"/>
        <v>-2188.9025054098984</v>
      </c>
      <c r="I104" s="86">
        <f t="shared" si="20"/>
        <v>-4395.9152264266932</v>
      </c>
      <c r="J104" s="87">
        <f t="shared" si="21"/>
        <v>-4254.111509445187</v>
      </c>
      <c r="K104" s="86">
        <f t="shared" si="22"/>
        <v>848775.20310060913</v>
      </c>
      <c r="L104" s="87">
        <f t="shared" si="23"/>
        <v>848633.39938362758</v>
      </c>
    </row>
    <row r="105" spans="1:12" s="38" customFormat="1" ht="12.75" x14ac:dyDescent="0.2">
      <c r="A105" s="40">
        <f t="shared" si="26"/>
        <v>8</v>
      </c>
      <c r="B105" s="80">
        <f t="shared" si="24"/>
        <v>42704</v>
      </c>
      <c r="C105" s="81">
        <f t="shared" si="15"/>
        <v>30</v>
      </c>
      <c r="D105" s="85">
        <f>DAYS360($B$16,B105)-SUM($D$16:D104)</f>
        <v>30</v>
      </c>
      <c r="E105" s="35">
        <f t="shared" si="16"/>
        <v>848775.20310060913</v>
      </c>
      <c r="F105" s="36">
        <f t="shared" si="17"/>
        <v>-6443.0140148550854</v>
      </c>
      <c r="G105" s="86">
        <f t="shared" si="18"/>
        <v>-2199.1379993520395</v>
      </c>
      <c r="H105" s="87">
        <f t="shared" si="19"/>
        <v>-2199.1379993520395</v>
      </c>
      <c r="I105" s="86">
        <f t="shared" si="20"/>
        <v>-4243.8760155030459</v>
      </c>
      <c r="J105" s="87">
        <f t="shared" si="21"/>
        <v>-4243.8760155030459</v>
      </c>
      <c r="K105" s="86">
        <f t="shared" si="22"/>
        <v>846576.06510125706</v>
      </c>
      <c r="L105" s="87">
        <f t="shared" si="23"/>
        <v>846576.06510125706</v>
      </c>
    </row>
    <row r="106" spans="1:12" s="38" customFormat="1" ht="12.75" x14ac:dyDescent="0.2">
      <c r="A106" s="40">
        <f t="shared" si="26"/>
        <v>8</v>
      </c>
      <c r="B106" s="80">
        <f t="shared" si="24"/>
        <v>42735</v>
      </c>
      <c r="C106" s="81">
        <f t="shared" si="15"/>
        <v>31</v>
      </c>
      <c r="D106" s="85">
        <f>DAYS360($B$16,B106)-SUM($D$16:D105)</f>
        <v>30</v>
      </c>
      <c r="E106" s="35">
        <f t="shared" si="16"/>
        <v>846576.06510125706</v>
      </c>
      <c r="F106" s="36">
        <f t="shared" si="17"/>
        <v>-6443.0140148550854</v>
      </c>
      <c r="G106" s="86">
        <f t="shared" si="18"/>
        <v>-2069.0376784985901</v>
      </c>
      <c r="H106" s="87">
        <f t="shared" si="19"/>
        <v>-2210.1336893487996</v>
      </c>
      <c r="I106" s="86">
        <f t="shared" si="20"/>
        <v>-4373.9763363564953</v>
      </c>
      <c r="J106" s="87">
        <f t="shared" si="21"/>
        <v>-4232.8803255062858</v>
      </c>
      <c r="K106" s="86">
        <f t="shared" si="22"/>
        <v>844507.02742275852</v>
      </c>
      <c r="L106" s="87">
        <f t="shared" si="23"/>
        <v>844365.93141190824</v>
      </c>
    </row>
    <row r="107" spans="1:12" s="38" customFormat="1" ht="12.75" x14ac:dyDescent="0.2">
      <c r="A107" s="40">
        <f t="shared" si="26"/>
        <v>8</v>
      </c>
      <c r="B107" s="80">
        <f t="shared" si="24"/>
        <v>42766</v>
      </c>
      <c r="C107" s="81">
        <f t="shared" si="15"/>
        <v>31</v>
      </c>
      <c r="D107" s="85">
        <f>DAYS360($B$16,B107)-SUM($D$16:D106)</f>
        <v>30</v>
      </c>
      <c r="E107" s="35">
        <f t="shared" si="16"/>
        <v>844507.02742275852</v>
      </c>
      <c r="F107" s="36">
        <f t="shared" si="17"/>
        <v>-6443.0140148550854</v>
      </c>
      <c r="G107" s="86">
        <f t="shared" si="18"/>
        <v>-2079.7277065041662</v>
      </c>
      <c r="H107" s="87">
        <f t="shared" si="19"/>
        <v>-2220.4788777412923</v>
      </c>
      <c r="I107" s="86">
        <f t="shared" si="20"/>
        <v>-4363.2863083509192</v>
      </c>
      <c r="J107" s="87">
        <f t="shared" si="21"/>
        <v>-4222.5351371137931</v>
      </c>
      <c r="K107" s="86">
        <f t="shared" si="22"/>
        <v>842427.29971625435</v>
      </c>
      <c r="L107" s="87">
        <f t="shared" si="23"/>
        <v>842286.54854501726</v>
      </c>
    </row>
    <row r="108" spans="1:12" s="38" customFormat="1" ht="12.75" x14ac:dyDescent="0.2">
      <c r="A108" s="40">
        <f t="shared" si="26"/>
        <v>8</v>
      </c>
      <c r="B108" s="80">
        <f t="shared" si="24"/>
        <v>42794</v>
      </c>
      <c r="C108" s="81">
        <f t="shared" si="15"/>
        <v>28</v>
      </c>
      <c r="D108" s="85">
        <f>DAYS360($B$16,B108)-SUM($D$16:D107)</f>
        <v>28</v>
      </c>
      <c r="E108" s="35">
        <f t="shared" si="16"/>
        <v>842427.29971625435</v>
      </c>
      <c r="F108" s="36">
        <f t="shared" si="17"/>
        <v>-6443.0140148550854</v>
      </c>
      <c r="G108" s="86">
        <f t="shared" si="18"/>
        <v>-2511.6866161792323</v>
      </c>
      <c r="H108" s="87">
        <f t="shared" si="19"/>
        <v>-2511.6866161792323</v>
      </c>
      <c r="I108" s="86">
        <f t="shared" si="20"/>
        <v>-3931.3273986758531</v>
      </c>
      <c r="J108" s="87">
        <f t="shared" si="21"/>
        <v>-3931.3273986758531</v>
      </c>
      <c r="K108" s="86">
        <f t="shared" si="22"/>
        <v>839915.61310007516</v>
      </c>
      <c r="L108" s="87">
        <f t="shared" si="23"/>
        <v>839915.61310007516</v>
      </c>
    </row>
    <row r="109" spans="1:12" s="38" customFormat="1" ht="12.75" x14ac:dyDescent="0.2">
      <c r="A109" s="40">
        <f t="shared" si="26"/>
        <v>8</v>
      </c>
      <c r="B109" s="80">
        <f t="shared" si="24"/>
        <v>42825</v>
      </c>
      <c r="C109" s="81">
        <f t="shared" si="15"/>
        <v>31</v>
      </c>
      <c r="D109" s="85">
        <f>DAYS360($B$16,B109)-SUM($D$16:D108)</f>
        <v>32</v>
      </c>
      <c r="E109" s="35">
        <f t="shared" si="16"/>
        <v>839915.61310007516</v>
      </c>
      <c r="F109" s="36">
        <f t="shared" si="17"/>
        <v>-6443.0140148550854</v>
      </c>
      <c r="G109" s="86">
        <f t="shared" si="18"/>
        <v>-2103.4500138380308</v>
      </c>
      <c r="H109" s="87">
        <f t="shared" si="19"/>
        <v>-1963.4640783213517</v>
      </c>
      <c r="I109" s="86">
        <f t="shared" si="20"/>
        <v>-4339.5640010170546</v>
      </c>
      <c r="J109" s="87">
        <f t="shared" si="21"/>
        <v>-4479.5499365337337</v>
      </c>
      <c r="K109" s="86">
        <f t="shared" si="22"/>
        <v>837812.16308623715</v>
      </c>
      <c r="L109" s="87">
        <f t="shared" si="23"/>
        <v>837952.14902175381</v>
      </c>
    </row>
    <row r="110" spans="1:12" s="38" customFormat="1" ht="12.75" x14ac:dyDescent="0.2">
      <c r="A110" s="40">
        <f t="shared" si="26"/>
        <v>8</v>
      </c>
      <c r="B110" s="80">
        <f t="shared" si="24"/>
        <v>42855</v>
      </c>
      <c r="C110" s="81">
        <f t="shared" si="15"/>
        <v>30</v>
      </c>
      <c r="D110" s="85">
        <f>DAYS360($B$16,B110)-SUM($D$16:D109)</f>
        <v>30</v>
      </c>
      <c r="E110" s="35">
        <f t="shared" si="16"/>
        <v>837812.16308623715</v>
      </c>
      <c r="F110" s="36">
        <f t="shared" si="17"/>
        <v>-6443.0140148550854</v>
      </c>
      <c r="G110" s="86">
        <f t="shared" si="18"/>
        <v>-2253.9531994238996</v>
      </c>
      <c r="H110" s="87">
        <f t="shared" si="19"/>
        <v>-2253.9531994238996</v>
      </c>
      <c r="I110" s="86">
        <f t="shared" si="20"/>
        <v>-4189.0608154311858</v>
      </c>
      <c r="J110" s="87">
        <f t="shared" si="21"/>
        <v>-4189.0608154311858</v>
      </c>
      <c r="K110" s="86">
        <f t="shared" si="22"/>
        <v>835558.2098868133</v>
      </c>
      <c r="L110" s="87">
        <f t="shared" si="23"/>
        <v>835558.2098868133</v>
      </c>
    </row>
    <row r="111" spans="1:12" s="38" customFormat="1" ht="12.75" x14ac:dyDescent="0.2">
      <c r="A111" s="40">
        <f t="shared" si="26"/>
        <v>8</v>
      </c>
      <c r="B111" s="80">
        <f t="shared" si="24"/>
        <v>42886</v>
      </c>
      <c r="C111" s="81">
        <f t="shared" si="15"/>
        <v>31</v>
      </c>
      <c r="D111" s="85">
        <f>DAYS360($B$16,B111)-SUM($D$16:D110)</f>
        <v>30</v>
      </c>
      <c r="E111" s="35">
        <f t="shared" si="16"/>
        <v>835558.2098868133</v>
      </c>
      <c r="F111" s="36">
        <f t="shared" si="17"/>
        <v>-6443.0140148550854</v>
      </c>
      <c r="G111" s="86">
        <f t="shared" si="18"/>
        <v>-2125.9632637732166</v>
      </c>
      <c r="H111" s="87">
        <f t="shared" si="19"/>
        <v>-2265.2229654210187</v>
      </c>
      <c r="I111" s="86">
        <f t="shared" si="20"/>
        <v>-4317.0507510818688</v>
      </c>
      <c r="J111" s="87">
        <f t="shared" si="21"/>
        <v>-4177.7910494340667</v>
      </c>
      <c r="K111" s="86">
        <f t="shared" si="22"/>
        <v>833432.24662304006</v>
      </c>
      <c r="L111" s="87">
        <f t="shared" si="23"/>
        <v>833292.98692139226</v>
      </c>
    </row>
    <row r="112" spans="1:12" s="38" customFormat="1" ht="12.75" x14ac:dyDescent="0.2">
      <c r="A112" s="40">
        <f t="shared" si="26"/>
        <v>8</v>
      </c>
      <c r="B112" s="80">
        <f t="shared" si="24"/>
        <v>42916</v>
      </c>
      <c r="C112" s="81">
        <f t="shared" si="15"/>
        <v>30</v>
      </c>
      <c r="D112" s="85">
        <f>DAYS360($B$16,B112)-SUM($D$16:D111)</f>
        <v>30</v>
      </c>
      <c r="E112" s="35">
        <f t="shared" si="16"/>
        <v>833432.24662304006</v>
      </c>
      <c r="F112" s="36">
        <f t="shared" si="17"/>
        <v>-6443.0140148550854</v>
      </c>
      <c r="G112" s="86">
        <f t="shared" si="18"/>
        <v>-2275.8527817398854</v>
      </c>
      <c r="H112" s="87">
        <f t="shared" si="19"/>
        <v>-2275.8527817398854</v>
      </c>
      <c r="I112" s="86">
        <f t="shared" si="20"/>
        <v>-4167.1612331152</v>
      </c>
      <c r="J112" s="87">
        <f t="shared" si="21"/>
        <v>-4167.1612331152</v>
      </c>
      <c r="K112" s="86">
        <f t="shared" si="22"/>
        <v>831156.39384130016</v>
      </c>
      <c r="L112" s="87">
        <f t="shared" si="23"/>
        <v>831156.39384130016</v>
      </c>
    </row>
    <row r="113" spans="1:12" s="38" customFormat="1" ht="12.75" x14ac:dyDescent="0.2">
      <c r="A113" s="40">
        <f>A101+1</f>
        <v>9</v>
      </c>
      <c r="B113" s="80">
        <f t="shared" si="24"/>
        <v>42947</v>
      </c>
      <c r="C113" s="81">
        <f t="shared" si="15"/>
        <v>31</v>
      </c>
      <c r="D113" s="85">
        <f>DAYS360($B$16,B113)-SUM($D$16:D112)</f>
        <v>30</v>
      </c>
      <c r="E113" s="35">
        <f t="shared" si="16"/>
        <v>831156.39384130016</v>
      </c>
      <c r="F113" s="36">
        <f t="shared" si="17"/>
        <v>-6443.0140148550854</v>
      </c>
      <c r="G113" s="86">
        <f t="shared" si="18"/>
        <v>-2148.705980008368</v>
      </c>
      <c r="H113" s="87">
        <f t="shared" si="19"/>
        <v>-2287.232045648585</v>
      </c>
      <c r="I113" s="86">
        <f t="shared" si="20"/>
        <v>-4294.3080348467174</v>
      </c>
      <c r="J113" s="87">
        <f t="shared" si="21"/>
        <v>-4155.7819692065004</v>
      </c>
      <c r="K113" s="86">
        <f t="shared" si="22"/>
        <v>829007.68786129181</v>
      </c>
      <c r="L113" s="87">
        <f t="shared" si="23"/>
        <v>828869.16179565154</v>
      </c>
    </row>
    <row r="114" spans="1:12" s="38" customFormat="1" ht="12.75" x14ac:dyDescent="0.2">
      <c r="A114" s="40">
        <f t="shared" ref="A114:A124" si="27">A113</f>
        <v>9</v>
      </c>
      <c r="B114" s="80">
        <f t="shared" si="24"/>
        <v>42978</v>
      </c>
      <c r="C114" s="81">
        <f t="shared" si="15"/>
        <v>31</v>
      </c>
      <c r="D114" s="85">
        <f>DAYS360($B$16,B114)-SUM($D$16:D113)</f>
        <v>30</v>
      </c>
      <c r="E114" s="35">
        <f t="shared" si="16"/>
        <v>829007.68786129181</v>
      </c>
      <c r="F114" s="36">
        <f t="shared" si="17"/>
        <v>-6443.0140148550854</v>
      </c>
      <c r="G114" s="86">
        <f t="shared" si="18"/>
        <v>-2159.8076275717449</v>
      </c>
      <c r="H114" s="87">
        <f t="shared" si="19"/>
        <v>-2297.9755755486267</v>
      </c>
      <c r="I114" s="86">
        <f t="shared" si="20"/>
        <v>-4283.2063872833405</v>
      </c>
      <c r="J114" s="87">
        <f t="shared" si="21"/>
        <v>-4145.0384393064587</v>
      </c>
      <c r="K114" s="86">
        <f t="shared" si="22"/>
        <v>826847.88023372006</v>
      </c>
      <c r="L114" s="87">
        <f t="shared" si="23"/>
        <v>826709.71228574321</v>
      </c>
    </row>
    <row r="115" spans="1:12" s="38" customFormat="1" ht="12.75" x14ac:dyDescent="0.2">
      <c r="A115" s="40">
        <f t="shared" si="27"/>
        <v>9</v>
      </c>
      <c r="B115" s="80">
        <f t="shared" si="24"/>
        <v>43008</v>
      </c>
      <c r="C115" s="81">
        <f t="shared" si="15"/>
        <v>30</v>
      </c>
      <c r="D115" s="85">
        <f>DAYS360($B$16,B115)-SUM($D$16:D114)</f>
        <v>30</v>
      </c>
      <c r="E115" s="35">
        <f t="shared" si="16"/>
        <v>826847.88023372006</v>
      </c>
      <c r="F115" s="36">
        <f t="shared" si="17"/>
        <v>-6443.0140148550854</v>
      </c>
      <c r="G115" s="86">
        <f t="shared" si="18"/>
        <v>-2308.7746136864853</v>
      </c>
      <c r="H115" s="87">
        <f t="shared" si="19"/>
        <v>-2308.7746136864853</v>
      </c>
      <c r="I115" s="86">
        <f t="shared" si="20"/>
        <v>-4134.2394011686001</v>
      </c>
      <c r="J115" s="87">
        <f t="shared" si="21"/>
        <v>-4134.2394011686001</v>
      </c>
      <c r="K115" s="86">
        <f t="shared" si="22"/>
        <v>824539.10562003357</v>
      </c>
      <c r="L115" s="87">
        <f t="shared" si="23"/>
        <v>824539.10562003357</v>
      </c>
    </row>
    <row r="116" spans="1:12" s="38" customFormat="1" ht="12.75" x14ac:dyDescent="0.2">
      <c r="A116" s="40">
        <f t="shared" si="27"/>
        <v>9</v>
      </c>
      <c r="B116" s="80">
        <f t="shared" si="24"/>
        <v>43039</v>
      </c>
      <c r="C116" s="81">
        <f t="shared" si="15"/>
        <v>31</v>
      </c>
      <c r="D116" s="85">
        <f>DAYS360($B$16,B116)-SUM($D$16:D115)</f>
        <v>30</v>
      </c>
      <c r="E116" s="35">
        <f t="shared" si="16"/>
        <v>824539.10562003357</v>
      </c>
      <c r="F116" s="36">
        <f t="shared" si="17"/>
        <v>-6443.0140148550854</v>
      </c>
      <c r="G116" s="86">
        <f t="shared" si="18"/>
        <v>-2182.8953024849116</v>
      </c>
      <c r="H116" s="87">
        <f t="shared" si="19"/>
        <v>-2320.3184867549171</v>
      </c>
      <c r="I116" s="86">
        <f t="shared" si="20"/>
        <v>-4260.1187123701739</v>
      </c>
      <c r="J116" s="87">
        <f t="shared" si="21"/>
        <v>-4122.6955281001683</v>
      </c>
      <c r="K116" s="86">
        <f t="shared" si="22"/>
        <v>822356.21031754871</v>
      </c>
      <c r="L116" s="87">
        <f t="shared" si="23"/>
        <v>822218.78713327867</v>
      </c>
    </row>
    <row r="117" spans="1:12" s="38" customFormat="1" ht="12.75" x14ac:dyDescent="0.2">
      <c r="A117" s="40">
        <f t="shared" si="27"/>
        <v>9</v>
      </c>
      <c r="B117" s="80">
        <f t="shared" si="24"/>
        <v>43069</v>
      </c>
      <c r="C117" s="81">
        <f t="shared" si="15"/>
        <v>30</v>
      </c>
      <c r="D117" s="85">
        <f>DAYS360($B$16,B117)-SUM($D$16:D116)</f>
        <v>30</v>
      </c>
      <c r="E117" s="35">
        <f t="shared" si="16"/>
        <v>822356.21031754871</v>
      </c>
      <c r="F117" s="36">
        <f t="shared" si="17"/>
        <v>-6443.0140148550854</v>
      </c>
      <c r="G117" s="86">
        <f t="shared" si="18"/>
        <v>-2331.2329632673418</v>
      </c>
      <c r="H117" s="87">
        <f t="shared" si="19"/>
        <v>-2331.2329632673418</v>
      </c>
      <c r="I117" s="86">
        <f t="shared" si="20"/>
        <v>-4111.7810515877436</v>
      </c>
      <c r="J117" s="87">
        <f t="shared" si="21"/>
        <v>-4111.7810515877436</v>
      </c>
      <c r="K117" s="86">
        <f t="shared" si="22"/>
        <v>820024.97735428135</v>
      </c>
      <c r="L117" s="87">
        <f t="shared" si="23"/>
        <v>820024.97735428135</v>
      </c>
    </row>
    <row r="118" spans="1:12" s="38" customFormat="1" ht="12.75" x14ac:dyDescent="0.2">
      <c r="A118" s="40">
        <f t="shared" si="27"/>
        <v>9</v>
      </c>
      <c r="B118" s="80">
        <f t="shared" si="24"/>
        <v>43100</v>
      </c>
      <c r="C118" s="81">
        <f t="shared" si="15"/>
        <v>31</v>
      </c>
      <c r="D118" s="85">
        <f>DAYS360($B$16,B118)-SUM($D$16:D117)</f>
        <v>30</v>
      </c>
      <c r="E118" s="35">
        <f t="shared" si="16"/>
        <v>820024.97735428135</v>
      </c>
      <c r="F118" s="36">
        <f t="shared" si="17"/>
        <v>-6443.0140148550854</v>
      </c>
      <c r="G118" s="86">
        <f t="shared" si="18"/>
        <v>-2206.2182985246318</v>
      </c>
      <c r="H118" s="87">
        <f t="shared" si="19"/>
        <v>-2342.8891280836788</v>
      </c>
      <c r="I118" s="86">
        <f t="shared" si="20"/>
        <v>-4236.7957163304536</v>
      </c>
      <c r="J118" s="87">
        <f t="shared" si="21"/>
        <v>-4100.1248867714066</v>
      </c>
      <c r="K118" s="86">
        <f t="shared" si="22"/>
        <v>817818.75905575673</v>
      </c>
      <c r="L118" s="87">
        <f t="shared" si="23"/>
        <v>817682.08822619764</v>
      </c>
    </row>
    <row r="119" spans="1:12" s="38" customFormat="1" ht="12.75" x14ac:dyDescent="0.2">
      <c r="A119" s="40">
        <f t="shared" si="27"/>
        <v>9</v>
      </c>
      <c r="B119" s="80">
        <f t="shared" si="24"/>
        <v>43131</v>
      </c>
      <c r="C119" s="81">
        <f t="shared" si="15"/>
        <v>31</v>
      </c>
      <c r="D119" s="85">
        <f>DAYS360($B$16,B119)-SUM($D$16:D118)</f>
        <v>30</v>
      </c>
      <c r="E119" s="35">
        <f t="shared" si="16"/>
        <v>817818.75905575673</v>
      </c>
      <c r="F119" s="36">
        <f t="shared" si="17"/>
        <v>-6443.0140148550854</v>
      </c>
      <c r="G119" s="86">
        <f t="shared" si="18"/>
        <v>-2217.6170930670087</v>
      </c>
      <c r="H119" s="87">
        <f t="shared" si="19"/>
        <v>-2353.9202195763019</v>
      </c>
      <c r="I119" s="86">
        <f t="shared" si="20"/>
        <v>-4225.3969217880767</v>
      </c>
      <c r="J119" s="87">
        <f t="shared" si="21"/>
        <v>-4089.0937952787835</v>
      </c>
      <c r="K119" s="86">
        <f t="shared" si="22"/>
        <v>815601.1419626897</v>
      </c>
      <c r="L119" s="87">
        <f t="shared" si="23"/>
        <v>815464.8388361804</v>
      </c>
    </row>
    <row r="120" spans="1:12" s="38" customFormat="1" ht="12.75" x14ac:dyDescent="0.2">
      <c r="A120" s="40">
        <f t="shared" si="27"/>
        <v>9</v>
      </c>
      <c r="B120" s="80">
        <f t="shared" si="24"/>
        <v>43159</v>
      </c>
      <c r="C120" s="81">
        <f t="shared" si="15"/>
        <v>28</v>
      </c>
      <c r="D120" s="85">
        <f>DAYS360($B$16,B120)-SUM($D$16:D119)</f>
        <v>28</v>
      </c>
      <c r="E120" s="35">
        <f t="shared" si="16"/>
        <v>815601.1419626897</v>
      </c>
      <c r="F120" s="36">
        <f t="shared" si="17"/>
        <v>-6443.0140148550854</v>
      </c>
      <c r="G120" s="86">
        <f t="shared" si="18"/>
        <v>-2636.8753523625337</v>
      </c>
      <c r="H120" s="87">
        <f t="shared" si="19"/>
        <v>-2636.8753523625337</v>
      </c>
      <c r="I120" s="86">
        <f t="shared" si="20"/>
        <v>-3806.1386624925517</v>
      </c>
      <c r="J120" s="87">
        <f t="shared" si="21"/>
        <v>-3806.1386624925517</v>
      </c>
      <c r="K120" s="86">
        <f t="shared" si="22"/>
        <v>812964.26661032718</v>
      </c>
      <c r="L120" s="87">
        <f t="shared" si="23"/>
        <v>812964.26661032718</v>
      </c>
    </row>
    <row r="121" spans="1:12" s="38" customFormat="1" ht="12.75" x14ac:dyDescent="0.2">
      <c r="A121" s="40">
        <f t="shared" si="27"/>
        <v>9</v>
      </c>
      <c r="B121" s="80">
        <f t="shared" si="24"/>
        <v>43190</v>
      </c>
      <c r="C121" s="81">
        <f t="shared" si="15"/>
        <v>31</v>
      </c>
      <c r="D121" s="85">
        <f>DAYS360($B$16,B121)-SUM($D$16:D120)</f>
        <v>32</v>
      </c>
      <c r="E121" s="35">
        <f t="shared" si="16"/>
        <v>812964.26661032718</v>
      </c>
      <c r="F121" s="36">
        <f t="shared" si="17"/>
        <v>-6443.0140148550854</v>
      </c>
      <c r="G121" s="86">
        <f t="shared" si="18"/>
        <v>-2242.6986373683949</v>
      </c>
      <c r="H121" s="87">
        <f t="shared" si="19"/>
        <v>-2107.2045929333408</v>
      </c>
      <c r="I121" s="86">
        <f t="shared" si="20"/>
        <v>-4200.3153774866905</v>
      </c>
      <c r="J121" s="87">
        <f t="shared" si="21"/>
        <v>-4335.8094219217446</v>
      </c>
      <c r="K121" s="86">
        <f t="shared" si="22"/>
        <v>810721.56797295879</v>
      </c>
      <c r="L121" s="87">
        <f t="shared" si="23"/>
        <v>810857.06201739388</v>
      </c>
    </row>
    <row r="122" spans="1:12" s="38" customFormat="1" ht="12.75" x14ac:dyDescent="0.2">
      <c r="A122" s="40">
        <f t="shared" si="27"/>
        <v>9</v>
      </c>
      <c r="B122" s="80">
        <f t="shared" si="24"/>
        <v>43220</v>
      </c>
      <c r="C122" s="81">
        <f t="shared" si="15"/>
        <v>30</v>
      </c>
      <c r="D122" s="85">
        <f>DAYS360($B$16,B122)-SUM($D$16:D121)</f>
        <v>30</v>
      </c>
      <c r="E122" s="35">
        <f t="shared" si="16"/>
        <v>810721.56797295879</v>
      </c>
      <c r="F122" s="36">
        <f t="shared" si="17"/>
        <v>-6443.0140148550854</v>
      </c>
      <c r="G122" s="86">
        <f t="shared" si="18"/>
        <v>-2389.4061749902912</v>
      </c>
      <c r="H122" s="87">
        <f t="shared" si="19"/>
        <v>-2389.4061749902912</v>
      </c>
      <c r="I122" s="86">
        <f t="shared" si="20"/>
        <v>-4053.6078398647942</v>
      </c>
      <c r="J122" s="87">
        <f t="shared" si="21"/>
        <v>-4053.6078398647942</v>
      </c>
      <c r="K122" s="86">
        <f t="shared" si="22"/>
        <v>808332.16179796844</v>
      </c>
      <c r="L122" s="87">
        <f t="shared" si="23"/>
        <v>808332.16179796844</v>
      </c>
    </row>
    <row r="123" spans="1:12" s="38" customFormat="1" ht="12.75" x14ac:dyDescent="0.2">
      <c r="A123" s="40">
        <f t="shared" si="27"/>
        <v>9</v>
      </c>
      <c r="B123" s="80">
        <f t="shared" si="24"/>
        <v>43251</v>
      </c>
      <c r="C123" s="81">
        <f t="shared" si="15"/>
        <v>31</v>
      </c>
      <c r="D123" s="85">
        <f>DAYS360($B$16,B123)-SUM($D$16:D122)</f>
        <v>30</v>
      </c>
      <c r="E123" s="35">
        <f t="shared" si="16"/>
        <v>808332.16179796844</v>
      </c>
      <c r="F123" s="36">
        <f t="shared" si="17"/>
        <v>-6443.0140148550854</v>
      </c>
      <c r="G123" s="86">
        <f t="shared" si="18"/>
        <v>-2266.6311788989151</v>
      </c>
      <c r="H123" s="87">
        <f t="shared" si="19"/>
        <v>-2401.3532058652431</v>
      </c>
      <c r="I123" s="86">
        <f t="shared" si="20"/>
        <v>-4176.3828359561703</v>
      </c>
      <c r="J123" s="87">
        <f t="shared" si="21"/>
        <v>-4041.6608089898423</v>
      </c>
      <c r="K123" s="86">
        <f t="shared" si="22"/>
        <v>806065.53061906947</v>
      </c>
      <c r="L123" s="87">
        <f t="shared" si="23"/>
        <v>805930.80859210319</v>
      </c>
    </row>
    <row r="124" spans="1:12" s="38" customFormat="1" ht="12.75" x14ac:dyDescent="0.2">
      <c r="A124" s="40">
        <f t="shared" si="27"/>
        <v>9</v>
      </c>
      <c r="B124" s="80">
        <f t="shared" si="24"/>
        <v>43281</v>
      </c>
      <c r="C124" s="81">
        <f t="shared" si="15"/>
        <v>30</v>
      </c>
      <c r="D124" s="85">
        <f>DAYS360($B$16,B124)-SUM($D$16:D123)</f>
        <v>30</v>
      </c>
      <c r="E124" s="35">
        <f t="shared" si="16"/>
        <v>806065.53061906947</v>
      </c>
      <c r="F124" s="36">
        <f t="shared" si="17"/>
        <v>-6443.0140148550854</v>
      </c>
      <c r="G124" s="86">
        <f t="shared" si="18"/>
        <v>-2412.6863617597378</v>
      </c>
      <c r="H124" s="87">
        <f t="shared" si="19"/>
        <v>-2412.6863617597378</v>
      </c>
      <c r="I124" s="86">
        <f t="shared" si="20"/>
        <v>-4030.3276530953476</v>
      </c>
      <c r="J124" s="87">
        <f t="shared" si="21"/>
        <v>-4030.3276530953476</v>
      </c>
      <c r="K124" s="86">
        <f t="shared" si="22"/>
        <v>803652.84425730968</v>
      </c>
      <c r="L124" s="87">
        <f t="shared" si="23"/>
        <v>803652.84425730968</v>
      </c>
    </row>
    <row r="125" spans="1:12" s="38" customFormat="1" ht="12.75" x14ac:dyDescent="0.2">
      <c r="A125" s="40">
        <f>A113+1</f>
        <v>10</v>
      </c>
      <c r="B125" s="80">
        <f t="shared" si="24"/>
        <v>43312</v>
      </c>
      <c r="C125" s="81">
        <f t="shared" si="15"/>
        <v>31</v>
      </c>
      <c r="D125" s="85">
        <f>DAYS360($B$16,B125)-SUM($D$16:D124)</f>
        <v>30</v>
      </c>
      <c r="E125" s="35">
        <f t="shared" si="16"/>
        <v>803652.84425730968</v>
      </c>
      <c r="F125" s="36">
        <f t="shared" si="17"/>
        <v>-6443.0140148550854</v>
      </c>
      <c r="G125" s="86">
        <f t="shared" si="18"/>
        <v>-2290.8076528589854</v>
      </c>
      <c r="H125" s="87">
        <f t="shared" si="19"/>
        <v>-2424.7497935685369</v>
      </c>
      <c r="I125" s="86">
        <f t="shared" si="20"/>
        <v>-4152.2063619961</v>
      </c>
      <c r="J125" s="87">
        <f t="shared" si="21"/>
        <v>-4018.2642212865485</v>
      </c>
      <c r="K125" s="86">
        <f t="shared" si="22"/>
        <v>801362.03660445067</v>
      </c>
      <c r="L125" s="87">
        <f t="shared" si="23"/>
        <v>801228.09446374117</v>
      </c>
    </row>
    <row r="126" spans="1:12" s="38" customFormat="1" ht="12.75" x14ac:dyDescent="0.2">
      <c r="A126" s="40">
        <f t="shared" ref="A126:A136" si="28">A125</f>
        <v>10</v>
      </c>
      <c r="B126" s="80">
        <f t="shared" si="24"/>
        <v>43343</v>
      </c>
      <c r="C126" s="81">
        <f t="shared" si="15"/>
        <v>31</v>
      </c>
      <c r="D126" s="85">
        <f>DAYS360($B$16,B126)-SUM($D$16:D125)</f>
        <v>30</v>
      </c>
      <c r="E126" s="35">
        <f t="shared" si="16"/>
        <v>801362.03660445067</v>
      </c>
      <c r="F126" s="36">
        <f t="shared" si="17"/>
        <v>-6443.0140148550854</v>
      </c>
      <c r="G126" s="86">
        <f t="shared" si="18"/>
        <v>-2302.6434923987572</v>
      </c>
      <c r="H126" s="87">
        <f t="shared" si="19"/>
        <v>-2436.2038318328318</v>
      </c>
      <c r="I126" s="86">
        <f t="shared" si="20"/>
        <v>-4140.3705224563282</v>
      </c>
      <c r="J126" s="87">
        <f t="shared" si="21"/>
        <v>-4006.8101830222536</v>
      </c>
      <c r="K126" s="86">
        <f t="shared" si="22"/>
        <v>799059.39311205188</v>
      </c>
      <c r="L126" s="87">
        <f t="shared" si="23"/>
        <v>798925.83277261781</v>
      </c>
    </row>
    <row r="127" spans="1:12" s="38" customFormat="1" ht="12.75" x14ac:dyDescent="0.2">
      <c r="A127" s="40">
        <f t="shared" si="28"/>
        <v>10</v>
      </c>
      <c r="B127" s="80">
        <f t="shared" si="24"/>
        <v>43373</v>
      </c>
      <c r="C127" s="81">
        <f t="shared" si="15"/>
        <v>30</v>
      </c>
      <c r="D127" s="85">
        <f>DAYS360($B$16,B127)-SUM($D$16:D126)</f>
        <v>30</v>
      </c>
      <c r="E127" s="35">
        <f t="shared" si="16"/>
        <v>799059.39311205188</v>
      </c>
      <c r="F127" s="36">
        <f t="shared" si="17"/>
        <v>-6443.0140148550854</v>
      </c>
      <c r="G127" s="86">
        <f t="shared" si="18"/>
        <v>-2447.7170492948258</v>
      </c>
      <c r="H127" s="87">
        <f t="shared" si="19"/>
        <v>-2447.7170492948258</v>
      </c>
      <c r="I127" s="86">
        <f t="shared" si="20"/>
        <v>-3995.2969655602597</v>
      </c>
      <c r="J127" s="87">
        <f t="shared" si="21"/>
        <v>-3995.2969655602597</v>
      </c>
      <c r="K127" s="86">
        <f t="shared" si="22"/>
        <v>796611.67606275703</v>
      </c>
      <c r="L127" s="87">
        <f t="shared" si="23"/>
        <v>796611.67606275703</v>
      </c>
    </row>
    <row r="128" spans="1:12" s="38" customFormat="1" ht="12.75" x14ac:dyDescent="0.2">
      <c r="A128" s="40">
        <f t="shared" si="28"/>
        <v>10</v>
      </c>
      <c r="B128" s="80">
        <f t="shared" si="24"/>
        <v>43404</v>
      </c>
      <c r="C128" s="81">
        <f t="shared" si="15"/>
        <v>31</v>
      </c>
      <c r="D128" s="85">
        <f>DAYS360($B$16,B128)-SUM($D$16:D127)</f>
        <v>30</v>
      </c>
      <c r="E128" s="35">
        <f t="shared" si="16"/>
        <v>796611.67606275703</v>
      </c>
      <c r="F128" s="36">
        <f t="shared" si="17"/>
        <v>-6443.0140148550854</v>
      </c>
      <c r="G128" s="86">
        <f t="shared" si="18"/>
        <v>-2327.1870218641743</v>
      </c>
      <c r="H128" s="87">
        <f t="shared" si="19"/>
        <v>-2459.9556345413002</v>
      </c>
      <c r="I128" s="86">
        <f t="shared" si="20"/>
        <v>-4115.8269929909111</v>
      </c>
      <c r="J128" s="87">
        <f t="shared" si="21"/>
        <v>-3983.0583803137852</v>
      </c>
      <c r="K128" s="86">
        <f t="shared" si="22"/>
        <v>794284.4890408928</v>
      </c>
      <c r="L128" s="87">
        <f t="shared" si="23"/>
        <v>794151.72042821569</v>
      </c>
    </row>
    <row r="129" spans="1:12" s="38" customFormat="1" ht="12.75" x14ac:dyDescent="0.2">
      <c r="A129" s="40">
        <f t="shared" si="28"/>
        <v>10</v>
      </c>
      <c r="B129" s="80">
        <f t="shared" si="24"/>
        <v>43434</v>
      </c>
      <c r="C129" s="81">
        <f t="shared" si="15"/>
        <v>30</v>
      </c>
      <c r="D129" s="85">
        <f>DAYS360($B$16,B129)-SUM($D$16:D128)</f>
        <v>30</v>
      </c>
      <c r="E129" s="35">
        <f t="shared" si="16"/>
        <v>794284.4890408928</v>
      </c>
      <c r="F129" s="36">
        <f t="shared" si="17"/>
        <v>-6443.0140148550854</v>
      </c>
      <c r="G129" s="86">
        <f t="shared" si="18"/>
        <v>-2471.5915696506213</v>
      </c>
      <c r="H129" s="87">
        <f t="shared" si="19"/>
        <v>-2471.5915696506213</v>
      </c>
      <c r="I129" s="86">
        <f t="shared" si="20"/>
        <v>-3971.4224452044641</v>
      </c>
      <c r="J129" s="87">
        <f t="shared" si="21"/>
        <v>-3971.4224452044641</v>
      </c>
      <c r="K129" s="86">
        <f t="shared" si="22"/>
        <v>791812.89747124224</v>
      </c>
      <c r="L129" s="87">
        <f t="shared" si="23"/>
        <v>791812.89747124224</v>
      </c>
    </row>
    <row r="130" spans="1:12" s="38" customFormat="1" ht="12.75" x14ac:dyDescent="0.2">
      <c r="A130" s="40">
        <f t="shared" si="28"/>
        <v>10</v>
      </c>
      <c r="B130" s="80">
        <f t="shared" si="24"/>
        <v>43465</v>
      </c>
      <c r="C130" s="81">
        <f t="shared" si="15"/>
        <v>31</v>
      </c>
      <c r="D130" s="85">
        <f>DAYS360($B$16,B130)-SUM($D$16:D129)</f>
        <v>30</v>
      </c>
      <c r="E130" s="35">
        <f t="shared" si="16"/>
        <v>791812.89747124224</v>
      </c>
      <c r="F130" s="36">
        <f t="shared" si="17"/>
        <v>-6443.0140148550854</v>
      </c>
      <c r="G130" s="86">
        <f t="shared" si="18"/>
        <v>-2351.9807112536669</v>
      </c>
      <c r="H130" s="87">
        <f t="shared" si="19"/>
        <v>-2483.949527498874</v>
      </c>
      <c r="I130" s="86">
        <f t="shared" si="20"/>
        <v>-4091.0333036014185</v>
      </c>
      <c r="J130" s="87">
        <f t="shared" si="21"/>
        <v>-3959.0644873562114</v>
      </c>
      <c r="K130" s="86">
        <f t="shared" si="22"/>
        <v>789460.91675998853</v>
      </c>
      <c r="L130" s="87">
        <f t="shared" si="23"/>
        <v>789328.94794374332</v>
      </c>
    </row>
    <row r="131" spans="1:12" s="38" customFormat="1" ht="12.75" x14ac:dyDescent="0.2">
      <c r="A131" s="40">
        <f t="shared" si="28"/>
        <v>10</v>
      </c>
      <c r="B131" s="80">
        <f t="shared" si="24"/>
        <v>43496</v>
      </c>
      <c r="C131" s="81">
        <f t="shared" si="15"/>
        <v>31</v>
      </c>
      <c r="D131" s="85">
        <f>DAYS360($B$16,B131)-SUM($D$16:D130)</f>
        <v>30</v>
      </c>
      <c r="E131" s="35">
        <f t="shared" si="16"/>
        <v>789460.91675998853</v>
      </c>
      <c r="F131" s="36">
        <f t="shared" si="17"/>
        <v>-6443.0140148550854</v>
      </c>
      <c r="G131" s="86">
        <f t="shared" si="18"/>
        <v>-2364.1326115951447</v>
      </c>
      <c r="H131" s="87">
        <f t="shared" si="19"/>
        <v>-2495.7094310551429</v>
      </c>
      <c r="I131" s="86">
        <f t="shared" si="20"/>
        <v>-4078.8814032599407</v>
      </c>
      <c r="J131" s="87">
        <f t="shared" si="21"/>
        <v>-3947.3045837999425</v>
      </c>
      <c r="K131" s="86">
        <f t="shared" si="22"/>
        <v>787096.78414839343</v>
      </c>
      <c r="L131" s="87">
        <f t="shared" si="23"/>
        <v>786965.20732893341</v>
      </c>
    </row>
    <row r="132" spans="1:12" s="38" customFormat="1" ht="12.75" x14ac:dyDescent="0.2">
      <c r="A132" s="40">
        <f t="shared" si="28"/>
        <v>10</v>
      </c>
      <c r="B132" s="80">
        <f t="shared" si="24"/>
        <v>43524</v>
      </c>
      <c r="C132" s="81">
        <f t="shared" si="15"/>
        <v>28</v>
      </c>
      <c r="D132" s="85">
        <f>DAYS360($B$16,B132)-SUM($D$16:D131)</f>
        <v>28</v>
      </c>
      <c r="E132" s="35">
        <f t="shared" si="16"/>
        <v>787096.78414839343</v>
      </c>
      <c r="F132" s="36">
        <f t="shared" si="17"/>
        <v>-6443.0140148550854</v>
      </c>
      <c r="G132" s="86">
        <f t="shared" si="18"/>
        <v>-2769.8956888292496</v>
      </c>
      <c r="H132" s="87">
        <f t="shared" si="19"/>
        <v>-2769.8956888292496</v>
      </c>
      <c r="I132" s="86">
        <f t="shared" si="20"/>
        <v>-3673.1183260258358</v>
      </c>
      <c r="J132" s="87">
        <f t="shared" si="21"/>
        <v>-3673.1183260258358</v>
      </c>
      <c r="K132" s="86">
        <f t="shared" si="22"/>
        <v>784326.88845956419</v>
      </c>
      <c r="L132" s="87">
        <f t="shared" si="23"/>
        <v>784326.88845956419</v>
      </c>
    </row>
    <row r="133" spans="1:12" s="38" customFormat="1" ht="12.75" x14ac:dyDescent="0.2">
      <c r="A133" s="40">
        <f t="shared" si="28"/>
        <v>10</v>
      </c>
      <c r="B133" s="80">
        <f t="shared" si="24"/>
        <v>43555</v>
      </c>
      <c r="C133" s="81">
        <f t="shared" si="15"/>
        <v>31</v>
      </c>
      <c r="D133" s="85">
        <f>DAYS360($B$16,B133)-SUM($D$16:D132)</f>
        <v>32</v>
      </c>
      <c r="E133" s="35">
        <f t="shared" si="16"/>
        <v>784326.88845956419</v>
      </c>
      <c r="F133" s="36">
        <f t="shared" si="17"/>
        <v>-6443.0140148550854</v>
      </c>
      <c r="G133" s="86">
        <f t="shared" si="18"/>
        <v>-2390.6584244806704</v>
      </c>
      <c r="H133" s="87">
        <f t="shared" si="19"/>
        <v>-2259.9372764040763</v>
      </c>
      <c r="I133" s="86">
        <f t="shared" si="20"/>
        <v>-4052.355590374415</v>
      </c>
      <c r="J133" s="87">
        <f t="shared" si="21"/>
        <v>-4183.0767384510091</v>
      </c>
      <c r="K133" s="86">
        <f t="shared" si="22"/>
        <v>781936.23003508348</v>
      </c>
      <c r="L133" s="87">
        <f t="shared" si="23"/>
        <v>782066.95118316007</v>
      </c>
    </row>
    <row r="134" spans="1:12" s="38" customFormat="1" ht="12.75" x14ac:dyDescent="0.2">
      <c r="A134" s="40">
        <f t="shared" si="28"/>
        <v>10</v>
      </c>
      <c r="B134" s="80">
        <f t="shared" si="24"/>
        <v>43585</v>
      </c>
      <c r="C134" s="81">
        <f t="shared" si="15"/>
        <v>30</v>
      </c>
      <c r="D134" s="85">
        <f>DAYS360($B$16,B134)-SUM($D$16:D133)</f>
        <v>30</v>
      </c>
      <c r="E134" s="35">
        <f t="shared" si="16"/>
        <v>781936.23003508348</v>
      </c>
      <c r="F134" s="36">
        <f t="shared" si="17"/>
        <v>-6443.0140148550854</v>
      </c>
      <c r="G134" s="86">
        <f t="shared" si="18"/>
        <v>-2533.3328646796681</v>
      </c>
      <c r="H134" s="87">
        <f t="shared" si="19"/>
        <v>-2533.3328646796681</v>
      </c>
      <c r="I134" s="86">
        <f t="shared" si="20"/>
        <v>-3909.6811501754173</v>
      </c>
      <c r="J134" s="87">
        <f t="shared" si="21"/>
        <v>-3909.6811501754173</v>
      </c>
      <c r="K134" s="86">
        <f t="shared" si="22"/>
        <v>779402.89717040386</v>
      </c>
      <c r="L134" s="87">
        <f t="shared" si="23"/>
        <v>779402.89717040386</v>
      </c>
    </row>
    <row r="135" spans="1:12" s="38" customFormat="1" ht="12.75" x14ac:dyDescent="0.2">
      <c r="A135" s="40">
        <f t="shared" si="28"/>
        <v>10</v>
      </c>
      <c r="B135" s="80">
        <f t="shared" si="24"/>
        <v>43616</v>
      </c>
      <c r="C135" s="81">
        <f t="shared" si="15"/>
        <v>31</v>
      </c>
      <c r="D135" s="85">
        <f>DAYS360($B$16,B135)-SUM($D$16:D134)</f>
        <v>30</v>
      </c>
      <c r="E135" s="35">
        <f t="shared" si="16"/>
        <v>779402.89717040386</v>
      </c>
      <c r="F135" s="36">
        <f t="shared" si="17"/>
        <v>-6443.0140148550854</v>
      </c>
      <c r="G135" s="86">
        <f t="shared" si="18"/>
        <v>-2416.0990461413321</v>
      </c>
      <c r="H135" s="87">
        <f t="shared" si="19"/>
        <v>-2545.9995290030661</v>
      </c>
      <c r="I135" s="86">
        <f t="shared" si="20"/>
        <v>-4026.9149687137533</v>
      </c>
      <c r="J135" s="87">
        <f t="shared" si="21"/>
        <v>-3897.0144858520193</v>
      </c>
      <c r="K135" s="86">
        <f t="shared" si="22"/>
        <v>776986.79812426248</v>
      </c>
      <c r="L135" s="87">
        <f t="shared" si="23"/>
        <v>776856.89764140081</v>
      </c>
    </row>
    <row r="136" spans="1:12" s="38" customFormat="1" ht="12.75" x14ac:dyDescent="0.2">
      <c r="A136" s="40">
        <f t="shared" si="28"/>
        <v>10</v>
      </c>
      <c r="B136" s="80">
        <f t="shared" si="24"/>
        <v>43646</v>
      </c>
      <c r="C136" s="81">
        <f t="shared" si="15"/>
        <v>30</v>
      </c>
      <c r="D136" s="85">
        <f>DAYS360($B$16,B136)-SUM($D$16:D135)</f>
        <v>30</v>
      </c>
      <c r="E136" s="35">
        <f t="shared" si="16"/>
        <v>776986.79812426248</v>
      </c>
      <c r="F136" s="36">
        <f t="shared" si="17"/>
        <v>-6443.0140148550854</v>
      </c>
      <c r="G136" s="86">
        <f t="shared" si="18"/>
        <v>-2558.0800242337727</v>
      </c>
      <c r="H136" s="87">
        <f t="shared" si="19"/>
        <v>-2558.0800242337727</v>
      </c>
      <c r="I136" s="86">
        <f t="shared" si="20"/>
        <v>-3884.9339906213127</v>
      </c>
      <c r="J136" s="87">
        <f t="shared" si="21"/>
        <v>-3884.9339906213127</v>
      </c>
      <c r="K136" s="86">
        <f t="shared" si="22"/>
        <v>774428.71810002869</v>
      </c>
      <c r="L136" s="87">
        <f t="shared" si="23"/>
        <v>774428.71810002869</v>
      </c>
    </row>
    <row r="137" spans="1:12" s="38" customFormat="1" ht="12.75" x14ac:dyDescent="0.2">
      <c r="A137" s="40">
        <f>A125+1</f>
        <v>11</v>
      </c>
      <c r="B137" s="80">
        <f t="shared" si="24"/>
        <v>43677</v>
      </c>
      <c r="C137" s="81">
        <f t="shared" si="15"/>
        <v>31</v>
      </c>
      <c r="D137" s="85">
        <f>DAYS360($B$16,B137)-SUM($D$16:D136)</f>
        <v>30</v>
      </c>
      <c r="E137" s="35">
        <f t="shared" si="16"/>
        <v>774428.71810002869</v>
      </c>
      <c r="F137" s="36">
        <f t="shared" si="17"/>
        <v>-6443.0140148550854</v>
      </c>
      <c r="G137" s="86">
        <f t="shared" si="18"/>
        <v>-2441.7989713382703</v>
      </c>
      <c r="H137" s="87">
        <f t="shared" si="19"/>
        <v>-2570.8704243549419</v>
      </c>
      <c r="I137" s="86">
        <f t="shared" si="20"/>
        <v>-4001.2150435168151</v>
      </c>
      <c r="J137" s="87">
        <f t="shared" si="21"/>
        <v>-3872.1435905001435</v>
      </c>
      <c r="K137" s="86">
        <f t="shared" si="22"/>
        <v>771986.91912869038</v>
      </c>
      <c r="L137" s="87">
        <f t="shared" si="23"/>
        <v>771857.84767567378</v>
      </c>
    </row>
    <row r="138" spans="1:12" s="38" customFormat="1" ht="12.75" x14ac:dyDescent="0.2">
      <c r="A138" s="40">
        <f t="shared" ref="A138:A148" si="29">A137</f>
        <v>11</v>
      </c>
      <c r="B138" s="80">
        <f t="shared" si="24"/>
        <v>43708</v>
      </c>
      <c r="C138" s="81">
        <f t="shared" si="15"/>
        <v>31</v>
      </c>
      <c r="D138" s="85">
        <f>DAYS360($B$16,B138)-SUM($D$16:D137)</f>
        <v>30</v>
      </c>
      <c r="E138" s="35">
        <f t="shared" si="16"/>
        <v>771986.91912869038</v>
      </c>
      <c r="F138" s="36">
        <f t="shared" si="17"/>
        <v>-6443.0140148550854</v>
      </c>
      <c r="G138" s="86">
        <f t="shared" si="18"/>
        <v>-2454.4149326901852</v>
      </c>
      <c r="H138" s="87">
        <f t="shared" si="19"/>
        <v>-2583.0794192116341</v>
      </c>
      <c r="I138" s="86">
        <f t="shared" si="20"/>
        <v>-3988.5990821649002</v>
      </c>
      <c r="J138" s="87">
        <f t="shared" si="21"/>
        <v>-3859.9345956434513</v>
      </c>
      <c r="K138" s="86">
        <f t="shared" si="22"/>
        <v>769532.50419600017</v>
      </c>
      <c r="L138" s="87">
        <f t="shared" si="23"/>
        <v>769403.83970947878</v>
      </c>
    </row>
    <row r="139" spans="1:12" s="38" customFormat="1" ht="12.75" x14ac:dyDescent="0.2">
      <c r="A139" s="40">
        <f t="shared" si="29"/>
        <v>11</v>
      </c>
      <c r="B139" s="80">
        <f t="shared" si="24"/>
        <v>43738</v>
      </c>
      <c r="C139" s="81">
        <f t="shared" si="15"/>
        <v>30</v>
      </c>
      <c r="D139" s="85">
        <f>DAYS360($B$16,B139)-SUM($D$16:D138)</f>
        <v>30</v>
      </c>
      <c r="E139" s="35">
        <f t="shared" si="16"/>
        <v>769532.50419600017</v>
      </c>
      <c r="F139" s="36">
        <f t="shared" si="17"/>
        <v>-6443.0140148550854</v>
      </c>
      <c r="G139" s="86">
        <f t="shared" si="18"/>
        <v>-2595.3514938750845</v>
      </c>
      <c r="H139" s="87">
        <f t="shared" si="19"/>
        <v>-2595.3514938750845</v>
      </c>
      <c r="I139" s="86">
        <f t="shared" si="20"/>
        <v>-3847.6625209800009</v>
      </c>
      <c r="J139" s="87">
        <f t="shared" si="21"/>
        <v>-3847.6625209800009</v>
      </c>
      <c r="K139" s="86">
        <f t="shared" si="22"/>
        <v>766937.15270212514</v>
      </c>
      <c r="L139" s="87">
        <f t="shared" si="23"/>
        <v>766937.15270212514</v>
      </c>
    </row>
    <row r="140" spans="1:12" s="38" customFormat="1" ht="12.75" x14ac:dyDescent="0.2">
      <c r="A140" s="40">
        <f t="shared" si="29"/>
        <v>11</v>
      </c>
      <c r="B140" s="80">
        <f t="shared" si="24"/>
        <v>43769</v>
      </c>
      <c r="C140" s="81">
        <f t="shared" si="15"/>
        <v>31</v>
      </c>
      <c r="D140" s="85">
        <f>DAYS360($B$16,B140)-SUM($D$16:D139)</f>
        <v>30</v>
      </c>
      <c r="E140" s="35">
        <f t="shared" si="16"/>
        <v>766937.15270212514</v>
      </c>
      <c r="F140" s="36">
        <f t="shared" si="17"/>
        <v>-6443.0140148550854</v>
      </c>
      <c r="G140" s="86">
        <f t="shared" si="18"/>
        <v>-2480.5053925607722</v>
      </c>
      <c r="H140" s="87">
        <f t="shared" si="19"/>
        <v>-2608.3282513444597</v>
      </c>
      <c r="I140" s="86">
        <f t="shared" si="20"/>
        <v>-3962.5086222943132</v>
      </c>
      <c r="J140" s="87">
        <f t="shared" si="21"/>
        <v>-3834.6857635106257</v>
      </c>
      <c r="K140" s="86">
        <f t="shared" si="22"/>
        <v>764456.6473095644</v>
      </c>
      <c r="L140" s="87">
        <f t="shared" si="23"/>
        <v>764328.82445078064</v>
      </c>
    </row>
    <row r="141" spans="1:12" s="38" customFormat="1" ht="12.75" x14ac:dyDescent="0.2">
      <c r="A141" s="40">
        <f t="shared" si="29"/>
        <v>11</v>
      </c>
      <c r="B141" s="80">
        <f t="shared" si="24"/>
        <v>43799</v>
      </c>
      <c r="C141" s="81">
        <f t="shared" si="15"/>
        <v>30</v>
      </c>
      <c r="D141" s="85">
        <f>DAYS360($B$16,B141)-SUM($D$16:D140)</f>
        <v>30</v>
      </c>
      <c r="E141" s="35">
        <f t="shared" si="16"/>
        <v>764456.6473095644</v>
      </c>
      <c r="F141" s="36">
        <f t="shared" si="17"/>
        <v>-6443.0140148550854</v>
      </c>
      <c r="G141" s="86">
        <f t="shared" si="18"/>
        <v>-2620.7307783072633</v>
      </c>
      <c r="H141" s="87">
        <f t="shared" si="19"/>
        <v>-2620.7307783072633</v>
      </c>
      <c r="I141" s="86">
        <f t="shared" si="20"/>
        <v>-3822.2832365478221</v>
      </c>
      <c r="J141" s="87">
        <f t="shared" si="21"/>
        <v>-3822.2832365478221</v>
      </c>
      <c r="K141" s="86">
        <f t="shared" si="22"/>
        <v>761835.9165312571</v>
      </c>
      <c r="L141" s="87">
        <f t="shared" si="23"/>
        <v>761835.9165312571</v>
      </c>
    </row>
    <row r="142" spans="1:12" s="38" customFormat="1" ht="12.75" x14ac:dyDescent="0.2">
      <c r="A142" s="40">
        <f t="shared" si="29"/>
        <v>11</v>
      </c>
      <c r="B142" s="80">
        <f t="shared" si="24"/>
        <v>43830</v>
      </c>
      <c r="C142" s="81">
        <f t="shared" si="15"/>
        <v>31</v>
      </c>
      <c r="D142" s="85">
        <f>DAYS360($B$16,B142)-SUM($D$16:D141)</f>
        <v>30</v>
      </c>
      <c r="E142" s="35">
        <f t="shared" si="16"/>
        <v>761835.9165312571</v>
      </c>
      <c r="F142" s="36">
        <f t="shared" si="17"/>
        <v>-6443.0140148550854</v>
      </c>
      <c r="G142" s="86">
        <f t="shared" si="18"/>
        <v>-2506.8617794435904</v>
      </c>
      <c r="H142" s="87">
        <f t="shared" si="19"/>
        <v>-2633.8344321987997</v>
      </c>
      <c r="I142" s="86">
        <f t="shared" si="20"/>
        <v>-3936.152235411495</v>
      </c>
      <c r="J142" s="87">
        <f t="shared" si="21"/>
        <v>-3809.1795826562857</v>
      </c>
      <c r="K142" s="86">
        <f t="shared" si="22"/>
        <v>759329.05475181353</v>
      </c>
      <c r="L142" s="87">
        <f t="shared" si="23"/>
        <v>759202.08209905832</v>
      </c>
    </row>
    <row r="143" spans="1:12" s="38" customFormat="1" ht="12.75" x14ac:dyDescent="0.2">
      <c r="A143" s="40">
        <f t="shared" si="29"/>
        <v>11</v>
      </c>
      <c r="B143" s="80">
        <f t="shared" si="24"/>
        <v>43861</v>
      </c>
      <c r="C143" s="81">
        <f t="shared" si="15"/>
        <v>31</v>
      </c>
      <c r="D143" s="85">
        <f>DAYS360($B$16,B143)-SUM($D$16:D142)</f>
        <v>30</v>
      </c>
      <c r="E143" s="35">
        <f t="shared" si="16"/>
        <v>759329.05475181353</v>
      </c>
      <c r="F143" s="36">
        <f t="shared" si="17"/>
        <v>-6443.0140148550854</v>
      </c>
      <c r="G143" s="86">
        <f t="shared" si="18"/>
        <v>-2519.8138986373824</v>
      </c>
      <c r="H143" s="87">
        <f t="shared" si="19"/>
        <v>-2646.3687410960179</v>
      </c>
      <c r="I143" s="86">
        <f t="shared" si="20"/>
        <v>-3923.200116217703</v>
      </c>
      <c r="J143" s="87">
        <f t="shared" si="21"/>
        <v>-3796.6452737590675</v>
      </c>
      <c r="K143" s="86">
        <f t="shared" si="22"/>
        <v>756809.2408531761</v>
      </c>
      <c r="L143" s="87">
        <f t="shared" si="23"/>
        <v>756682.68601071753</v>
      </c>
    </row>
    <row r="144" spans="1:12" s="38" customFormat="1" ht="12.75" x14ac:dyDescent="0.2">
      <c r="A144" s="40">
        <f t="shared" si="29"/>
        <v>11</v>
      </c>
      <c r="B144" s="80">
        <f t="shared" si="24"/>
        <v>43890</v>
      </c>
      <c r="C144" s="81">
        <f t="shared" si="15"/>
        <v>29</v>
      </c>
      <c r="D144" s="85">
        <f>DAYS360($B$16,B144)-SUM($D$16:D143)</f>
        <v>29</v>
      </c>
      <c r="E144" s="35">
        <f t="shared" si="16"/>
        <v>756809.2408531761</v>
      </c>
      <c r="F144" s="36">
        <f t="shared" si="17"/>
        <v>-6443.0140148550854</v>
      </c>
      <c r="G144" s="86">
        <f t="shared" si="18"/>
        <v>-2785.1026840647341</v>
      </c>
      <c r="H144" s="87">
        <f t="shared" si="19"/>
        <v>-2785.1026840647341</v>
      </c>
      <c r="I144" s="86">
        <f t="shared" si="20"/>
        <v>-3657.9113307903513</v>
      </c>
      <c r="J144" s="87">
        <f t="shared" si="21"/>
        <v>-3657.9113307903513</v>
      </c>
      <c r="K144" s="86">
        <f t="shared" si="22"/>
        <v>754024.13816911133</v>
      </c>
      <c r="L144" s="87">
        <f t="shared" si="23"/>
        <v>754024.13816911133</v>
      </c>
    </row>
    <row r="145" spans="1:12" s="38" customFormat="1" ht="12.75" x14ac:dyDescent="0.2">
      <c r="A145" s="40">
        <f t="shared" si="29"/>
        <v>11</v>
      </c>
      <c r="B145" s="80">
        <f t="shared" si="24"/>
        <v>43921</v>
      </c>
      <c r="C145" s="81">
        <f t="shared" ref="C145:C208" si="30">B145-B144</f>
        <v>31</v>
      </c>
      <c r="D145" s="85">
        <f>DAYS360($B$16,B145)-SUM($D$16:D144)</f>
        <v>31</v>
      </c>
      <c r="E145" s="35">
        <f t="shared" ref="E145:E208" si="31">K144</f>
        <v>754024.13816911133</v>
      </c>
      <c r="F145" s="36">
        <f t="shared" ref="F145:F208" si="32">PMT($C$4,$C$6,$C$2)</f>
        <v>-6443.0140148550854</v>
      </c>
      <c r="G145" s="86">
        <f t="shared" ref="G145:G208" si="33">F145-I145</f>
        <v>-2547.2226343146767</v>
      </c>
      <c r="H145" s="87">
        <f t="shared" ref="H145:H208" si="34">F145-J145</f>
        <v>-2547.2226343146767</v>
      </c>
      <c r="I145" s="86">
        <f t="shared" ref="I145:I208" si="35">-E145*$C$4*C145/30</f>
        <v>-3895.7913805404087</v>
      </c>
      <c r="J145" s="87">
        <f t="shared" ref="J145:J208" si="36">-E145*$C$4*D145/30</f>
        <v>-3895.7913805404087</v>
      </c>
      <c r="K145" s="86">
        <f t="shared" ref="K145:K208" si="37">E145+G145</f>
        <v>751476.91553479666</v>
      </c>
      <c r="L145" s="87">
        <f t="shared" ref="L145:L208" si="38">E145+H145</f>
        <v>751476.91553479666</v>
      </c>
    </row>
    <row r="146" spans="1:12" s="38" customFormat="1" ht="12.75" x14ac:dyDescent="0.2">
      <c r="A146" s="40">
        <f t="shared" si="29"/>
        <v>11</v>
      </c>
      <c r="B146" s="80">
        <f t="shared" ref="B146:B209" si="39">EOMONTH(B145,1)</f>
        <v>43951</v>
      </c>
      <c r="C146" s="81">
        <f t="shared" si="30"/>
        <v>30</v>
      </c>
      <c r="D146" s="85">
        <f>DAYS360($B$16,B146)-SUM($D$16:D145)</f>
        <v>30</v>
      </c>
      <c r="E146" s="35">
        <f t="shared" si="31"/>
        <v>751476.91553479666</v>
      </c>
      <c r="F146" s="36">
        <f t="shared" si="32"/>
        <v>-6443.0140148550854</v>
      </c>
      <c r="G146" s="86">
        <f t="shared" si="33"/>
        <v>-2685.6294371811018</v>
      </c>
      <c r="H146" s="87">
        <f t="shared" si="34"/>
        <v>-2685.6294371811018</v>
      </c>
      <c r="I146" s="86">
        <f t="shared" si="35"/>
        <v>-3757.3845776739836</v>
      </c>
      <c r="J146" s="87">
        <f t="shared" si="36"/>
        <v>-3757.3845776739836</v>
      </c>
      <c r="K146" s="86">
        <f t="shared" si="37"/>
        <v>748791.28609761561</v>
      </c>
      <c r="L146" s="87">
        <f t="shared" si="38"/>
        <v>748791.28609761561</v>
      </c>
    </row>
    <row r="147" spans="1:12" s="38" customFormat="1" ht="12.75" x14ac:dyDescent="0.2">
      <c r="A147" s="40">
        <f t="shared" si="29"/>
        <v>11</v>
      </c>
      <c r="B147" s="80">
        <f t="shared" si="39"/>
        <v>43982</v>
      </c>
      <c r="C147" s="81">
        <f t="shared" si="30"/>
        <v>31</v>
      </c>
      <c r="D147" s="85">
        <f>DAYS360($B$16,B147)-SUM($D$16:D146)</f>
        <v>30</v>
      </c>
      <c r="E147" s="35">
        <f t="shared" si="31"/>
        <v>748791.28609761561</v>
      </c>
      <c r="F147" s="36">
        <f t="shared" si="32"/>
        <v>-6443.0140148550854</v>
      </c>
      <c r="G147" s="86">
        <f t="shared" si="33"/>
        <v>-2574.2590366840714</v>
      </c>
      <c r="H147" s="87">
        <f t="shared" si="34"/>
        <v>-2699.0575843670072</v>
      </c>
      <c r="I147" s="86">
        <f t="shared" si="35"/>
        <v>-3868.754978171014</v>
      </c>
      <c r="J147" s="87">
        <f t="shared" si="36"/>
        <v>-3743.9564304880782</v>
      </c>
      <c r="K147" s="86">
        <f t="shared" si="37"/>
        <v>746217.02706093155</v>
      </c>
      <c r="L147" s="87">
        <f t="shared" si="38"/>
        <v>746092.22851324861</v>
      </c>
    </row>
    <row r="148" spans="1:12" s="38" customFormat="1" ht="12.75" x14ac:dyDescent="0.2">
      <c r="A148" s="40">
        <f t="shared" si="29"/>
        <v>11</v>
      </c>
      <c r="B148" s="80">
        <f t="shared" si="39"/>
        <v>44012</v>
      </c>
      <c r="C148" s="81">
        <f t="shared" si="30"/>
        <v>30</v>
      </c>
      <c r="D148" s="85">
        <f>DAYS360($B$16,B148)-SUM($D$16:D147)</f>
        <v>30</v>
      </c>
      <c r="E148" s="35">
        <f t="shared" si="31"/>
        <v>746217.02706093155</v>
      </c>
      <c r="F148" s="36">
        <f t="shared" si="32"/>
        <v>-6443.0140148550854</v>
      </c>
      <c r="G148" s="86">
        <f t="shared" si="33"/>
        <v>-2711.9288795504276</v>
      </c>
      <c r="H148" s="87">
        <f t="shared" si="34"/>
        <v>-2711.9288795504276</v>
      </c>
      <c r="I148" s="86">
        <f t="shared" si="35"/>
        <v>-3731.0851353046578</v>
      </c>
      <c r="J148" s="87">
        <f t="shared" si="36"/>
        <v>-3731.0851353046578</v>
      </c>
      <c r="K148" s="86">
        <f t="shared" si="37"/>
        <v>743505.09818138112</v>
      </c>
      <c r="L148" s="87">
        <f t="shared" si="38"/>
        <v>743505.09818138112</v>
      </c>
    </row>
    <row r="149" spans="1:12" s="38" customFormat="1" ht="12.75" x14ac:dyDescent="0.2">
      <c r="A149" s="40">
        <f>A137+1</f>
        <v>12</v>
      </c>
      <c r="B149" s="80">
        <f t="shared" si="39"/>
        <v>44043</v>
      </c>
      <c r="C149" s="81">
        <f t="shared" si="30"/>
        <v>31</v>
      </c>
      <c r="D149" s="85">
        <f>DAYS360($B$16,B149)-SUM($D$16:D148)</f>
        <v>30</v>
      </c>
      <c r="E149" s="35">
        <f t="shared" si="31"/>
        <v>743505.09818138112</v>
      </c>
      <c r="F149" s="36">
        <f t="shared" si="32"/>
        <v>-6443.0140148550854</v>
      </c>
      <c r="G149" s="86">
        <f t="shared" si="33"/>
        <v>-2601.5710075846159</v>
      </c>
      <c r="H149" s="87">
        <f t="shared" si="34"/>
        <v>-2725.4885239481796</v>
      </c>
      <c r="I149" s="86">
        <f t="shared" si="35"/>
        <v>-3841.4430072704695</v>
      </c>
      <c r="J149" s="87">
        <f t="shared" si="36"/>
        <v>-3717.5254909069058</v>
      </c>
      <c r="K149" s="86">
        <f t="shared" si="37"/>
        <v>740903.52717379655</v>
      </c>
      <c r="L149" s="87">
        <f t="shared" si="38"/>
        <v>740779.609657433</v>
      </c>
    </row>
    <row r="150" spans="1:12" s="38" customFormat="1" ht="12.75" x14ac:dyDescent="0.2">
      <c r="A150" s="40">
        <f t="shared" ref="A150:A160" si="40">A149</f>
        <v>12</v>
      </c>
      <c r="B150" s="80">
        <f t="shared" si="39"/>
        <v>44074</v>
      </c>
      <c r="C150" s="81">
        <f t="shared" si="30"/>
        <v>31</v>
      </c>
      <c r="D150" s="85">
        <f>DAYS360($B$16,B150)-SUM($D$16:D149)</f>
        <v>30</v>
      </c>
      <c r="E150" s="35">
        <f t="shared" si="31"/>
        <v>740903.52717379655</v>
      </c>
      <c r="F150" s="36">
        <f t="shared" si="32"/>
        <v>-6443.0140148550854</v>
      </c>
      <c r="G150" s="86">
        <f t="shared" si="33"/>
        <v>-2615.0124577904699</v>
      </c>
      <c r="H150" s="87">
        <f t="shared" si="34"/>
        <v>-2738.4963789861026</v>
      </c>
      <c r="I150" s="86">
        <f t="shared" si="35"/>
        <v>-3828.0015570646156</v>
      </c>
      <c r="J150" s="87">
        <f t="shared" si="36"/>
        <v>-3704.5176358689828</v>
      </c>
      <c r="K150" s="86">
        <f t="shared" si="37"/>
        <v>738288.51471600612</v>
      </c>
      <c r="L150" s="87">
        <f t="shared" si="38"/>
        <v>738165.0307948105</v>
      </c>
    </row>
    <row r="151" spans="1:12" s="38" customFormat="1" ht="12.75" x14ac:dyDescent="0.2">
      <c r="A151" s="40">
        <f t="shared" si="40"/>
        <v>12</v>
      </c>
      <c r="B151" s="80">
        <f t="shared" si="39"/>
        <v>44104</v>
      </c>
      <c r="C151" s="81">
        <f t="shared" si="30"/>
        <v>30</v>
      </c>
      <c r="D151" s="85">
        <f>DAYS360($B$16,B151)-SUM($D$16:D150)</f>
        <v>30</v>
      </c>
      <c r="E151" s="35">
        <f t="shared" si="31"/>
        <v>738288.51471600612</v>
      </c>
      <c r="F151" s="36">
        <f t="shared" si="32"/>
        <v>-6443.0140148550854</v>
      </c>
      <c r="G151" s="86">
        <f t="shared" si="33"/>
        <v>-2751.5714412750549</v>
      </c>
      <c r="H151" s="87">
        <f t="shared" si="34"/>
        <v>-2751.5714412750549</v>
      </c>
      <c r="I151" s="86">
        <f t="shared" si="35"/>
        <v>-3691.4425735800305</v>
      </c>
      <c r="J151" s="87">
        <f t="shared" si="36"/>
        <v>-3691.4425735800305</v>
      </c>
      <c r="K151" s="86">
        <f t="shared" si="37"/>
        <v>735536.94327473105</v>
      </c>
      <c r="L151" s="87">
        <f t="shared" si="38"/>
        <v>735536.94327473105</v>
      </c>
    </row>
    <row r="152" spans="1:12" s="38" customFormat="1" ht="12.75" x14ac:dyDescent="0.2">
      <c r="A152" s="40">
        <f t="shared" si="40"/>
        <v>12</v>
      </c>
      <c r="B152" s="80">
        <f t="shared" si="39"/>
        <v>44135</v>
      </c>
      <c r="C152" s="81">
        <f t="shared" si="30"/>
        <v>31</v>
      </c>
      <c r="D152" s="85">
        <f>DAYS360($B$16,B152)-SUM($D$16:D151)</f>
        <v>30</v>
      </c>
      <c r="E152" s="35">
        <f t="shared" si="31"/>
        <v>735536.94327473105</v>
      </c>
      <c r="F152" s="36">
        <f t="shared" si="32"/>
        <v>-6443.0140148550854</v>
      </c>
      <c r="G152" s="86">
        <f t="shared" si="33"/>
        <v>-2642.7398079356417</v>
      </c>
      <c r="H152" s="87">
        <f t="shared" si="34"/>
        <v>-2765.3292984814302</v>
      </c>
      <c r="I152" s="86">
        <f t="shared" si="35"/>
        <v>-3800.2742069194437</v>
      </c>
      <c r="J152" s="87">
        <f t="shared" si="36"/>
        <v>-3677.6847163736552</v>
      </c>
      <c r="K152" s="86">
        <f t="shared" si="37"/>
        <v>732894.20346679538</v>
      </c>
      <c r="L152" s="87">
        <f t="shared" si="38"/>
        <v>732771.61397624959</v>
      </c>
    </row>
    <row r="153" spans="1:12" s="38" customFormat="1" ht="12.75" x14ac:dyDescent="0.2">
      <c r="A153" s="40">
        <f t="shared" si="40"/>
        <v>12</v>
      </c>
      <c r="B153" s="80">
        <f t="shared" si="39"/>
        <v>44165</v>
      </c>
      <c r="C153" s="81">
        <f t="shared" si="30"/>
        <v>30</v>
      </c>
      <c r="D153" s="85">
        <f>DAYS360($B$16,B153)-SUM($D$16:D152)</f>
        <v>30</v>
      </c>
      <c r="E153" s="35">
        <f t="shared" si="31"/>
        <v>732894.20346679538</v>
      </c>
      <c r="F153" s="36">
        <f t="shared" si="32"/>
        <v>-6443.0140148550854</v>
      </c>
      <c r="G153" s="86">
        <f t="shared" si="33"/>
        <v>-2778.5429975211082</v>
      </c>
      <c r="H153" s="87">
        <f t="shared" si="34"/>
        <v>-2778.5429975211082</v>
      </c>
      <c r="I153" s="86">
        <f t="shared" si="35"/>
        <v>-3664.4710173339772</v>
      </c>
      <c r="J153" s="87">
        <f t="shared" si="36"/>
        <v>-3664.4710173339772</v>
      </c>
      <c r="K153" s="86">
        <f t="shared" si="37"/>
        <v>730115.66046927427</v>
      </c>
      <c r="L153" s="87">
        <f t="shared" si="38"/>
        <v>730115.66046927427</v>
      </c>
    </row>
    <row r="154" spans="1:12" s="38" customFormat="1" ht="12.75" x14ac:dyDescent="0.2">
      <c r="A154" s="40">
        <f t="shared" si="40"/>
        <v>12</v>
      </c>
      <c r="B154" s="80">
        <f t="shared" si="39"/>
        <v>44196</v>
      </c>
      <c r="C154" s="81">
        <f t="shared" si="30"/>
        <v>31</v>
      </c>
      <c r="D154" s="85">
        <f>DAYS360($B$16,B154)-SUM($D$16:D153)</f>
        <v>30</v>
      </c>
      <c r="E154" s="35">
        <f t="shared" si="31"/>
        <v>730115.66046927427</v>
      </c>
      <c r="F154" s="36">
        <f t="shared" si="32"/>
        <v>-6443.0140148550854</v>
      </c>
      <c r="G154" s="86">
        <f t="shared" si="33"/>
        <v>-2670.7497690971682</v>
      </c>
      <c r="H154" s="87">
        <f t="shared" si="34"/>
        <v>-2792.435712508714</v>
      </c>
      <c r="I154" s="86">
        <f t="shared" si="35"/>
        <v>-3772.2642457579173</v>
      </c>
      <c r="J154" s="87">
        <f t="shared" si="36"/>
        <v>-3650.5783023463714</v>
      </c>
      <c r="K154" s="86">
        <f t="shared" si="37"/>
        <v>727444.91070017708</v>
      </c>
      <c r="L154" s="87">
        <f t="shared" si="38"/>
        <v>727323.22475676553</v>
      </c>
    </row>
    <row r="155" spans="1:12" s="38" customFormat="1" ht="12.75" x14ac:dyDescent="0.2">
      <c r="A155" s="40">
        <f t="shared" si="40"/>
        <v>12</v>
      </c>
      <c r="B155" s="80">
        <f t="shared" si="39"/>
        <v>44227</v>
      </c>
      <c r="C155" s="81">
        <f t="shared" si="30"/>
        <v>31</v>
      </c>
      <c r="D155" s="85">
        <f>DAYS360($B$16,B155)-SUM($D$16:D154)</f>
        <v>30</v>
      </c>
      <c r="E155" s="35">
        <f t="shared" si="31"/>
        <v>727444.91070017708</v>
      </c>
      <c r="F155" s="36">
        <f t="shared" si="32"/>
        <v>-6443.0140148550854</v>
      </c>
      <c r="G155" s="86">
        <f t="shared" si="33"/>
        <v>-2684.5486429041703</v>
      </c>
      <c r="H155" s="87">
        <f t="shared" si="34"/>
        <v>-2805.7894613541998</v>
      </c>
      <c r="I155" s="86">
        <f t="shared" si="35"/>
        <v>-3758.4653719509151</v>
      </c>
      <c r="J155" s="87">
        <f t="shared" si="36"/>
        <v>-3637.2245535008856</v>
      </c>
      <c r="K155" s="86">
        <f t="shared" si="37"/>
        <v>724760.36205727293</v>
      </c>
      <c r="L155" s="87">
        <f t="shared" si="38"/>
        <v>724639.12123882293</v>
      </c>
    </row>
    <row r="156" spans="1:12" s="38" customFormat="1" ht="12.75" x14ac:dyDescent="0.2">
      <c r="A156" s="40">
        <f t="shared" si="40"/>
        <v>12</v>
      </c>
      <c r="B156" s="80">
        <f t="shared" si="39"/>
        <v>44255</v>
      </c>
      <c r="C156" s="81">
        <f t="shared" si="30"/>
        <v>28</v>
      </c>
      <c r="D156" s="85">
        <f>DAYS360($B$16,B156)-SUM($D$16:D155)</f>
        <v>28</v>
      </c>
      <c r="E156" s="35">
        <f t="shared" si="31"/>
        <v>724760.36205727293</v>
      </c>
      <c r="F156" s="36">
        <f t="shared" si="32"/>
        <v>-6443.0140148550854</v>
      </c>
      <c r="G156" s="86">
        <f t="shared" si="33"/>
        <v>-3060.798991921145</v>
      </c>
      <c r="H156" s="87">
        <f t="shared" si="34"/>
        <v>-3060.798991921145</v>
      </c>
      <c r="I156" s="86">
        <f t="shared" si="35"/>
        <v>-3382.2150229339404</v>
      </c>
      <c r="J156" s="87">
        <f t="shared" si="36"/>
        <v>-3382.2150229339404</v>
      </c>
      <c r="K156" s="86">
        <f t="shared" si="37"/>
        <v>721699.5630653518</v>
      </c>
      <c r="L156" s="87">
        <f t="shared" si="38"/>
        <v>721699.5630653518</v>
      </c>
    </row>
    <row r="157" spans="1:12" s="38" customFormat="1" ht="12.75" x14ac:dyDescent="0.2">
      <c r="A157" s="40">
        <f t="shared" si="40"/>
        <v>12</v>
      </c>
      <c r="B157" s="80">
        <f t="shared" si="39"/>
        <v>44286</v>
      </c>
      <c r="C157" s="81">
        <f t="shared" si="30"/>
        <v>31</v>
      </c>
      <c r="D157" s="85">
        <f>DAYS360($B$16,B157)-SUM($D$16:D156)</f>
        <v>32</v>
      </c>
      <c r="E157" s="35">
        <f t="shared" si="31"/>
        <v>721699.5630653518</v>
      </c>
      <c r="F157" s="36">
        <f t="shared" si="32"/>
        <v>-6443.0140148550854</v>
      </c>
      <c r="G157" s="86">
        <f t="shared" si="33"/>
        <v>-2714.2329390174345</v>
      </c>
      <c r="H157" s="87">
        <f t="shared" si="34"/>
        <v>-2593.9496785065426</v>
      </c>
      <c r="I157" s="86">
        <f t="shared" si="35"/>
        <v>-3728.7810758376509</v>
      </c>
      <c r="J157" s="87">
        <f t="shared" si="36"/>
        <v>-3849.0643363485428</v>
      </c>
      <c r="K157" s="86">
        <f t="shared" si="37"/>
        <v>718985.33012633433</v>
      </c>
      <c r="L157" s="87">
        <f t="shared" si="38"/>
        <v>719105.61338684522</v>
      </c>
    </row>
    <row r="158" spans="1:12" s="38" customFormat="1" ht="12.75" x14ac:dyDescent="0.2">
      <c r="A158" s="40">
        <f t="shared" si="40"/>
        <v>12</v>
      </c>
      <c r="B158" s="80">
        <f t="shared" si="39"/>
        <v>44316</v>
      </c>
      <c r="C158" s="81">
        <f t="shared" si="30"/>
        <v>30</v>
      </c>
      <c r="D158" s="85">
        <f>DAYS360($B$16,B158)-SUM($D$16:D157)</f>
        <v>30</v>
      </c>
      <c r="E158" s="35">
        <f t="shared" si="31"/>
        <v>718985.33012633433</v>
      </c>
      <c r="F158" s="36">
        <f t="shared" si="32"/>
        <v>-6443.0140148550854</v>
      </c>
      <c r="G158" s="86">
        <f t="shared" si="33"/>
        <v>-2848.0873642234137</v>
      </c>
      <c r="H158" s="87">
        <f t="shared" si="34"/>
        <v>-2848.0873642234137</v>
      </c>
      <c r="I158" s="86">
        <f t="shared" si="35"/>
        <v>-3594.9266506316717</v>
      </c>
      <c r="J158" s="87">
        <f t="shared" si="36"/>
        <v>-3594.9266506316717</v>
      </c>
      <c r="K158" s="86">
        <f t="shared" si="37"/>
        <v>716137.24276211089</v>
      </c>
      <c r="L158" s="87">
        <f t="shared" si="38"/>
        <v>716137.24276211089</v>
      </c>
    </row>
    <row r="159" spans="1:12" s="38" customFormat="1" ht="12.75" x14ac:dyDescent="0.2">
      <c r="A159" s="40">
        <f t="shared" si="40"/>
        <v>12</v>
      </c>
      <c r="B159" s="80">
        <f t="shared" si="39"/>
        <v>44347</v>
      </c>
      <c r="C159" s="81">
        <f t="shared" si="30"/>
        <v>31</v>
      </c>
      <c r="D159" s="85">
        <f>DAYS360($B$16,B159)-SUM($D$16:D158)</f>
        <v>30</v>
      </c>
      <c r="E159" s="35">
        <f t="shared" si="31"/>
        <v>716137.24276211089</v>
      </c>
      <c r="F159" s="36">
        <f t="shared" si="32"/>
        <v>-6443.0140148550854</v>
      </c>
      <c r="G159" s="86">
        <f t="shared" si="33"/>
        <v>-2742.9715939175126</v>
      </c>
      <c r="H159" s="87">
        <f t="shared" si="34"/>
        <v>-2862.327801044531</v>
      </c>
      <c r="I159" s="86">
        <f t="shared" si="35"/>
        <v>-3700.0424209375728</v>
      </c>
      <c r="J159" s="87">
        <f t="shared" si="36"/>
        <v>-3580.6862138105544</v>
      </c>
      <c r="K159" s="86">
        <f t="shared" si="37"/>
        <v>713394.27116819343</v>
      </c>
      <c r="L159" s="87">
        <f t="shared" si="38"/>
        <v>713274.91496106633</v>
      </c>
    </row>
    <row r="160" spans="1:12" s="38" customFormat="1" ht="12.75" x14ac:dyDescent="0.2">
      <c r="A160" s="40">
        <f t="shared" si="40"/>
        <v>12</v>
      </c>
      <c r="B160" s="80">
        <f t="shared" si="39"/>
        <v>44377</v>
      </c>
      <c r="C160" s="81">
        <f t="shared" si="30"/>
        <v>30</v>
      </c>
      <c r="D160" s="85">
        <f>DAYS360($B$16,B160)-SUM($D$16:D159)</f>
        <v>30</v>
      </c>
      <c r="E160" s="35">
        <f t="shared" si="31"/>
        <v>713394.27116819343</v>
      </c>
      <c r="F160" s="36">
        <f t="shared" si="32"/>
        <v>-6443.0140148550854</v>
      </c>
      <c r="G160" s="86">
        <f t="shared" si="33"/>
        <v>-2876.0426590141183</v>
      </c>
      <c r="H160" s="87">
        <f t="shared" si="34"/>
        <v>-2876.0426590141183</v>
      </c>
      <c r="I160" s="86">
        <f t="shared" si="35"/>
        <v>-3566.9713558409671</v>
      </c>
      <c r="J160" s="87">
        <f t="shared" si="36"/>
        <v>-3566.9713558409671</v>
      </c>
      <c r="K160" s="86">
        <f t="shared" si="37"/>
        <v>710518.22850917932</v>
      </c>
      <c r="L160" s="87">
        <f t="shared" si="38"/>
        <v>710518.22850917932</v>
      </c>
    </row>
    <row r="161" spans="1:12" s="38" customFormat="1" ht="12.75" x14ac:dyDescent="0.2">
      <c r="A161" s="40">
        <f>A149+1</f>
        <v>13</v>
      </c>
      <c r="B161" s="80">
        <f t="shared" si="39"/>
        <v>44408</v>
      </c>
      <c r="C161" s="81">
        <f t="shared" si="30"/>
        <v>31</v>
      </c>
      <c r="D161" s="85">
        <f>DAYS360($B$16,B161)-SUM($D$16:D160)</f>
        <v>30</v>
      </c>
      <c r="E161" s="35">
        <f t="shared" si="31"/>
        <v>710518.22850917932</v>
      </c>
      <c r="F161" s="36">
        <f t="shared" si="32"/>
        <v>-6443.0140148550854</v>
      </c>
      <c r="G161" s="86">
        <f t="shared" si="33"/>
        <v>-2772.0031675576588</v>
      </c>
      <c r="H161" s="87">
        <f t="shared" si="34"/>
        <v>-2890.4228723091887</v>
      </c>
      <c r="I161" s="86">
        <f t="shared" si="35"/>
        <v>-3671.0108472974266</v>
      </c>
      <c r="J161" s="87">
        <f t="shared" si="36"/>
        <v>-3552.5911425458967</v>
      </c>
      <c r="K161" s="86">
        <f t="shared" si="37"/>
        <v>707746.22534162167</v>
      </c>
      <c r="L161" s="87">
        <f t="shared" si="38"/>
        <v>707627.80563687009</v>
      </c>
    </row>
    <row r="162" spans="1:12" s="38" customFormat="1" ht="12.75" x14ac:dyDescent="0.2">
      <c r="A162" s="40">
        <f t="shared" ref="A162:A172" si="41">A161</f>
        <v>13</v>
      </c>
      <c r="B162" s="80">
        <f t="shared" si="39"/>
        <v>44439</v>
      </c>
      <c r="C162" s="81">
        <f t="shared" si="30"/>
        <v>31</v>
      </c>
      <c r="D162" s="85">
        <f>DAYS360($B$16,B162)-SUM($D$16:D161)</f>
        <v>30</v>
      </c>
      <c r="E162" s="35">
        <f t="shared" si="31"/>
        <v>707746.22534162167</v>
      </c>
      <c r="F162" s="36">
        <f t="shared" si="32"/>
        <v>-6443.0140148550854</v>
      </c>
      <c r="G162" s="86">
        <f t="shared" si="33"/>
        <v>-2786.3251839233731</v>
      </c>
      <c r="H162" s="87">
        <f t="shared" si="34"/>
        <v>-2904.2828881469768</v>
      </c>
      <c r="I162" s="86">
        <f t="shared" si="35"/>
        <v>-3656.6888309317123</v>
      </c>
      <c r="J162" s="87">
        <f t="shared" si="36"/>
        <v>-3538.7311267081086</v>
      </c>
      <c r="K162" s="86">
        <f t="shared" si="37"/>
        <v>704959.90015769831</v>
      </c>
      <c r="L162" s="87">
        <f t="shared" si="38"/>
        <v>704841.94245347474</v>
      </c>
    </row>
    <row r="163" spans="1:12" s="38" customFormat="1" ht="12.75" x14ac:dyDescent="0.2">
      <c r="A163" s="40">
        <f t="shared" si="41"/>
        <v>13</v>
      </c>
      <c r="B163" s="80">
        <f t="shared" si="39"/>
        <v>44469</v>
      </c>
      <c r="C163" s="81">
        <f t="shared" si="30"/>
        <v>30</v>
      </c>
      <c r="D163" s="85">
        <f>DAYS360($B$16,B163)-SUM($D$16:D162)</f>
        <v>30</v>
      </c>
      <c r="E163" s="35">
        <f t="shared" si="31"/>
        <v>704959.90015769831</v>
      </c>
      <c r="F163" s="36">
        <f t="shared" si="32"/>
        <v>-6443.0140148550854</v>
      </c>
      <c r="G163" s="86">
        <f t="shared" si="33"/>
        <v>-2918.2145140665939</v>
      </c>
      <c r="H163" s="87">
        <f t="shared" si="34"/>
        <v>-2918.2145140665939</v>
      </c>
      <c r="I163" s="86">
        <f t="shared" si="35"/>
        <v>-3524.7995007884915</v>
      </c>
      <c r="J163" s="87">
        <f t="shared" si="36"/>
        <v>-3524.7995007884915</v>
      </c>
      <c r="K163" s="86">
        <f t="shared" si="37"/>
        <v>702041.68564363173</v>
      </c>
      <c r="L163" s="87">
        <f t="shared" si="38"/>
        <v>702041.68564363173</v>
      </c>
    </row>
    <row r="164" spans="1:12" s="38" customFormat="1" ht="12.75" x14ac:dyDescent="0.2">
      <c r="A164" s="40">
        <f t="shared" si="41"/>
        <v>13</v>
      </c>
      <c r="B164" s="80">
        <f t="shared" si="39"/>
        <v>44500</v>
      </c>
      <c r="C164" s="81">
        <f t="shared" si="30"/>
        <v>31</v>
      </c>
      <c r="D164" s="85">
        <f>DAYS360($B$16,B164)-SUM($D$16:D163)</f>
        <v>30</v>
      </c>
      <c r="E164" s="35">
        <f t="shared" si="31"/>
        <v>702041.68564363173</v>
      </c>
      <c r="F164" s="36">
        <f t="shared" si="32"/>
        <v>-6443.0140148550854</v>
      </c>
      <c r="G164" s="86">
        <f t="shared" si="33"/>
        <v>-2815.7986390296551</v>
      </c>
      <c r="H164" s="87">
        <f t="shared" si="34"/>
        <v>-2932.8055866369268</v>
      </c>
      <c r="I164" s="86">
        <f t="shared" si="35"/>
        <v>-3627.2153758254303</v>
      </c>
      <c r="J164" s="87">
        <f t="shared" si="36"/>
        <v>-3510.2084282181586</v>
      </c>
      <c r="K164" s="86">
        <f t="shared" si="37"/>
        <v>699225.88700460212</v>
      </c>
      <c r="L164" s="87">
        <f t="shared" si="38"/>
        <v>699108.88005699485</v>
      </c>
    </row>
    <row r="165" spans="1:12" s="38" customFormat="1" ht="12.75" x14ac:dyDescent="0.2">
      <c r="A165" s="40">
        <f t="shared" si="41"/>
        <v>13</v>
      </c>
      <c r="B165" s="80">
        <f t="shared" si="39"/>
        <v>44530</v>
      </c>
      <c r="C165" s="81">
        <f t="shared" si="30"/>
        <v>30</v>
      </c>
      <c r="D165" s="85">
        <f>DAYS360($B$16,B165)-SUM($D$16:D164)</f>
        <v>30</v>
      </c>
      <c r="E165" s="35">
        <f t="shared" si="31"/>
        <v>699225.88700460212</v>
      </c>
      <c r="F165" s="36">
        <f t="shared" si="32"/>
        <v>-6443.0140148550854</v>
      </c>
      <c r="G165" s="86">
        <f t="shared" si="33"/>
        <v>-2946.8845798320749</v>
      </c>
      <c r="H165" s="87">
        <f t="shared" si="34"/>
        <v>-2946.8845798320749</v>
      </c>
      <c r="I165" s="86">
        <f t="shared" si="35"/>
        <v>-3496.1294350230105</v>
      </c>
      <c r="J165" s="87">
        <f t="shared" si="36"/>
        <v>-3496.1294350230105</v>
      </c>
      <c r="K165" s="86">
        <f t="shared" si="37"/>
        <v>696279.00242477003</v>
      </c>
      <c r="L165" s="87">
        <f t="shared" si="38"/>
        <v>696279.00242477003</v>
      </c>
    </row>
    <row r="166" spans="1:12" s="38" customFormat="1" ht="12.75" x14ac:dyDescent="0.2">
      <c r="A166" s="40">
        <f t="shared" si="41"/>
        <v>13</v>
      </c>
      <c r="B166" s="80">
        <f t="shared" si="39"/>
        <v>44561</v>
      </c>
      <c r="C166" s="81">
        <f t="shared" si="30"/>
        <v>31</v>
      </c>
      <c r="D166" s="85">
        <f>DAYS360($B$16,B166)-SUM($D$16:D165)</f>
        <v>30</v>
      </c>
      <c r="E166" s="35">
        <f t="shared" si="31"/>
        <v>696279.00242477003</v>
      </c>
      <c r="F166" s="36">
        <f t="shared" si="32"/>
        <v>-6443.0140148550854</v>
      </c>
      <c r="G166" s="86">
        <f t="shared" si="33"/>
        <v>-2845.5725023271066</v>
      </c>
      <c r="H166" s="87">
        <f t="shared" si="34"/>
        <v>-2961.619002731235</v>
      </c>
      <c r="I166" s="86">
        <f t="shared" si="35"/>
        <v>-3597.4415125279788</v>
      </c>
      <c r="J166" s="87">
        <f t="shared" si="36"/>
        <v>-3481.3950121238504</v>
      </c>
      <c r="K166" s="86">
        <f t="shared" si="37"/>
        <v>693433.42992244288</v>
      </c>
      <c r="L166" s="87">
        <f t="shared" si="38"/>
        <v>693317.38342203875</v>
      </c>
    </row>
    <row r="167" spans="1:12" s="38" customFormat="1" ht="12.75" x14ac:dyDescent="0.2">
      <c r="A167" s="40">
        <f t="shared" si="41"/>
        <v>13</v>
      </c>
      <c r="B167" s="80">
        <f t="shared" si="39"/>
        <v>44592</v>
      </c>
      <c r="C167" s="81">
        <f t="shared" si="30"/>
        <v>31</v>
      </c>
      <c r="D167" s="85">
        <f>DAYS360($B$16,B167)-SUM($D$16:D166)</f>
        <v>30</v>
      </c>
      <c r="E167" s="35">
        <f t="shared" si="31"/>
        <v>693433.42992244288</v>
      </c>
      <c r="F167" s="36">
        <f t="shared" si="32"/>
        <v>-6443.0140148550854</v>
      </c>
      <c r="G167" s="86">
        <f t="shared" si="33"/>
        <v>-2860.274626922464</v>
      </c>
      <c r="H167" s="87">
        <f t="shared" si="34"/>
        <v>-2975.846865242871</v>
      </c>
      <c r="I167" s="86">
        <f t="shared" si="35"/>
        <v>-3582.7393879326214</v>
      </c>
      <c r="J167" s="87">
        <f t="shared" si="36"/>
        <v>-3467.1671496122144</v>
      </c>
      <c r="K167" s="86">
        <f t="shared" si="37"/>
        <v>690573.15529552044</v>
      </c>
      <c r="L167" s="87">
        <f t="shared" si="38"/>
        <v>690457.58305720007</v>
      </c>
    </row>
    <row r="168" spans="1:12" s="38" customFormat="1" ht="12.75" x14ac:dyDescent="0.2">
      <c r="A168" s="40">
        <f t="shared" si="41"/>
        <v>13</v>
      </c>
      <c r="B168" s="80">
        <f t="shared" si="39"/>
        <v>44620</v>
      </c>
      <c r="C168" s="81">
        <f t="shared" si="30"/>
        <v>28</v>
      </c>
      <c r="D168" s="85">
        <f>DAYS360($B$16,B168)-SUM($D$16:D167)</f>
        <v>28</v>
      </c>
      <c r="E168" s="35">
        <f t="shared" si="31"/>
        <v>690573.15529552044</v>
      </c>
      <c r="F168" s="36">
        <f t="shared" si="32"/>
        <v>-6443.0140148550854</v>
      </c>
      <c r="G168" s="86">
        <f t="shared" si="33"/>
        <v>-3220.3392901426569</v>
      </c>
      <c r="H168" s="87">
        <f t="shared" si="34"/>
        <v>-3220.3392901426569</v>
      </c>
      <c r="I168" s="86">
        <f t="shared" si="35"/>
        <v>-3222.6747247124285</v>
      </c>
      <c r="J168" s="87">
        <f t="shared" si="36"/>
        <v>-3222.6747247124285</v>
      </c>
      <c r="K168" s="86">
        <f t="shared" si="37"/>
        <v>687352.8160053778</v>
      </c>
      <c r="L168" s="87">
        <f t="shared" si="38"/>
        <v>687352.8160053778</v>
      </c>
    </row>
    <row r="169" spans="1:12" s="38" customFormat="1" ht="12.75" x14ac:dyDescent="0.2">
      <c r="A169" s="40">
        <f t="shared" si="41"/>
        <v>13</v>
      </c>
      <c r="B169" s="80">
        <f t="shared" si="39"/>
        <v>44651</v>
      </c>
      <c r="C169" s="81">
        <f t="shared" si="30"/>
        <v>31</v>
      </c>
      <c r="D169" s="85">
        <f>DAYS360($B$16,B169)-SUM($D$16:D168)</f>
        <v>32</v>
      </c>
      <c r="E169" s="35">
        <f t="shared" si="31"/>
        <v>687352.8160053778</v>
      </c>
      <c r="F169" s="36">
        <f t="shared" si="32"/>
        <v>-6443.0140148550854</v>
      </c>
      <c r="G169" s="86">
        <f t="shared" si="33"/>
        <v>-2891.6911321606331</v>
      </c>
      <c r="H169" s="87">
        <f t="shared" si="34"/>
        <v>-2777.1323294930703</v>
      </c>
      <c r="I169" s="86">
        <f t="shared" si="35"/>
        <v>-3551.3228826944523</v>
      </c>
      <c r="J169" s="87">
        <f t="shared" si="36"/>
        <v>-3665.8816853620151</v>
      </c>
      <c r="K169" s="86">
        <f t="shared" si="37"/>
        <v>684461.1248732172</v>
      </c>
      <c r="L169" s="87">
        <f t="shared" si="38"/>
        <v>684575.68367588473</v>
      </c>
    </row>
    <row r="170" spans="1:12" s="38" customFormat="1" ht="12.75" x14ac:dyDescent="0.2">
      <c r="A170" s="40">
        <f t="shared" si="41"/>
        <v>13</v>
      </c>
      <c r="B170" s="80">
        <f t="shared" si="39"/>
        <v>44681</v>
      </c>
      <c r="C170" s="81">
        <f t="shared" si="30"/>
        <v>30</v>
      </c>
      <c r="D170" s="85">
        <f>DAYS360($B$16,B170)-SUM($D$16:D169)</f>
        <v>30</v>
      </c>
      <c r="E170" s="35">
        <f t="shared" si="31"/>
        <v>684461.1248732172</v>
      </c>
      <c r="F170" s="36">
        <f t="shared" si="32"/>
        <v>-6443.0140148550854</v>
      </c>
      <c r="G170" s="86">
        <f t="shared" si="33"/>
        <v>-3020.7083904889992</v>
      </c>
      <c r="H170" s="87">
        <f t="shared" si="34"/>
        <v>-3020.7083904889992</v>
      </c>
      <c r="I170" s="86">
        <f t="shared" si="35"/>
        <v>-3422.3056243660862</v>
      </c>
      <c r="J170" s="87">
        <f t="shared" si="36"/>
        <v>-3422.3056243660862</v>
      </c>
      <c r="K170" s="86">
        <f t="shared" si="37"/>
        <v>681440.41648272821</v>
      </c>
      <c r="L170" s="87">
        <f t="shared" si="38"/>
        <v>681440.41648272821</v>
      </c>
    </row>
    <row r="171" spans="1:12" s="38" customFormat="1" ht="12.75" x14ac:dyDescent="0.2">
      <c r="A171" s="40">
        <f t="shared" si="41"/>
        <v>13</v>
      </c>
      <c r="B171" s="80">
        <f t="shared" si="39"/>
        <v>44712</v>
      </c>
      <c r="C171" s="81">
        <f t="shared" si="30"/>
        <v>31</v>
      </c>
      <c r="D171" s="85">
        <f>DAYS360($B$16,B171)-SUM($D$16:D170)</f>
        <v>30</v>
      </c>
      <c r="E171" s="35">
        <f t="shared" si="31"/>
        <v>681440.41648272821</v>
      </c>
      <c r="F171" s="36">
        <f t="shared" si="32"/>
        <v>-6443.0140148550854</v>
      </c>
      <c r="G171" s="86">
        <f t="shared" si="33"/>
        <v>-2922.238529694323</v>
      </c>
      <c r="H171" s="87">
        <f t="shared" si="34"/>
        <v>-3035.8119324414442</v>
      </c>
      <c r="I171" s="86">
        <f t="shared" si="35"/>
        <v>-3520.7754851607624</v>
      </c>
      <c r="J171" s="87">
        <f t="shared" si="36"/>
        <v>-3407.2020824136412</v>
      </c>
      <c r="K171" s="86">
        <f t="shared" si="37"/>
        <v>678518.17795303394</v>
      </c>
      <c r="L171" s="87">
        <f t="shared" si="38"/>
        <v>678404.60455028678</v>
      </c>
    </row>
    <row r="172" spans="1:12" s="38" customFormat="1" ht="12.75" x14ac:dyDescent="0.2">
      <c r="A172" s="40">
        <f t="shared" si="41"/>
        <v>13</v>
      </c>
      <c r="B172" s="80">
        <f t="shared" si="39"/>
        <v>44742</v>
      </c>
      <c r="C172" s="81">
        <f t="shared" si="30"/>
        <v>30</v>
      </c>
      <c r="D172" s="85">
        <f>DAYS360($B$16,B172)-SUM($D$16:D171)</f>
        <v>30</v>
      </c>
      <c r="E172" s="35">
        <f t="shared" si="31"/>
        <v>678518.17795303394</v>
      </c>
      <c r="F172" s="36">
        <f t="shared" si="32"/>
        <v>-6443.0140148550854</v>
      </c>
      <c r="G172" s="86">
        <f t="shared" si="33"/>
        <v>-3050.4231250899156</v>
      </c>
      <c r="H172" s="87">
        <f t="shared" si="34"/>
        <v>-3050.4231250899156</v>
      </c>
      <c r="I172" s="86">
        <f t="shared" si="35"/>
        <v>-3392.5908897651698</v>
      </c>
      <c r="J172" s="87">
        <f t="shared" si="36"/>
        <v>-3392.5908897651698</v>
      </c>
      <c r="K172" s="86">
        <f t="shared" si="37"/>
        <v>675467.75482794398</v>
      </c>
      <c r="L172" s="87">
        <f t="shared" si="38"/>
        <v>675467.75482794398</v>
      </c>
    </row>
    <row r="173" spans="1:12" s="38" customFormat="1" ht="12.75" x14ac:dyDescent="0.2">
      <c r="A173" s="40">
        <f>A161+1</f>
        <v>14</v>
      </c>
      <c r="B173" s="80">
        <f t="shared" si="39"/>
        <v>44773</v>
      </c>
      <c r="C173" s="81">
        <f t="shared" si="30"/>
        <v>31</v>
      </c>
      <c r="D173" s="85">
        <f>DAYS360($B$16,B173)-SUM($D$16:D172)</f>
        <v>30</v>
      </c>
      <c r="E173" s="35">
        <f t="shared" si="31"/>
        <v>675467.75482794398</v>
      </c>
      <c r="F173" s="36">
        <f t="shared" si="32"/>
        <v>-6443.0140148550854</v>
      </c>
      <c r="G173" s="86">
        <f t="shared" si="33"/>
        <v>-2953.0972815773744</v>
      </c>
      <c r="H173" s="87">
        <f t="shared" si="34"/>
        <v>-3065.6752407153649</v>
      </c>
      <c r="I173" s="86">
        <f t="shared" si="35"/>
        <v>-3489.916733277711</v>
      </c>
      <c r="J173" s="87">
        <f t="shared" si="36"/>
        <v>-3377.3387741397205</v>
      </c>
      <c r="K173" s="86">
        <f t="shared" si="37"/>
        <v>672514.65754636656</v>
      </c>
      <c r="L173" s="87">
        <f t="shared" si="38"/>
        <v>672402.0795872286</v>
      </c>
    </row>
    <row r="174" spans="1:12" s="38" customFormat="1" ht="12.75" x14ac:dyDescent="0.2">
      <c r="A174" s="40">
        <f t="shared" ref="A174:A184" si="42">A173</f>
        <v>14</v>
      </c>
      <c r="B174" s="80">
        <f t="shared" si="39"/>
        <v>44804</v>
      </c>
      <c r="C174" s="81">
        <f t="shared" si="30"/>
        <v>31</v>
      </c>
      <c r="D174" s="85">
        <f>DAYS360($B$16,B174)-SUM($D$16:D173)</f>
        <v>30</v>
      </c>
      <c r="E174" s="35">
        <f t="shared" si="31"/>
        <v>672514.65754636656</v>
      </c>
      <c r="F174" s="36">
        <f t="shared" si="32"/>
        <v>-6443.0140148550854</v>
      </c>
      <c r="G174" s="86">
        <f t="shared" si="33"/>
        <v>-2968.3549508655251</v>
      </c>
      <c r="H174" s="87">
        <f t="shared" si="34"/>
        <v>-3080.4407271232526</v>
      </c>
      <c r="I174" s="86">
        <f t="shared" si="35"/>
        <v>-3474.6590639895603</v>
      </c>
      <c r="J174" s="87">
        <f t="shared" si="36"/>
        <v>-3362.5732877318328</v>
      </c>
      <c r="K174" s="86">
        <f t="shared" si="37"/>
        <v>669546.30259550107</v>
      </c>
      <c r="L174" s="87">
        <f t="shared" si="38"/>
        <v>669434.21681924327</v>
      </c>
    </row>
    <row r="175" spans="1:12" s="38" customFormat="1" ht="12.75" x14ac:dyDescent="0.2">
      <c r="A175" s="40">
        <f t="shared" si="42"/>
        <v>14</v>
      </c>
      <c r="B175" s="80">
        <f t="shared" si="39"/>
        <v>44834</v>
      </c>
      <c r="C175" s="81">
        <f t="shared" si="30"/>
        <v>30</v>
      </c>
      <c r="D175" s="85">
        <f>DAYS360($B$16,B175)-SUM($D$16:D174)</f>
        <v>30</v>
      </c>
      <c r="E175" s="35">
        <f t="shared" si="31"/>
        <v>669546.30259550107</v>
      </c>
      <c r="F175" s="36">
        <f t="shared" si="32"/>
        <v>-6443.0140148550854</v>
      </c>
      <c r="G175" s="86">
        <f t="shared" si="33"/>
        <v>-3095.2825018775807</v>
      </c>
      <c r="H175" s="87">
        <f t="shared" si="34"/>
        <v>-3095.2825018775807</v>
      </c>
      <c r="I175" s="86">
        <f t="shared" si="35"/>
        <v>-3347.7315129775047</v>
      </c>
      <c r="J175" s="87">
        <f t="shared" si="36"/>
        <v>-3347.7315129775047</v>
      </c>
      <c r="K175" s="86">
        <f t="shared" si="37"/>
        <v>666451.02009362343</v>
      </c>
      <c r="L175" s="87">
        <f t="shared" si="38"/>
        <v>666451.02009362343</v>
      </c>
    </row>
    <row r="176" spans="1:12" s="38" customFormat="1" ht="12.75" x14ac:dyDescent="0.2">
      <c r="A176" s="40">
        <f t="shared" si="42"/>
        <v>14</v>
      </c>
      <c r="B176" s="80">
        <f t="shared" si="39"/>
        <v>44865</v>
      </c>
      <c r="C176" s="81">
        <f t="shared" si="30"/>
        <v>31</v>
      </c>
      <c r="D176" s="85">
        <f>DAYS360($B$16,B176)-SUM($D$16:D175)</f>
        <v>30</v>
      </c>
      <c r="E176" s="35">
        <f t="shared" si="31"/>
        <v>666451.02009362343</v>
      </c>
      <c r="F176" s="36">
        <f t="shared" si="32"/>
        <v>-6443.0140148550854</v>
      </c>
      <c r="G176" s="86">
        <f t="shared" si="33"/>
        <v>-2999.6837443713644</v>
      </c>
      <c r="H176" s="87">
        <f t="shared" si="34"/>
        <v>-3110.7589143869682</v>
      </c>
      <c r="I176" s="86">
        <f t="shared" si="35"/>
        <v>-3443.3302704837211</v>
      </c>
      <c r="J176" s="87">
        <f t="shared" si="36"/>
        <v>-3332.2551004681172</v>
      </c>
      <c r="K176" s="86">
        <f t="shared" si="37"/>
        <v>663451.33634925203</v>
      </c>
      <c r="L176" s="87">
        <f t="shared" si="38"/>
        <v>663340.26117923646</v>
      </c>
    </row>
    <row r="177" spans="1:12" s="38" customFormat="1" ht="12.75" x14ac:dyDescent="0.2">
      <c r="A177" s="40">
        <f t="shared" si="42"/>
        <v>14</v>
      </c>
      <c r="B177" s="80">
        <f t="shared" si="39"/>
        <v>44895</v>
      </c>
      <c r="C177" s="81">
        <f t="shared" si="30"/>
        <v>30</v>
      </c>
      <c r="D177" s="85">
        <f>DAYS360($B$16,B177)-SUM($D$16:D176)</f>
        <v>30</v>
      </c>
      <c r="E177" s="35">
        <f t="shared" si="31"/>
        <v>663451.33634925203</v>
      </c>
      <c r="F177" s="36">
        <f t="shared" si="32"/>
        <v>-6443.0140148550854</v>
      </c>
      <c r="G177" s="86">
        <f t="shared" si="33"/>
        <v>-3125.7573331088252</v>
      </c>
      <c r="H177" s="87">
        <f t="shared" si="34"/>
        <v>-3125.7573331088252</v>
      </c>
      <c r="I177" s="86">
        <f t="shared" si="35"/>
        <v>-3317.2566817462603</v>
      </c>
      <c r="J177" s="87">
        <f t="shared" si="36"/>
        <v>-3317.2566817462603</v>
      </c>
      <c r="K177" s="86">
        <f t="shared" si="37"/>
        <v>660325.57901614322</v>
      </c>
      <c r="L177" s="87">
        <f t="shared" si="38"/>
        <v>660325.57901614322</v>
      </c>
    </row>
    <row r="178" spans="1:12" s="38" customFormat="1" ht="12.75" x14ac:dyDescent="0.2">
      <c r="A178" s="40">
        <f t="shared" si="42"/>
        <v>14</v>
      </c>
      <c r="B178" s="80">
        <f t="shared" si="39"/>
        <v>44926</v>
      </c>
      <c r="C178" s="81">
        <f t="shared" si="30"/>
        <v>31</v>
      </c>
      <c r="D178" s="85">
        <f>DAYS360($B$16,B178)-SUM($D$16:D177)</f>
        <v>30</v>
      </c>
      <c r="E178" s="35">
        <f t="shared" si="31"/>
        <v>660325.57901614322</v>
      </c>
      <c r="F178" s="36">
        <f t="shared" si="32"/>
        <v>-6443.0140148550854</v>
      </c>
      <c r="G178" s="86">
        <f t="shared" si="33"/>
        <v>-3031.331856605012</v>
      </c>
      <c r="H178" s="87">
        <f t="shared" si="34"/>
        <v>-3141.386119774369</v>
      </c>
      <c r="I178" s="86">
        <f t="shared" si="35"/>
        <v>-3411.6821582500734</v>
      </c>
      <c r="J178" s="87">
        <f t="shared" si="36"/>
        <v>-3301.6278950807164</v>
      </c>
      <c r="K178" s="86">
        <f t="shared" si="37"/>
        <v>657294.24715953821</v>
      </c>
      <c r="L178" s="87">
        <f t="shared" si="38"/>
        <v>657184.1928963688</v>
      </c>
    </row>
    <row r="179" spans="1:12" s="38" customFormat="1" ht="12.75" x14ac:dyDescent="0.2">
      <c r="A179" s="40">
        <f t="shared" si="42"/>
        <v>14</v>
      </c>
      <c r="B179" s="80">
        <f t="shared" si="39"/>
        <v>44957</v>
      </c>
      <c r="C179" s="81">
        <f t="shared" si="30"/>
        <v>31</v>
      </c>
      <c r="D179" s="85">
        <f>DAYS360($B$16,B179)-SUM($D$16:D178)</f>
        <v>30</v>
      </c>
      <c r="E179" s="35">
        <f t="shared" si="31"/>
        <v>657294.24715953821</v>
      </c>
      <c r="F179" s="36">
        <f t="shared" si="32"/>
        <v>-6443.0140148550854</v>
      </c>
      <c r="G179" s="86">
        <f t="shared" si="33"/>
        <v>-3046.9937378641384</v>
      </c>
      <c r="H179" s="87">
        <f t="shared" si="34"/>
        <v>-3156.5427790573945</v>
      </c>
      <c r="I179" s="86">
        <f t="shared" si="35"/>
        <v>-3396.020276990947</v>
      </c>
      <c r="J179" s="87">
        <f t="shared" si="36"/>
        <v>-3286.471235797691</v>
      </c>
      <c r="K179" s="86">
        <f t="shared" si="37"/>
        <v>654247.25342167402</v>
      </c>
      <c r="L179" s="87">
        <f t="shared" si="38"/>
        <v>654137.70438048081</v>
      </c>
    </row>
    <row r="180" spans="1:12" s="38" customFormat="1" ht="12.75" x14ac:dyDescent="0.2">
      <c r="A180" s="40">
        <f t="shared" si="42"/>
        <v>14</v>
      </c>
      <c r="B180" s="80">
        <f t="shared" si="39"/>
        <v>44985</v>
      </c>
      <c r="C180" s="81">
        <f t="shared" si="30"/>
        <v>28</v>
      </c>
      <c r="D180" s="85">
        <f>DAYS360($B$16,B180)-SUM($D$16:D179)</f>
        <v>28</v>
      </c>
      <c r="E180" s="35">
        <f t="shared" si="31"/>
        <v>654247.25342167402</v>
      </c>
      <c r="F180" s="36">
        <f t="shared" si="32"/>
        <v>-6443.0140148550854</v>
      </c>
      <c r="G180" s="86">
        <f t="shared" si="33"/>
        <v>-3389.8601655539396</v>
      </c>
      <c r="H180" s="87">
        <f t="shared" si="34"/>
        <v>-3389.8601655539396</v>
      </c>
      <c r="I180" s="86">
        <f t="shared" si="35"/>
        <v>-3053.1538493011458</v>
      </c>
      <c r="J180" s="87">
        <f t="shared" si="36"/>
        <v>-3053.1538493011458</v>
      </c>
      <c r="K180" s="86">
        <f t="shared" si="37"/>
        <v>650857.39325612003</v>
      </c>
      <c r="L180" s="87">
        <f t="shared" si="38"/>
        <v>650857.39325612003</v>
      </c>
    </row>
    <row r="181" spans="1:12" s="38" customFormat="1" ht="12.75" x14ac:dyDescent="0.2">
      <c r="A181" s="40">
        <f t="shared" si="42"/>
        <v>14</v>
      </c>
      <c r="B181" s="80">
        <f t="shared" si="39"/>
        <v>45016</v>
      </c>
      <c r="C181" s="81">
        <f t="shared" si="30"/>
        <v>31</v>
      </c>
      <c r="D181" s="85">
        <f>DAYS360($B$16,B181)-SUM($D$16:D180)</f>
        <v>32</v>
      </c>
      <c r="E181" s="35">
        <f t="shared" si="31"/>
        <v>650857.39325612003</v>
      </c>
      <c r="F181" s="36">
        <f t="shared" si="32"/>
        <v>-6443.0140148550854</v>
      </c>
      <c r="G181" s="86">
        <f t="shared" si="33"/>
        <v>-3080.2508163651319</v>
      </c>
      <c r="H181" s="87">
        <f t="shared" si="34"/>
        <v>-2971.7745841557785</v>
      </c>
      <c r="I181" s="86">
        <f t="shared" si="35"/>
        <v>-3362.7631984899535</v>
      </c>
      <c r="J181" s="87">
        <f t="shared" si="36"/>
        <v>-3471.2394306993069</v>
      </c>
      <c r="K181" s="86">
        <f t="shared" si="37"/>
        <v>647777.14243975491</v>
      </c>
      <c r="L181" s="87">
        <f t="shared" si="38"/>
        <v>647885.61867196427</v>
      </c>
    </row>
    <row r="182" spans="1:12" s="38" customFormat="1" ht="12.75" x14ac:dyDescent="0.2">
      <c r="A182" s="40">
        <f t="shared" si="42"/>
        <v>14</v>
      </c>
      <c r="B182" s="80">
        <f t="shared" si="39"/>
        <v>45046</v>
      </c>
      <c r="C182" s="81">
        <f t="shared" si="30"/>
        <v>30</v>
      </c>
      <c r="D182" s="85">
        <f>DAYS360($B$16,B182)-SUM($D$16:D181)</f>
        <v>30</v>
      </c>
      <c r="E182" s="35">
        <f t="shared" si="31"/>
        <v>647777.14243975491</v>
      </c>
      <c r="F182" s="36">
        <f t="shared" si="32"/>
        <v>-6443.0140148550854</v>
      </c>
      <c r="G182" s="86">
        <f t="shared" si="33"/>
        <v>-3204.1283026563106</v>
      </c>
      <c r="H182" s="87">
        <f t="shared" si="34"/>
        <v>-3204.1283026563106</v>
      </c>
      <c r="I182" s="86">
        <f t="shared" si="35"/>
        <v>-3238.8857121987749</v>
      </c>
      <c r="J182" s="87">
        <f t="shared" si="36"/>
        <v>-3238.8857121987749</v>
      </c>
      <c r="K182" s="86">
        <f t="shared" si="37"/>
        <v>644573.01413709857</v>
      </c>
      <c r="L182" s="87">
        <f t="shared" si="38"/>
        <v>644573.01413709857</v>
      </c>
    </row>
    <row r="183" spans="1:12" s="38" customFormat="1" ht="12.75" x14ac:dyDescent="0.2">
      <c r="A183" s="40">
        <f t="shared" si="42"/>
        <v>14</v>
      </c>
      <c r="B183" s="80">
        <f t="shared" si="39"/>
        <v>45077</v>
      </c>
      <c r="C183" s="81">
        <f t="shared" si="30"/>
        <v>31</v>
      </c>
      <c r="D183" s="85">
        <f>DAYS360($B$16,B183)-SUM($D$16:D182)</f>
        <v>30</v>
      </c>
      <c r="E183" s="35">
        <f t="shared" si="31"/>
        <v>644573.01413709857</v>
      </c>
      <c r="F183" s="36">
        <f t="shared" si="32"/>
        <v>-6443.0140148550854</v>
      </c>
      <c r="G183" s="86">
        <f t="shared" si="33"/>
        <v>-3112.7201084800763</v>
      </c>
      <c r="H183" s="87">
        <f t="shared" si="34"/>
        <v>-3220.1489441695926</v>
      </c>
      <c r="I183" s="86">
        <f t="shared" si="35"/>
        <v>-3330.2939063750091</v>
      </c>
      <c r="J183" s="87">
        <f t="shared" si="36"/>
        <v>-3222.8650706854928</v>
      </c>
      <c r="K183" s="86">
        <f t="shared" si="37"/>
        <v>641460.29402861849</v>
      </c>
      <c r="L183" s="87">
        <f t="shared" si="38"/>
        <v>641352.86519292893</v>
      </c>
    </row>
    <row r="184" spans="1:12" s="38" customFormat="1" ht="12.75" x14ac:dyDescent="0.2">
      <c r="A184" s="40">
        <f t="shared" si="42"/>
        <v>14</v>
      </c>
      <c r="B184" s="80">
        <f t="shared" si="39"/>
        <v>45107</v>
      </c>
      <c r="C184" s="81">
        <f t="shared" si="30"/>
        <v>30</v>
      </c>
      <c r="D184" s="85">
        <f>DAYS360($B$16,B184)-SUM($D$16:D183)</f>
        <v>30</v>
      </c>
      <c r="E184" s="35">
        <f t="shared" si="31"/>
        <v>641460.29402861849</v>
      </c>
      <c r="F184" s="36">
        <f t="shared" si="32"/>
        <v>-6443.0140148550854</v>
      </c>
      <c r="G184" s="86">
        <f t="shared" si="33"/>
        <v>-3235.7125447119929</v>
      </c>
      <c r="H184" s="87">
        <f t="shared" si="34"/>
        <v>-3235.7125447119929</v>
      </c>
      <c r="I184" s="86">
        <f t="shared" si="35"/>
        <v>-3207.3014701430925</v>
      </c>
      <c r="J184" s="87">
        <f t="shared" si="36"/>
        <v>-3207.3014701430925</v>
      </c>
      <c r="K184" s="86">
        <f t="shared" si="37"/>
        <v>638224.58148390648</v>
      </c>
      <c r="L184" s="87">
        <f t="shared" si="38"/>
        <v>638224.58148390648</v>
      </c>
    </row>
    <row r="185" spans="1:12" s="38" customFormat="1" ht="12.75" x14ac:dyDescent="0.2">
      <c r="A185" s="40">
        <f>A173+1</f>
        <v>15</v>
      </c>
      <c r="B185" s="80">
        <f t="shared" si="39"/>
        <v>45138</v>
      </c>
      <c r="C185" s="81">
        <f t="shared" si="30"/>
        <v>31</v>
      </c>
      <c r="D185" s="85">
        <f>DAYS360($B$16,B185)-SUM($D$16:D184)</f>
        <v>30</v>
      </c>
      <c r="E185" s="35">
        <f t="shared" si="31"/>
        <v>638224.58148390648</v>
      </c>
      <c r="F185" s="36">
        <f t="shared" si="32"/>
        <v>-6443.0140148550854</v>
      </c>
      <c r="G185" s="86">
        <f t="shared" si="33"/>
        <v>-3145.5203438549015</v>
      </c>
      <c r="H185" s="87">
        <f t="shared" si="34"/>
        <v>-3251.8911074355524</v>
      </c>
      <c r="I185" s="86">
        <f t="shared" si="35"/>
        <v>-3297.4936710001839</v>
      </c>
      <c r="J185" s="87">
        <f t="shared" si="36"/>
        <v>-3191.122907419533</v>
      </c>
      <c r="K185" s="86">
        <f t="shared" si="37"/>
        <v>635079.06114005158</v>
      </c>
      <c r="L185" s="87">
        <f t="shared" si="38"/>
        <v>634972.69037647091</v>
      </c>
    </row>
    <row r="186" spans="1:12" s="38" customFormat="1" ht="12.75" x14ac:dyDescent="0.2">
      <c r="A186" s="40">
        <f t="shared" ref="A186:A196" si="43">A185</f>
        <v>15</v>
      </c>
      <c r="B186" s="80">
        <f t="shared" si="39"/>
        <v>45169</v>
      </c>
      <c r="C186" s="81">
        <f t="shared" si="30"/>
        <v>31</v>
      </c>
      <c r="D186" s="85">
        <f>DAYS360($B$16,B186)-SUM($D$16:D185)</f>
        <v>30</v>
      </c>
      <c r="E186" s="35">
        <f t="shared" si="31"/>
        <v>635079.06114005158</v>
      </c>
      <c r="F186" s="36">
        <f t="shared" si="32"/>
        <v>-6443.0140148550854</v>
      </c>
      <c r="G186" s="86">
        <f t="shared" si="33"/>
        <v>-3161.7721989648185</v>
      </c>
      <c r="H186" s="87">
        <f t="shared" si="34"/>
        <v>-3267.6187091548272</v>
      </c>
      <c r="I186" s="86">
        <f t="shared" si="35"/>
        <v>-3281.2418158902669</v>
      </c>
      <c r="J186" s="87">
        <f t="shared" si="36"/>
        <v>-3175.3953057002582</v>
      </c>
      <c r="K186" s="86">
        <f t="shared" si="37"/>
        <v>631917.28894108674</v>
      </c>
      <c r="L186" s="87">
        <f t="shared" si="38"/>
        <v>631811.4424308968</v>
      </c>
    </row>
    <row r="187" spans="1:12" s="38" customFormat="1" ht="12.75" x14ac:dyDescent="0.2">
      <c r="A187" s="40">
        <f t="shared" si="43"/>
        <v>15</v>
      </c>
      <c r="B187" s="80">
        <f t="shared" si="39"/>
        <v>45199</v>
      </c>
      <c r="C187" s="81">
        <f t="shared" si="30"/>
        <v>30</v>
      </c>
      <c r="D187" s="85">
        <f>DAYS360($B$16,B187)-SUM($D$16:D186)</f>
        <v>30</v>
      </c>
      <c r="E187" s="35">
        <f t="shared" si="31"/>
        <v>631917.28894108674</v>
      </c>
      <c r="F187" s="36">
        <f t="shared" si="32"/>
        <v>-6443.0140148550854</v>
      </c>
      <c r="G187" s="86">
        <f t="shared" si="33"/>
        <v>-3283.4275701496517</v>
      </c>
      <c r="H187" s="87">
        <f t="shared" si="34"/>
        <v>-3283.4275701496517</v>
      </c>
      <c r="I187" s="86">
        <f t="shared" si="35"/>
        <v>-3159.5864447054337</v>
      </c>
      <c r="J187" s="87">
        <f t="shared" si="36"/>
        <v>-3159.5864447054337</v>
      </c>
      <c r="K187" s="86">
        <f t="shared" si="37"/>
        <v>628633.86137093708</v>
      </c>
      <c r="L187" s="87">
        <f t="shared" si="38"/>
        <v>628633.86137093708</v>
      </c>
    </row>
    <row r="188" spans="1:12" s="38" customFormat="1" ht="12.75" x14ac:dyDescent="0.2">
      <c r="A188" s="40">
        <f t="shared" si="43"/>
        <v>15</v>
      </c>
      <c r="B188" s="80">
        <f t="shared" si="39"/>
        <v>45230</v>
      </c>
      <c r="C188" s="81">
        <f t="shared" si="30"/>
        <v>31</v>
      </c>
      <c r="D188" s="85">
        <f>DAYS360($B$16,B188)-SUM($D$16:D187)</f>
        <v>30</v>
      </c>
      <c r="E188" s="35">
        <f t="shared" si="31"/>
        <v>628633.86137093708</v>
      </c>
      <c r="F188" s="36">
        <f t="shared" si="32"/>
        <v>-6443.0140148550854</v>
      </c>
      <c r="G188" s="86">
        <f t="shared" si="33"/>
        <v>-3195.0723977719103</v>
      </c>
      <c r="H188" s="87">
        <f t="shared" si="34"/>
        <v>-3299.8447080003998</v>
      </c>
      <c r="I188" s="86">
        <f t="shared" si="35"/>
        <v>-3247.9416170831751</v>
      </c>
      <c r="J188" s="87">
        <f t="shared" si="36"/>
        <v>-3143.1693068546856</v>
      </c>
      <c r="K188" s="86">
        <f t="shared" si="37"/>
        <v>625438.78897316521</v>
      </c>
      <c r="L188" s="87">
        <f t="shared" si="38"/>
        <v>625334.01666293666</v>
      </c>
    </row>
    <row r="189" spans="1:12" s="38" customFormat="1" ht="12.75" x14ac:dyDescent="0.2">
      <c r="A189" s="40">
        <f t="shared" si="43"/>
        <v>15</v>
      </c>
      <c r="B189" s="80">
        <f t="shared" si="39"/>
        <v>45260</v>
      </c>
      <c r="C189" s="81">
        <f t="shared" si="30"/>
        <v>30</v>
      </c>
      <c r="D189" s="85">
        <f>DAYS360($B$16,B189)-SUM($D$16:D188)</f>
        <v>30</v>
      </c>
      <c r="E189" s="35">
        <f t="shared" si="31"/>
        <v>625438.78897316521</v>
      </c>
      <c r="F189" s="36">
        <f t="shared" si="32"/>
        <v>-6443.0140148550854</v>
      </c>
      <c r="G189" s="86">
        <f t="shared" si="33"/>
        <v>-3315.8200699892591</v>
      </c>
      <c r="H189" s="87">
        <f t="shared" si="34"/>
        <v>-3315.8200699892591</v>
      </c>
      <c r="I189" s="86">
        <f t="shared" si="35"/>
        <v>-3127.1939448658263</v>
      </c>
      <c r="J189" s="87">
        <f t="shared" si="36"/>
        <v>-3127.1939448658263</v>
      </c>
      <c r="K189" s="86">
        <f t="shared" si="37"/>
        <v>622122.9689031759</v>
      </c>
      <c r="L189" s="87">
        <f t="shared" si="38"/>
        <v>622122.9689031759</v>
      </c>
    </row>
    <row r="190" spans="1:12" s="38" customFormat="1" ht="12.75" x14ac:dyDescent="0.2">
      <c r="A190" s="40">
        <f t="shared" si="43"/>
        <v>15</v>
      </c>
      <c r="B190" s="80">
        <f t="shared" si="39"/>
        <v>45291</v>
      </c>
      <c r="C190" s="81">
        <f t="shared" si="30"/>
        <v>31</v>
      </c>
      <c r="D190" s="85">
        <f>DAYS360($B$16,B190)-SUM($D$16:D189)</f>
        <v>30</v>
      </c>
      <c r="E190" s="35">
        <f t="shared" si="31"/>
        <v>622122.9689031759</v>
      </c>
      <c r="F190" s="36">
        <f t="shared" si="32"/>
        <v>-6443.0140148550854</v>
      </c>
      <c r="G190" s="86">
        <f t="shared" si="33"/>
        <v>-3228.7120088553429</v>
      </c>
      <c r="H190" s="87">
        <f t="shared" si="34"/>
        <v>-3332.3991703392053</v>
      </c>
      <c r="I190" s="86">
        <f t="shared" si="35"/>
        <v>-3214.3020059997425</v>
      </c>
      <c r="J190" s="87">
        <f t="shared" si="36"/>
        <v>-3110.6148445158801</v>
      </c>
      <c r="K190" s="86">
        <f t="shared" si="37"/>
        <v>618894.2568943206</v>
      </c>
      <c r="L190" s="87">
        <f t="shared" si="38"/>
        <v>618790.56973283668</v>
      </c>
    </row>
    <row r="191" spans="1:12" s="38" customFormat="1" ht="12.75" x14ac:dyDescent="0.2">
      <c r="A191" s="40">
        <f t="shared" si="43"/>
        <v>15</v>
      </c>
      <c r="B191" s="80">
        <f t="shared" si="39"/>
        <v>45322</v>
      </c>
      <c r="C191" s="81">
        <f t="shared" si="30"/>
        <v>31</v>
      </c>
      <c r="D191" s="85">
        <f>DAYS360($B$16,B191)-SUM($D$16:D190)</f>
        <v>30</v>
      </c>
      <c r="E191" s="35">
        <f t="shared" si="31"/>
        <v>618894.2568943206</v>
      </c>
      <c r="F191" s="36">
        <f t="shared" si="32"/>
        <v>-6443.0140148550854</v>
      </c>
      <c r="G191" s="86">
        <f t="shared" si="33"/>
        <v>-3245.3936875677618</v>
      </c>
      <c r="H191" s="87">
        <f t="shared" si="34"/>
        <v>-3348.5427303834822</v>
      </c>
      <c r="I191" s="86">
        <f t="shared" si="35"/>
        <v>-3197.6203272873236</v>
      </c>
      <c r="J191" s="87">
        <f t="shared" si="36"/>
        <v>-3094.4712844716032</v>
      </c>
      <c r="K191" s="86">
        <f t="shared" si="37"/>
        <v>615648.86320675281</v>
      </c>
      <c r="L191" s="87">
        <f t="shared" si="38"/>
        <v>615545.71416393714</v>
      </c>
    </row>
    <row r="192" spans="1:12" s="38" customFormat="1" ht="12.75" x14ac:dyDescent="0.2">
      <c r="A192" s="40">
        <f t="shared" si="43"/>
        <v>15</v>
      </c>
      <c r="B192" s="80">
        <f t="shared" si="39"/>
        <v>45351</v>
      </c>
      <c r="C192" s="81">
        <f t="shared" si="30"/>
        <v>29</v>
      </c>
      <c r="D192" s="85">
        <f>DAYS360($B$16,B192)-SUM($D$16:D191)</f>
        <v>29</v>
      </c>
      <c r="E192" s="35">
        <f t="shared" si="31"/>
        <v>615648.86320675281</v>
      </c>
      <c r="F192" s="36">
        <f t="shared" si="32"/>
        <v>-6443.0140148550854</v>
      </c>
      <c r="G192" s="86">
        <f t="shared" si="33"/>
        <v>-3467.3778426891135</v>
      </c>
      <c r="H192" s="87">
        <f t="shared" si="34"/>
        <v>-3467.3778426891135</v>
      </c>
      <c r="I192" s="86">
        <f t="shared" si="35"/>
        <v>-2975.6361721659719</v>
      </c>
      <c r="J192" s="87">
        <f t="shared" si="36"/>
        <v>-2975.6361721659719</v>
      </c>
      <c r="K192" s="86">
        <f t="shared" si="37"/>
        <v>612181.48536406364</v>
      </c>
      <c r="L192" s="87">
        <f t="shared" si="38"/>
        <v>612181.48536406364</v>
      </c>
    </row>
    <row r="193" spans="1:12" s="38" customFormat="1" ht="12.75" x14ac:dyDescent="0.2">
      <c r="A193" s="40">
        <f t="shared" si="43"/>
        <v>15</v>
      </c>
      <c r="B193" s="80">
        <f t="shared" si="39"/>
        <v>45382</v>
      </c>
      <c r="C193" s="81">
        <f t="shared" si="30"/>
        <v>31</v>
      </c>
      <c r="D193" s="85">
        <f>DAYS360($B$16,B193)-SUM($D$16:D192)</f>
        <v>31</v>
      </c>
      <c r="E193" s="35">
        <f t="shared" si="31"/>
        <v>612181.48536406364</v>
      </c>
      <c r="F193" s="36">
        <f t="shared" si="32"/>
        <v>-6443.0140148550854</v>
      </c>
      <c r="G193" s="86">
        <f t="shared" si="33"/>
        <v>-3280.0763404740892</v>
      </c>
      <c r="H193" s="87">
        <f t="shared" si="34"/>
        <v>-3280.0763404740892</v>
      </c>
      <c r="I193" s="86">
        <f t="shared" si="35"/>
        <v>-3162.9376743809962</v>
      </c>
      <c r="J193" s="87">
        <f t="shared" si="36"/>
        <v>-3162.9376743809962</v>
      </c>
      <c r="K193" s="86">
        <f t="shared" si="37"/>
        <v>608901.40902358957</v>
      </c>
      <c r="L193" s="87">
        <f t="shared" si="38"/>
        <v>608901.40902358957</v>
      </c>
    </row>
    <row r="194" spans="1:12" s="38" customFormat="1" ht="12.75" x14ac:dyDescent="0.2">
      <c r="A194" s="40">
        <f t="shared" si="43"/>
        <v>15</v>
      </c>
      <c r="B194" s="80">
        <f t="shared" si="39"/>
        <v>45412</v>
      </c>
      <c r="C194" s="81">
        <f t="shared" si="30"/>
        <v>30</v>
      </c>
      <c r="D194" s="85">
        <f>DAYS360($B$16,B194)-SUM($D$16:D193)</f>
        <v>30</v>
      </c>
      <c r="E194" s="35">
        <f t="shared" si="31"/>
        <v>608901.40902358957</v>
      </c>
      <c r="F194" s="36">
        <f t="shared" si="32"/>
        <v>-6443.0140148550854</v>
      </c>
      <c r="G194" s="86">
        <f t="shared" si="33"/>
        <v>-3398.5069697371373</v>
      </c>
      <c r="H194" s="87">
        <f t="shared" si="34"/>
        <v>-3398.5069697371373</v>
      </c>
      <c r="I194" s="86">
        <f t="shared" si="35"/>
        <v>-3044.5070451179481</v>
      </c>
      <c r="J194" s="87">
        <f t="shared" si="36"/>
        <v>-3044.5070451179481</v>
      </c>
      <c r="K194" s="86">
        <f t="shared" si="37"/>
        <v>605502.90205385245</v>
      </c>
      <c r="L194" s="87">
        <f t="shared" si="38"/>
        <v>605502.90205385245</v>
      </c>
    </row>
    <row r="195" spans="1:12" s="38" customFormat="1" ht="12.75" x14ac:dyDescent="0.2">
      <c r="A195" s="40">
        <f t="shared" si="43"/>
        <v>15</v>
      </c>
      <c r="B195" s="80">
        <f t="shared" si="39"/>
        <v>45443</v>
      </c>
      <c r="C195" s="81">
        <f t="shared" si="30"/>
        <v>31</v>
      </c>
      <c r="D195" s="85">
        <f>DAYS360($B$16,B195)-SUM($D$16:D194)</f>
        <v>30</v>
      </c>
      <c r="E195" s="35">
        <f t="shared" si="31"/>
        <v>605502.90205385245</v>
      </c>
      <c r="F195" s="36">
        <f t="shared" si="32"/>
        <v>-6443.0140148550854</v>
      </c>
      <c r="G195" s="86">
        <f t="shared" si="33"/>
        <v>-3314.5823542435146</v>
      </c>
      <c r="H195" s="87">
        <f t="shared" si="34"/>
        <v>-3415.4995045858232</v>
      </c>
      <c r="I195" s="86">
        <f t="shared" si="35"/>
        <v>-3128.4316606115708</v>
      </c>
      <c r="J195" s="87">
        <f t="shared" si="36"/>
        <v>-3027.5145102692622</v>
      </c>
      <c r="K195" s="86">
        <f t="shared" si="37"/>
        <v>602188.31969960895</v>
      </c>
      <c r="L195" s="87">
        <f t="shared" si="38"/>
        <v>602087.40254926658</v>
      </c>
    </row>
    <row r="196" spans="1:12" s="38" customFormat="1" ht="12.75" x14ac:dyDescent="0.2">
      <c r="A196" s="40">
        <f t="shared" si="43"/>
        <v>15</v>
      </c>
      <c r="B196" s="80">
        <f t="shared" si="39"/>
        <v>45473</v>
      </c>
      <c r="C196" s="81">
        <f t="shared" si="30"/>
        <v>30</v>
      </c>
      <c r="D196" s="85">
        <f>DAYS360($B$16,B196)-SUM($D$16:D195)</f>
        <v>30</v>
      </c>
      <c r="E196" s="35">
        <f t="shared" si="31"/>
        <v>602188.31969960895</v>
      </c>
      <c r="F196" s="36">
        <f t="shared" si="32"/>
        <v>-6443.0140148550854</v>
      </c>
      <c r="G196" s="86">
        <f t="shared" si="33"/>
        <v>-3432.0724163570408</v>
      </c>
      <c r="H196" s="87">
        <f t="shared" si="34"/>
        <v>-3432.0724163570408</v>
      </c>
      <c r="I196" s="86">
        <f t="shared" si="35"/>
        <v>-3010.9415984980446</v>
      </c>
      <c r="J196" s="87">
        <f t="shared" si="36"/>
        <v>-3010.9415984980446</v>
      </c>
      <c r="K196" s="86">
        <f t="shared" si="37"/>
        <v>598756.24728325196</v>
      </c>
      <c r="L196" s="87">
        <f t="shared" si="38"/>
        <v>598756.24728325196</v>
      </c>
    </row>
    <row r="197" spans="1:12" s="38" customFormat="1" ht="12.75" x14ac:dyDescent="0.2">
      <c r="A197" s="40">
        <f>A185+1</f>
        <v>16</v>
      </c>
      <c r="B197" s="80">
        <f t="shared" si="39"/>
        <v>45504</v>
      </c>
      <c r="C197" s="81">
        <f t="shared" si="30"/>
        <v>31</v>
      </c>
      <c r="D197" s="85">
        <f>DAYS360($B$16,B197)-SUM($D$16:D196)</f>
        <v>30</v>
      </c>
      <c r="E197" s="35">
        <f t="shared" si="31"/>
        <v>598756.24728325196</v>
      </c>
      <c r="F197" s="36">
        <f t="shared" si="32"/>
        <v>-6443.0140148550854</v>
      </c>
      <c r="G197" s="86">
        <f t="shared" si="33"/>
        <v>-3349.4400705582834</v>
      </c>
      <c r="H197" s="87">
        <f t="shared" si="34"/>
        <v>-3449.2327784388258</v>
      </c>
      <c r="I197" s="86">
        <f t="shared" si="35"/>
        <v>-3093.573944296802</v>
      </c>
      <c r="J197" s="87">
        <f t="shared" si="36"/>
        <v>-2993.7812364162596</v>
      </c>
      <c r="K197" s="86">
        <f t="shared" si="37"/>
        <v>595406.80721269362</v>
      </c>
      <c r="L197" s="87">
        <f t="shared" si="38"/>
        <v>595307.01450481312</v>
      </c>
    </row>
    <row r="198" spans="1:12" s="38" customFormat="1" ht="12.75" x14ac:dyDescent="0.2">
      <c r="A198" s="40">
        <f t="shared" ref="A198:A208" si="44">A197</f>
        <v>16</v>
      </c>
      <c r="B198" s="80">
        <f t="shared" si="39"/>
        <v>45535</v>
      </c>
      <c r="C198" s="81">
        <f t="shared" si="30"/>
        <v>31</v>
      </c>
      <c r="D198" s="85">
        <f>DAYS360($B$16,B198)-SUM($D$16:D197)</f>
        <v>30</v>
      </c>
      <c r="E198" s="35">
        <f t="shared" si="31"/>
        <v>595406.80721269362</v>
      </c>
      <c r="F198" s="36">
        <f t="shared" si="32"/>
        <v>-6443.0140148550854</v>
      </c>
      <c r="G198" s="86">
        <f t="shared" si="33"/>
        <v>-3366.7455109228349</v>
      </c>
      <c r="H198" s="87">
        <f t="shared" si="34"/>
        <v>-3465.9799787916172</v>
      </c>
      <c r="I198" s="86">
        <f t="shared" si="35"/>
        <v>-3076.2685039322505</v>
      </c>
      <c r="J198" s="87">
        <f t="shared" si="36"/>
        <v>-2977.0340360634682</v>
      </c>
      <c r="K198" s="86">
        <f t="shared" si="37"/>
        <v>592040.06170177076</v>
      </c>
      <c r="L198" s="87">
        <f t="shared" si="38"/>
        <v>591940.82723390195</v>
      </c>
    </row>
    <row r="199" spans="1:12" s="38" customFormat="1" ht="12.75" x14ac:dyDescent="0.2">
      <c r="A199" s="40">
        <f t="shared" si="44"/>
        <v>16</v>
      </c>
      <c r="B199" s="80">
        <f t="shared" si="39"/>
        <v>45565</v>
      </c>
      <c r="C199" s="81">
        <f t="shared" si="30"/>
        <v>30</v>
      </c>
      <c r="D199" s="85">
        <f>DAYS360($B$16,B199)-SUM($D$16:D198)</f>
        <v>30</v>
      </c>
      <c r="E199" s="35">
        <f t="shared" si="31"/>
        <v>592040.06170177076</v>
      </c>
      <c r="F199" s="36">
        <f t="shared" si="32"/>
        <v>-6443.0140148550854</v>
      </c>
      <c r="G199" s="86">
        <f t="shared" si="33"/>
        <v>-3482.8137063462314</v>
      </c>
      <c r="H199" s="87">
        <f t="shared" si="34"/>
        <v>-3482.8137063462314</v>
      </c>
      <c r="I199" s="86">
        <f t="shared" si="35"/>
        <v>-2960.2003085088541</v>
      </c>
      <c r="J199" s="87">
        <f t="shared" si="36"/>
        <v>-2960.2003085088541</v>
      </c>
      <c r="K199" s="86">
        <f t="shared" si="37"/>
        <v>588557.24799542455</v>
      </c>
      <c r="L199" s="87">
        <f t="shared" si="38"/>
        <v>588557.24799542455</v>
      </c>
    </row>
    <row r="200" spans="1:12" s="38" customFormat="1" ht="12.75" x14ac:dyDescent="0.2">
      <c r="A200" s="40">
        <f t="shared" si="44"/>
        <v>16</v>
      </c>
      <c r="B200" s="80">
        <f t="shared" si="39"/>
        <v>45596</v>
      </c>
      <c r="C200" s="81">
        <f t="shared" si="30"/>
        <v>31</v>
      </c>
      <c r="D200" s="85">
        <f>DAYS360($B$16,B200)-SUM($D$16:D199)</f>
        <v>30</v>
      </c>
      <c r="E200" s="35">
        <f t="shared" si="31"/>
        <v>588557.24799542455</v>
      </c>
      <c r="F200" s="36">
        <f t="shared" si="32"/>
        <v>-6443.0140148550854</v>
      </c>
      <c r="G200" s="86">
        <f t="shared" si="33"/>
        <v>-3402.1349002120583</v>
      </c>
      <c r="H200" s="87">
        <f t="shared" si="34"/>
        <v>-3500.2277748779625</v>
      </c>
      <c r="I200" s="86">
        <f t="shared" si="35"/>
        <v>-3040.8791146430272</v>
      </c>
      <c r="J200" s="87">
        <f t="shared" si="36"/>
        <v>-2942.7862399771229</v>
      </c>
      <c r="K200" s="86">
        <f t="shared" si="37"/>
        <v>585155.11309521249</v>
      </c>
      <c r="L200" s="87">
        <f t="shared" si="38"/>
        <v>585057.02022054663</v>
      </c>
    </row>
    <row r="201" spans="1:12" s="38" customFormat="1" ht="12.75" x14ac:dyDescent="0.2">
      <c r="A201" s="40">
        <f t="shared" si="44"/>
        <v>16</v>
      </c>
      <c r="B201" s="80">
        <f t="shared" si="39"/>
        <v>45626</v>
      </c>
      <c r="C201" s="81">
        <f t="shared" si="30"/>
        <v>30</v>
      </c>
      <c r="D201" s="85">
        <f>DAYS360($B$16,B201)-SUM($D$16:D200)</f>
        <v>30</v>
      </c>
      <c r="E201" s="35">
        <f t="shared" si="31"/>
        <v>585155.11309521249</v>
      </c>
      <c r="F201" s="36">
        <f t="shared" si="32"/>
        <v>-6443.0140148550854</v>
      </c>
      <c r="G201" s="86">
        <f t="shared" si="33"/>
        <v>-3517.2384493790228</v>
      </c>
      <c r="H201" s="87">
        <f t="shared" si="34"/>
        <v>-3517.2384493790228</v>
      </c>
      <c r="I201" s="86">
        <f t="shared" si="35"/>
        <v>-2925.7755654760626</v>
      </c>
      <c r="J201" s="87">
        <f t="shared" si="36"/>
        <v>-2925.7755654760626</v>
      </c>
      <c r="K201" s="86">
        <f t="shared" si="37"/>
        <v>581637.87464583351</v>
      </c>
      <c r="L201" s="87">
        <f t="shared" si="38"/>
        <v>581637.87464583351</v>
      </c>
    </row>
    <row r="202" spans="1:12" s="38" customFormat="1" ht="12.75" x14ac:dyDescent="0.2">
      <c r="A202" s="40">
        <f t="shared" si="44"/>
        <v>16</v>
      </c>
      <c r="B202" s="80">
        <f t="shared" si="39"/>
        <v>45657</v>
      </c>
      <c r="C202" s="81">
        <f t="shared" si="30"/>
        <v>31</v>
      </c>
      <c r="D202" s="85">
        <f>DAYS360($B$16,B202)-SUM($D$16:D201)</f>
        <v>30</v>
      </c>
      <c r="E202" s="35">
        <f t="shared" si="31"/>
        <v>581637.87464583351</v>
      </c>
      <c r="F202" s="36">
        <f t="shared" si="32"/>
        <v>-6443.0140148550854</v>
      </c>
      <c r="G202" s="86">
        <f t="shared" si="33"/>
        <v>-3437.8849958516121</v>
      </c>
      <c r="H202" s="87">
        <f t="shared" si="34"/>
        <v>-3534.8246416259176</v>
      </c>
      <c r="I202" s="86">
        <f t="shared" si="35"/>
        <v>-3005.1290190034733</v>
      </c>
      <c r="J202" s="87">
        <f t="shared" si="36"/>
        <v>-2908.1893732291678</v>
      </c>
      <c r="K202" s="86">
        <f t="shared" si="37"/>
        <v>578199.98964998184</v>
      </c>
      <c r="L202" s="87">
        <f t="shared" si="38"/>
        <v>578103.05000420765</v>
      </c>
    </row>
    <row r="203" spans="1:12" s="38" customFormat="1" ht="12.75" x14ac:dyDescent="0.2">
      <c r="A203" s="40">
        <f t="shared" si="44"/>
        <v>16</v>
      </c>
      <c r="B203" s="80">
        <f t="shared" si="39"/>
        <v>45688</v>
      </c>
      <c r="C203" s="81">
        <f t="shared" si="30"/>
        <v>31</v>
      </c>
      <c r="D203" s="85">
        <f>DAYS360($B$16,B203)-SUM($D$16:D202)</f>
        <v>30</v>
      </c>
      <c r="E203" s="35">
        <f t="shared" si="31"/>
        <v>578199.98964998184</v>
      </c>
      <c r="F203" s="36">
        <f t="shared" si="32"/>
        <v>-6443.0140148550854</v>
      </c>
      <c r="G203" s="86">
        <f t="shared" si="33"/>
        <v>-3455.6474016635125</v>
      </c>
      <c r="H203" s="87">
        <f t="shared" si="34"/>
        <v>-3552.0140666051761</v>
      </c>
      <c r="I203" s="86">
        <f t="shared" si="35"/>
        <v>-2987.3666131915729</v>
      </c>
      <c r="J203" s="87">
        <f t="shared" si="36"/>
        <v>-2890.9999482499093</v>
      </c>
      <c r="K203" s="86">
        <f t="shared" si="37"/>
        <v>574744.34224831837</v>
      </c>
      <c r="L203" s="87">
        <f t="shared" si="38"/>
        <v>574647.97558337671</v>
      </c>
    </row>
    <row r="204" spans="1:12" s="38" customFormat="1" ht="12.75" x14ac:dyDescent="0.2">
      <c r="A204" s="40">
        <f t="shared" si="44"/>
        <v>16</v>
      </c>
      <c r="B204" s="80">
        <f t="shared" si="39"/>
        <v>45716</v>
      </c>
      <c r="C204" s="81">
        <f t="shared" si="30"/>
        <v>28</v>
      </c>
      <c r="D204" s="85">
        <f>DAYS360($B$16,B204)-SUM($D$16:D203)</f>
        <v>28</v>
      </c>
      <c r="E204" s="35">
        <f t="shared" si="31"/>
        <v>574744.34224831837</v>
      </c>
      <c r="F204" s="36">
        <f t="shared" si="32"/>
        <v>-6443.0140148550854</v>
      </c>
      <c r="G204" s="86">
        <f t="shared" si="33"/>
        <v>-3760.8737510295996</v>
      </c>
      <c r="H204" s="87">
        <f t="shared" si="34"/>
        <v>-3760.8737510295996</v>
      </c>
      <c r="I204" s="86">
        <f t="shared" si="35"/>
        <v>-2682.1402638254858</v>
      </c>
      <c r="J204" s="87">
        <f t="shared" si="36"/>
        <v>-2682.1402638254858</v>
      </c>
      <c r="K204" s="86">
        <f t="shared" si="37"/>
        <v>570983.46849728876</v>
      </c>
      <c r="L204" s="87">
        <f t="shared" si="38"/>
        <v>570983.46849728876</v>
      </c>
    </row>
    <row r="205" spans="1:12" s="38" customFormat="1" ht="12.75" x14ac:dyDescent="0.2">
      <c r="A205" s="40">
        <f t="shared" si="44"/>
        <v>16</v>
      </c>
      <c r="B205" s="80">
        <f t="shared" si="39"/>
        <v>45747</v>
      </c>
      <c r="C205" s="81">
        <f t="shared" si="30"/>
        <v>31</v>
      </c>
      <c r="D205" s="85">
        <f>DAYS360($B$16,B205)-SUM($D$16:D204)</f>
        <v>32</v>
      </c>
      <c r="E205" s="35">
        <f t="shared" si="31"/>
        <v>570983.46849728876</v>
      </c>
      <c r="F205" s="36">
        <f t="shared" si="32"/>
        <v>-6443.0140148550854</v>
      </c>
      <c r="G205" s="86">
        <f t="shared" si="33"/>
        <v>-3492.9327609524266</v>
      </c>
      <c r="H205" s="87">
        <f t="shared" si="34"/>
        <v>-3397.7688495362117</v>
      </c>
      <c r="I205" s="86">
        <f t="shared" si="35"/>
        <v>-2950.0812539026588</v>
      </c>
      <c r="J205" s="87">
        <f t="shared" si="36"/>
        <v>-3045.2451653188737</v>
      </c>
      <c r="K205" s="86">
        <f t="shared" si="37"/>
        <v>567490.53573633637</v>
      </c>
      <c r="L205" s="87">
        <f t="shared" si="38"/>
        <v>567585.69964775257</v>
      </c>
    </row>
    <row r="206" spans="1:12" s="38" customFormat="1" ht="12.75" x14ac:dyDescent="0.2">
      <c r="A206" s="40">
        <f t="shared" si="44"/>
        <v>16</v>
      </c>
      <c r="B206" s="80">
        <f t="shared" si="39"/>
        <v>45777</v>
      </c>
      <c r="C206" s="81">
        <f t="shared" si="30"/>
        <v>30</v>
      </c>
      <c r="D206" s="85">
        <f>DAYS360($B$16,B206)-SUM($D$16:D205)</f>
        <v>30</v>
      </c>
      <c r="E206" s="35">
        <f t="shared" si="31"/>
        <v>567490.53573633637</v>
      </c>
      <c r="F206" s="36">
        <f t="shared" si="32"/>
        <v>-6443.0140148550854</v>
      </c>
      <c r="G206" s="86">
        <f t="shared" si="33"/>
        <v>-3605.5613361734036</v>
      </c>
      <c r="H206" s="87">
        <f t="shared" si="34"/>
        <v>-3605.5613361734036</v>
      </c>
      <c r="I206" s="86">
        <f t="shared" si="35"/>
        <v>-2837.4526786816818</v>
      </c>
      <c r="J206" s="87">
        <f t="shared" si="36"/>
        <v>-2837.4526786816818</v>
      </c>
      <c r="K206" s="86">
        <f t="shared" si="37"/>
        <v>563884.97440016293</v>
      </c>
      <c r="L206" s="87">
        <f t="shared" si="38"/>
        <v>563884.97440016293</v>
      </c>
    </row>
    <row r="207" spans="1:12" s="38" customFormat="1" ht="12.75" x14ac:dyDescent="0.2">
      <c r="A207" s="40">
        <f t="shared" si="44"/>
        <v>16</v>
      </c>
      <c r="B207" s="80">
        <f t="shared" si="39"/>
        <v>45808</v>
      </c>
      <c r="C207" s="81">
        <f t="shared" si="30"/>
        <v>31</v>
      </c>
      <c r="D207" s="85">
        <f>DAYS360($B$16,B207)-SUM($D$16:D206)</f>
        <v>30</v>
      </c>
      <c r="E207" s="35">
        <f t="shared" si="31"/>
        <v>563884.97440016293</v>
      </c>
      <c r="F207" s="36">
        <f t="shared" si="32"/>
        <v>-6443.0140148550854</v>
      </c>
      <c r="G207" s="86">
        <f t="shared" si="33"/>
        <v>-3529.6083137875771</v>
      </c>
      <c r="H207" s="87">
        <f t="shared" si="34"/>
        <v>-3623.5891428542714</v>
      </c>
      <c r="I207" s="86">
        <f t="shared" si="35"/>
        <v>-2913.4057010675083</v>
      </c>
      <c r="J207" s="87">
        <f t="shared" si="36"/>
        <v>-2819.424872000814</v>
      </c>
      <c r="K207" s="86">
        <f t="shared" si="37"/>
        <v>560355.36608637532</v>
      </c>
      <c r="L207" s="87">
        <f t="shared" si="38"/>
        <v>560261.3852573086</v>
      </c>
    </row>
    <row r="208" spans="1:12" s="38" customFormat="1" ht="12.75" x14ac:dyDescent="0.2">
      <c r="A208" s="40">
        <f t="shared" si="44"/>
        <v>16</v>
      </c>
      <c r="B208" s="80">
        <f t="shared" si="39"/>
        <v>45838</v>
      </c>
      <c r="C208" s="81">
        <f t="shared" si="30"/>
        <v>30</v>
      </c>
      <c r="D208" s="85">
        <f>DAYS360($B$16,B208)-SUM($D$16:D207)</f>
        <v>30</v>
      </c>
      <c r="E208" s="35">
        <f t="shared" si="31"/>
        <v>560355.36608637532</v>
      </c>
      <c r="F208" s="36">
        <f t="shared" si="32"/>
        <v>-6443.0140148550854</v>
      </c>
      <c r="G208" s="86">
        <f t="shared" si="33"/>
        <v>-3641.2371844232089</v>
      </c>
      <c r="H208" s="87">
        <f t="shared" si="34"/>
        <v>-3641.2371844232089</v>
      </c>
      <c r="I208" s="86">
        <f t="shared" si="35"/>
        <v>-2801.7768304318765</v>
      </c>
      <c r="J208" s="87">
        <f t="shared" si="36"/>
        <v>-2801.7768304318765</v>
      </c>
      <c r="K208" s="86">
        <f t="shared" si="37"/>
        <v>556714.12890195206</v>
      </c>
      <c r="L208" s="87">
        <f t="shared" si="38"/>
        <v>556714.12890195206</v>
      </c>
    </row>
    <row r="209" spans="1:12" s="38" customFormat="1" ht="12.75" x14ac:dyDescent="0.2">
      <c r="A209" s="40">
        <f>A197+1</f>
        <v>17</v>
      </c>
      <c r="B209" s="80">
        <f t="shared" si="39"/>
        <v>45869</v>
      </c>
      <c r="C209" s="81">
        <f t="shared" ref="C209:C272" si="45">B209-B208</f>
        <v>31</v>
      </c>
      <c r="D209" s="85">
        <f>DAYS360($B$16,B209)-SUM($D$16:D208)</f>
        <v>30</v>
      </c>
      <c r="E209" s="35">
        <f t="shared" ref="E209:E272" si="46">K208</f>
        <v>556714.12890195206</v>
      </c>
      <c r="F209" s="36">
        <f t="shared" ref="F209:F272" si="47">PMT($C$4,$C$6,$C$2)</f>
        <v>-6443.0140148550854</v>
      </c>
      <c r="G209" s="86">
        <f t="shared" ref="G209:G272" si="48">F209-I209</f>
        <v>-3566.6576821949998</v>
      </c>
      <c r="H209" s="87">
        <f t="shared" ref="H209:H272" si="49">F209-J209</f>
        <v>-3659.4433703453251</v>
      </c>
      <c r="I209" s="86">
        <f t="shared" ref="I209:I272" si="50">-E209*$C$4*C209/30</f>
        <v>-2876.3563326600856</v>
      </c>
      <c r="J209" s="87">
        <f t="shared" ref="J209:J272" si="51">-E209*$C$4*D209/30</f>
        <v>-2783.5706445097603</v>
      </c>
      <c r="K209" s="86">
        <f t="shared" ref="K209:K272" si="52">E209+G209</f>
        <v>553147.47121975711</v>
      </c>
      <c r="L209" s="87">
        <f t="shared" ref="L209:L272" si="53">E209+H209</f>
        <v>553054.68553160678</v>
      </c>
    </row>
    <row r="210" spans="1:12" s="38" customFormat="1" ht="12.75" x14ac:dyDescent="0.2">
      <c r="A210" s="40">
        <f t="shared" ref="A210:A220" si="54">A209</f>
        <v>17</v>
      </c>
      <c r="B210" s="80">
        <f t="shared" ref="B210:B273" si="55">EOMONTH(B209,1)</f>
        <v>45900</v>
      </c>
      <c r="C210" s="81">
        <f t="shared" si="45"/>
        <v>31</v>
      </c>
      <c r="D210" s="85">
        <f>DAYS360($B$16,B210)-SUM($D$16:D209)</f>
        <v>30</v>
      </c>
      <c r="E210" s="35">
        <f t="shared" si="46"/>
        <v>553147.47121975711</v>
      </c>
      <c r="F210" s="36">
        <f t="shared" si="47"/>
        <v>-6443.0140148550854</v>
      </c>
      <c r="G210" s="86">
        <f t="shared" si="48"/>
        <v>-3585.0854135530071</v>
      </c>
      <c r="H210" s="87">
        <f t="shared" si="49"/>
        <v>-3677.2766587562996</v>
      </c>
      <c r="I210" s="86">
        <f t="shared" si="50"/>
        <v>-2857.9286013020783</v>
      </c>
      <c r="J210" s="87">
        <f t="shared" si="51"/>
        <v>-2765.7373560987858</v>
      </c>
      <c r="K210" s="86">
        <f t="shared" si="52"/>
        <v>549562.38580620405</v>
      </c>
      <c r="L210" s="87">
        <f t="shared" si="53"/>
        <v>549470.1945610008</v>
      </c>
    </row>
    <row r="211" spans="1:12" s="38" customFormat="1" ht="12.75" x14ac:dyDescent="0.2">
      <c r="A211" s="40">
        <f t="shared" si="54"/>
        <v>17</v>
      </c>
      <c r="B211" s="80">
        <f t="shared" si="55"/>
        <v>45930</v>
      </c>
      <c r="C211" s="81">
        <f t="shared" si="45"/>
        <v>30</v>
      </c>
      <c r="D211" s="85">
        <f>DAYS360($B$16,B211)-SUM($D$16:D210)</f>
        <v>30</v>
      </c>
      <c r="E211" s="35">
        <f t="shared" si="46"/>
        <v>549562.38580620405</v>
      </c>
      <c r="F211" s="36">
        <f t="shared" si="47"/>
        <v>-6443.0140148550854</v>
      </c>
      <c r="G211" s="86">
        <f t="shared" si="48"/>
        <v>-3695.2020858240653</v>
      </c>
      <c r="H211" s="87">
        <f t="shared" si="49"/>
        <v>-3695.2020858240653</v>
      </c>
      <c r="I211" s="86">
        <f t="shared" si="50"/>
        <v>-2747.8119290310201</v>
      </c>
      <c r="J211" s="87">
        <f t="shared" si="51"/>
        <v>-2747.8119290310201</v>
      </c>
      <c r="K211" s="86">
        <f t="shared" si="52"/>
        <v>545867.18372037995</v>
      </c>
      <c r="L211" s="87">
        <f t="shared" si="53"/>
        <v>545867.18372037995</v>
      </c>
    </row>
    <row r="212" spans="1:12" s="38" customFormat="1" ht="12.75" x14ac:dyDescent="0.2">
      <c r="A212" s="40">
        <f t="shared" si="54"/>
        <v>17</v>
      </c>
      <c r="B212" s="80">
        <f t="shared" si="55"/>
        <v>45961</v>
      </c>
      <c r="C212" s="81">
        <f t="shared" si="45"/>
        <v>31</v>
      </c>
      <c r="D212" s="85">
        <f>DAYS360($B$16,B212)-SUM($D$16:D211)</f>
        <v>30</v>
      </c>
      <c r="E212" s="35">
        <f t="shared" si="46"/>
        <v>545867.18372037995</v>
      </c>
      <c r="F212" s="36">
        <f t="shared" si="47"/>
        <v>-6443.0140148550854</v>
      </c>
      <c r="G212" s="86">
        <f t="shared" si="48"/>
        <v>-3622.7002322997887</v>
      </c>
      <c r="H212" s="87">
        <f t="shared" si="49"/>
        <v>-3713.6780962531857</v>
      </c>
      <c r="I212" s="86">
        <f t="shared" si="50"/>
        <v>-2820.3137825552967</v>
      </c>
      <c r="J212" s="87">
        <f t="shared" si="51"/>
        <v>-2729.3359186018997</v>
      </c>
      <c r="K212" s="86">
        <f t="shared" si="52"/>
        <v>542244.48348808021</v>
      </c>
      <c r="L212" s="87">
        <f t="shared" si="53"/>
        <v>542153.50562412676</v>
      </c>
    </row>
    <row r="213" spans="1:12" s="38" customFormat="1" ht="12.75" x14ac:dyDescent="0.2">
      <c r="A213" s="40">
        <f t="shared" si="54"/>
        <v>17</v>
      </c>
      <c r="B213" s="80">
        <f t="shared" si="55"/>
        <v>45991</v>
      </c>
      <c r="C213" s="81">
        <f t="shared" si="45"/>
        <v>30</v>
      </c>
      <c r="D213" s="85">
        <f>DAYS360($B$16,B213)-SUM($D$16:D212)</f>
        <v>30</v>
      </c>
      <c r="E213" s="35">
        <f t="shared" si="46"/>
        <v>542244.48348808021</v>
      </c>
      <c r="F213" s="36">
        <f t="shared" si="47"/>
        <v>-6443.0140148550854</v>
      </c>
      <c r="G213" s="86">
        <f t="shared" si="48"/>
        <v>-3731.7915974146845</v>
      </c>
      <c r="H213" s="87">
        <f t="shared" si="49"/>
        <v>-3731.7915974146845</v>
      </c>
      <c r="I213" s="86">
        <f t="shared" si="50"/>
        <v>-2711.2224174404009</v>
      </c>
      <c r="J213" s="87">
        <f t="shared" si="51"/>
        <v>-2711.2224174404009</v>
      </c>
      <c r="K213" s="86">
        <f t="shared" si="52"/>
        <v>538512.69189066556</v>
      </c>
      <c r="L213" s="87">
        <f t="shared" si="53"/>
        <v>538512.69189066556</v>
      </c>
    </row>
    <row r="214" spans="1:12" s="38" customFormat="1" ht="12.75" x14ac:dyDescent="0.2">
      <c r="A214" s="40">
        <f t="shared" si="54"/>
        <v>17</v>
      </c>
      <c r="B214" s="80">
        <f t="shared" si="55"/>
        <v>46022</v>
      </c>
      <c r="C214" s="81">
        <f t="shared" si="45"/>
        <v>31</v>
      </c>
      <c r="D214" s="85">
        <f>DAYS360($B$16,B214)-SUM($D$16:D213)</f>
        <v>30</v>
      </c>
      <c r="E214" s="35">
        <f t="shared" si="46"/>
        <v>538512.69189066556</v>
      </c>
      <c r="F214" s="36">
        <f t="shared" si="47"/>
        <v>-6443.0140148550854</v>
      </c>
      <c r="G214" s="86">
        <f t="shared" si="48"/>
        <v>-3660.6984400866468</v>
      </c>
      <c r="H214" s="87">
        <f t="shared" si="49"/>
        <v>-3750.4505554017574</v>
      </c>
      <c r="I214" s="86">
        <f t="shared" si="50"/>
        <v>-2782.3155747684386</v>
      </c>
      <c r="J214" s="87">
        <f t="shared" si="51"/>
        <v>-2692.5634594533281</v>
      </c>
      <c r="K214" s="86">
        <f t="shared" si="52"/>
        <v>534851.99345057888</v>
      </c>
      <c r="L214" s="87">
        <f t="shared" si="53"/>
        <v>534762.24133526383</v>
      </c>
    </row>
    <row r="215" spans="1:12" s="38" customFormat="1" ht="12.75" x14ac:dyDescent="0.2">
      <c r="A215" s="40">
        <f t="shared" si="54"/>
        <v>17</v>
      </c>
      <c r="B215" s="80">
        <f t="shared" si="55"/>
        <v>46053</v>
      </c>
      <c r="C215" s="81">
        <f t="shared" si="45"/>
        <v>31</v>
      </c>
      <c r="D215" s="85">
        <f>DAYS360($B$16,B215)-SUM($D$16:D214)</f>
        <v>30</v>
      </c>
      <c r="E215" s="35">
        <f t="shared" si="46"/>
        <v>534851.99345057888</v>
      </c>
      <c r="F215" s="36">
        <f t="shared" si="47"/>
        <v>-6443.0140148550854</v>
      </c>
      <c r="G215" s="86">
        <f t="shared" si="48"/>
        <v>-3679.6120486937607</v>
      </c>
      <c r="H215" s="87">
        <f t="shared" si="49"/>
        <v>-3768.7540476021909</v>
      </c>
      <c r="I215" s="86">
        <f t="shared" si="50"/>
        <v>-2763.4019661613247</v>
      </c>
      <c r="J215" s="87">
        <f t="shared" si="51"/>
        <v>-2674.2599672528945</v>
      </c>
      <c r="K215" s="86">
        <f t="shared" si="52"/>
        <v>531172.38140188507</v>
      </c>
      <c r="L215" s="87">
        <f t="shared" si="53"/>
        <v>531083.2394029767</v>
      </c>
    </row>
    <row r="216" spans="1:12" s="38" customFormat="1" ht="12.75" x14ac:dyDescent="0.2">
      <c r="A216" s="40">
        <f t="shared" si="54"/>
        <v>17</v>
      </c>
      <c r="B216" s="80">
        <f t="shared" si="55"/>
        <v>46081</v>
      </c>
      <c r="C216" s="81">
        <f t="shared" si="45"/>
        <v>28</v>
      </c>
      <c r="D216" s="85">
        <f>DAYS360($B$16,B216)-SUM($D$16:D215)</f>
        <v>28</v>
      </c>
      <c r="E216" s="35">
        <f t="shared" si="46"/>
        <v>531172.38140188507</v>
      </c>
      <c r="F216" s="36">
        <f t="shared" si="47"/>
        <v>-6443.0140148550854</v>
      </c>
      <c r="G216" s="86">
        <f t="shared" si="48"/>
        <v>-3964.2095683129546</v>
      </c>
      <c r="H216" s="87">
        <f t="shared" si="49"/>
        <v>-3964.2095683129546</v>
      </c>
      <c r="I216" s="86">
        <f t="shared" si="50"/>
        <v>-2478.8044465421308</v>
      </c>
      <c r="J216" s="87">
        <f t="shared" si="51"/>
        <v>-2478.8044465421308</v>
      </c>
      <c r="K216" s="86">
        <f t="shared" si="52"/>
        <v>527208.17183357209</v>
      </c>
      <c r="L216" s="87">
        <f t="shared" si="53"/>
        <v>527208.17183357209</v>
      </c>
    </row>
    <row r="217" spans="1:12" s="38" customFormat="1" ht="12.75" x14ac:dyDescent="0.2">
      <c r="A217" s="40">
        <f t="shared" si="54"/>
        <v>17</v>
      </c>
      <c r="B217" s="80">
        <f t="shared" si="55"/>
        <v>46112</v>
      </c>
      <c r="C217" s="81">
        <f t="shared" si="45"/>
        <v>31</v>
      </c>
      <c r="D217" s="85">
        <f>DAYS360($B$16,B217)-SUM($D$16:D216)</f>
        <v>32</v>
      </c>
      <c r="E217" s="35">
        <f t="shared" si="46"/>
        <v>527208.17183357209</v>
      </c>
      <c r="F217" s="36">
        <f t="shared" si="47"/>
        <v>-6443.0140148550854</v>
      </c>
      <c r="G217" s="86">
        <f t="shared" si="48"/>
        <v>-3719.1051270482958</v>
      </c>
      <c r="H217" s="87">
        <f t="shared" si="49"/>
        <v>-3631.2370984093673</v>
      </c>
      <c r="I217" s="86">
        <f t="shared" si="50"/>
        <v>-2723.9088878067896</v>
      </c>
      <c r="J217" s="87">
        <f t="shared" si="51"/>
        <v>-2811.7769164457181</v>
      </c>
      <c r="K217" s="86">
        <f t="shared" si="52"/>
        <v>523489.06670652382</v>
      </c>
      <c r="L217" s="87">
        <f t="shared" si="53"/>
        <v>523576.93473516271</v>
      </c>
    </row>
    <row r="218" spans="1:12" s="38" customFormat="1" ht="12.75" x14ac:dyDescent="0.2">
      <c r="A218" s="40">
        <f t="shared" si="54"/>
        <v>17</v>
      </c>
      <c r="B218" s="80">
        <f t="shared" si="55"/>
        <v>46142</v>
      </c>
      <c r="C218" s="81">
        <f t="shared" si="45"/>
        <v>30</v>
      </c>
      <c r="D218" s="85">
        <f>DAYS360($B$16,B218)-SUM($D$16:D217)</f>
        <v>30</v>
      </c>
      <c r="E218" s="35">
        <f t="shared" si="46"/>
        <v>523489.06670652382</v>
      </c>
      <c r="F218" s="36">
        <f t="shared" si="47"/>
        <v>-6443.0140148550854</v>
      </c>
      <c r="G218" s="86">
        <f t="shared" si="48"/>
        <v>-3825.5686813224661</v>
      </c>
      <c r="H218" s="87">
        <f t="shared" si="49"/>
        <v>-3825.5686813224661</v>
      </c>
      <c r="I218" s="86">
        <f t="shared" si="50"/>
        <v>-2617.4453335326193</v>
      </c>
      <c r="J218" s="87">
        <f t="shared" si="51"/>
        <v>-2617.4453335326193</v>
      </c>
      <c r="K218" s="86">
        <f t="shared" si="52"/>
        <v>519663.49802520138</v>
      </c>
      <c r="L218" s="87">
        <f t="shared" si="53"/>
        <v>519663.49802520138</v>
      </c>
    </row>
    <row r="219" spans="1:12" s="38" customFormat="1" ht="12.75" x14ac:dyDescent="0.2">
      <c r="A219" s="40">
        <f t="shared" si="54"/>
        <v>17</v>
      </c>
      <c r="B219" s="80">
        <f t="shared" si="55"/>
        <v>46173</v>
      </c>
      <c r="C219" s="81">
        <f t="shared" si="45"/>
        <v>31</v>
      </c>
      <c r="D219" s="85">
        <f>DAYS360($B$16,B219)-SUM($D$16:D218)</f>
        <v>30</v>
      </c>
      <c r="E219" s="35">
        <f t="shared" si="46"/>
        <v>519663.49802520138</v>
      </c>
      <c r="F219" s="36">
        <f t="shared" si="47"/>
        <v>-6443.0140148550854</v>
      </c>
      <c r="G219" s="86">
        <f t="shared" si="48"/>
        <v>-3758.0859417248785</v>
      </c>
      <c r="H219" s="87">
        <f t="shared" si="49"/>
        <v>-3844.6965247290786</v>
      </c>
      <c r="I219" s="86">
        <f t="shared" si="50"/>
        <v>-2684.9280731302069</v>
      </c>
      <c r="J219" s="87">
        <f t="shared" si="51"/>
        <v>-2598.3174901260068</v>
      </c>
      <c r="K219" s="86">
        <f t="shared" si="52"/>
        <v>515905.41208347649</v>
      </c>
      <c r="L219" s="87">
        <f t="shared" si="53"/>
        <v>515818.8015004723</v>
      </c>
    </row>
    <row r="220" spans="1:12" s="38" customFormat="1" ht="12.75" x14ac:dyDescent="0.2">
      <c r="A220" s="40">
        <f t="shared" si="54"/>
        <v>17</v>
      </c>
      <c r="B220" s="80">
        <f t="shared" si="55"/>
        <v>46203</v>
      </c>
      <c r="C220" s="81">
        <f t="shared" si="45"/>
        <v>30</v>
      </c>
      <c r="D220" s="85">
        <f>DAYS360($B$16,B220)-SUM($D$16:D219)</f>
        <v>30</v>
      </c>
      <c r="E220" s="35">
        <f t="shared" si="46"/>
        <v>515905.41208347649</v>
      </c>
      <c r="F220" s="36">
        <f t="shared" si="47"/>
        <v>-6443.0140148550854</v>
      </c>
      <c r="G220" s="86">
        <f t="shared" si="48"/>
        <v>-3863.4869544377029</v>
      </c>
      <c r="H220" s="87">
        <f t="shared" si="49"/>
        <v>-3863.4869544377029</v>
      </c>
      <c r="I220" s="86">
        <f t="shared" si="50"/>
        <v>-2579.5270604173825</v>
      </c>
      <c r="J220" s="87">
        <f t="shared" si="51"/>
        <v>-2579.5270604173825</v>
      </c>
      <c r="K220" s="86">
        <f t="shared" si="52"/>
        <v>512041.92512903881</v>
      </c>
      <c r="L220" s="87">
        <f t="shared" si="53"/>
        <v>512041.92512903881</v>
      </c>
    </row>
    <row r="221" spans="1:12" s="38" customFormat="1" ht="12.75" x14ac:dyDescent="0.2">
      <c r="A221" s="40">
        <f>A209+1</f>
        <v>18</v>
      </c>
      <c r="B221" s="80">
        <f t="shared" si="55"/>
        <v>46234</v>
      </c>
      <c r="C221" s="81">
        <f t="shared" si="45"/>
        <v>31</v>
      </c>
      <c r="D221" s="85">
        <f>DAYS360($B$16,B221)-SUM($D$16:D220)</f>
        <v>30</v>
      </c>
      <c r="E221" s="35">
        <f t="shared" si="46"/>
        <v>512041.92512903881</v>
      </c>
      <c r="F221" s="36">
        <f t="shared" si="47"/>
        <v>-6443.0140148550854</v>
      </c>
      <c r="G221" s="86">
        <f t="shared" si="48"/>
        <v>-3797.4640683550515</v>
      </c>
      <c r="H221" s="87">
        <f t="shared" si="49"/>
        <v>-3882.8043892098913</v>
      </c>
      <c r="I221" s="86">
        <f t="shared" si="50"/>
        <v>-2645.5499465000339</v>
      </c>
      <c r="J221" s="87">
        <f t="shared" si="51"/>
        <v>-2560.2096256451941</v>
      </c>
      <c r="K221" s="86">
        <f t="shared" si="52"/>
        <v>508244.46106068377</v>
      </c>
      <c r="L221" s="87">
        <f t="shared" si="53"/>
        <v>508159.12073982891</v>
      </c>
    </row>
    <row r="222" spans="1:12" s="38" customFormat="1" ht="12.75" x14ac:dyDescent="0.2">
      <c r="A222" s="40">
        <f t="shared" ref="A222:A232" si="56">A221</f>
        <v>18</v>
      </c>
      <c r="B222" s="80">
        <f t="shared" si="55"/>
        <v>46265</v>
      </c>
      <c r="C222" s="81">
        <f t="shared" si="45"/>
        <v>31</v>
      </c>
      <c r="D222" s="85">
        <f>DAYS360($B$16,B222)-SUM($D$16:D221)</f>
        <v>30</v>
      </c>
      <c r="E222" s="35">
        <f t="shared" si="46"/>
        <v>508244.46106068377</v>
      </c>
      <c r="F222" s="36">
        <f t="shared" si="47"/>
        <v>-6443.0140148550854</v>
      </c>
      <c r="G222" s="86">
        <f t="shared" si="48"/>
        <v>-3817.0842993748861</v>
      </c>
      <c r="H222" s="87">
        <f t="shared" si="49"/>
        <v>-3901.7917095516664</v>
      </c>
      <c r="I222" s="86">
        <f t="shared" si="50"/>
        <v>-2625.9297154801993</v>
      </c>
      <c r="J222" s="87">
        <f t="shared" si="51"/>
        <v>-2541.222305303419</v>
      </c>
      <c r="K222" s="86">
        <f t="shared" si="52"/>
        <v>504427.37676130887</v>
      </c>
      <c r="L222" s="87">
        <f t="shared" si="53"/>
        <v>504342.66935113212</v>
      </c>
    </row>
    <row r="223" spans="1:12" s="38" customFormat="1" ht="12.75" x14ac:dyDescent="0.2">
      <c r="A223" s="40">
        <f t="shared" si="56"/>
        <v>18</v>
      </c>
      <c r="B223" s="80">
        <f t="shared" si="55"/>
        <v>46295</v>
      </c>
      <c r="C223" s="81">
        <f t="shared" si="45"/>
        <v>30</v>
      </c>
      <c r="D223" s="85">
        <f>DAYS360($B$16,B223)-SUM($D$16:D222)</f>
        <v>30</v>
      </c>
      <c r="E223" s="35">
        <f t="shared" si="46"/>
        <v>504427.37676130887</v>
      </c>
      <c r="F223" s="36">
        <f t="shared" si="47"/>
        <v>-6443.0140148550854</v>
      </c>
      <c r="G223" s="86">
        <f t="shared" si="48"/>
        <v>-3920.8771310485408</v>
      </c>
      <c r="H223" s="87">
        <f t="shared" si="49"/>
        <v>-3920.8771310485408</v>
      </c>
      <c r="I223" s="86">
        <f t="shared" si="50"/>
        <v>-2522.1368838065446</v>
      </c>
      <c r="J223" s="87">
        <f t="shared" si="51"/>
        <v>-2522.1368838065446</v>
      </c>
      <c r="K223" s="86">
        <f t="shared" si="52"/>
        <v>500506.49963026034</v>
      </c>
      <c r="L223" s="87">
        <f t="shared" si="53"/>
        <v>500506.49963026034</v>
      </c>
    </row>
    <row r="224" spans="1:12" s="38" customFormat="1" ht="12.75" x14ac:dyDescent="0.2">
      <c r="A224" s="40">
        <f t="shared" si="56"/>
        <v>18</v>
      </c>
      <c r="B224" s="80">
        <f t="shared" si="55"/>
        <v>46326</v>
      </c>
      <c r="C224" s="81">
        <f t="shared" si="45"/>
        <v>31</v>
      </c>
      <c r="D224" s="85">
        <f>DAYS360($B$16,B224)-SUM($D$16:D223)</f>
        <v>30</v>
      </c>
      <c r="E224" s="35">
        <f t="shared" si="46"/>
        <v>500506.49963026034</v>
      </c>
      <c r="F224" s="36">
        <f t="shared" si="47"/>
        <v>-6443.0140148550854</v>
      </c>
      <c r="G224" s="86">
        <f t="shared" si="48"/>
        <v>-3857.0637667654069</v>
      </c>
      <c r="H224" s="87">
        <f t="shared" si="49"/>
        <v>-3940.4815167037837</v>
      </c>
      <c r="I224" s="86">
        <f t="shared" si="50"/>
        <v>-2585.9502480896786</v>
      </c>
      <c r="J224" s="87">
        <f t="shared" si="51"/>
        <v>-2502.5324981513018</v>
      </c>
      <c r="K224" s="86">
        <f t="shared" si="52"/>
        <v>496649.43586349493</v>
      </c>
      <c r="L224" s="87">
        <f t="shared" si="53"/>
        <v>496566.01811355655</v>
      </c>
    </row>
    <row r="225" spans="1:12" s="38" customFormat="1" ht="12.75" x14ac:dyDescent="0.2">
      <c r="A225" s="40">
        <f t="shared" si="56"/>
        <v>18</v>
      </c>
      <c r="B225" s="80">
        <f t="shared" si="55"/>
        <v>46356</v>
      </c>
      <c r="C225" s="81">
        <f t="shared" si="45"/>
        <v>30</v>
      </c>
      <c r="D225" s="85">
        <f>DAYS360($B$16,B225)-SUM($D$16:D224)</f>
        <v>30</v>
      </c>
      <c r="E225" s="35">
        <f t="shared" si="46"/>
        <v>496649.43586349493</v>
      </c>
      <c r="F225" s="36">
        <f t="shared" si="47"/>
        <v>-6443.0140148550854</v>
      </c>
      <c r="G225" s="86">
        <f t="shared" si="48"/>
        <v>-3959.7668355376109</v>
      </c>
      <c r="H225" s="87">
        <f t="shared" si="49"/>
        <v>-3959.7668355376109</v>
      </c>
      <c r="I225" s="86">
        <f t="shared" si="50"/>
        <v>-2483.2471793174745</v>
      </c>
      <c r="J225" s="87">
        <f t="shared" si="51"/>
        <v>-2483.2471793174745</v>
      </c>
      <c r="K225" s="86">
        <f t="shared" si="52"/>
        <v>492689.66902795731</v>
      </c>
      <c r="L225" s="87">
        <f t="shared" si="53"/>
        <v>492689.66902795731</v>
      </c>
    </row>
    <row r="226" spans="1:12" s="38" customFormat="1" ht="12.75" x14ac:dyDescent="0.2">
      <c r="A226" s="40">
        <f t="shared" si="56"/>
        <v>18</v>
      </c>
      <c r="B226" s="80">
        <f t="shared" si="55"/>
        <v>46387</v>
      </c>
      <c r="C226" s="81">
        <f t="shared" si="45"/>
        <v>31</v>
      </c>
      <c r="D226" s="85">
        <f>DAYS360($B$16,B226)-SUM($D$16:D225)</f>
        <v>30</v>
      </c>
      <c r="E226" s="35">
        <f t="shared" si="46"/>
        <v>492689.66902795731</v>
      </c>
      <c r="F226" s="36">
        <f t="shared" si="47"/>
        <v>-6443.0140148550854</v>
      </c>
      <c r="G226" s="86">
        <f t="shared" si="48"/>
        <v>-3897.4507248773061</v>
      </c>
      <c r="H226" s="87">
        <f t="shared" si="49"/>
        <v>-3979.5656697152986</v>
      </c>
      <c r="I226" s="86">
        <f t="shared" si="50"/>
        <v>-2545.5632899777793</v>
      </c>
      <c r="J226" s="87">
        <f t="shared" si="51"/>
        <v>-2463.4483451397869</v>
      </c>
      <c r="K226" s="86">
        <f t="shared" si="52"/>
        <v>488792.21830308001</v>
      </c>
      <c r="L226" s="87">
        <f t="shared" si="53"/>
        <v>488710.10335824202</v>
      </c>
    </row>
    <row r="227" spans="1:12" s="38" customFormat="1" ht="12.75" x14ac:dyDescent="0.2">
      <c r="A227" s="40">
        <f t="shared" si="56"/>
        <v>18</v>
      </c>
      <c r="B227" s="80">
        <f t="shared" si="55"/>
        <v>46418</v>
      </c>
      <c r="C227" s="81">
        <f t="shared" si="45"/>
        <v>31</v>
      </c>
      <c r="D227" s="85">
        <f>DAYS360($B$16,B227)-SUM($D$16:D226)</f>
        <v>30</v>
      </c>
      <c r="E227" s="35">
        <f t="shared" si="46"/>
        <v>488792.21830308001</v>
      </c>
      <c r="F227" s="36">
        <f t="shared" si="47"/>
        <v>-6443.0140148550854</v>
      </c>
      <c r="G227" s="86">
        <f t="shared" si="48"/>
        <v>-3917.5875536225053</v>
      </c>
      <c r="H227" s="87">
        <f t="shared" si="49"/>
        <v>-3999.0529233396851</v>
      </c>
      <c r="I227" s="86">
        <f t="shared" si="50"/>
        <v>-2525.4264612325801</v>
      </c>
      <c r="J227" s="87">
        <f t="shared" si="51"/>
        <v>-2443.9610915154003</v>
      </c>
      <c r="K227" s="86">
        <f t="shared" si="52"/>
        <v>484874.63074945752</v>
      </c>
      <c r="L227" s="87">
        <f t="shared" si="53"/>
        <v>484793.1653797403</v>
      </c>
    </row>
    <row r="228" spans="1:12" s="38" customFormat="1" ht="12.75" x14ac:dyDescent="0.2">
      <c r="A228" s="40">
        <f t="shared" si="56"/>
        <v>18</v>
      </c>
      <c r="B228" s="80">
        <f t="shared" si="55"/>
        <v>46446</v>
      </c>
      <c r="C228" s="81">
        <f t="shared" si="45"/>
        <v>28</v>
      </c>
      <c r="D228" s="85">
        <f>DAYS360($B$16,B228)-SUM($D$16:D227)</f>
        <v>28</v>
      </c>
      <c r="E228" s="35">
        <f t="shared" si="46"/>
        <v>484874.63074945752</v>
      </c>
      <c r="F228" s="36">
        <f t="shared" si="47"/>
        <v>-6443.0140148550854</v>
      </c>
      <c r="G228" s="86">
        <f t="shared" si="48"/>
        <v>-4180.2657380242836</v>
      </c>
      <c r="H228" s="87">
        <f t="shared" si="49"/>
        <v>-4180.2657380242836</v>
      </c>
      <c r="I228" s="86">
        <f t="shared" si="50"/>
        <v>-2262.7482768308018</v>
      </c>
      <c r="J228" s="87">
        <f t="shared" si="51"/>
        <v>-2262.7482768308018</v>
      </c>
      <c r="K228" s="86">
        <f t="shared" si="52"/>
        <v>480694.36501143326</v>
      </c>
      <c r="L228" s="87">
        <f t="shared" si="53"/>
        <v>480694.36501143326</v>
      </c>
    </row>
    <row r="229" spans="1:12" s="38" customFormat="1" ht="12.75" x14ac:dyDescent="0.2">
      <c r="A229" s="40">
        <f t="shared" si="56"/>
        <v>18</v>
      </c>
      <c r="B229" s="80">
        <f t="shared" si="55"/>
        <v>46477</v>
      </c>
      <c r="C229" s="81">
        <f t="shared" si="45"/>
        <v>31</v>
      </c>
      <c r="D229" s="85">
        <f>DAYS360($B$16,B229)-SUM($D$16:D228)</f>
        <v>32</v>
      </c>
      <c r="E229" s="35">
        <f t="shared" si="46"/>
        <v>480694.36501143326</v>
      </c>
      <c r="F229" s="36">
        <f t="shared" si="47"/>
        <v>-6443.0140148550854</v>
      </c>
      <c r="G229" s="86">
        <f t="shared" si="48"/>
        <v>-3959.4264622960131</v>
      </c>
      <c r="H229" s="87">
        <f t="shared" si="49"/>
        <v>-3879.3107347941082</v>
      </c>
      <c r="I229" s="86">
        <f t="shared" si="50"/>
        <v>-2483.5875525590723</v>
      </c>
      <c r="J229" s="87">
        <f t="shared" si="51"/>
        <v>-2563.7032800609772</v>
      </c>
      <c r="K229" s="86">
        <f t="shared" si="52"/>
        <v>476734.93854913727</v>
      </c>
      <c r="L229" s="87">
        <f t="shared" si="53"/>
        <v>476815.05427663913</v>
      </c>
    </row>
    <row r="230" spans="1:12" s="38" customFormat="1" ht="12.75" x14ac:dyDescent="0.2">
      <c r="A230" s="40">
        <f t="shared" si="56"/>
        <v>18</v>
      </c>
      <c r="B230" s="80">
        <f t="shared" si="55"/>
        <v>46507</v>
      </c>
      <c r="C230" s="81">
        <f t="shared" si="45"/>
        <v>30</v>
      </c>
      <c r="D230" s="85">
        <f>DAYS360($B$16,B230)-SUM($D$16:D229)</f>
        <v>30</v>
      </c>
      <c r="E230" s="35">
        <f t="shared" si="46"/>
        <v>476734.93854913727</v>
      </c>
      <c r="F230" s="36">
        <f t="shared" si="47"/>
        <v>-6443.0140148550854</v>
      </c>
      <c r="G230" s="86">
        <f t="shared" si="48"/>
        <v>-4059.3393221093988</v>
      </c>
      <c r="H230" s="87">
        <f t="shared" si="49"/>
        <v>-4059.3393221093988</v>
      </c>
      <c r="I230" s="86">
        <f t="shared" si="50"/>
        <v>-2383.6746927456866</v>
      </c>
      <c r="J230" s="87">
        <f t="shared" si="51"/>
        <v>-2383.6746927456866</v>
      </c>
      <c r="K230" s="86">
        <f t="shared" si="52"/>
        <v>472675.59922702785</v>
      </c>
      <c r="L230" s="87">
        <f t="shared" si="53"/>
        <v>472675.59922702785</v>
      </c>
    </row>
    <row r="231" spans="1:12" s="38" customFormat="1" ht="12.75" x14ac:dyDescent="0.2">
      <c r="A231" s="40">
        <f t="shared" si="56"/>
        <v>18</v>
      </c>
      <c r="B231" s="80">
        <f t="shared" si="55"/>
        <v>46538</v>
      </c>
      <c r="C231" s="81">
        <f t="shared" si="45"/>
        <v>31</v>
      </c>
      <c r="D231" s="85">
        <f>DAYS360($B$16,B231)-SUM($D$16:D230)</f>
        <v>30</v>
      </c>
      <c r="E231" s="35">
        <f t="shared" si="46"/>
        <v>472675.59922702785</v>
      </c>
      <c r="F231" s="36">
        <f t="shared" si="47"/>
        <v>-6443.0140148550854</v>
      </c>
      <c r="G231" s="86">
        <f t="shared" si="48"/>
        <v>-4000.8567521821083</v>
      </c>
      <c r="H231" s="87">
        <f t="shared" si="49"/>
        <v>-4079.6360187199462</v>
      </c>
      <c r="I231" s="86">
        <f t="shared" si="50"/>
        <v>-2442.1572626729771</v>
      </c>
      <c r="J231" s="87">
        <f t="shared" si="51"/>
        <v>-2363.3779961351393</v>
      </c>
      <c r="K231" s="86">
        <f t="shared" si="52"/>
        <v>468674.74247484573</v>
      </c>
      <c r="L231" s="87">
        <f t="shared" si="53"/>
        <v>468595.96320830792</v>
      </c>
    </row>
    <row r="232" spans="1:12" s="38" customFormat="1" ht="12.75" x14ac:dyDescent="0.2">
      <c r="A232" s="40">
        <f t="shared" si="56"/>
        <v>18</v>
      </c>
      <c r="B232" s="80">
        <f t="shared" si="55"/>
        <v>46568</v>
      </c>
      <c r="C232" s="81">
        <f t="shared" si="45"/>
        <v>30</v>
      </c>
      <c r="D232" s="85">
        <f>DAYS360($B$16,B232)-SUM($D$16:D231)</f>
        <v>30</v>
      </c>
      <c r="E232" s="35">
        <f t="shared" si="46"/>
        <v>468674.74247484573</v>
      </c>
      <c r="F232" s="36">
        <f t="shared" si="47"/>
        <v>-6443.0140148550854</v>
      </c>
      <c r="G232" s="86">
        <f t="shared" si="48"/>
        <v>-4099.6403024808569</v>
      </c>
      <c r="H232" s="87">
        <f t="shared" si="49"/>
        <v>-4099.6403024808569</v>
      </c>
      <c r="I232" s="86">
        <f t="shared" si="50"/>
        <v>-2343.373712374228</v>
      </c>
      <c r="J232" s="87">
        <f t="shared" si="51"/>
        <v>-2343.373712374228</v>
      </c>
      <c r="K232" s="86">
        <f t="shared" si="52"/>
        <v>464575.10217236489</v>
      </c>
      <c r="L232" s="87">
        <f t="shared" si="53"/>
        <v>464575.10217236489</v>
      </c>
    </row>
    <row r="233" spans="1:12" s="38" customFormat="1" ht="12.75" x14ac:dyDescent="0.2">
      <c r="A233" s="40">
        <f>A221+1</f>
        <v>19</v>
      </c>
      <c r="B233" s="80">
        <f t="shared" si="55"/>
        <v>46599</v>
      </c>
      <c r="C233" s="81">
        <f t="shared" si="45"/>
        <v>31</v>
      </c>
      <c r="D233" s="85">
        <f>DAYS360($B$16,B233)-SUM($D$16:D232)</f>
        <v>30</v>
      </c>
      <c r="E233" s="35">
        <f t="shared" si="46"/>
        <v>464575.10217236489</v>
      </c>
      <c r="F233" s="36">
        <f t="shared" si="47"/>
        <v>-6443.0140148550854</v>
      </c>
      <c r="G233" s="86">
        <f t="shared" si="48"/>
        <v>-4042.7093202978667</v>
      </c>
      <c r="H233" s="87">
        <f t="shared" si="49"/>
        <v>-4120.1385039932611</v>
      </c>
      <c r="I233" s="86">
        <f t="shared" si="50"/>
        <v>-2400.3046945572187</v>
      </c>
      <c r="J233" s="87">
        <f t="shared" si="51"/>
        <v>-2322.8755108618248</v>
      </c>
      <c r="K233" s="86">
        <f t="shared" si="52"/>
        <v>460532.39285206702</v>
      </c>
      <c r="L233" s="87">
        <f t="shared" si="53"/>
        <v>460454.96366837161</v>
      </c>
    </row>
    <row r="234" spans="1:12" s="38" customFormat="1" ht="12.75" x14ac:dyDescent="0.2">
      <c r="A234" s="40">
        <f t="shared" ref="A234:A244" si="57">A233</f>
        <v>19</v>
      </c>
      <c r="B234" s="80">
        <f t="shared" si="55"/>
        <v>46630</v>
      </c>
      <c r="C234" s="81">
        <f t="shared" si="45"/>
        <v>31</v>
      </c>
      <c r="D234" s="85">
        <f>DAYS360($B$16,B234)-SUM($D$16:D233)</f>
        <v>30</v>
      </c>
      <c r="E234" s="35">
        <f t="shared" si="46"/>
        <v>460532.39285206702</v>
      </c>
      <c r="F234" s="36">
        <f t="shared" si="47"/>
        <v>-6443.0140148550854</v>
      </c>
      <c r="G234" s="86">
        <f t="shared" si="48"/>
        <v>-4063.5966517860725</v>
      </c>
      <c r="H234" s="87">
        <f t="shared" si="49"/>
        <v>-4140.3520505947508</v>
      </c>
      <c r="I234" s="86">
        <f t="shared" si="50"/>
        <v>-2379.4173630690129</v>
      </c>
      <c r="J234" s="87">
        <f t="shared" si="51"/>
        <v>-2302.661964260335</v>
      </c>
      <c r="K234" s="86">
        <f t="shared" si="52"/>
        <v>456468.79620028095</v>
      </c>
      <c r="L234" s="87">
        <f t="shared" si="53"/>
        <v>456392.04080147226</v>
      </c>
    </row>
    <row r="235" spans="1:12" s="38" customFormat="1" ht="12.75" x14ac:dyDescent="0.2">
      <c r="A235" s="40">
        <f t="shared" si="57"/>
        <v>19</v>
      </c>
      <c r="B235" s="80">
        <f t="shared" si="55"/>
        <v>46660</v>
      </c>
      <c r="C235" s="81">
        <f t="shared" si="45"/>
        <v>30</v>
      </c>
      <c r="D235" s="85">
        <f>DAYS360($B$16,B235)-SUM($D$16:D234)</f>
        <v>30</v>
      </c>
      <c r="E235" s="35">
        <f t="shared" si="46"/>
        <v>456468.79620028095</v>
      </c>
      <c r="F235" s="36">
        <f t="shared" si="47"/>
        <v>-6443.0140148550854</v>
      </c>
      <c r="G235" s="86">
        <f t="shared" si="48"/>
        <v>-4160.6700338536812</v>
      </c>
      <c r="H235" s="87">
        <f t="shared" si="49"/>
        <v>-4160.6700338536812</v>
      </c>
      <c r="I235" s="86">
        <f t="shared" si="50"/>
        <v>-2282.3439810014047</v>
      </c>
      <c r="J235" s="87">
        <f t="shared" si="51"/>
        <v>-2282.3439810014047</v>
      </c>
      <c r="K235" s="86">
        <f t="shared" si="52"/>
        <v>452308.12616642728</v>
      </c>
      <c r="L235" s="87">
        <f t="shared" si="53"/>
        <v>452308.12616642728</v>
      </c>
    </row>
    <row r="236" spans="1:12" s="38" customFormat="1" ht="12.75" x14ac:dyDescent="0.2">
      <c r="A236" s="40">
        <f t="shared" si="57"/>
        <v>19</v>
      </c>
      <c r="B236" s="80">
        <f t="shared" si="55"/>
        <v>46691</v>
      </c>
      <c r="C236" s="81">
        <f t="shared" si="45"/>
        <v>31</v>
      </c>
      <c r="D236" s="85">
        <f>DAYS360($B$16,B236)-SUM($D$16:D235)</f>
        <v>30</v>
      </c>
      <c r="E236" s="35">
        <f t="shared" si="46"/>
        <v>452308.12616642728</v>
      </c>
      <c r="F236" s="36">
        <f t="shared" si="47"/>
        <v>-6443.0140148550854</v>
      </c>
      <c r="G236" s="86">
        <f t="shared" si="48"/>
        <v>-4106.0886963285448</v>
      </c>
      <c r="H236" s="87">
        <f t="shared" si="49"/>
        <v>-4181.4733840229492</v>
      </c>
      <c r="I236" s="86">
        <f t="shared" si="50"/>
        <v>-2336.9253185265407</v>
      </c>
      <c r="J236" s="87">
        <f t="shared" si="51"/>
        <v>-2261.5406308321358</v>
      </c>
      <c r="K236" s="86">
        <f t="shared" si="52"/>
        <v>448202.0374700987</v>
      </c>
      <c r="L236" s="87">
        <f t="shared" si="53"/>
        <v>448126.65278240433</v>
      </c>
    </row>
    <row r="237" spans="1:12" s="38" customFormat="1" ht="12.75" x14ac:dyDescent="0.2">
      <c r="A237" s="40">
        <f t="shared" si="57"/>
        <v>19</v>
      </c>
      <c r="B237" s="80">
        <f t="shared" si="55"/>
        <v>46721</v>
      </c>
      <c r="C237" s="81">
        <f t="shared" si="45"/>
        <v>30</v>
      </c>
      <c r="D237" s="85">
        <f>DAYS360($B$16,B237)-SUM($D$16:D236)</f>
        <v>30</v>
      </c>
      <c r="E237" s="35">
        <f t="shared" si="46"/>
        <v>448202.0374700987</v>
      </c>
      <c r="F237" s="36">
        <f t="shared" si="47"/>
        <v>-6443.0140148550854</v>
      </c>
      <c r="G237" s="86">
        <f t="shared" si="48"/>
        <v>-4202.0038275045918</v>
      </c>
      <c r="H237" s="87">
        <f t="shared" si="49"/>
        <v>-4202.0038275045918</v>
      </c>
      <c r="I237" s="86">
        <f t="shared" si="50"/>
        <v>-2241.0101873504941</v>
      </c>
      <c r="J237" s="87">
        <f t="shared" si="51"/>
        <v>-2241.0101873504941</v>
      </c>
      <c r="K237" s="86">
        <f t="shared" si="52"/>
        <v>444000.03364259412</v>
      </c>
      <c r="L237" s="87">
        <f t="shared" si="53"/>
        <v>444000.03364259412</v>
      </c>
    </row>
    <row r="238" spans="1:12" s="38" customFormat="1" ht="12.75" x14ac:dyDescent="0.2">
      <c r="A238" s="40">
        <f t="shared" si="57"/>
        <v>19</v>
      </c>
      <c r="B238" s="80">
        <f t="shared" si="55"/>
        <v>46752</v>
      </c>
      <c r="C238" s="81">
        <f t="shared" si="45"/>
        <v>31</v>
      </c>
      <c r="D238" s="85">
        <f>DAYS360($B$16,B238)-SUM($D$16:D237)</f>
        <v>30</v>
      </c>
      <c r="E238" s="35">
        <f t="shared" si="46"/>
        <v>444000.03364259412</v>
      </c>
      <c r="F238" s="36">
        <f t="shared" si="47"/>
        <v>-6443.0140148550854</v>
      </c>
      <c r="G238" s="86">
        <f t="shared" si="48"/>
        <v>-4149.0138410350155</v>
      </c>
      <c r="H238" s="87">
        <f t="shared" si="49"/>
        <v>-4223.0138466421149</v>
      </c>
      <c r="I238" s="86">
        <f t="shared" si="50"/>
        <v>-2294.0001738200694</v>
      </c>
      <c r="J238" s="87">
        <f t="shared" si="51"/>
        <v>-2220.0001682129705</v>
      </c>
      <c r="K238" s="86">
        <f t="shared" si="52"/>
        <v>439851.0198015591</v>
      </c>
      <c r="L238" s="87">
        <f t="shared" si="53"/>
        <v>439777.01979595202</v>
      </c>
    </row>
    <row r="239" spans="1:12" s="38" customFormat="1" ht="12.75" x14ac:dyDescent="0.2">
      <c r="A239" s="40">
        <f t="shared" si="57"/>
        <v>19</v>
      </c>
      <c r="B239" s="80">
        <f t="shared" si="55"/>
        <v>46783</v>
      </c>
      <c r="C239" s="81">
        <f t="shared" si="45"/>
        <v>31</v>
      </c>
      <c r="D239" s="85">
        <f>DAYS360($B$16,B239)-SUM($D$16:D238)</f>
        <v>30</v>
      </c>
      <c r="E239" s="35">
        <f t="shared" si="46"/>
        <v>439851.0198015591</v>
      </c>
      <c r="F239" s="36">
        <f t="shared" si="47"/>
        <v>-6443.0140148550854</v>
      </c>
      <c r="G239" s="86">
        <f t="shared" si="48"/>
        <v>-4170.4504125470303</v>
      </c>
      <c r="H239" s="87">
        <f t="shared" si="49"/>
        <v>-4243.7589158472892</v>
      </c>
      <c r="I239" s="86">
        <f t="shared" si="50"/>
        <v>-2272.5636023080556</v>
      </c>
      <c r="J239" s="87">
        <f t="shared" si="51"/>
        <v>-2199.2550990077957</v>
      </c>
      <c r="K239" s="86">
        <f t="shared" si="52"/>
        <v>435680.56938901206</v>
      </c>
      <c r="L239" s="87">
        <f t="shared" si="53"/>
        <v>435607.26088571182</v>
      </c>
    </row>
    <row r="240" spans="1:12" s="38" customFormat="1" ht="12.75" x14ac:dyDescent="0.2">
      <c r="A240" s="40">
        <f t="shared" si="57"/>
        <v>19</v>
      </c>
      <c r="B240" s="80">
        <f t="shared" si="55"/>
        <v>46812</v>
      </c>
      <c r="C240" s="81">
        <f t="shared" si="45"/>
        <v>29</v>
      </c>
      <c r="D240" s="85">
        <f>DAYS360($B$16,B240)-SUM($D$16:D239)</f>
        <v>29</v>
      </c>
      <c r="E240" s="35">
        <f t="shared" si="46"/>
        <v>435680.56938901206</v>
      </c>
      <c r="F240" s="36">
        <f t="shared" si="47"/>
        <v>-6443.0140148550854</v>
      </c>
      <c r="G240" s="86">
        <f t="shared" si="48"/>
        <v>-4337.2245961415265</v>
      </c>
      <c r="H240" s="87">
        <f t="shared" si="49"/>
        <v>-4337.2245961415265</v>
      </c>
      <c r="I240" s="86">
        <f t="shared" si="50"/>
        <v>-2105.7894187135585</v>
      </c>
      <c r="J240" s="87">
        <f t="shared" si="51"/>
        <v>-2105.7894187135585</v>
      </c>
      <c r="K240" s="86">
        <f t="shared" si="52"/>
        <v>431343.34479287051</v>
      </c>
      <c r="L240" s="87">
        <f t="shared" si="53"/>
        <v>431343.34479287051</v>
      </c>
    </row>
    <row r="241" spans="1:12" s="38" customFormat="1" ht="12.75" x14ac:dyDescent="0.2">
      <c r="A241" s="40">
        <f t="shared" si="57"/>
        <v>19</v>
      </c>
      <c r="B241" s="80">
        <f t="shared" si="55"/>
        <v>46843</v>
      </c>
      <c r="C241" s="81">
        <f t="shared" si="45"/>
        <v>31</v>
      </c>
      <c r="D241" s="85">
        <f>DAYS360($B$16,B241)-SUM($D$16:D240)</f>
        <v>31</v>
      </c>
      <c r="E241" s="35">
        <f t="shared" si="46"/>
        <v>431343.34479287051</v>
      </c>
      <c r="F241" s="36">
        <f t="shared" si="47"/>
        <v>-6443.0140148550854</v>
      </c>
      <c r="G241" s="86">
        <f t="shared" si="48"/>
        <v>-4214.4067334252541</v>
      </c>
      <c r="H241" s="87">
        <f t="shared" si="49"/>
        <v>-4214.4067334252541</v>
      </c>
      <c r="I241" s="86">
        <f t="shared" si="50"/>
        <v>-2228.6072814298313</v>
      </c>
      <c r="J241" s="87">
        <f t="shared" si="51"/>
        <v>-2228.6072814298313</v>
      </c>
      <c r="K241" s="86">
        <f t="shared" si="52"/>
        <v>427128.93805944524</v>
      </c>
      <c r="L241" s="87">
        <f t="shared" si="53"/>
        <v>427128.93805944524</v>
      </c>
    </row>
    <row r="242" spans="1:12" s="38" customFormat="1" ht="12.75" x14ac:dyDescent="0.2">
      <c r="A242" s="40">
        <f t="shared" si="57"/>
        <v>19</v>
      </c>
      <c r="B242" s="80">
        <f t="shared" si="55"/>
        <v>46873</v>
      </c>
      <c r="C242" s="81">
        <f t="shared" si="45"/>
        <v>30</v>
      </c>
      <c r="D242" s="85">
        <f>DAYS360($B$16,B242)-SUM($D$16:D241)</f>
        <v>30</v>
      </c>
      <c r="E242" s="35">
        <f t="shared" si="46"/>
        <v>427128.93805944524</v>
      </c>
      <c r="F242" s="36">
        <f t="shared" si="47"/>
        <v>-6443.0140148550854</v>
      </c>
      <c r="G242" s="86">
        <f t="shared" si="48"/>
        <v>-4307.3693245578597</v>
      </c>
      <c r="H242" s="87">
        <f t="shared" si="49"/>
        <v>-4307.3693245578597</v>
      </c>
      <c r="I242" s="86">
        <f t="shared" si="50"/>
        <v>-2135.6446902972261</v>
      </c>
      <c r="J242" s="87">
        <f t="shared" si="51"/>
        <v>-2135.6446902972261</v>
      </c>
      <c r="K242" s="86">
        <f t="shared" si="52"/>
        <v>422821.56873488741</v>
      </c>
      <c r="L242" s="87">
        <f t="shared" si="53"/>
        <v>422821.56873488741</v>
      </c>
    </row>
    <row r="243" spans="1:12" s="38" customFormat="1" ht="12.75" x14ac:dyDescent="0.2">
      <c r="A243" s="40">
        <f t="shared" si="57"/>
        <v>19</v>
      </c>
      <c r="B243" s="80">
        <f t="shared" si="55"/>
        <v>46904</v>
      </c>
      <c r="C243" s="81">
        <f t="shared" si="45"/>
        <v>31</v>
      </c>
      <c r="D243" s="85">
        <f>DAYS360($B$16,B243)-SUM($D$16:D242)</f>
        <v>30</v>
      </c>
      <c r="E243" s="35">
        <f t="shared" si="46"/>
        <v>422821.56873488741</v>
      </c>
      <c r="F243" s="36">
        <f t="shared" si="47"/>
        <v>-6443.0140148550854</v>
      </c>
      <c r="G243" s="86">
        <f t="shared" si="48"/>
        <v>-4258.4359097248343</v>
      </c>
      <c r="H243" s="87">
        <f t="shared" si="49"/>
        <v>-4328.906171180648</v>
      </c>
      <c r="I243" s="86">
        <f t="shared" si="50"/>
        <v>-2184.5781051302515</v>
      </c>
      <c r="J243" s="87">
        <f t="shared" si="51"/>
        <v>-2114.1078436744369</v>
      </c>
      <c r="K243" s="86">
        <f t="shared" si="52"/>
        <v>418563.13282516255</v>
      </c>
      <c r="L243" s="87">
        <f t="shared" si="53"/>
        <v>418492.66256370675</v>
      </c>
    </row>
    <row r="244" spans="1:12" s="38" customFormat="1" ht="12.75" x14ac:dyDescent="0.2">
      <c r="A244" s="40">
        <f t="shared" si="57"/>
        <v>19</v>
      </c>
      <c r="B244" s="80">
        <f t="shared" si="55"/>
        <v>46934</v>
      </c>
      <c r="C244" s="81">
        <f t="shared" si="45"/>
        <v>30</v>
      </c>
      <c r="D244" s="85">
        <f>DAYS360($B$16,B244)-SUM($D$16:D243)</f>
        <v>30</v>
      </c>
      <c r="E244" s="35">
        <f t="shared" si="46"/>
        <v>418563.13282516255</v>
      </c>
      <c r="F244" s="36">
        <f t="shared" si="47"/>
        <v>-6443.0140148550854</v>
      </c>
      <c r="G244" s="86">
        <f t="shared" si="48"/>
        <v>-4350.1983507292725</v>
      </c>
      <c r="H244" s="87">
        <f t="shared" si="49"/>
        <v>-4350.1983507292725</v>
      </c>
      <c r="I244" s="86">
        <f t="shared" si="50"/>
        <v>-2092.8156641258129</v>
      </c>
      <c r="J244" s="87">
        <f t="shared" si="51"/>
        <v>-2092.8156641258129</v>
      </c>
      <c r="K244" s="86">
        <f t="shared" si="52"/>
        <v>414212.93447443331</v>
      </c>
      <c r="L244" s="87">
        <f t="shared" si="53"/>
        <v>414212.93447443331</v>
      </c>
    </row>
    <row r="245" spans="1:12" s="38" customFormat="1" ht="12.75" x14ac:dyDescent="0.2">
      <c r="A245" s="40">
        <f>A233+1</f>
        <v>20</v>
      </c>
      <c r="B245" s="80">
        <f t="shared" si="55"/>
        <v>46965</v>
      </c>
      <c r="C245" s="81">
        <f t="shared" si="45"/>
        <v>31</v>
      </c>
      <c r="D245" s="85">
        <f>DAYS360($B$16,B245)-SUM($D$16:D244)</f>
        <v>30</v>
      </c>
      <c r="E245" s="35">
        <f t="shared" si="46"/>
        <v>414212.93447443331</v>
      </c>
      <c r="F245" s="36">
        <f t="shared" si="47"/>
        <v>-6443.0140148550854</v>
      </c>
      <c r="G245" s="86">
        <f t="shared" si="48"/>
        <v>-4302.9138534038466</v>
      </c>
      <c r="H245" s="87">
        <f t="shared" si="49"/>
        <v>-4371.9493424829188</v>
      </c>
      <c r="I245" s="86">
        <f t="shared" si="50"/>
        <v>-2140.1001614512388</v>
      </c>
      <c r="J245" s="87">
        <f t="shared" si="51"/>
        <v>-2071.0646723721666</v>
      </c>
      <c r="K245" s="86">
        <f t="shared" si="52"/>
        <v>409910.02062102949</v>
      </c>
      <c r="L245" s="87">
        <f t="shared" si="53"/>
        <v>409840.98513195041</v>
      </c>
    </row>
    <row r="246" spans="1:12" s="38" customFormat="1" ht="12.75" x14ac:dyDescent="0.2">
      <c r="A246" s="40">
        <f t="shared" ref="A246:A256" si="58">A245</f>
        <v>20</v>
      </c>
      <c r="B246" s="80">
        <f t="shared" si="55"/>
        <v>46996</v>
      </c>
      <c r="C246" s="81">
        <f t="shared" si="45"/>
        <v>31</v>
      </c>
      <c r="D246" s="85">
        <f>DAYS360($B$16,B246)-SUM($D$16:D245)</f>
        <v>30</v>
      </c>
      <c r="E246" s="35">
        <f t="shared" si="46"/>
        <v>409910.02062102949</v>
      </c>
      <c r="F246" s="36">
        <f t="shared" si="47"/>
        <v>-6443.0140148550854</v>
      </c>
      <c r="G246" s="86">
        <f t="shared" si="48"/>
        <v>-4325.145574979766</v>
      </c>
      <c r="H246" s="87">
        <f t="shared" si="49"/>
        <v>-4393.4639117499373</v>
      </c>
      <c r="I246" s="86">
        <f t="shared" si="50"/>
        <v>-2117.8684398753194</v>
      </c>
      <c r="J246" s="87">
        <f t="shared" si="51"/>
        <v>-2049.5501031051476</v>
      </c>
      <c r="K246" s="86">
        <f t="shared" si="52"/>
        <v>405584.87504604971</v>
      </c>
      <c r="L246" s="87">
        <f t="shared" si="53"/>
        <v>405516.55670927954</v>
      </c>
    </row>
    <row r="247" spans="1:12" s="38" customFormat="1" ht="12.75" x14ac:dyDescent="0.2">
      <c r="A247" s="40">
        <f t="shared" si="58"/>
        <v>20</v>
      </c>
      <c r="B247" s="80">
        <f t="shared" si="55"/>
        <v>47026</v>
      </c>
      <c r="C247" s="81">
        <f t="shared" si="45"/>
        <v>30</v>
      </c>
      <c r="D247" s="85">
        <f>DAYS360($B$16,B247)-SUM($D$16:D246)</f>
        <v>30</v>
      </c>
      <c r="E247" s="35">
        <f t="shared" si="46"/>
        <v>405584.87504604971</v>
      </c>
      <c r="F247" s="36">
        <f t="shared" si="47"/>
        <v>-6443.0140148550854</v>
      </c>
      <c r="G247" s="86">
        <f t="shared" si="48"/>
        <v>-4415.0896396248372</v>
      </c>
      <c r="H247" s="87">
        <f t="shared" si="49"/>
        <v>-4415.0896396248372</v>
      </c>
      <c r="I247" s="86">
        <f t="shared" si="50"/>
        <v>-2027.9243752302486</v>
      </c>
      <c r="J247" s="87">
        <f t="shared" si="51"/>
        <v>-2027.9243752302486</v>
      </c>
      <c r="K247" s="86">
        <f t="shared" si="52"/>
        <v>401169.7854064249</v>
      </c>
      <c r="L247" s="87">
        <f t="shared" si="53"/>
        <v>401169.7854064249</v>
      </c>
    </row>
    <row r="248" spans="1:12" s="38" customFormat="1" ht="12.75" x14ac:dyDescent="0.2">
      <c r="A248" s="40">
        <f t="shared" si="58"/>
        <v>20</v>
      </c>
      <c r="B248" s="80">
        <f t="shared" si="55"/>
        <v>47057</v>
      </c>
      <c r="C248" s="81">
        <f t="shared" si="45"/>
        <v>31</v>
      </c>
      <c r="D248" s="85">
        <f>DAYS360($B$16,B248)-SUM($D$16:D247)</f>
        <v>30</v>
      </c>
      <c r="E248" s="35">
        <f t="shared" si="46"/>
        <v>401169.7854064249</v>
      </c>
      <c r="F248" s="36">
        <f t="shared" si="47"/>
        <v>-6443.0140148550854</v>
      </c>
      <c r="G248" s="86">
        <f t="shared" si="48"/>
        <v>-4370.3034569218898</v>
      </c>
      <c r="H248" s="87">
        <f t="shared" si="49"/>
        <v>-4437.1650878229611</v>
      </c>
      <c r="I248" s="86">
        <f t="shared" si="50"/>
        <v>-2072.7105579331956</v>
      </c>
      <c r="J248" s="87">
        <f t="shared" si="51"/>
        <v>-2005.8489270321245</v>
      </c>
      <c r="K248" s="86">
        <f t="shared" si="52"/>
        <v>396799.48194950301</v>
      </c>
      <c r="L248" s="87">
        <f t="shared" si="53"/>
        <v>396732.62031860196</v>
      </c>
    </row>
    <row r="249" spans="1:12" s="38" customFormat="1" ht="12.75" x14ac:dyDescent="0.2">
      <c r="A249" s="40">
        <f t="shared" si="58"/>
        <v>20</v>
      </c>
      <c r="B249" s="80">
        <f t="shared" si="55"/>
        <v>47087</v>
      </c>
      <c r="C249" s="81">
        <f t="shared" si="45"/>
        <v>30</v>
      </c>
      <c r="D249" s="85">
        <f>DAYS360($B$16,B249)-SUM($D$16:D248)</f>
        <v>30</v>
      </c>
      <c r="E249" s="35">
        <f t="shared" si="46"/>
        <v>396799.48194950301</v>
      </c>
      <c r="F249" s="36">
        <f t="shared" si="47"/>
        <v>-6443.0140148550854</v>
      </c>
      <c r="G249" s="86">
        <f t="shared" si="48"/>
        <v>-4459.0166051075703</v>
      </c>
      <c r="H249" s="87">
        <f t="shared" si="49"/>
        <v>-4459.0166051075703</v>
      </c>
      <c r="I249" s="86">
        <f t="shared" si="50"/>
        <v>-1983.9974097475153</v>
      </c>
      <c r="J249" s="87">
        <f t="shared" si="51"/>
        <v>-1983.9974097475153</v>
      </c>
      <c r="K249" s="86">
        <f t="shared" si="52"/>
        <v>392340.46534439543</v>
      </c>
      <c r="L249" s="87">
        <f t="shared" si="53"/>
        <v>392340.46534439543</v>
      </c>
    </row>
    <row r="250" spans="1:12" s="38" customFormat="1" ht="12.75" x14ac:dyDescent="0.2">
      <c r="A250" s="40">
        <f t="shared" si="58"/>
        <v>20</v>
      </c>
      <c r="B250" s="80">
        <f t="shared" si="55"/>
        <v>47118</v>
      </c>
      <c r="C250" s="81">
        <f t="shared" si="45"/>
        <v>31</v>
      </c>
      <c r="D250" s="85">
        <f>DAYS360($B$16,B250)-SUM($D$16:D249)</f>
        <v>30</v>
      </c>
      <c r="E250" s="35">
        <f t="shared" si="46"/>
        <v>392340.46534439543</v>
      </c>
      <c r="F250" s="36">
        <f t="shared" si="47"/>
        <v>-6443.0140148550854</v>
      </c>
      <c r="G250" s="86">
        <f t="shared" si="48"/>
        <v>-4415.9216105757087</v>
      </c>
      <c r="H250" s="87">
        <f t="shared" si="49"/>
        <v>-4481.311688133108</v>
      </c>
      <c r="I250" s="86">
        <f t="shared" si="50"/>
        <v>-2027.0924042793765</v>
      </c>
      <c r="J250" s="87">
        <f t="shared" si="51"/>
        <v>-1961.7023267219772</v>
      </c>
      <c r="K250" s="86">
        <f t="shared" si="52"/>
        <v>387924.54373381974</v>
      </c>
      <c r="L250" s="87">
        <f t="shared" si="53"/>
        <v>387859.15365626232</v>
      </c>
    </row>
    <row r="251" spans="1:12" s="38" customFormat="1" ht="12.75" x14ac:dyDescent="0.2">
      <c r="A251" s="40">
        <f t="shared" si="58"/>
        <v>20</v>
      </c>
      <c r="B251" s="80">
        <f t="shared" si="55"/>
        <v>47149</v>
      </c>
      <c r="C251" s="81">
        <f t="shared" si="45"/>
        <v>31</v>
      </c>
      <c r="D251" s="85">
        <f>DAYS360($B$16,B251)-SUM($D$16:D250)</f>
        <v>30</v>
      </c>
      <c r="E251" s="35">
        <f t="shared" si="46"/>
        <v>387924.54373381974</v>
      </c>
      <c r="F251" s="36">
        <f t="shared" si="47"/>
        <v>-6443.0140148550854</v>
      </c>
      <c r="G251" s="86">
        <f t="shared" si="48"/>
        <v>-4438.7372055636833</v>
      </c>
      <c r="H251" s="87">
        <f t="shared" si="49"/>
        <v>-4503.3912961859869</v>
      </c>
      <c r="I251" s="86">
        <f t="shared" si="50"/>
        <v>-2004.2768092914021</v>
      </c>
      <c r="J251" s="87">
        <f t="shared" si="51"/>
        <v>-1939.6227186690987</v>
      </c>
      <c r="K251" s="86">
        <f t="shared" si="52"/>
        <v>383485.80652825604</v>
      </c>
      <c r="L251" s="87">
        <f t="shared" si="53"/>
        <v>383421.15243763378</v>
      </c>
    </row>
    <row r="252" spans="1:12" s="38" customFormat="1" ht="12.75" x14ac:dyDescent="0.2">
      <c r="A252" s="40">
        <f t="shared" si="58"/>
        <v>20</v>
      </c>
      <c r="B252" s="80">
        <f t="shared" si="55"/>
        <v>47177</v>
      </c>
      <c r="C252" s="81">
        <f t="shared" si="45"/>
        <v>28</v>
      </c>
      <c r="D252" s="85">
        <f>DAYS360($B$16,B252)-SUM($D$16:D251)</f>
        <v>28</v>
      </c>
      <c r="E252" s="35">
        <f t="shared" si="46"/>
        <v>383485.80652825604</v>
      </c>
      <c r="F252" s="36">
        <f t="shared" si="47"/>
        <v>-6443.0140148550854</v>
      </c>
      <c r="G252" s="86">
        <f t="shared" si="48"/>
        <v>-4653.4135843898912</v>
      </c>
      <c r="H252" s="87">
        <f t="shared" si="49"/>
        <v>-4653.4135843898912</v>
      </c>
      <c r="I252" s="86">
        <f t="shared" si="50"/>
        <v>-1789.6004304651947</v>
      </c>
      <c r="J252" s="87">
        <f t="shared" si="51"/>
        <v>-1789.6004304651947</v>
      </c>
      <c r="K252" s="86">
        <f t="shared" si="52"/>
        <v>378832.39294386614</v>
      </c>
      <c r="L252" s="87">
        <f t="shared" si="53"/>
        <v>378832.39294386614</v>
      </c>
    </row>
    <row r="253" spans="1:12" s="38" customFormat="1" ht="12.75" x14ac:dyDescent="0.2">
      <c r="A253" s="40">
        <f t="shared" si="58"/>
        <v>20</v>
      </c>
      <c r="B253" s="80">
        <f t="shared" si="55"/>
        <v>47208</v>
      </c>
      <c r="C253" s="81">
        <f t="shared" si="45"/>
        <v>31</v>
      </c>
      <c r="D253" s="85">
        <f>DAYS360($B$16,B253)-SUM($D$16:D252)</f>
        <v>32</v>
      </c>
      <c r="E253" s="35">
        <f t="shared" si="46"/>
        <v>378832.39294386614</v>
      </c>
      <c r="F253" s="36">
        <f t="shared" si="47"/>
        <v>-6443.0140148550854</v>
      </c>
      <c r="G253" s="86">
        <f t="shared" si="48"/>
        <v>-4485.7133179784432</v>
      </c>
      <c r="H253" s="87">
        <f t="shared" si="49"/>
        <v>-4422.5745858211321</v>
      </c>
      <c r="I253" s="86">
        <f t="shared" si="50"/>
        <v>-1957.300696876642</v>
      </c>
      <c r="J253" s="87">
        <f t="shared" si="51"/>
        <v>-2020.4394290339528</v>
      </c>
      <c r="K253" s="86">
        <f t="shared" si="52"/>
        <v>374346.67962588771</v>
      </c>
      <c r="L253" s="87">
        <f t="shared" si="53"/>
        <v>374409.81835804501</v>
      </c>
    </row>
    <row r="254" spans="1:12" s="38" customFormat="1" ht="12.75" x14ac:dyDescent="0.2">
      <c r="A254" s="40">
        <f t="shared" si="58"/>
        <v>20</v>
      </c>
      <c r="B254" s="80">
        <f t="shared" si="55"/>
        <v>47238</v>
      </c>
      <c r="C254" s="81">
        <f t="shared" si="45"/>
        <v>30</v>
      </c>
      <c r="D254" s="85">
        <f>DAYS360($B$16,B254)-SUM($D$16:D253)</f>
        <v>30</v>
      </c>
      <c r="E254" s="35">
        <f t="shared" si="46"/>
        <v>374346.67962588771</v>
      </c>
      <c r="F254" s="36">
        <f t="shared" si="47"/>
        <v>-6443.0140148550854</v>
      </c>
      <c r="G254" s="86">
        <f t="shared" si="48"/>
        <v>-4571.2806167256467</v>
      </c>
      <c r="H254" s="87">
        <f t="shared" si="49"/>
        <v>-4571.2806167256467</v>
      </c>
      <c r="I254" s="86">
        <f t="shared" si="50"/>
        <v>-1871.7333981294387</v>
      </c>
      <c r="J254" s="87">
        <f t="shared" si="51"/>
        <v>-1871.7333981294387</v>
      </c>
      <c r="K254" s="86">
        <f t="shared" si="52"/>
        <v>369775.39900916209</v>
      </c>
      <c r="L254" s="87">
        <f t="shared" si="53"/>
        <v>369775.39900916209</v>
      </c>
    </row>
    <row r="255" spans="1:12" s="38" customFormat="1" ht="12.75" x14ac:dyDescent="0.2">
      <c r="A255" s="40">
        <f t="shared" si="58"/>
        <v>20</v>
      </c>
      <c r="B255" s="80">
        <f t="shared" si="55"/>
        <v>47269</v>
      </c>
      <c r="C255" s="81">
        <f t="shared" si="45"/>
        <v>31</v>
      </c>
      <c r="D255" s="85">
        <f>DAYS360($B$16,B255)-SUM($D$16:D254)</f>
        <v>30</v>
      </c>
      <c r="E255" s="35">
        <f t="shared" si="46"/>
        <v>369775.39900916209</v>
      </c>
      <c r="F255" s="36">
        <f t="shared" si="47"/>
        <v>-6443.0140148550854</v>
      </c>
      <c r="G255" s="86">
        <f t="shared" si="48"/>
        <v>-4532.5077866410811</v>
      </c>
      <c r="H255" s="87">
        <f t="shared" si="49"/>
        <v>-4594.1370198092754</v>
      </c>
      <c r="I255" s="86">
        <f t="shared" si="50"/>
        <v>-1910.5062282140041</v>
      </c>
      <c r="J255" s="87">
        <f t="shared" si="51"/>
        <v>-1848.8769950458104</v>
      </c>
      <c r="K255" s="86">
        <f t="shared" si="52"/>
        <v>365242.89122252102</v>
      </c>
      <c r="L255" s="87">
        <f t="shared" si="53"/>
        <v>365181.26198935282</v>
      </c>
    </row>
    <row r="256" spans="1:12" s="38" customFormat="1" ht="12.75" x14ac:dyDescent="0.2">
      <c r="A256" s="40">
        <f t="shared" si="58"/>
        <v>20</v>
      </c>
      <c r="B256" s="80">
        <f t="shared" si="55"/>
        <v>47299</v>
      </c>
      <c r="C256" s="81">
        <f t="shared" si="45"/>
        <v>30</v>
      </c>
      <c r="D256" s="85">
        <f>DAYS360($B$16,B256)-SUM($D$16:D255)</f>
        <v>30</v>
      </c>
      <c r="E256" s="35">
        <f t="shared" si="46"/>
        <v>365242.89122252102</v>
      </c>
      <c r="F256" s="36">
        <f t="shared" si="47"/>
        <v>-6443.0140148550854</v>
      </c>
      <c r="G256" s="86">
        <f t="shared" si="48"/>
        <v>-4616.7995587424803</v>
      </c>
      <c r="H256" s="87">
        <f t="shared" si="49"/>
        <v>-4616.7995587424803</v>
      </c>
      <c r="I256" s="86">
        <f t="shared" si="50"/>
        <v>-1826.2144561126051</v>
      </c>
      <c r="J256" s="87">
        <f t="shared" si="51"/>
        <v>-1826.2144561126051</v>
      </c>
      <c r="K256" s="86">
        <f t="shared" si="52"/>
        <v>360626.09166377853</v>
      </c>
      <c r="L256" s="87">
        <f t="shared" si="53"/>
        <v>360626.09166377853</v>
      </c>
    </row>
    <row r="257" spans="1:12" s="38" customFormat="1" ht="12.75" x14ac:dyDescent="0.2">
      <c r="A257" s="40">
        <f>A245+1</f>
        <v>21</v>
      </c>
      <c r="B257" s="80">
        <f t="shared" si="55"/>
        <v>47330</v>
      </c>
      <c r="C257" s="81">
        <f t="shared" si="45"/>
        <v>31</v>
      </c>
      <c r="D257" s="85">
        <f>DAYS360($B$16,B257)-SUM($D$16:D256)</f>
        <v>30</v>
      </c>
      <c r="E257" s="35">
        <f t="shared" si="46"/>
        <v>360626.09166377853</v>
      </c>
      <c r="F257" s="36">
        <f t="shared" si="47"/>
        <v>-6443.0140148550854</v>
      </c>
      <c r="G257" s="86">
        <f t="shared" si="48"/>
        <v>-4579.7792079255632</v>
      </c>
      <c r="H257" s="87">
        <f t="shared" si="49"/>
        <v>-4639.8835565361933</v>
      </c>
      <c r="I257" s="86">
        <f t="shared" si="50"/>
        <v>-1863.2348069295224</v>
      </c>
      <c r="J257" s="87">
        <f t="shared" si="51"/>
        <v>-1803.1304583188926</v>
      </c>
      <c r="K257" s="86">
        <f t="shared" si="52"/>
        <v>356046.31245585298</v>
      </c>
      <c r="L257" s="87">
        <f t="shared" si="53"/>
        <v>355986.20810724236</v>
      </c>
    </row>
    <row r="258" spans="1:12" s="38" customFormat="1" ht="12.75" x14ac:dyDescent="0.2">
      <c r="A258" s="40">
        <f t="shared" ref="A258:A268" si="59">A257</f>
        <v>21</v>
      </c>
      <c r="B258" s="80">
        <f t="shared" si="55"/>
        <v>47361</v>
      </c>
      <c r="C258" s="81">
        <f t="shared" si="45"/>
        <v>31</v>
      </c>
      <c r="D258" s="85">
        <f>DAYS360($B$16,B258)-SUM($D$16:D257)</f>
        <v>30</v>
      </c>
      <c r="E258" s="35">
        <f t="shared" si="46"/>
        <v>356046.31245585298</v>
      </c>
      <c r="F258" s="36">
        <f t="shared" si="47"/>
        <v>-6443.0140148550854</v>
      </c>
      <c r="G258" s="86">
        <f t="shared" si="48"/>
        <v>-4603.4414004998453</v>
      </c>
      <c r="H258" s="87">
        <f t="shared" si="49"/>
        <v>-4662.7824525758206</v>
      </c>
      <c r="I258" s="86">
        <f t="shared" si="50"/>
        <v>-1839.5726143552404</v>
      </c>
      <c r="J258" s="87">
        <f t="shared" si="51"/>
        <v>-1780.2315622792646</v>
      </c>
      <c r="K258" s="86">
        <f t="shared" si="52"/>
        <v>351442.87105535314</v>
      </c>
      <c r="L258" s="87">
        <f t="shared" si="53"/>
        <v>351383.53000327718</v>
      </c>
    </row>
    <row r="259" spans="1:12" s="38" customFormat="1" ht="12.75" x14ac:dyDescent="0.2">
      <c r="A259" s="40">
        <f t="shared" si="59"/>
        <v>21</v>
      </c>
      <c r="B259" s="80">
        <f t="shared" si="55"/>
        <v>47391</v>
      </c>
      <c r="C259" s="81">
        <f t="shared" si="45"/>
        <v>30</v>
      </c>
      <c r="D259" s="85">
        <f>DAYS360($B$16,B259)-SUM($D$16:D258)</f>
        <v>30</v>
      </c>
      <c r="E259" s="35">
        <f t="shared" si="46"/>
        <v>351442.87105535314</v>
      </c>
      <c r="F259" s="36">
        <f t="shared" si="47"/>
        <v>-6443.0140148550854</v>
      </c>
      <c r="G259" s="86">
        <f t="shared" si="48"/>
        <v>-4685.7996595783197</v>
      </c>
      <c r="H259" s="87">
        <f t="shared" si="49"/>
        <v>-4685.7996595783197</v>
      </c>
      <c r="I259" s="86">
        <f t="shared" si="50"/>
        <v>-1757.2143552767657</v>
      </c>
      <c r="J259" s="87">
        <f t="shared" si="51"/>
        <v>-1757.2143552767657</v>
      </c>
      <c r="K259" s="86">
        <f t="shared" si="52"/>
        <v>346757.07139577484</v>
      </c>
      <c r="L259" s="87">
        <f t="shared" si="53"/>
        <v>346757.07139577484</v>
      </c>
    </row>
    <row r="260" spans="1:12" s="38" customFormat="1" ht="12.75" x14ac:dyDescent="0.2">
      <c r="A260" s="40">
        <f t="shared" si="59"/>
        <v>21</v>
      </c>
      <c r="B260" s="80">
        <f t="shared" si="55"/>
        <v>47422</v>
      </c>
      <c r="C260" s="81">
        <f t="shared" si="45"/>
        <v>31</v>
      </c>
      <c r="D260" s="85">
        <f>DAYS360($B$16,B260)-SUM($D$16:D259)</f>
        <v>30</v>
      </c>
      <c r="E260" s="35">
        <f t="shared" si="46"/>
        <v>346757.07139577484</v>
      </c>
      <c r="F260" s="36">
        <f t="shared" si="47"/>
        <v>-6443.0140148550854</v>
      </c>
      <c r="G260" s="86">
        <f t="shared" si="48"/>
        <v>-4651.4358126435818</v>
      </c>
      <c r="H260" s="87">
        <f t="shared" si="49"/>
        <v>-4709.2286578762114</v>
      </c>
      <c r="I260" s="86">
        <f t="shared" si="50"/>
        <v>-1791.5782022115034</v>
      </c>
      <c r="J260" s="87">
        <f t="shared" si="51"/>
        <v>-1733.7853569788742</v>
      </c>
      <c r="K260" s="86">
        <f t="shared" si="52"/>
        <v>342105.63558313128</v>
      </c>
      <c r="L260" s="87">
        <f t="shared" si="53"/>
        <v>342047.84273789864</v>
      </c>
    </row>
    <row r="261" spans="1:12" s="38" customFormat="1" ht="12.75" x14ac:dyDescent="0.2">
      <c r="A261" s="40">
        <f t="shared" si="59"/>
        <v>21</v>
      </c>
      <c r="B261" s="80">
        <f t="shared" si="55"/>
        <v>47452</v>
      </c>
      <c r="C261" s="81">
        <f t="shared" si="45"/>
        <v>30</v>
      </c>
      <c r="D261" s="85">
        <f>DAYS360($B$16,B261)-SUM($D$16:D260)</f>
        <v>30</v>
      </c>
      <c r="E261" s="35">
        <f t="shared" si="46"/>
        <v>342105.63558313128</v>
      </c>
      <c r="F261" s="36">
        <f t="shared" si="47"/>
        <v>-6443.0140148550854</v>
      </c>
      <c r="G261" s="86">
        <f t="shared" si="48"/>
        <v>-4732.4858369394287</v>
      </c>
      <c r="H261" s="87">
        <f t="shared" si="49"/>
        <v>-4732.4858369394287</v>
      </c>
      <c r="I261" s="86">
        <f t="shared" si="50"/>
        <v>-1710.5281779156564</v>
      </c>
      <c r="J261" s="87">
        <f t="shared" si="51"/>
        <v>-1710.5281779156564</v>
      </c>
      <c r="K261" s="86">
        <f t="shared" si="52"/>
        <v>337373.14974619186</v>
      </c>
      <c r="L261" s="87">
        <f t="shared" si="53"/>
        <v>337373.14974619186</v>
      </c>
    </row>
    <row r="262" spans="1:12" s="38" customFormat="1" ht="12.75" x14ac:dyDescent="0.2">
      <c r="A262" s="40">
        <f t="shared" si="59"/>
        <v>21</v>
      </c>
      <c r="B262" s="80">
        <f t="shared" si="55"/>
        <v>47483</v>
      </c>
      <c r="C262" s="81">
        <f t="shared" si="45"/>
        <v>31</v>
      </c>
      <c r="D262" s="85">
        <f>DAYS360($B$16,B262)-SUM($D$16:D261)</f>
        <v>30</v>
      </c>
      <c r="E262" s="35">
        <f t="shared" si="46"/>
        <v>337373.14974619186</v>
      </c>
      <c r="F262" s="36">
        <f t="shared" si="47"/>
        <v>-6443.0140148550854</v>
      </c>
      <c r="G262" s="86">
        <f t="shared" si="48"/>
        <v>-4699.9194078330947</v>
      </c>
      <c r="H262" s="87">
        <f t="shared" si="49"/>
        <v>-4756.1482661241262</v>
      </c>
      <c r="I262" s="86">
        <f t="shared" si="50"/>
        <v>-1743.0946070219911</v>
      </c>
      <c r="J262" s="87">
        <f t="shared" si="51"/>
        <v>-1686.865748730959</v>
      </c>
      <c r="K262" s="86">
        <f t="shared" si="52"/>
        <v>332673.23033835879</v>
      </c>
      <c r="L262" s="87">
        <f t="shared" si="53"/>
        <v>332617.00148006773</v>
      </c>
    </row>
    <row r="263" spans="1:12" s="38" customFormat="1" ht="12.75" x14ac:dyDescent="0.2">
      <c r="A263" s="40">
        <f t="shared" si="59"/>
        <v>21</v>
      </c>
      <c r="B263" s="80">
        <f t="shared" si="55"/>
        <v>47514</v>
      </c>
      <c r="C263" s="81">
        <f t="shared" si="45"/>
        <v>31</v>
      </c>
      <c r="D263" s="85">
        <f>DAYS360($B$16,B263)-SUM($D$16:D262)</f>
        <v>30</v>
      </c>
      <c r="E263" s="35">
        <f t="shared" si="46"/>
        <v>332673.23033835879</v>
      </c>
      <c r="F263" s="36">
        <f t="shared" si="47"/>
        <v>-6443.0140148550854</v>
      </c>
      <c r="G263" s="86">
        <f t="shared" si="48"/>
        <v>-4724.2023247735651</v>
      </c>
      <c r="H263" s="87">
        <f t="shared" si="49"/>
        <v>-4779.6478631632917</v>
      </c>
      <c r="I263" s="86">
        <f t="shared" si="50"/>
        <v>-1718.8116900815205</v>
      </c>
      <c r="J263" s="87">
        <f t="shared" si="51"/>
        <v>-1663.3661516917939</v>
      </c>
      <c r="K263" s="86">
        <f t="shared" si="52"/>
        <v>327949.02801358519</v>
      </c>
      <c r="L263" s="87">
        <f t="shared" si="53"/>
        <v>327893.58247519552</v>
      </c>
    </row>
    <row r="264" spans="1:12" s="38" customFormat="1" ht="12.75" x14ac:dyDescent="0.2">
      <c r="A264" s="40">
        <f t="shared" si="59"/>
        <v>21</v>
      </c>
      <c r="B264" s="80">
        <f t="shared" si="55"/>
        <v>47542</v>
      </c>
      <c r="C264" s="81">
        <f t="shared" si="45"/>
        <v>28</v>
      </c>
      <c r="D264" s="85">
        <f>DAYS360($B$16,B264)-SUM($D$16:D263)</f>
        <v>28</v>
      </c>
      <c r="E264" s="35">
        <f t="shared" si="46"/>
        <v>327949.02801358519</v>
      </c>
      <c r="F264" s="36">
        <f t="shared" si="47"/>
        <v>-6443.0140148550854</v>
      </c>
      <c r="G264" s="86">
        <f t="shared" si="48"/>
        <v>-4912.5852174583542</v>
      </c>
      <c r="H264" s="87">
        <f t="shared" si="49"/>
        <v>-4912.5852174583542</v>
      </c>
      <c r="I264" s="86">
        <f t="shared" si="50"/>
        <v>-1530.4287973967309</v>
      </c>
      <c r="J264" s="87">
        <f t="shared" si="51"/>
        <v>-1530.4287973967309</v>
      </c>
      <c r="K264" s="86">
        <f t="shared" si="52"/>
        <v>323036.44279612682</v>
      </c>
      <c r="L264" s="87">
        <f t="shared" si="53"/>
        <v>323036.44279612682</v>
      </c>
    </row>
    <row r="265" spans="1:12" s="38" customFormat="1" ht="12.75" x14ac:dyDescent="0.2">
      <c r="A265" s="40">
        <f t="shared" si="59"/>
        <v>21</v>
      </c>
      <c r="B265" s="80">
        <f t="shared" si="55"/>
        <v>47573</v>
      </c>
      <c r="C265" s="81">
        <f t="shared" si="45"/>
        <v>31</v>
      </c>
      <c r="D265" s="85">
        <f>DAYS360($B$16,B265)-SUM($D$16:D264)</f>
        <v>32</v>
      </c>
      <c r="E265" s="35">
        <f t="shared" si="46"/>
        <v>323036.44279612682</v>
      </c>
      <c r="F265" s="36">
        <f t="shared" si="47"/>
        <v>-6443.0140148550854</v>
      </c>
      <c r="G265" s="86">
        <f t="shared" si="48"/>
        <v>-4773.9923937417634</v>
      </c>
      <c r="H265" s="87">
        <f t="shared" si="49"/>
        <v>-4720.1529866090759</v>
      </c>
      <c r="I265" s="86">
        <f t="shared" si="50"/>
        <v>-1669.021621113322</v>
      </c>
      <c r="J265" s="87">
        <f t="shared" si="51"/>
        <v>-1722.8610282460097</v>
      </c>
      <c r="K265" s="86">
        <f t="shared" si="52"/>
        <v>318262.45040238503</v>
      </c>
      <c r="L265" s="87">
        <f t="shared" si="53"/>
        <v>318316.28980951774</v>
      </c>
    </row>
    <row r="266" spans="1:12" s="38" customFormat="1" ht="12.75" x14ac:dyDescent="0.2">
      <c r="A266" s="40">
        <f t="shared" si="59"/>
        <v>21</v>
      </c>
      <c r="B266" s="80">
        <f t="shared" si="55"/>
        <v>47603</v>
      </c>
      <c r="C266" s="81">
        <f t="shared" si="45"/>
        <v>30</v>
      </c>
      <c r="D266" s="85">
        <f>DAYS360($B$16,B266)-SUM($D$16:D265)</f>
        <v>30</v>
      </c>
      <c r="E266" s="35">
        <f t="shared" si="46"/>
        <v>318262.45040238503</v>
      </c>
      <c r="F266" s="36">
        <f t="shared" si="47"/>
        <v>-6443.0140148550854</v>
      </c>
      <c r="G266" s="86">
        <f t="shared" si="48"/>
        <v>-4851.7017628431604</v>
      </c>
      <c r="H266" s="87">
        <f t="shared" si="49"/>
        <v>-4851.7017628431604</v>
      </c>
      <c r="I266" s="86">
        <f t="shared" si="50"/>
        <v>-1591.3122520119252</v>
      </c>
      <c r="J266" s="87">
        <f t="shared" si="51"/>
        <v>-1591.3122520119252</v>
      </c>
      <c r="K266" s="86">
        <f t="shared" si="52"/>
        <v>313410.74863954185</v>
      </c>
      <c r="L266" s="87">
        <f t="shared" si="53"/>
        <v>313410.74863954185</v>
      </c>
    </row>
    <row r="267" spans="1:12" s="38" customFormat="1" ht="12.75" x14ac:dyDescent="0.2">
      <c r="A267" s="40">
        <f t="shared" si="59"/>
        <v>21</v>
      </c>
      <c r="B267" s="80">
        <f t="shared" si="55"/>
        <v>47634</v>
      </c>
      <c r="C267" s="81">
        <f t="shared" si="45"/>
        <v>31</v>
      </c>
      <c r="D267" s="85">
        <f>DAYS360($B$16,B267)-SUM($D$16:D266)</f>
        <v>30</v>
      </c>
      <c r="E267" s="35">
        <f t="shared" si="46"/>
        <v>313410.74863954185</v>
      </c>
      <c r="F267" s="36">
        <f t="shared" si="47"/>
        <v>-6443.0140148550854</v>
      </c>
      <c r="G267" s="86">
        <f t="shared" si="48"/>
        <v>-4823.7251468841187</v>
      </c>
      <c r="H267" s="87">
        <f t="shared" si="49"/>
        <v>-4875.9602716573763</v>
      </c>
      <c r="I267" s="86">
        <f t="shared" si="50"/>
        <v>-1619.2888679709663</v>
      </c>
      <c r="J267" s="87">
        <f t="shared" si="51"/>
        <v>-1567.0537431977093</v>
      </c>
      <c r="K267" s="86">
        <f t="shared" si="52"/>
        <v>308587.02349265775</v>
      </c>
      <c r="L267" s="87">
        <f t="shared" si="53"/>
        <v>308534.78836788447</v>
      </c>
    </row>
    <row r="268" spans="1:12" s="38" customFormat="1" ht="12.75" x14ac:dyDescent="0.2">
      <c r="A268" s="40">
        <f t="shared" si="59"/>
        <v>21</v>
      </c>
      <c r="B268" s="80">
        <f t="shared" si="55"/>
        <v>47664</v>
      </c>
      <c r="C268" s="81">
        <f t="shared" si="45"/>
        <v>30</v>
      </c>
      <c r="D268" s="85">
        <f>DAYS360($B$16,B268)-SUM($D$16:D267)</f>
        <v>30</v>
      </c>
      <c r="E268" s="35">
        <f t="shared" si="46"/>
        <v>308587.02349265775</v>
      </c>
      <c r="F268" s="36">
        <f t="shared" si="47"/>
        <v>-6443.0140148550854</v>
      </c>
      <c r="G268" s="86">
        <f t="shared" si="48"/>
        <v>-4900.078897391797</v>
      </c>
      <c r="H268" s="87">
        <f t="shared" si="49"/>
        <v>-4900.078897391797</v>
      </c>
      <c r="I268" s="86">
        <f t="shared" si="50"/>
        <v>-1542.9351174632889</v>
      </c>
      <c r="J268" s="87">
        <f t="shared" si="51"/>
        <v>-1542.9351174632889</v>
      </c>
      <c r="K268" s="86">
        <f t="shared" si="52"/>
        <v>303686.94459526596</v>
      </c>
      <c r="L268" s="87">
        <f t="shared" si="53"/>
        <v>303686.94459526596</v>
      </c>
    </row>
    <row r="269" spans="1:12" s="38" customFormat="1" ht="12.75" x14ac:dyDescent="0.2">
      <c r="A269" s="40">
        <f>A257+1</f>
        <v>22</v>
      </c>
      <c r="B269" s="80">
        <f t="shared" si="55"/>
        <v>47695</v>
      </c>
      <c r="C269" s="81">
        <f t="shared" si="45"/>
        <v>31</v>
      </c>
      <c r="D269" s="85">
        <f>DAYS360($B$16,B269)-SUM($D$16:D268)</f>
        <v>30</v>
      </c>
      <c r="E269" s="35">
        <f t="shared" si="46"/>
        <v>303686.94459526596</v>
      </c>
      <c r="F269" s="36">
        <f t="shared" si="47"/>
        <v>-6443.0140148550854</v>
      </c>
      <c r="G269" s="86">
        <f t="shared" si="48"/>
        <v>-4873.9648011128775</v>
      </c>
      <c r="H269" s="87">
        <f t="shared" si="49"/>
        <v>-4924.5792918787556</v>
      </c>
      <c r="I269" s="86">
        <f t="shared" si="50"/>
        <v>-1569.0492137422075</v>
      </c>
      <c r="J269" s="87">
        <f t="shared" si="51"/>
        <v>-1518.4347229763298</v>
      </c>
      <c r="K269" s="86">
        <f t="shared" si="52"/>
        <v>298812.97979415307</v>
      </c>
      <c r="L269" s="87">
        <f t="shared" si="53"/>
        <v>298762.36530338723</v>
      </c>
    </row>
    <row r="270" spans="1:12" s="38" customFormat="1" ht="12.75" x14ac:dyDescent="0.2">
      <c r="A270" s="40">
        <f t="shared" ref="A270:A280" si="60">A269</f>
        <v>22</v>
      </c>
      <c r="B270" s="80">
        <f t="shared" si="55"/>
        <v>47726</v>
      </c>
      <c r="C270" s="81">
        <f t="shared" si="45"/>
        <v>31</v>
      </c>
      <c r="D270" s="85">
        <f>DAYS360($B$16,B270)-SUM($D$16:D269)</f>
        <v>30</v>
      </c>
      <c r="E270" s="35">
        <f t="shared" si="46"/>
        <v>298812.97979415307</v>
      </c>
      <c r="F270" s="36">
        <f t="shared" si="47"/>
        <v>-6443.0140148550854</v>
      </c>
      <c r="G270" s="86">
        <f t="shared" si="48"/>
        <v>-4899.1469525852945</v>
      </c>
      <c r="H270" s="87">
        <f t="shared" si="49"/>
        <v>-4948.9491158843202</v>
      </c>
      <c r="I270" s="86">
        <f t="shared" si="50"/>
        <v>-1543.8670622697909</v>
      </c>
      <c r="J270" s="87">
        <f t="shared" si="51"/>
        <v>-1494.0648989707654</v>
      </c>
      <c r="K270" s="86">
        <f t="shared" si="52"/>
        <v>293913.83284156775</v>
      </c>
      <c r="L270" s="87">
        <f t="shared" si="53"/>
        <v>293864.03067826875</v>
      </c>
    </row>
    <row r="271" spans="1:12" s="38" customFormat="1" ht="12.75" x14ac:dyDescent="0.2">
      <c r="A271" s="40">
        <f t="shared" si="60"/>
        <v>22</v>
      </c>
      <c r="B271" s="80">
        <f t="shared" si="55"/>
        <v>47756</v>
      </c>
      <c r="C271" s="81">
        <f t="shared" si="45"/>
        <v>30</v>
      </c>
      <c r="D271" s="85">
        <f>DAYS360($B$16,B271)-SUM($D$16:D270)</f>
        <v>30</v>
      </c>
      <c r="E271" s="35">
        <f t="shared" si="46"/>
        <v>293913.83284156775</v>
      </c>
      <c r="F271" s="36">
        <f t="shared" si="47"/>
        <v>-6443.0140148550854</v>
      </c>
      <c r="G271" s="86">
        <f t="shared" si="48"/>
        <v>-4973.4448506472463</v>
      </c>
      <c r="H271" s="87">
        <f t="shared" si="49"/>
        <v>-4973.4448506472463</v>
      </c>
      <c r="I271" s="86">
        <f t="shared" si="50"/>
        <v>-1469.5691642078389</v>
      </c>
      <c r="J271" s="87">
        <f t="shared" si="51"/>
        <v>-1469.5691642078389</v>
      </c>
      <c r="K271" s="86">
        <f t="shared" si="52"/>
        <v>288940.38799092051</v>
      </c>
      <c r="L271" s="87">
        <f t="shared" si="53"/>
        <v>288940.38799092051</v>
      </c>
    </row>
    <row r="272" spans="1:12" s="38" customFormat="1" ht="12.75" x14ac:dyDescent="0.2">
      <c r="A272" s="40">
        <f t="shared" si="60"/>
        <v>22</v>
      </c>
      <c r="B272" s="80">
        <f t="shared" si="55"/>
        <v>47787</v>
      </c>
      <c r="C272" s="81">
        <f t="shared" si="45"/>
        <v>31</v>
      </c>
      <c r="D272" s="85">
        <f>DAYS360($B$16,B272)-SUM($D$16:D271)</f>
        <v>30</v>
      </c>
      <c r="E272" s="35">
        <f t="shared" si="46"/>
        <v>288940.38799092051</v>
      </c>
      <c r="F272" s="36">
        <f t="shared" si="47"/>
        <v>-6443.0140148550854</v>
      </c>
      <c r="G272" s="86">
        <f t="shared" si="48"/>
        <v>-4950.1553435686628</v>
      </c>
      <c r="H272" s="87">
        <f t="shared" si="49"/>
        <v>-4998.3120749004829</v>
      </c>
      <c r="I272" s="86">
        <f t="shared" si="50"/>
        <v>-1492.8586712864226</v>
      </c>
      <c r="J272" s="87">
        <f t="shared" si="51"/>
        <v>-1444.7019399546023</v>
      </c>
      <c r="K272" s="86">
        <f t="shared" si="52"/>
        <v>283990.23264735186</v>
      </c>
      <c r="L272" s="87">
        <f t="shared" si="53"/>
        <v>283942.07591602003</v>
      </c>
    </row>
    <row r="273" spans="1:12" s="38" customFormat="1" ht="12.75" x14ac:dyDescent="0.2">
      <c r="A273" s="40">
        <f t="shared" si="60"/>
        <v>22</v>
      </c>
      <c r="B273" s="80">
        <f t="shared" si="55"/>
        <v>47817</v>
      </c>
      <c r="C273" s="81">
        <f t="shared" ref="C273:C316" si="61">B273-B272</f>
        <v>30</v>
      </c>
      <c r="D273" s="85">
        <f>DAYS360($B$16,B273)-SUM($D$16:D272)</f>
        <v>30</v>
      </c>
      <c r="E273" s="35">
        <f t="shared" ref="E273:E316" si="62">K272</f>
        <v>283990.23264735186</v>
      </c>
      <c r="F273" s="36">
        <f t="shared" ref="F273:F316" si="63">PMT($C$4,$C$6,$C$2)</f>
        <v>-6443.0140148550854</v>
      </c>
      <c r="G273" s="86">
        <f t="shared" ref="G273:G316" si="64">F273-I273</f>
        <v>-5023.062851618326</v>
      </c>
      <c r="H273" s="87">
        <f t="shared" ref="H273:H316" si="65">F273-J273</f>
        <v>-5023.062851618326</v>
      </c>
      <c r="I273" s="86">
        <f t="shared" ref="I273:I316" si="66">-E273*$C$4*C273/30</f>
        <v>-1419.9511632367596</v>
      </c>
      <c r="J273" s="87">
        <f t="shared" ref="J273:J316" si="67">-E273*$C$4*D273/30</f>
        <v>-1419.9511632367596</v>
      </c>
      <c r="K273" s="86">
        <f t="shared" ref="K273:K316" si="68">E273+G273</f>
        <v>278967.16979573353</v>
      </c>
      <c r="L273" s="87">
        <f t="shared" ref="L273:L316" si="69">E273+H273</f>
        <v>278967.16979573353</v>
      </c>
    </row>
    <row r="274" spans="1:12" s="38" customFormat="1" ht="12.75" x14ac:dyDescent="0.2">
      <c r="A274" s="40">
        <f t="shared" si="60"/>
        <v>22</v>
      </c>
      <c r="B274" s="80">
        <f t="shared" ref="B274:B316" si="70">EOMONTH(B273,1)</f>
        <v>47848</v>
      </c>
      <c r="C274" s="81">
        <f t="shared" si="61"/>
        <v>31</v>
      </c>
      <c r="D274" s="85">
        <f>DAYS360($B$16,B274)-SUM($D$16:D273)</f>
        <v>30</v>
      </c>
      <c r="E274" s="35">
        <f t="shared" si="62"/>
        <v>278967.16979573353</v>
      </c>
      <c r="F274" s="36">
        <f t="shared" si="63"/>
        <v>-6443.0140148550854</v>
      </c>
      <c r="G274" s="86">
        <f t="shared" si="64"/>
        <v>-5001.683637577129</v>
      </c>
      <c r="H274" s="87">
        <f t="shared" si="65"/>
        <v>-5048.1781658764176</v>
      </c>
      <c r="I274" s="86">
        <f t="shared" si="66"/>
        <v>-1441.3303772779566</v>
      </c>
      <c r="J274" s="87">
        <f t="shared" si="67"/>
        <v>-1394.8358489786676</v>
      </c>
      <c r="K274" s="86">
        <f t="shared" si="68"/>
        <v>273965.48615815642</v>
      </c>
      <c r="L274" s="87">
        <f t="shared" si="69"/>
        <v>273918.9916298571</v>
      </c>
    </row>
    <row r="275" spans="1:12" s="38" customFormat="1" ht="12.75" x14ac:dyDescent="0.2">
      <c r="A275" s="40">
        <f t="shared" si="60"/>
        <v>22</v>
      </c>
      <c r="B275" s="80">
        <f t="shared" si="70"/>
        <v>47879</v>
      </c>
      <c r="C275" s="81">
        <f t="shared" si="61"/>
        <v>31</v>
      </c>
      <c r="D275" s="85">
        <f>DAYS360($B$16,B275)-SUM($D$16:D274)</f>
        <v>30</v>
      </c>
      <c r="E275" s="35">
        <f t="shared" si="62"/>
        <v>273965.48615815642</v>
      </c>
      <c r="F275" s="36">
        <f t="shared" si="63"/>
        <v>-6443.0140148550854</v>
      </c>
      <c r="G275" s="86">
        <f t="shared" si="64"/>
        <v>-5027.5256697046107</v>
      </c>
      <c r="H275" s="87">
        <f t="shared" si="65"/>
        <v>-5073.1865840643031</v>
      </c>
      <c r="I275" s="86">
        <f t="shared" si="66"/>
        <v>-1415.4883451504747</v>
      </c>
      <c r="J275" s="87">
        <f t="shared" si="67"/>
        <v>-1369.827430790782</v>
      </c>
      <c r="K275" s="86">
        <f t="shared" si="68"/>
        <v>268937.96048845182</v>
      </c>
      <c r="L275" s="87">
        <f t="shared" si="69"/>
        <v>268892.29957409209</v>
      </c>
    </row>
    <row r="276" spans="1:12" s="38" customFormat="1" ht="12.75" x14ac:dyDescent="0.2">
      <c r="A276" s="40">
        <f t="shared" si="60"/>
        <v>22</v>
      </c>
      <c r="B276" s="80">
        <f t="shared" si="70"/>
        <v>47907</v>
      </c>
      <c r="C276" s="81">
        <f t="shared" si="61"/>
        <v>28</v>
      </c>
      <c r="D276" s="85">
        <f>DAYS360($B$16,B276)-SUM($D$16:D275)</f>
        <v>28</v>
      </c>
      <c r="E276" s="35">
        <f t="shared" si="62"/>
        <v>268937.96048845182</v>
      </c>
      <c r="F276" s="36">
        <f t="shared" si="63"/>
        <v>-6443.0140148550854</v>
      </c>
      <c r="G276" s="86">
        <f t="shared" si="64"/>
        <v>-5187.9701992423106</v>
      </c>
      <c r="H276" s="87">
        <f t="shared" si="65"/>
        <v>-5187.9701992423106</v>
      </c>
      <c r="I276" s="86">
        <f t="shared" si="66"/>
        <v>-1255.0438156127752</v>
      </c>
      <c r="J276" s="87">
        <f t="shared" si="67"/>
        <v>-1255.0438156127752</v>
      </c>
      <c r="K276" s="86">
        <f t="shared" si="68"/>
        <v>263749.99028920953</v>
      </c>
      <c r="L276" s="87">
        <f t="shared" si="69"/>
        <v>263749.99028920953</v>
      </c>
    </row>
    <row r="277" spans="1:12" s="38" customFormat="1" ht="12.75" x14ac:dyDescent="0.2">
      <c r="A277" s="40">
        <f t="shared" si="60"/>
        <v>22</v>
      </c>
      <c r="B277" s="80">
        <f t="shared" si="70"/>
        <v>47938</v>
      </c>
      <c r="C277" s="81">
        <f t="shared" si="61"/>
        <v>31</v>
      </c>
      <c r="D277" s="85">
        <f>DAYS360($B$16,B277)-SUM($D$16:D276)</f>
        <v>32</v>
      </c>
      <c r="E277" s="35">
        <f t="shared" si="62"/>
        <v>263749.99028920953</v>
      </c>
      <c r="F277" s="36">
        <f t="shared" si="63"/>
        <v>-6443.0140148550854</v>
      </c>
      <c r="G277" s="86">
        <f t="shared" si="64"/>
        <v>-5080.3057316941695</v>
      </c>
      <c r="H277" s="87">
        <f t="shared" si="65"/>
        <v>-5036.3473999793014</v>
      </c>
      <c r="I277" s="86">
        <f t="shared" si="66"/>
        <v>-1362.7082831609157</v>
      </c>
      <c r="J277" s="87">
        <f t="shared" si="67"/>
        <v>-1406.666614875784</v>
      </c>
      <c r="K277" s="86">
        <f t="shared" si="68"/>
        <v>258669.68455751537</v>
      </c>
      <c r="L277" s="87">
        <f t="shared" si="69"/>
        <v>258713.64288923022</v>
      </c>
    </row>
    <row r="278" spans="1:12" s="38" customFormat="1" ht="12.75" x14ac:dyDescent="0.2">
      <c r="A278" s="40">
        <f t="shared" si="60"/>
        <v>22</v>
      </c>
      <c r="B278" s="80">
        <f t="shared" si="70"/>
        <v>47968</v>
      </c>
      <c r="C278" s="81">
        <f t="shared" si="61"/>
        <v>30</v>
      </c>
      <c r="D278" s="85">
        <f>DAYS360($B$16,B278)-SUM($D$16:D277)</f>
        <v>30</v>
      </c>
      <c r="E278" s="35">
        <f t="shared" si="62"/>
        <v>258669.68455751537</v>
      </c>
      <c r="F278" s="36">
        <f t="shared" si="63"/>
        <v>-6443.0140148550854</v>
      </c>
      <c r="G278" s="86">
        <f t="shared" si="64"/>
        <v>-5149.6655920675084</v>
      </c>
      <c r="H278" s="87">
        <f t="shared" si="65"/>
        <v>-5149.6655920675084</v>
      </c>
      <c r="I278" s="86">
        <f t="shared" si="66"/>
        <v>-1293.348422787577</v>
      </c>
      <c r="J278" s="87">
        <f t="shared" si="67"/>
        <v>-1293.348422787577</v>
      </c>
      <c r="K278" s="86">
        <f t="shared" si="68"/>
        <v>253520.01896544787</v>
      </c>
      <c r="L278" s="87">
        <f t="shared" si="69"/>
        <v>253520.01896544787</v>
      </c>
    </row>
    <row r="279" spans="1:12" s="38" customFormat="1" ht="12.75" x14ac:dyDescent="0.2">
      <c r="A279" s="40">
        <f t="shared" si="60"/>
        <v>22</v>
      </c>
      <c r="B279" s="80">
        <f t="shared" si="70"/>
        <v>47999</v>
      </c>
      <c r="C279" s="81">
        <f t="shared" si="61"/>
        <v>31</v>
      </c>
      <c r="D279" s="85">
        <f>DAYS360($B$16,B279)-SUM($D$16:D278)</f>
        <v>30</v>
      </c>
      <c r="E279" s="35">
        <f t="shared" si="62"/>
        <v>253520.01896544787</v>
      </c>
      <c r="F279" s="36">
        <f t="shared" si="63"/>
        <v>-6443.0140148550854</v>
      </c>
      <c r="G279" s="86">
        <f t="shared" si="64"/>
        <v>-5133.1605835336049</v>
      </c>
      <c r="H279" s="87">
        <f t="shared" si="65"/>
        <v>-5175.413920027846</v>
      </c>
      <c r="I279" s="86">
        <f t="shared" si="66"/>
        <v>-1309.8534313214807</v>
      </c>
      <c r="J279" s="87">
        <f t="shared" si="67"/>
        <v>-1267.6000948272392</v>
      </c>
      <c r="K279" s="86">
        <f t="shared" si="68"/>
        <v>248386.85838191427</v>
      </c>
      <c r="L279" s="87">
        <f t="shared" si="69"/>
        <v>248344.60504542003</v>
      </c>
    </row>
    <row r="280" spans="1:12" s="38" customFormat="1" ht="12.75" x14ac:dyDescent="0.2">
      <c r="A280" s="40">
        <f t="shared" si="60"/>
        <v>22</v>
      </c>
      <c r="B280" s="80">
        <f t="shared" si="70"/>
        <v>48029</v>
      </c>
      <c r="C280" s="81">
        <f t="shared" si="61"/>
        <v>30</v>
      </c>
      <c r="D280" s="85">
        <f>DAYS360($B$16,B280)-SUM($D$16:D279)</f>
        <v>30</v>
      </c>
      <c r="E280" s="35">
        <f t="shared" si="62"/>
        <v>248386.85838191427</v>
      </c>
      <c r="F280" s="36">
        <f t="shared" si="63"/>
        <v>-6443.0140148550854</v>
      </c>
      <c r="G280" s="86">
        <f t="shared" si="64"/>
        <v>-5201.0797229455138</v>
      </c>
      <c r="H280" s="87">
        <f t="shared" si="65"/>
        <v>-5201.0797229455138</v>
      </c>
      <c r="I280" s="86">
        <f t="shared" si="66"/>
        <v>-1241.9342919095714</v>
      </c>
      <c r="J280" s="87">
        <f t="shared" si="67"/>
        <v>-1241.9342919095714</v>
      </c>
      <c r="K280" s="86">
        <f t="shared" si="68"/>
        <v>243185.77865896875</v>
      </c>
      <c r="L280" s="87">
        <f t="shared" si="69"/>
        <v>243185.77865896875</v>
      </c>
    </row>
    <row r="281" spans="1:12" s="38" customFormat="1" ht="12.75" x14ac:dyDescent="0.2">
      <c r="A281" s="40">
        <f>A269+1</f>
        <v>23</v>
      </c>
      <c r="B281" s="80">
        <f t="shared" si="70"/>
        <v>48060</v>
      </c>
      <c r="C281" s="81">
        <f t="shared" si="61"/>
        <v>31</v>
      </c>
      <c r="D281" s="85">
        <f>DAYS360($B$16,B281)-SUM($D$16:D280)</f>
        <v>30</v>
      </c>
      <c r="E281" s="35">
        <f t="shared" si="62"/>
        <v>243185.77865896875</v>
      </c>
      <c r="F281" s="36">
        <f t="shared" si="63"/>
        <v>-6443.0140148550854</v>
      </c>
      <c r="G281" s="86">
        <f t="shared" si="64"/>
        <v>-5186.5541584504135</v>
      </c>
      <c r="H281" s="87">
        <f t="shared" si="65"/>
        <v>-5227.0851215602415</v>
      </c>
      <c r="I281" s="86">
        <f t="shared" si="66"/>
        <v>-1256.4598564046719</v>
      </c>
      <c r="J281" s="87">
        <f t="shared" si="67"/>
        <v>-1215.9288932948436</v>
      </c>
      <c r="K281" s="86">
        <f t="shared" si="68"/>
        <v>237999.22450051832</v>
      </c>
      <c r="L281" s="87">
        <f t="shared" si="69"/>
        <v>237958.69353740852</v>
      </c>
    </row>
    <row r="282" spans="1:12" s="38" customFormat="1" ht="12.75" x14ac:dyDescent="0.2">
      <c r="A282" s="40">
        <f t="shared" ref="A282:A292" si="71">A281</f>
        <v>23</v>
      </c>
      <c r="B282" s="80">
        <f t="shared" si="70"/>
        <v>48091</v>
      </c>
      <c r="C282" s="81">
        <f t="shared" si="61"/>
        <v>31</v>
      </c>
      <c r="D282" s="85">
        <f>DAYS360($B$16,B282)-SUM($D$16:D281)</f>
        <v>30</v>
      </c>
      <c r="E282" s="35">
        <f t="shared" si="62"/>
        <v>237999.22450051832</v>
      </c>
      <c r="F282" s="36">
        <f t="shared" si="63"/>
        <v>-6443.0140148550854</v>
      </c>
      <c r="G282" s="86">
        <f t="shared" si="64"/>
        <v>-5213.3513549357413</v>
      </c>
      <c r="H282" s="87">
        <f t="shared" si="65"/>
        <v>-5253.0178923524936</v>
      </c>
      <c r="I282" s="86">
        <f t="shared" si="66"/>
        <v>-1229.6626599193446</v>
      </c>
      <c r="J282" s="87">
        <f t="shared" si="67"/>
        <v>-1189.9961225025916</v>
      </c>
      <c r="K282" s="86">
        <f t="shared" si="68"/>
        <v>232785.87314558259</v>
      </c>
      <c r="L282" s="87">
        <f t="shared" si="69"/>
        <v>232746.20660816584</v>
      </c>
    </row>
    <row r="283" spans="1:12" s="38" customFormat="1" ht="12.75" x14ac:dyDescent="0.2">
      <c r="A283" s="40">
        <f t="shared" si="71"/>
        <v>23</v>
      </c>
      <c r="B283" s="80">
        <f t="shared" si="70"/>
        <v>48121</v>
      </c>
      <c r="C283" s="81">
        <f t="shared" si="61"/>
        <v>30</v>
      </c>
      <c r="D283" s="85">
        <f>DAYS360($B$16,B283)-SUM($D$16:D282)</f>
        <v>30</v>
      </c>
      <c r="E283" s="35">
        <f t="shared" si="62"/>
        <v>232785.87314558259</v>
      </c>
      <c r="F283" s="36">
        <f t="shared" si="63"/>
        <v>-6443.0140148550854</v>
      </c>
      <c r="G283" s="86">
        <f t="shared" si="64"/>
        <v>-5279.0846491271723</v>
      </c>
      <c r="H283" s="87">
        <f t="shared" si="65"/>
        <v>-5279.0846491271723</v>
      </c>
      <c r="I283" s="86">
        <f t="shared" si="66"/>
        <v>-1163.9293657279129</v>
      </c>
      <c r="J283" s="87">
        <f t="shared" si="67"/>
        <v>-1163.9293657279129</v>
      </c>
      <c r="K283" s="86">
        <f t="shared" si="68"/>
        <v>227506.78849645541</v>
      </c>
      <c r="L283" s="87">
        <f t="shared" si="69"/>
        <v>227506.78849645541</v>
      </c>
    </row>
    <row r="284" spans="1:12" s="38" customFormat="1" ht="12.75" x14ac:dyDescent="0.2">
      <c r="A284" s="40">
        <f t="shared" si="71"/>
        <v>23</v>
      </c>
      <c r="B284" s="80">
        <f t="shared" si="70"/>
        <v>48152</v>
      </c>
      <c r="C284" s="81">
        <f t="shared" si="61"/>
        <v>31</v>
      </c>
      <c r="D284" s="85">
        <f>DAYS360($B$16,B284)-SUM($D$16:D283)</f>
        <v>30</v>
      </c>
      <c r="E284" s="35">
        <f t="shared" si="62"/>
        <v>227506.78849645541</v>
      </c>
      <c r="F284" s="36">
        <f t="shared" si="63"/>
        <v>-6443.0140148550854</v>
      </c>
      <c r="G284" s="86">
        <f t="shared" si="64"/>
        <v>-5267.5622742900659</v>
      </c>
      <c r="H284" s="87">
        <f t="shared" si="65"/>
        <v>-5305.4800723728085</v>
      </c>
      <c r="I284" s="86">
        <f t="shared" si="66"/>
        <v>-1175.4517405650197</v>
      </c>
      <c r="J284" s="87">
        <f t="shared" si="67"/>
        <v>-1137.5339424822771</v>
      </c>
      <c r="K284" s="86">
        <f t="shared" si="68"/>
        <v>222239.22622216534</v>
      </c>
      <c r="L284" s="87">
        <f t="shared" si="69"/>
        <v>222201.30842408261</v>
      </c>
    </row>
    <row r="285" spans="1:12" s="38" customFormat="1" ht="12.75" x14ac:dyDescent="0.2">
      <c r="A285" s="40">
        <f t="shared" si="71"/>
        <v>23</v>
      </c>
      <c r="B285" s="80">
        <f t="shared" si="70"/>
        <v>48182</v>
      </c>
      <c r="C285" s="81">
        <f t="shared" si="61"/>
        <v>30</v>
      </c>
      <c r="D285" s="85">
        <f>DAYS360($B$16,B285)-SUM($D$16:D284)</f>
        <v>30</v>
      </c>
      <c r="E285" s="35">
        <f t="shared" si="62"/>
        <v>222239.22622216534</v>
      </c>
      <c r="F285" s="36">
        <f t="shared" si="63"/>
        <v>-6443.0140148550854</v>
      </c>
      <c r="G285" s="86">
        <f t="shared" si="64"/>
        <v>-5331.8178837442592</v>
      </c>
      <c r="H285" s="87">
        <f t="shared" si="65"/>
        <v>-5331.8178837442592</v>
      </c>
      <c r="I285" s="86">
        <f t="shared" si="66"/>
        <v>-1111.1961311108266</v>
      </c>
      <c r="J285" s="87">
        <f t="shared" si="67"/>
        <v>-1111.1961311108266</v>
      </c>
      <c r="K285" s="86">
        <f t="shared" si="68"/>
        <v>216907.40833842108</v>
      </c>
      <c r="L285" s="87">
        <f t="shared" si="69"/>
        <v>216907.40833842108</v>
      </c>
    </row>
    <row r="286" spans="1:12" s="38" customFormat="1" ht="12.75" x14ac:dyDescent="0.2">
      <c r="A286" s="40">
        <f t="shared" si="71"/>
        <v>23</v>
      </c>
      <c r="B286" s="80">
        <f t="shared" si="70"/>
        <v>48213</v>
      </c>
      <c r="C286" s="81">
        <f t="shared" si="61"/>
        <v>31</v>
      </c>
      <c r="D286" s="85">
        <f>DAYS360($B$16,B286)-SUM($D$16:D285)</f>
        <v>30</v>
      </c>
      <c r="E286" s="35">
        <f t="shared" si="62"/>
        <v>216907.40833842108</v>
      </c>
      <c r="F286" s="36">
        <f t="shared" si="63"/>
        <v>-6443.0140148550854</v>
      </c>
      <c r="G286" s="86">
        <f t="shared" si="64"/>
        <v>-5322.3257384399094</v>
      </c>
      <c r="H286" s="87">
        <f t="shared" si="65"/>
        <v>-5358.4769731629804</v>
      </c>
      <c r="I286" s="86">
        <f t="shared" si="66"/>
        <v>-1120.6882764151756</v>
      </c>
      <c r="J286" s="87">
        <f t="shared" si="67"/>
        <v>-1084.5370416921055</v>
      </c>
      <c r="K286" s="86">
        <f t="shared" si="68"/>
        <v>211585.08259998116</v>
      </c>
      <c r="L286" s="87">
        <f t="shared" si="69"/>
        <v>211548.93136525809</v>
      </c>
    </row>
    <row r="287" spans="1:12" s="38" customFormat="1" ht="12.75" x14ac:dyDescent="0.2">
      <c r="A287" s="40">
        <f t="shared" si="71"/>
        <v>23</v>
      </c>
      <c r="B287" s="80">
        <f t="shared" si="70"/>
        <v>48244</v>
      </c>
      <c r="C287" s="81">
        <f t="shared" si="61"/>
        <v>31</v>
      </c>
      <c r="D287" s="85">
        <f>DAYS360($B$16,B287)-SUM($D$16:D286)</f>
        <v>30</v>
      </c>
      <c r="E287" s="35">
        <f t="shared" si="62"/>
        <v>211585.08259998116</v>
      </c>
      <c r="F287" s="36">
        <f t="shared" si="63"/>
        <v>-6443.0140148550854</v>
      </c>
      <c r="G287" s="86">
        <f t="shared" si="64"/>
        <v>-5349.8244214218494</v>
      </c>
      <c r="H287" s="87">
        <f t="shared" si="65"/>
        <v>-5385.0886018551791</v>
      </c>
      <c r="I287" s="86">
        <f t="shared" si="66"/>
        <v>-1093.189593433236</v>
      </c>
      <c r="J287" s="87">
        <f t="shared" si="67"/>
        <v>-1057.9254129999058</v>
      </c>
      <c r="K287" s="86">
        <f t="shared" si="68"/>
        <v>206235.25817855931</v>
      </c>
      <c r="L287" s="87">
        <f t="shared" si="69"/>
        <v>206199.99399812598</v>
      </c>
    </row>
    <row r="288" spans="1:12" s="38" customFormat="1" ht="12.75" x14ac:dyDescent="0.2">
      <c r="A288" s="40">
        <f t="shared" si="71"/>
        <v>23</v>
      </c>
      <c r="B288" s="80">
        <f t="shared" si="70"/>
        <v>48273</v>
      </c>
      <c r="C288" s="81">
        <f t="shared" si="61"/>
        <v>29</v>
      </c>
      <c r="D288" s="85">
        <f>DAYS360($B$16,B288)-SUM($D$16:D287)</f>
        <v>29</v>
      </c>
      <c r="E288" s="35">
        <f t="shared" si="62"/>
        <v>206235.25817855931</v>
      </c>
      <c r="F288" s="36">
        <f t="shared" si="63"/>
        <v>-6443.0140148550854</v>
      </c>
      <c r="G288" s="86">
        <f t="shared" si="64"/>
        <v>-5446.2102669920487</v>
      </c>
      <c r="H288" s="87">
        <f t="shared" si="65"/>
        <v>-5446.2102669920487</v>
      </c>
      <c r="I288" s="86">
        <f t="shared" si="66"/>
        <v>-996.80374786303651</v>
      </c>
      <c r="J288" s="87">
        <f t="shared" si="67"/>
        <v>-996.80374786303651</v>
      </c>
      <c r="K288" s="86">
        <f t="shared" si="68"/>
        <v>200789.04791156726</v>
      </c>
      <c r="L288" s="87">
        <f t="shared" si="69"/>
        <v>200789.04791156726</v>
      </c>
    </row>
    <row r="289" spans="1:12" s="38" customFormat="1" ht="12.75" x14ac:dyDescent="0.2">
      <c r="A289" s="40">
        <f t="shared" si="71"/>
        <v>23</v>
      </c>
      <c r="B289" s="80">
        <f t="shared" si="70"/>
        <v>48304</v>
      </c>
      <c r="C289" s="81">
        <f t="shared" si="61"/>
        <v>31</v>
      </c>
      <c r="D289" s="85">
        <f>DAYS360($B$16,B289)-SUM($D$16:D288)</f>
        <v>31</v>
      </c>
      <c r="E289" s="35">
        <f t="shared" si="62"/>
        <v>200789.04791156726</v>
      </c>
      <c r="F289" s="36">
        <f t="shared" si="63"/>
        <v>-6443.0140148550854</v>
      </c>
      <c r="G289" s="86">
        <f t="shared" si="64"/>
        <v>-5405.6039339786548</v>
      </c>
      <c r="H289" s="87">
        <f t="shared" si="65"/>
        <v>-5405.6039339786548</v>
      </c>
      <c r="I289" s="86">
        <f t="shared" si="66"/>
        <v>-1037.4100808764308</v>
      </c>
      <c r="J289" s="87">
        <f t="shared" si="67"/>
        <v>-1037.4100808764308</v>
      </c>
      <c r="K289" s="86">
        <f t="shared" si="68"/>
        <v>195383.44397758861</v>
      </c>
      <c r="L289" s="87">
        <f t="shared" si="69"/>
        <v>195383.44397758861</v>
      </c>
    </row>
    <row r="290" spans="1:12" s="38" customFormat="1" ht="12.75" x14ac:dyDescent="0.2">
      <c r="A290" s="40">
        <f t="shared" si="71"/>
        <v>23</v>
      </c>
      <c r="B290" s="80">
        <f t="shared" si="70"/>
        <v>48334</v>
      </c>
      <c r="C290" s="81">
        <f t="shared" si="61"/>
        <v>30</v>
      </c>
      <c r="D290" s="85">
        <f>DAYS360($B$16,B290)-SUM($D$16:D289)</f>
        <v>30</v>
      </c>
      <c r="E290" s="35">
        <f t="shared" si="62"/>
        <v>195383.44397758861</v>
      </c>
      <c r="F290" s="36">
        <f t="shared" si="63"/>
        <v>-6443.0140148550854</v>
      </c>
      <c r="G290" s="86">
        <f t="shared" si="64"/>
        <v>-5466.0967949671422</v>
      </c>
      <c r="H290" s="87">
        <f t="shared" si="65"/>
        <v>-5466.0967949671422</v>
      </c>
      <c r="I290" s="86">
        <f t="shared" si="66"/>
        <v>-976.91721988794313</v>
      </c>
      <c r="J290" s="87">
        <f t="shared" si="67"/>
        <v>-976.91721988794313</v>
      </c>
      <c r="K290" s="86">
        <f t="shared" si="68"/>
        <v>189917.34718262148</v>
      </c>
      <c r="L290" s="87">
        <f t="shared" si="69"/>
        <v>189917.34718262148</v>
      </c>
    </row>
    <row r="291" spans="1:12" s="38" customFormat="1" ht="12.75" x14ac:dyDescent="0.2">
      <c r="A291" s="40">
        <f t="shared" si="71"/>
        <v>23</v>
      </c>
      <c r="B291" s="80">
        <f t="shared" si="70"/>
        <v>48365</v>
      </c>
      <c r="C291" s="81">
        <f t="shared" si="61"/>
        <v>31</v>
      </c>
      <c r="D291" s="85">
        <f>DAYS360($B$16,B291)-SUM($D$16:D290)</f>
        <v>30</v>
      </c>
      <c r="E291" s="35">
        <f t="shared" si="62"/>
        <v>189917.34718262148</v>
      </c>
      <c r="F291" s="36">
        <f t="shared" si="63"/>
        <v>-6443.0140148550854</v>
      </c>
      <c r="G291" s="86">
        <f t="shared" si="64"/>
        <v>-5461.7743877448747</v>
      </c>
      <c r="H291" s="87">
        <f t="shared" si="65"/>
        <v>-5493.4272789419783</v>
      </c>
      <c r="I291" s="86">
        <f t="shared" si="66"/>
        <v>-981.23962711021102</v>
      </c>
      <c r="J291" s="87">
        <f t="shared" si="67"/>
        <v>-949.58673591310742</v>
      </c>
      <c r="K291" s="86">
        <f t="shared" si="68"/>
        <v>184455.57279487661</v>
      </c>
      <c r="L291" s="87">
        <f t="shared" si="69"/>
        <v>184423.91990367949</v>
      </c>
    </row>
    <row r="292" spans="1:12" s="38" customFormat="1" ht="12.75" x14ac:dyDescent="0.2">
      <c r="A292" s="40">
        <f t="shared" si="71"/>
        <v>23</v>
      </c>
      <c r="B292" s="80">
        <f t="shared" si="70"/>
        <v>48395</v>
      </c>
      <c r="C292" s="81">
        <f t="shared" si="61"/>
        <v>30</v>
      </c>
      <c r="D292" s="85">
        <f>DAYS360($B$16,B292)-SUM($D$16:D291)</f>
        <v>30</v>
      </c>
      <c r="E292" s="35">
        <f t="shared" si="62"/>
        <v>184455.57279487661</v>
      </c>
      <c r="F292" s="36">
        <f t="shared" si="63"/>
        <v>-6443.0140148550854</v>
      </c>
      <c r="G292" s="86">
        <f t="shared" si="64"/>
        <v>-5520.7361508807026</v>
      </c>
      <c r="H292" s="87">
        <f t="shared" si="65"/>
        <v>-5520.7361508807026</v>
      </c>
      <c r="I292" s="86">
        <f t="shared" si="66"/>
        <v>-922.27786397438308</v>
      </c>
      <c r="J292" s="87">
        <f t="shared" si="67"/>
        <v>-922.27786397438308</v>
      </c>
      <c r="K292" s="86">
        <f t="shared" si="68"/>
        <v>178934.83664399592</v>
      </c>
      <c r="L292" s="87">
        <f t="shared" si="69"/>
        <v>178934.83664399592</v>
      </c>
    </row>
    <row r="293" spans="1:12" s="38" customFormat="1" ht="12.75" x14ac:dyDescent="0.2">
      <c r="A293" s="40">
        <f>A281+1</f>
        <v>24</v>
      </c>
      <c r="B293" s="80">
        <f t="shared" si="70"/>
        <v>48426</v>
      </c>
      <c r="C293" s="81">
        <f t="shared" si="61"/>
        <v>31</v>
      </c>
      <c r="D293" s="85">
        <f>DAYS360($B$16,B293)-SUM($D$16:D292)</f>
        <v>30</v>
      </c>
      <c r="E293" s="35">
        <f t="shared" si="62"/>
        <v>178934.83664399592</v>
      </c>
      <c r="F293" s="36">
        <f t="shared" si="63"/>
        <v>-6443.0140148550854</v>
      </c>
      <c r="G293" s="86">
        <f t="shared" si="64"/>
        <v>-5518.5173588611069</v>
      </c>
      <c r="H293" s="87">
        <f t="shared" si="65"/>
        <v>-5548.3398316351058</v>
      </c>
      <c r="I293" s="86">
        <f t="shared" si="66"/>
        <v>-924.49665599397883</v>
      </c>
      <c r="J293" s="87">
        <f t="shared" si="67"/>
        <v>-894.67418321997945</v>
      </c>
      <c r="K293" s="86">
        <f t="shared" si="68"/>
        <v>173416.31928513481</v>
      </c>
      <c r="L293" s="87">
        <f t="shared" si="69"/>
        <v>173386.49681236083</v>
      </c>
    </row>
    <row r="294" spans="1:12" s="38" customFormat="1" ht="12.75" x14ac:dyDescent="0.2">
      <c r="A294" s="40">
        <f t="shared" ref="A294:A304" si="72">A293</f>
        <v>24</v>
      </c>
      <c r="B294" s="80">
        <f t="shared" si="70"/>
        <v>48457</v>
      </c>
      <c r="C294" s="81">
        <f t="shared" si="61"/>
        <v>31</v>
      </c>
      <c r="D294" s="85">
        <f>DAYS360($B$16,B294)-SUM($D$16:D293)</f>
        <v>30</v>
      </c>
      <c r="E294" s="35">
        <f t="shared" si="62"/>
        <v>173416.31928513481</v>
      </c>
      <c r="F294" s="36">
        <f t="shared" si="63"/>
        <v>-6443.0140148550854</v>
      </c>
      <c r="G294" s="86">
        <f t="shared" si="64"/>
        <v>-5547.0296985485556</v>
      </c>
      <c r="H294" s="87">
        <f t="shared" si="65"/>
        <v>-5575.932418429411</v>
      </c>
      <c r="I294" s="86">
        <f t="shared" si="66"/>
        <v>-895.98431630652999</v>
      </c>
      <c r="J294" s="87">
        <f t="shared" si="67"/>
        <v>-867.08159642567409</v>
      </c>
      <c r="K294" s="86">
        <f t="shared" si="68"/>
        <v>167869.28958658627</v>
      </c>
      <c r="L294" s="87">
        <f t="shared" si="69"/>
        <v>167840.3868667054</v>
      </c>
    </row>
    <row r="295" spans="1:12" s="38" customFormat="1" ht="12.75" x14ac:dyDescent="0.2">
      <c r="A295" s="40">
        <f t="shared" si="72"/>
        <v>24</v>
      </c>
      <c r="B295" s="80">
        <f t="shared" si="70"/>
        <v>48487</v>
      </c>
      <c r="C295" s="81">
        <f t="shared" si="61"/>
        <v>30</v>
      </c>
      <c r="D295" s="85">
        <f>DAYS360($B$16,B295)-SUM($D$16:D294)</f>
        <v>30</v>
      </c>
      <c r="E295" s="35">
        <f t="shared" si="62"/>
        <v>167869.28958658627</v>
      </c>
      <c r="F295" s="36">
        <f t="shared" si="63"/>
        <v>-6443.0140148550854</v>
      </c>
      <c r="G295" s="86">
        <f t="shared" si="64"/>
        <v>-5603.667566922154</v>
      </c>
      <c r="H295" s="87">
        <f t="shared" si="65"/>
        <v>-5603.667566922154</v>
      </c>
      <c r="I295" s="86">
        <f t="shared" si="66"/>
        <v>-839.34644793293148</v>
      </c>
      <c r="J295" s="87">
        <f t="shared" si="67"/>
        <v>-839.34644793293148</v>
      </c>
      <c r="K295" s="86">
        <f t="shared" si="68"/>
        <v>162265.62201966412</v>
      </c>
      <c r="L295" s="87">
        <f t="shared" si="69"/>
        <v>162265.62201966412</v>
      </c>
    </row>
    <row r="296" spans="1:12" s="38" customFormat="1" ht="12.75" x14ac:dyDescent="0.2">
      <c r="A296" s="40">
        <f t="shared" si="72"/>
        <v>24</v>
      </c>
      <c r="B296" s="80">
        <f t="shared" si="70"/>
        <v>48518</v>
      </c>
      <c r="C296" s="81">
        <f t="shared" si="61"/>
        <v>31</v>
      </c>
      <c r="D296" s="85">
        <f>DAYS360($B$16,B296)-SUM($D$16:D295)</f>
        <v>30</v>
      </c>
      <c r="E296" s="35">
        <f t="shared" si="62"/>
        <v>162265.62201966412</v>
      </c>
      <c r="F296" s="36">
        <f t="shared" si="63"/>
        <v>-6443.0140148550854</v>
      </c>
      <c r="G296" s="86">
        <f t="shared" si="64"/>
        <v>-5604.6416344201543</v>
      </c>
      <c r="H296" s="87">
        <f t="shared" si="65"/>
        <v>-5631.685904756765</v>
      </c>
      <c r="I296" s="86">
        <f t="shared" si="66"/>
        <v>-838.3723804349313</v>
      </c>
      <c r="J296" s="87">
        <f t="shared" si="67"/>
        <v>-811.32811009832062</v>
      </c>
      <c r="K296" s="86">
        <f t="shared" si="68"/>
        <v>156660.98038524398</v>
      </c>
      <c r="L296" s="87">
        <f t="shared" si="69"/>
        <v>156633.93611490735</v>
      </c>
    </row>
    <row r="297" spans="1:12" s="38" customFormat="1" ht="12.75" x14ac:dyDescent="0.2">
      <c r="A297" s="40">
        <f t="shared" si="72"/>
        <v>24</v>
      </c>
      <c r="B297" s="80">
        <f t="shared" si="70"/>
        <v>48548</v>
      </c>
      <c r="C297" s="81">
        <f t="shared" si="61"/>
        <v>30</v>
      </c>
      <c r="D297" s="85">
        <f>DAYS360($B$16,B297)-SUM($D$16:D296)</f>
        <v>30</v>
      </c>
      <c r="E297" s="35">
        <f t="shared" si="62"/>
        <v>156660.98038524398</v>
      </c>
      <c r="F297" s="36">
        <f t="shared" si="63"/>
        <v>-6443.0140148550854</v>
      </c>
      <c r="G297" s="86">
        <f t="shared" si="64"/>
        <v>-5659.7091129288656</v>
      </c>
      <c r="H297" s="87">
        <f t="shared" si="65"/>
        <v>-5659.7091129288656</v>
      </c>
      <c r="I297" s="86">
        <f t="shared" si="66"/>
        <v>-783.30490192621994</v>
      </c>
      <c r="J297" s="87">
        <f t="shared" si="67"/>
        <v>-783.30490192621994</v>
      </c>
      <c r="K297" s="86">
        <f t="shared" si="68"/>
        <v>151001.27127231512</v>
      </c>
      <c r="L297" s="87">
        <f t="shared" si="69"/>
        <v>151001.27127231512</v>
      </c>
    </row>
    <row r="298" spans="1:12" s="38" customFormat="1" ht="12.75" x14ac:dyDescent="0.2">
      <c r="A298" s="40">
        <f t="shared" si="72"/>
        <v>24</v>
      </c>
      <c r="B298" s="80">
        <f t="shared" si="70"/>
        <v>48579</v>
      </c>
      <c r="C298" s="81">
        <f t="shared" si="61"/>
        <v>31</v>
      </c>
      <c r="D298" s="85">
        <f>DAYS360($B$16,B298)-SUM($D$16:D297)</f>
        <v>30</v>
      </c>
      <c r="E298" s="35">
        <f t="shared" si="62"/>
        <v>151001.27127231512</v>
      </c>
      <c r="F298" s="36">
        <f t="shared" si="63"/>
        <v>-6443.0140148550854</v>
      </c>
      <c r="G298" s="86">
        <f t="shared" si="64"/>
        <v>-5662.8407799481238</v>
      </c>
      <c r="H298" s="87">
        <f t="shared" si="65"/>
        <v>-5688.0076584935096</v>
      </c>
      <c r="I298" s="86">
        <f t="shared" si="66"/>
        <v>-780.1732349069614</v>
      </c>
      <c r="J298" s="87">
        <f t="shared" si="67"/>
        <v>-755.00635636157563</v>
      </c>
      <c r="K298" s="86">
        <f t="shared" si="68"/>
        <v>145338.43049236698</v>
      </c>
      <c r="L298" s="87">
        <f t="shared" si="69"/>
        <v>145313.26361382162</v>
      </c>
    </row>
    <row r="299" spans="1:12" s="38" customFormat="1" ht="12.75" x14ac:dyDescent="0.2">
      <c r="A299" s="40">
        <f t="shared" si="72"/>
        <v>24</v>
      </c>
      <c r="B299" s="80">
        <f t="shared" si="70"/>
        <v>48610</v>
      </c>
      <c r="C299" s="81">
        <f t="shared" si="61"/>
        <v>31</v>
      </c>
      <c r="D299" s="85">
        <f>DAYS360($B$16,B299)-SUM($D$16:D298)</f>
        <v>30</v>
      </c>
      <c r="E299" s="35">
        <f t="shared" si="62"/>
        <v>145338.43049236698</v>
      </c>
      <c r="F299" s="36">
        <f t="shared" si="63"/>
        <v>-6443.0140148550854</v>
      </c>
      <c r="G299" s="86">
        <f t="shared" si="64"/>
        <v>-5692.0987906445225</v>
      </c>
      <c r="H299" s="87">
        <f t="shared" si="65"/>
        <v>-5716.3218623932507</v>
      </c>
      <c r="I299" s="86">
        <f t="shared" si="66"/>
        <v>-750.91522421056277</v>
      </c>
      <c r="J299" s="87">
        <f t="shared" si="67"/>
        <v>-726.69215246183489</v>
      </c>
      <c r="K299" s="86">
        <f t="shared" si="68"/>
        <v>139646.33170172246</v>
      </c>
      <c r="L299" s="87">
        <f t="shared" si="69"/>
        <v>139622.10862997372</v>
      </c>
    </row>
    <row r="300" spans="1:12" s="38" customFormat="1" ht="12.75" x14ac:dyDescent="0.2">
      <c r="A300" s="40">
        <f t="shared" si="72"/>
        <v>24</v>
      </c>
      <c r="B300" s="80">
        <f t="shared" si="70"/>
        <v>48638</v>
      </c>
      <c r="C300" s="81">
        <f t="shared" si="61"/>
        <v>28</v>
      </c>
      <c r="D300" s="85">
        <f>DAYS360($B$16,B300)-SUM($D$16:D299)</f>
        <v>28</v>
      </c>
      <c r="E300" s="35">
        <f t="shared" si="62"/>
        <v>139646.33170172246</v>
      </c>
      <c r="F300" s="36">
        <f t="shared" si="63"/>
        <v>-6443.0140148550854</v>
      </c>
      <c r="G300" s="86">
        <f t="shared" si="64"/>
        <v>-5791.331133580381</v>
      </c>
      <c r="H300" s="87">
        <f t="shared" si="65"/>
        <v>-5791.331133580381</v>
      </c>
      <c r="I300" s="86">
        <f t="shared" si="66"/>
        <v>-651.68288127470487</v>
      </c>
      <c r="J300" s="87">
        <f t="shared" si="67"/>
        <v>-651.68288127470487</v>
      </c>
      <c r="K300" s="86">
        <f t="shared" si="68"/>
        <v>133855.00056814207</v>
      </c>
      <c r="L300" s="87">
        <f t="shared" si="69"/>
        <v>133855.00056814207</v>
      </c>
    </row>
    <row r="301" spans="1:12" s="38" customFormat="1" ht="12.75" x14ac:dyDescent="0.2">
      <c r="A301" s="40">
        <f t="shared" si="72"/>
        <v>24</v>
      </c>
      <c r="B301" s="80">
        <f t="shared" si="70"/>
        <v>48669</v>
      </c>
      <c r="C301" s="81">
        <f t="shared" si="61"/>
        <v>31</v>
      </c>
      <c r="D301" s="85">
        <f>DAYS360($B$16,B301)-SUM($D$16:D300)</f>
        <v>32</v>
      </c>
      <c r="E301" s="35">
        <f t="shared" si="62"/>
        <v>133855.00056814207</v>
      </c>
      <c r="F301" s="36">
        <f t="shared" si="63"/>
        <v>-6443.0140148550854</v>
      </c>
      <c r="G301" s="86">
        <f t="shared" si="64"/>
        <v>-5751.4298452530184</v>
      </c>
      <c r="H301" s="87">
        <f t="shared" si="65"/>
        <v>-5729.1206784916612</v>
      </c>
      <c r="I301" s="86">
        <f t="shared" si="66"/>
        <v>-691.58416960206739</v>
      </c>
      <c r="J301" s="87">
        <f t="shared" si="67"/>
        <v>-713.8933363634244</v>
      </c>
      <c r="K301" s="86">
        <f t="shared" si="68"/>
        <v>128103.57072288905</v>
      </c>
      <c r="L301" s="87">
        <f t="shared" si="69"/>
        <v>128125.87988965042</v>
      </c>
    </row>
    <row r="302" spans="1:12" s="38" customFormat="1" ht="12.75" x14ac:dyDescent="0.2">
      <c r="A302" s="40">
        <f t="shared" si="72"/>
        <v>24</v>
      </c>
      <c r="B302" s="80">
        <f t="shared" si="70"/>
        <v>48699</v>
      </c>
      <c r="C302" s="81">
        <f t="shared" si="61"/>
        <v>30</v>
      </c>
      <c r="D302" s="85">
        <f>DAYS360($B$16,B302)-SUM($D$16:D301)</f>
        <v>30</v>
      </c>
      <c r="E302" s="35">
        <f t="shared" si="62"/>
        <v>128103.57072288905</v>
      </c>
      <c r="F302" s="36">
        <f t="shared" si="63"/>
        <v>-6443.0140148550854</v>
      </c>
      <c r="G302" s="86">
        <f t="shared" si="64"/>
        <v>-5802.4961612406405</v>
      </c>
      <c r="H302" s="87">
        <f t="shared" si="65"/>
        <v>-5802.4961612406405</v>
      </c>
      <c r="I302" s="86">
        <f t="shared" si="66"/>
        <v>-640.51785361444524</v>
      </c>
      <c r="J302" s="87">
        <f t="shared" si="67"/>
        <v>-640.51785361444524</v>
      </c>
      <c r="K302" s="86">
        <f t="shared" si="68"/>
        <v>122301.07456164842</v>
      </c>
      <c r="L302" s="87">
        <f t="shared" si="69"/>
        <v>122301.07456164842</v>
      </c>
    </row>
    <row r="303" spans="1:12" s="38" customFormat="1" ht="12.75" x14ac:dyDescent="0.2">
      <c r="A303" s="40">
        <f t="shared" si="72"/>
        <v>24</v>
      </c>
      <c r="B303" s="80">
        <f t="shared" si="70"/>
        <v>48730</v>
      </c>
      <c r="C303" s="81">
        <f t="shared" si="61"/>
        <v>31</v>
      </c>
      <c r="D303" s="85">
        <f>DAYS360($B$16,B303)-SUM($D$16:D302)</f>
        <v>30</v>
      </c>
      <c r="E303" s="35">
        <f t="shared" si="62"/>
        <v>122301.07456164842</v>
      </c>
      <c r="F303" s="36">
        <f t="shared" si="63"/>
        <v>-6443.0140148550854</v>
      </c>
      <c r="G303" s="86">
        <f t="shared" si="64"/>
        <v>-5811.1251296199016</v>
      </c>
      <c r="H303" s="87">
        <f t="shared" si="65"/>
        <v>-5831.5086420468433</v>
      </c>
      <c r="I303" s="86">
        <f t="shared" si="66"/>
        <v>-631.88888523518347</v>
      </c>
      <c r="J303" s="87">
        <f t="shared" si="67"/>
        <v>-611.5053728082421</v>
      </c>
      <c r="K303" s="86">
        <f t="shared" si="68"/>
        <v>116489.94943202852</v>
      </c>
      <c r="L303" s="87">
        <f t="shared" si="69"/>
        <v>116469.56591960158</v>
      </c>
    </row>
    <row r="304" spans="1:12" s="38" customFormat="1" ht="12.75" x14ac:dyDescent="0.2">
      <c r="A304" s="40">
        <f t="shared" si="72"/>
        <v>24</v>
      </c>
      <c r="B304" s="80">
        <f t="shared" si="70"/>
        <v>48760</v>
      </c>
      <c r="C304" s="81">
        <f t="shared" si="61"/>
        <v>30</v>
      </c>
      <c r="D304" s="85">
        <f>DAYS360($B$16,B304)-SUM($D$16:D303)</f>
        <v>30</v>
      </c>
      <c r="E304" s="35">
        <f t="shared" si="62"/>
        <v>116489.94943202852</v>
      </c>
      <c r="F304" s="36">
        <f t="shared" si="63"/>
        <v>-6443.0140148550854</v>
      </c>
      <c r="G304" s="86">
        <f t="shared" si="64"/>
        <v>-5860.5642676949428</v>
      </c>
      <c r="H304" s="87">
        <f t="shared" si="65"/>
        <v>-5860.5642676949428</v>
      </c>
      <c r="I304" s="86">
        <f t="shared" si="66"/>
        <v>-582.44974716014258</v>
      </c>
      <c r="J304" s="87">
        <f t="shared" si="67"/>
        <v>-582.44974716014258</v>
      </c>
      <c r="K304" s="86">
        <f t="shared" si="68"/>
        <v>110629.38516433357</v>
      </c>
      <c r="L304" s="87">
        <f t="shared" si="69"/>
        <v>110629.38516433357</v>
      </c>
    </row>
    <row r="305" spans="1:17" s="38" customFormat="1" ht="12.75" x14ac:dyDescent="0.2">
      <c r="A305" s="40">
        <f>A293+1</f>
        <v>25</v>
      </c>
      <c r="B305" s="80">
        <f t="shared" si="70"/>
        <v>48791</v>
      </c>
      <c r="C305" s="81">
        <f t="shared" si="61"/>
        <v>31</v>
      </c>
      <c r="D305" s="85">
        <f>DAYS360($B$16,B305)-SUM($D$16:D304)</f>
        <v>30</v>
      </c>
      <c r="E305" s="35">
        <f t="shared" si="62"/>
        <v>110629.38516433357</v>
      </c>
      <c r="F305" s="36">
        <f t="shared" si="63"/>
        <v>-6443.0140148550854</v>
      </c>
      <c r="G305" s="86">
        <f t="shared" si="64"/>
        <v>-5871.4288581726951</v>
      </c>
      <c r="H305" s="87">
        <f t="shared" si="65"/>
        <v>-5889.8670890334179</v>
      </c>
      <c r="I305" s="86">
        <f t="shared" si="66"/>
        <v>-571.58515668239011</v>
      </c>
      <c r="J305" s="87">
        <f t="shared" si="67"/>
        <v>-553.14692582166788</v>
      </c>
      <c r="K305" s="86">
        <f t="shared" si="68"/>
        <v>104757.95630616086</v>
      </c>
      <c r="L305" s="87">
        <f t="shared" si="69"/>
        <v>104739.51807530015</v>
      </c>
    </row>
    <row r="306" spans="1:17" s="38" customFormat="1" ht="12.75" x14ac:dyDescent="0.2">
      <c r="A306" s="40">
        <f t="shared" ref="A306:A316" si="73">A305</f>
        <v>25</v>
      </c>
      <c r="B306" s="80">
        <f t="shared" si="70"/>
        <v>48822</v>
      </c>
      <c r="C306" s="81">
        <f t="shared" si="61"/>
        <v>31</v>
      </c>
      <c r="D306" s="85">
        <f>DAYS360($B$16,B306)-SUM($D$16:D305)</f>
        <v>30</v>
      </c>
      <c r="E306" s="35">
        <f t="shared" si="62"/>
        <v>104757.95630616086</v>
      </c>
      <c r="F306" s="36">
        <f t="shared" si="63"/>
        <v>-6443.0140148550854</v>
      </c>
      <c r="G306" s="86">
        <f t="shared" si="64"/>
        <v>-5901.7645739399213</v>
      </c>
      <c r="H306" s="87">
        <f t="shared" si="65"/>
        <v>-5919.2242333242812</v>
      </c>
      <c r="I306" s="86">
        <f t="shared" si="66"/>
        <v>-541.24944091516454</v>
      </c>
      <c r="J306" s="87">
        <f t="shared" si="67"/>
        <v>-523.78978153080436</v>
      </c>
      <c r="K306" s="86">
        <f t="shared" si="68"/>
        <v>98856.191732220948</v>
      </c>
      <c r="L306" s="87">
        <f t="shared" si="69"/>
        <v>98838.732072836588</v>
      </c>
    </row>
    <row r="307" spans="1:17" s="38" customFormat="1" ht="12.75" x14ac:dyDescent="0.2">
      <c r="A307" s="40">
        <f t="shared" si="73"/>
        <v>25</v>
      </c>
      <c r="B307" s="80">
        <f t="shared" si="70"/>
        <v>48852</v>
      </c>
      <c r="C307" s="81">
        <f t="shared" si="61"/>
        <v>30</v>
      </c>
      <c r="D307" s="85">
        <f>DAYS360($B$16,B307)-SUM($D$16:D306)</f>
        <v>30</v>
      </c>
      <c r="E307" s="35">
        <f t="shared" si="62"/>
        <v>98856.191732220948</v>
      </c>
      <c r="F307" s="36">
        <f t="shared" si="63"/>
        <v>-6443.0140148550854</v>
      </c>
      <c r="G307" s="86">
        <f t="shared" si="64"/>
        <v>-5948.7330561939807</v>
      </c>
      <c r="H307" s="87">
        <f t="shared" si="65"/>
        <v>-5948.7330561939807</v>
      </c>
      <c r="I307" s="86">
        <f t="shared" si="66"/>
        <v>-494.28095866110476</v>
      </c>
      <c r="J307" s="87">
        <f t="shared" si="67"/>
        <v>-494.28095866110476</v>
      </c>
      <c r="K307" s="86">
        <f t="shared" si="68"/>
        <v>92907.458676026974</v>
      </c>
      <c r="L307" s="87">
        <f t="shared" si="69"/>
        <v>92907.458676026974</v>
      </c>
    </row>
    <row r="308" spans="1:17" s="38" customFormat="1" ht="12.75" x14ac:dyDescent="0.2">
      <c r="A308" s="40">
        <f t="shared" si="73"/>
        <v>25</v>
      </c>
      <c r="B308" s="80">
        <f t="shared" si="70"/>
        <v>48883</v>
      </c>
      <c r="C308" s="81">
        <f t="shared" si="61"/>
        <v>31</v>
      </c>
      <c r="D308" s="85">
        <f>DAYS360($B$16,B308)-SUM($D$16:D307)</f>
        <v>30</v>
      </c>
      <c r="E308" s="35">
        <f t="shared" si="62"/>
        <v>92907.458676026974</v>
      </c>
      <c r="F308" s="36">
        <f t="shared" si="63"/>
        <v>-6443.0140148550854</v>
      </c>
      <c r="G308" s="86">
        <f t="shared" si="64"/>
        <v>-5962.9921450289457</v>
      </c>
      <c r="H308" s="87">
        <f t="shared" si="65"/>
        <v>-5978.4767214749509</v>
      </c>
      <c r="I308" s="86">
        <f t="shared" si="66"/>
        <v>-480.02186982613938</v>
      </c>
      <c r="J308" s="87">
        <f t="shared" si="67"/>
        <v>-464.53729338013488</v>
      </c>
      <c r="K308" s="86">
        <f t="shared" si="68"/>
        <v>86944.466530998034</v>
      </c>
      <c r="L308" s="87">
        <f t="shared" si="69"/>
        <v>86928.981954552029</v>
      </c>
    </row>
    <row r="309" spans="1:17" s="38" customFormat="1" ht="12.75" x14ac:dyDescent="0.2">
      <c r="A309" s="40">
        <f t="shared" si="73"/>
        <v>25</v>
      </c>
      <c r="B309" s="80">
        <f t="shared" si="70"/>
        <v>48913</v>
      </c>
      <c r="C309" s="81">
        <f t="shared" si="61"/>
        <v>30</v>
      </c>
      <c r="D309" s="85">
        <f>DAYS360($B$16,B309)-SUM($D$16:D308)</f>
        <v>30</v>
      </c>
      <c r="E309" s="35">
        <f t="shared" si="62"/>
        <v>86944.466530998034</v>
      </c>
      <c r="F309" s="36">
        <f t="shared" si="63"/>
        <v>-6443.0140148550854</v>
      </c>
      <c r="G309" s="86">
        <f t="shared" si="64"/>
        <v>-6008.2916822000952</v>
      </c>
      <c r="H309" s="87">
        <f t="shared" si="65"/>
        <v>-6008.2916822000952</v>
      </c>
      <c r="I309" s="86">
        <f t="shared" si="66"/>
        <v>-434.72233265499017</v>
      </c>
      <c r="J309" s="87">
        <f t="shared" si="67"/>
        <v>-434.72233265499017</v>
      </c>
      <c r="K309" s="86">
        <f t="shared" si="68"/>
        <v>80936.174848797935</v>
      </c>
      <c r="L309" s="87">
        <f t="shared" si="69"/>
        <v>80936.174848797935</v>
      </c>
    </row>
    <row r="310" spans="1:17" s="38" customFormat="1" ht="12.75" x14ac:dyDescent="0.2">
      <c r="A310" s="40">
        <f t="shared" si="73"/>
        <v>25</v>
      </c>
      <c r="B310" s="80">
        <f t="shared" si="70"/>
        <v>48944</v>
      </c>
      <c r="C310" s="81">
        <f t="shared" si="61"/>
        <v>31</v>
      </c>
      <c r="D310" s="85">
        <f>DAYS360($B$16,B310)-SUM($D$16:D309)</f>
        <v>30</v>
      </c>
      <c r="E310" s="35">
        <f t="shared" si="62"/>
        <v>80936.174848797935</v>
      </c>
      <c r="F310" s="36">
        <f t="shared" si="63"/>
        <v>-6443.0140148550854</v>
      </c>
      <c r="G310" s="86">
        <f t="shared" si="64"/>
        <v>-6024.8437781362964</v>
      </c>
      <c r="H310" s="87">
        <f t="shared" si="65"/>
        <v>-6038.3331406110956</v>
      </c>
      <c r="I310" s="86">
        <f t="shared" si="66"/>
        <v>-418.17023671878934</v>
      </c>
      <c r="J310" s="87">
        <f t="shared" si="67"/>
        <v>-404.68087424398971</v>
      </c>
      <c r="K310" s="86">
        <f t="shared" si="68"/>
        <v>74911.331070661632</v>
      </c>
      <c r="L310" s="87">
        <f t="shared" si="69"/>
        <v>74897.841708186839</v>
      </c>
    </row>
    <row r="311" spans="1:17" s="38" customFormat="1" ht="12.75" x14ac:dyDescent="0.2">
      <c r="A311" s="40">
        <f t="shared" si="73"/>
        <v>25</v>
      </c>
      <c r="B311" s="80">
        <f t="shared" si="70"/>
        <v>48975</v>
      </c>
      <c r="C311" s="81">
        <f t="shared" si="61"/>
        <v>31</v>
      </c>
      <c r="D311" s="85">
        <f>DAYS360($B$16,B311)-SUM($D$16:D310)</f>
        <v>30</v>
      </c>
      <c r="E311" s="35">
        <f t="shared" si="62"/>
        <v>74911.331070661632</v>
      </c>
      <c r="F311" s="36">
        <f t="shared" si="63"/>
        <v>-6443.0140148550854</v>
      </c>
      <c r="G311" s="86">
        <f t="shared" si="64"/>
        <v>-6055.9721376566667</v>
      </c>
      <c r="H311" s="87">
        <f t="shared" si="65"/>
        <v>-6068.4573595017773</v>
      </c>
      <c r="I311" s="86">
        <f t="shared" si="66"/>
        <v>-387.04187719841843</v>
      </c>
      <c r="J311" s="87">
        <f t="shared" si="67"/>
        <v>-374.55665535330814</v>
      </c>
      <c r="K311" s="86">
        <f t="shared" si="68"/>
        <v>68855.358933004958</v>
      </c>
      <c r="L311" s="87">
        <f t="shared" si="69"/>
        <v>68842.87371115986</v>
      </c>
    </row>
    <row r="312" spans="1:17" s="38" customFormat="1" ht="12.75" x14ac:dyDescent="0.2">
      <c r="A312" s="40">
        <f t="shared" si="73"/>
        <v>25</v>
      </c>
      <c r="B312" s="80">
        <f t="shared" si="70"/>
        <v>49003</v>
      </c>
      <c r="C312" s="81">
        <f t="shared" si="61"/>
        <v>28</v>
      </c>
      <c r="D312" s="85">
        <f>DAYS360($B$16,B312)-SUM($D$16:D311)</f>
        <v>28</v>
      </c>
      <c r="E312" s="35">
        <f t="shared" si="62"/>
        <v>68855.358933004958</v>
      </c>
      <c r="F312" s="36">
        <f t="shared" si="63"/>
        <v>-6443.0140148550854</v>
      </c>
      <c r="G312" s="86">
        <f t="shared" si="64"/>
        <v>-6121.6890065010621</v>
      </c>
      <c r="H312" s="87">
        <f t="shared" si="65"/>
        <v>-6121.6890065010621</v>
      </c>
      <c r="I312" s="86">
        <f t="shared" si="66"/>
        <v>-321.32500835402317</v>
      </c>
      <c r="J312" s="87">
        <f t="shared" si="67"/>
        <v>-321.32500835402317</v>
      </c>
      <c r="K312" s="86">
        <f t="shared" si="68"/>
        <v>62733.669926503899</v>
      </c>
      <c r="L312" s="87">
        <f t="shared" si="69"/>
        <v>62733.669926503899</v>
      </c>
    </row>
    <row r="313" spans="1:17" s="38" customFormat="1" ht="12.75" x14ac:dyDescent="0.2">
      <c r="A313" s="40">
        <f t="shared" si="73"/>
        <v>25</v>
      </c>
      <c r="B313" s="80">
        <f t="shared" si="70"/>
        <v>49034</v>
      </c>
      <c r="C313" s="81">
        <f t="shared" si="61"/>
        <v>31</v>
      </c>
      <c r="D313" s="85">
        <f>DAYS360($B$16,B313)-SUM($D$16:D312)</f>
        <v>32</v>
      </c>
      <c r="E313" s="35">
        <f t="shared" si="62"/>
        <v>62733.669926503899</v>
      </c>
      <c r="F313" s="36">
        <f t="shared" si="63"/>
        <v>-6443.0140148550854</v>
      </c>
      <c r="G313" s="86">
        <f t="shared" si="64"/>
        <v>-6118.8900535681487</v>
      </c>
      <c r="H313" s="87">
        <f t="shared" si="65"/>
        <v>-6108.4344419137315</v>
      </c>
      <c r="I313" s="86">
        <f t="shared" si="66"/>
        <v>-324.12396128693678</v>
      </c>
      <c r="J313" s="87">
        <f t="shared" si="67"/>
        <v>-334.57957294135412</v>
      </c>
      <c r="K313" s="86">
        <f t="shared" si="68"/>
        <v>56614.779872935753</v>
      </c>
      <c r="L313" s="87">
        <f t="shared" si="69"/>
        <v>56625.235484590165</v>
      </c>
    </row>
    <row r="314" spans="1:17" s="38" customFormat="1" ht="12.75" x14ac:dyDescent="0.2">
      <c r="A314" s="40">
        <f t="shared" si="73"/>
        <v>25</v>
      </c>
      <c r="B314" s="80">
        <f t="shared" si="70"/>
        <v>49064</v>
      </c>
      <c r="C314" s="81">
        <f t="shared" si="61"/>
        <v>30</v>
      </c>
      <c r="D314" s="85">
        <f>DAYS360($B$16,B314)-SUM($D$16:D313)</f>
        <v>30</v>
      </c>
      <c r="E314" s="35">
        <f t="shared" si="62"/>
        <v>56614.779872935753</v>
      </c>
      <c r="F314" s="36">
        <f t="shared" si="63"/>
        <v>-6443.0140148550854</v>
      </c>
      <c r="G314" s="86">
        <f t="shared" si="64"/>
        <v>-6159.9401154904062</v>
      </c>
      <c r="H314" s="87">
        <f t="shared" si="65"/>
        <v>-6159.9401154904062</v>
      </c>
      <c r="I314" s="86">
        <f t="shared" si="66"/>
        <v>-283.07389936467877</v>
      </c>
      <c r="J314" s="87">
        <f t="shared" si="67"/>
        <v>-283.07389936467877</v>
      </c>
      <c r="K314" s="86">
        <f t="shared" si="68"/>
        <v>50454.839757445348</v>
      </c>
      <c r="L314" s="87">
        <f t="shared" si="69"/>
        <v>50454.839757445348</v>
      </c>
    </row>
    <row r="315" spans="1:17" s="38" customFormat="1" ht="12.75" x14ac:dyDescent="0.2">
      <c r="A315" s="40">
        <f t="shared" si="73"/>
        <v>25</v>
      </c>
      <c r="B315" s="80">
        <f t="shared" si="70"/>
        <v>49095</v>
      </c>
      <c r="C315" s="81">
        <f t="shared" si="61"/>
        <v>31</v>
      </c>
      <c r="D315" s="85">
        <f>DAYS360($B$16,B315)-SUM($D$16:D314)</f>
        <v>30</v>
      </c>
      <c r="E315" s="35">
        <f t="shared" si="62"/>
        <v>50454.839757445348</v>
      </c>
      <c r="F315" s="36">
        <f t="shared" si="63"/>
        <v>-6443.0140148550854</v>
      </c>
      <c r="G315" s="86">
        <f t="shared" si="64"/>
        <v>-6182.330676108284</v>
      </c>
      <c r="H315" s="87">
        <f t="shared" si="65"/>
        <v>-6190.7398160678586</v>
      </c>
      <c r="I315" s="86">
        <f t="shared" si="66"/>
        <v>-260.68333874680098</v>
      </c>
      <c r="J315" s="87">
        <f t="shared" si="67"/>
        <v>-252.27419878722674</v>
      </c>
      <c r="K315" s="86">
        <f t="shared" si="68"/>
        <v>44272.509081337063</v>
      </c>
      <c r="L315" s="87">
        <f t="shared" si="69"/>
        <v>44264.099941377492</v>
      </c>
    </row>
    <row r="316" spans="1:17" s="38" customFormat="1" ht="12.75" x14ac:dyDescent="0.2">
      <c r="A316" s="40">
        <f t="shared" si="73"/>
        <v>25</v>
      </c>
      <c r="B316" s="80">
        <f t="shared" si="70"/>
        <v>49125</v>
      </c>
      <c r="C316" s="81">
        <f t="shared" si="61"/>
        <v>30</v>
      </c>
      <c r="D316" s="85">
        <f>DAYS360($B$16,B316)-SUM($D$16:D315)</f>
        <v>30</v>
      </c>
      <c r="E316" s="35">
        <f t="shared" si="62"/>
        <v>44272.509081337063</v>
      </c>
      <c r="F316" s="36">
        <f t="shared" si="63"/>
        <v>-6443.0140148550854</v>
      </c>
      <c r="G316" s="86">
        <f t="shared" si="64"/>
        <v>-6221.6514694484003</v>
      </c>
      <c r="H316" s="87">
        <f t="shared" si="65"/>
        <v>-6221.6514694484003</v>
      </c>
      <c r="I316" s="86">
        <f t="shared" si="66"/>
        <v>-221.36254540668531</v>
      </c>
      <c r="J316" s="87">
        <f t="shared" si="67"/>
        <v>-221.36254540668531</v>
      </c>
      <c r="K316" s="86">
        <f t="shared" si="68"/>
        <v>38050.857611888663</v>
      </c>
      <c r="L316" s="87">
        <f t="shared" si="69"/>
        <v>38050.857611888663</v>
      </c>
    </row>
    <row r="317" spans="1:17" x14ac:dyDescent="0.25">
      <c r="A317" s="1" t="s">
        <v>42</v>
      </c>
      <c r="B317" s="1" t="s">
        <v>42</v>
      </c>
      <c r="C317" s="1" t="s">
        <v>42</v>
      </c>
      <c r="D317" s="1"/>
      <c r="E317" s="1" t="s">
        <v>42</v>
      </c>
      <c r="F317" s="1" t="s">
        <v>42</v>
      </c>
      <c r="G317" s="1" t="s">
        <v>42</v>
      </c>
      <c r="H317" s="1" t="s">
        <v>42</v>
      </c>
      <c r="I317" s="88" t="s">
        <v>42</v>
      </c>
      <c r="J317" s="89" t="s">
        <v>42</v>
      </c>
      <c r="K317" s="1" t="s">
        <v>42</v>
      </c>
      <c r="L317" s="1" t="s">
        <v>42</v>
      </c>
      <c r="M317" s="1"/>
      <c r="N317" s="1"/>
      <c r="O317" s="1"/>
      <c r="P317" s="1"/>
      <c r="Q317" s="1"/>
    </row>
    <row r="318" spans="1:17" x14ac:dyDescent="0.25">
      <c r="A318" s="1"/>
      <c r="B318" s="42"/>
      <c r="C318" s="43"/>
      <c r="D318" s="43"/>
      <c r="E318" s="43"/>
      <c r="F318" s="43"/>
      <c r="G318" s="44"/>
      <c r="H318" s="44"/>
      <c r="I318" s="90"/>
      <c r="J318" s="91"/>
    </row>
    <row r="319" spans="1:17" x14ac:dyDescent="0.25">
      <c r="E319" s="43"/>
      <c r="G319" s="44"/>
      <c r="H319" s="43" t="s">
        <v>43</v>
      </c>
      <c r="I319" s="90">
        <f>SUM(I17:I316)</f>
        <v>-970955.06206841394</v>
      </c>
      <c r="J319" s="91">
        <f>SUM(J17:J316)</f>
        <v>-956888.9600804568</v>
      </c>
      <c r="K319" s="44"/>
      <c r="L319" s="44"/>
    </row>
    <row r="320" spans="1:17" x14ac:dyDescent="0.25">
      <c r="E320" s="43"/>
      <c r="F320" s="47"/>
      <c r="G320" s="48"/>
      <c r="H320" s="48"/>
      <c r="J320" s="48"/>
    </row>
    <row r="321" spans="1:10" x14ac:dyDescent="0.25">
      <c r="E321" s="49"/>
      <c r="F321" s="43"/>
      <c r="G321" s="44"/>
      <c r="H321" s="44"/>
      <c r="I321" s="48" t="s">
        <v>44</v>
      </c>
      <c r="J321" s="44"/>
    </row>
    <row r="322" spans="1:10" x14ac:dyDescent="0.25">
      <c r="E322" s="43"/>
      <c r="F322" s="43"/>
      <c r="G322" s="44"/>
      <c r="H322" s="44"/>
      <c r="I322" s="44"/>
      <c r="J322" s="44"/>
    </row>
    <row r="323" spans="1:10" x14ac:dyDescent="0.25">
      <c r="E323" s="43"/>
      <c r="F323" s="43"/>
      <c r="G323" s="44"/>
      <c r="H323" s="44"/>
      <c r="I323" s="44"/>
      <c r="J323" s="44"/>
    </row>
    <row r="324" spans="1:10" x14ac:dyDescent="0.25">
      <c r="E324" s="43"/>
      <c r="F324" s="43"/>
      <c r="G324" s="44"/>
      <c r="H324" s="44"/>
      <c r="I324" s="44"/>
      <c r="J324" s="44"/>
    </row>
    <row r="325" spans="1:10" x14ac:dyDescent="0.25">
      <c r="E325" s="43"/>
      <c r="F325" s="43"/>
      <c r="G325" s="44"/>
      <c r="H325" s="44"/>
      <c r="I325" s="44"/>
      <c r="J325" s="44"/>
    </row>
    <row r="326" spans="1:10" x14ac:dyDescent="0.25">
      <c r="E326" s="43"/>
      <c r="F326" s="43"/>
      <c r="G326" s="44"/>
      <c r="H326" s="44"/>
      <c r="I326" s="44"/>
      <c r="J326" s="44"/>
    </row>
    <row r="327" spans="1:10" x14ac:dyDescent="0.25">
      <c r="A327" s="1"/>
      <c r="F327" s="43"/>
      <c r="G327" s="44"/>
      <c r="H327" s="44"/>
      <c r="I327" s="44"/>
      <c r="J327" s="44"/>
    </row>
    <row r="328" spans="1:10" x14ac:dyDescent="0.25">
      <c r="A328" s="1"/>
      <c r="F328" s="43"/>
      <c r="G328" s="44"/>
      <c r="H328" s="44"/>
      <c r="I328" s="44"/>
      <c r="J328" s="44"/>
    </row>
    <row r="329" spans="1:10" x14ac:dyDescent="0.25">
      <c r="A329" s="1"/>
      <c r="F329" s="43"/>
      <c r="G329" s="44"/>
      <c r="H329" s="44"/>
      <c r="I329" s="44"/>
      <c r="J329" s="44"/>
    </row>
    <row r="330" spans="1:10" x14ac:dyDescent="0.25">
      <c r="A330" s="1"/>
      <c r="F330" s="43"/>
      <c r="G330" s="44"/>
      <c r="H330" s="44"/>
      <c r="I330" s="44"/>
      <c r="J330" s="44"/>
    </row>
    <row r="331" spans="1:10" x14ac:dyDescent="0.25">
      <c r="A331" s="1"/>
      <c r="F331" s="43"/>
      <c r="G331" s="44"/>
      <c r="H331" s="44"/>
      <c r="I331" s="44"/>
      <c r="J331" s="44"/>
    </row>
    <row r="332" spans="1:10" x14ac:dyDescent="0.25">
      <c r="A332" s="1"/>
      <c r="F332" s="43"/>
      <c r="G332" s="44"/>
      <c r="H332" s="44"/>
      <c r="I332" s="44"/>
      <c r="J332" s="44"/>
    </row>
    <row r="333" spans="1:10" x14ac:dyDescent="0.25">
      <c r="A333" s="1"/>
      <c r="F333" s="43"/>
      <c r="G333" s="44"/>
      <c r="H333" s="44"/>
      <c r="I333" s="44"/>
      <c r="J333" s="44"/>
    </row>
    <row r="334" spans="1:10" x14ac:dyDescent="0.25">
      <c r="A334" s="1"/>
      <c r="F334" s="43"/>
      <c r="G334" s="44"/>
      <c r="H334" s="44"/>
      <c r="I334" s="44"/>
      <c r="J334" s="44"/>
    </row>
    <row r="335" spans="1:10" x14ac:dyDescent="0.25">
      <c r="A335" s="1"/>
      <c r="F335" s="43"/>
      <c r="G335" s="44"/>
      <c r="H335" s="44"/>
      <c r="I335" s="44"/>
      <c r="J335" s="44"/>
    </row>
    <row r="336" spans="1:10" x14ac:dyDescent="0.25">
      <c r="A336" s="1"/>
      <c r="F336" s="43"/>
      <c r="G336" s="44"/>
      <c r="H336" s="44"/>
      <c r="I336" s="44"/>
      <c r="J336" s="44"/>
    </row>
    <row r="337" spans="1:10" x14ac:dyDescent="0.25">
      <c r="A337" s="1"/>
      <c r="F337" s="43"/>
      <c r="G337" s="44"/>
      <c r="H337" s="44"/>
      <c r="I337" s="44"/>
      <c r="J337" s="44"/>
    </row>
    <row r="338" spans="1:10" x14ac:dyDescent="0.25">
      <c r="A338" s="1"/>
      <c r="F338" s="43"/>
      <c r="G338" s="44"/>
      <c r="H338" s="44"/>
      <c r="I338" s="44"/>
      <c r="J338" s="44"/>
    </row>
    <row r="339" spans="1:10" x14ac:dyDescent="0.25">
      <c r="A339" s="1"/>
      <c r="F339" s="43"/>
      <c r="G339" s="44"/>
      <c r="H339" s="44"/>
      <c r="I339" s="44"/>
      <c r="J339" s="44"/>
    </row>
    <row r="340" spans="1:10" x14ac:dyDescent="0.25">
      <c r="A340" s="1"/>
      <c r="F340" s="43"/>
      <c r="G340" s="44"/>
      <c r="H340" s="44"/>
      <c r="I340" s="44"/>
      <c r="J340" s="44"/>
    </row>
    <row r="341" spans="1:10" x14ac:dyDescent="0.25">
      <c r="A341" s="1"/>
      <c r="F341" s="43"/>
      <c r="G341" s="44"/>
      <c r="H341" s="44"/>
      <c r="I341" s="44"/>
      <c r="J341" s="44"/>
    </row>
    <row r="342" spans="1:10" x14ac:dyDescent="0.25">
      <c r="A342" s="1"/>
      <c r="F342" s="43"/>
      <c r="G342" s="44"/>
      <c r="H342" s="44"/>
      <c r="I342" s="44"/>
      <c r="J342" s="44"/>
    </row>
    <row r="343" spans="1:10" x14ac:dyDescent="0.25">
      <c r="A343" s="1"/>
      <c r="F343" s="43"/>
      <c r="G343" s="44"/>
      <c r="H343" s="44"/>
      <c r="I343" s="44"/>
      <c r="J343" s="44"/>
    </row>
    <row r="344" spans="1:10" x14ac:dyDescent="0.25">
      <c r="A344" s="1"/>
      <c r="F344" s="43"/>
      <c r="G344" s="44"/>
      <c r="H344" s="44"/>
      <c r="I344" s="44"/>
      <c r="J344" s="44"/>
    </row>
    <row r="345" spans="1:10" x14ac:dyDescent="0.25">
      <c r="A345" s="1"/>
      <c r="F345" s="43"/>
      <c r="G345" s="44"/>
      <c r="H345" s="44"/>
      <c r="I345" s="44"/>
      <c r="J345" s="44"/>
    </row>
    <row r="346" spans="1:10" x14ac:dyDescent="0.25">
      <c r="A346" s="1"/>
      <c r="F346" s="43"/>
      <c r="G346" s="44"/>
      <c r="H346" s="44"/>
      <c r="I346" s="44"/>
      <c r="J346" s="44"/>
    </row>
    <row r="347" spans="1:10" x14ac:dyDescent="0.25">
      <c r="A347" s="1"/>
      <c r="F347" s="43"/>
      <c r="G347" s="44"/>
      <c r="H347" s="44"/>
      <c r="I347" s="44"/>
      <c r="J347" s="44"/>
    </row>
    <row r="348" spans="1:10" x14ac:dyDescent="0.25">
      <c r="A348" s="1"/>
      <c r="F348" s="43"/>
      <c r="G348" s="44"/>
      <c r="H348" s="44"/>
      <c r="I348" s="44"/>
      <c r="J348" s="44"/>
    </row>
    <row r="349" spans="1:10" x14ac:dyDescent="0.25">
      <c r="A349" s="1"/>
      <c r="F349" s="43"/>
      <c r="G349" s="44"/>
      <c r="H349" s="44"/>
      <c r="I349" s="44"/>
      <c r="J349" s="44"/>
    </row>
    <row r="350" spans="1:10" x14ac:dyDescent="0.25">
      <c r="A350" s="1"/>
      <c r="F350" s="43"/>
      <c r="G350" s="44"/>
      <c r="H350" s="44"/>
      <c r="I350" s="44"/>
      <c r="J350" s="44"/>
    </row>
    <row r="351" spans="1:10" x14ac:dyDescent="0.25">
      <c r="A351" s="1"/>
      <c r="F351" s="43"/>
      <c r="G351" s="44"/>
      <c r="H351" s="44"/>
      <c r="I351" s="44"/>
      <c r="J351" s="44"/>
    </row>
    <row r="352" spans="1:10" x14ac:dyDescent="0.25">
      <c r="A352" s="1"/>
      <c r="F352" s="43"/>
      <c r="G352" s="44"/>
      <c r="H352" s="44"/>
      <c r="I352" s="44"/>
      <c r="J352" s="44"/>
    </row>
    <row r="353" spans="1:10" x14ac:dyDescent="0.25">
      <c r="A353" s="1"/>
      <c r="B353" s="42"/>
      <c r="C353" s="43"/>
      <c r="D353" s="43"/>
      <c r="E353" s="43"/>
      <c r="F353" s="43"/>
      <c r="G353" s="44"/>
      <c r="H353" s="44"/>
      <c r="I353" s="44"/>
      <c r="J353" s="44"/>
    </row>
    <row r="354" spans="1:10" x14ac:dyDescent="0.25">
      <c r="A354" s="1"/>
      <c r="B354" s="42"/>
      <c r="C354" s="43"/>
      <c r="D354" s="43"/>
      <c r="E354" s="43"/>
      <c r="F354" s="43"/>
      <c r="G354" s="44"/>
      <c r="H354" s="44"/>
      <c r="I354" s="44"/>
      <c r="J354" s="44"/>
    </row>
    <row r="355" spans="1:10" x14ac:dyDescent="0.25">
      <c r="A355" s="1"/>
      <c r="B355" s="42"/>
      <c r="C355" s="43"/>
      <c r="D355" s="43"/>
      <c r="E355" s="43"/>
      <c r="F355" s="43"/>
      <c r="G355" s="44"/>
      <c r="H355" s="44"/>
      <c r="I355" s="44"/>
      <c r="J355" s="44"/>
    </row>
    <row r="356" spans="1:10" x14ac:dyDescent="0.25">
      <c r="A356" s="1"/>
      <c r="B356" s="42"/>
      <c r="C356" s="43"/>
      <c r="D356" s="43"/>
      <c r="E356" s="43"/>
      <c r="F356" s="50"/>
      <c r="G356" s="51"/>
      <c r="H356" s="51"/>
      <c r="I356" s="51"/>
      <c r="J356" s="51"/>
    </row>
    <row r="357" spans="1:10" x14ac:dyDescent="0.25">
      <c r="A357" s="1"/>
      <c r="B357" s="42"/>
      <c r="C357" s="43"/>
      <c r="D357" s="43"/>
      <c r="E357" s="43"/>
      <c r="F357" s="50"/>
      <c r="G357" s="51"/>
      <c r="H357" s="51"/>
      <c r="I357" s="51"/>
      <c r="J357" s="51"/>
    </row>
    <row r="358" spans="1:10" x14ac:dyDescent="0.25">
      <c r="A358" s="1"/>
      <c r="B358" s="42"/>
      <c r="C358" s="43"/>
      <c r="D358" s="43"/>
      <c r="E358" s="43"/>
      <c r="F358" s="50"/>
      <c r="G358" s="51"/>
      <c r="H358" s="51"/>
      <c r="I358" s="51"/>
      <c r="J358" s="51"/>
    </row>
    <row r="359" spans="1:10" x14ac:dyDescent="0.25">
      <c r="A359" s="1"/>
      <c r="B359" s="42"/>
      <c r="C359" s="43"/>
      <c r="D359" s="43"/>
      <c r="E359" s="43"/>
      <c r="F359" s="50"/>
      <c r="G359" s="51"/>
      <c r="H359" s="51"/>
      <c r="I359" s="51"/>
      <c r="J359" s="51"/>
    </row>
    <row r="360" spans="1:10" x14ac:dyDescent="0.25">
      <c r="A360" s="1"/>
      <c r="B360" s="42"/>
      <c r="C360" s="43"/>
      <c r="D360" s="43"/>
      <c r="E360" s="43"/>
      <c r="F360" s="50"/>
      <c r="G360" s="51"/>
      <c r="H360" s="51"/>
      <c r="I360" s="51"/>
      <c r="J360" s="51"/>
    </row>
    <row r="361" spans="1:10" x14ac:dyDescent="0.25">
      <c r="A361" s="1"/>
      <c r="B361" s="42"/>
      <c r="C361" s="43"/>
      <c r="D361" s="43"/>
      <c r="E361" s="43"/>
      <c r="F361" s="50"/>
      <c r="G361" s="51"/>
      <c r="H361" s="51"/>
      <c r="I361" s="51"/>
      <c r="J361" s="51"/>
    </row>
    <row r="362" spans="1:10" x14ac:dyDescent="0.25">
      <c r="A362" s="1"/>
      <c r="B362" s="42"/>
      <c r="C362" s="43"/>
      <c r="D362" s="43"/>
      <c r="E362" s="43"/>
      <c r="F362" s="50"/>
      <c r="G362" s="51"/>
      <c r="H362" s="51"/>
      <c r="I362" s="51"/>
      <c r="J362" s="51"/>
    </row>
    <row r="363" spans="1:10" x14ac:dyDescent="0.25">
      <c r="A363" s="1"/>
      <c r="B363" s="42"/>
      <c r="C363" s="43"/>
      <c r="D363" s="43"/>
      <c r="E363" s="43"/>
      <c r="F363" s="50"/>
      <c r="G363" s="51"/>
      <c r="H363" s="51"/>
      <c r="I363" s="51"/>
      <c r="J363" s="51"/>
    </row>
    <row r="364" spans="1:10" x14ac:dyDescent="0.25">
      <c r="A364" s="1"/>
      <c r="B364" s="42"/>
      <c r="C364" s="43"/>
      <c r="D364" s="43"/>
      <c r="E364" s="43"/>
      <c r="F364" s="50"/>
      <c r="G364" s="51"/>
      <c r="H364" s="51"/>
      <c r="I364" s="51"/>
      <c r="J364" s="51"/>
    </row>
    <row r="365" spans="1:10" x14ac:dyDescent="0.25">
      <c r="A365" s="1"/>
      <c r="B365" s="42"/>
      <c r="C365" s="43"/>
      <c r="D365" s="43"/>
      <c r="E365" s="43"/>
      <c r="F365" s="50"/>
      <c r="G365" s="51"/>
      <c r="H365" s="51"/>
      <c r="I365" s="51"/>
      <c r="J365" s="51"/>
    </row>
    <row r="366" spans="1:10" x14ac:dyDescent="0.25">
      <c r="A366" s="1"/>
      <c r="B366" s="42"/>
      <c r="C366" s="43"/>
      <c r="D366" s="43"/>
      <c r="E366" s="43"/>
      <c r="F366" s="50"/>
      <c r="G366" s="51"/>
      <c r="H366" s="51"/>
      <c r="I366" s="51"/>
      <c r="J366" s="51"/>
    </row>
    <row r="367" spans="1:10" x14ac:dyDescent="0.25">
      <c r="A367" s="1"/>
      <c r="B367" s="42"/>
      <c r="C367" s="43"/>
      <c r="D367" s="43"/>
      <c r="E367" s="43"/>
      <c r="F367" s="50"/>
      <c r="G367" s="51"/>
      <c r="H367" s="51"/>
      <c r="I367" s="51"/>
      <c r="J367" s="51"/>
    </row>
    <row r="368" spans="1:10" x14ac:dyDescent="0.25">
      <c r="A368" s="1"/>
      <c r="B368" s="42"/>
      <c r="C368" s="43"/>
      <c r="D368" s="43"/>
      <c r="E368" s="43"/>
      <c r="F368" s="50"/>
      <c r="G368" s="51"/>
      <c r="H368" s="51"/>
      <c r="I368" s="51"/>
      <c r="J368" s="51"/>
    </row>
    <row r="369" spans="1:10" x14ac:dyDescent="0.25">
      <c r="A369" s="1"/>
      <c r="B369" s="42"/>
      <c r="C369" s="43"/>
      <c r="D369" s="43"/>
      <c r="E369" s="43"/>
      <c r="F369" s="50"/>
      <c r="G369" s="51"/>
      <c r="H369" s="51"/>
      <c r="I369" s="51"/>
      <c r="J369" s="51"/>
    </row>
    <row r="370" spans="1:10" x14ac:dyDescent="0.25">
      <c r="A370" s="1"/>
      <c r="B370" s="42"/>
      <c r="C370" s="43"/>
      <c r="D370" s="43"/>
      <c r="E370" s="43"/>
      <c r="F370" s="50"/>
      <c r="G370" s="51"/>
      <c r="H370" s="51"/>
      <c r="I370" s="51"/>
      <c r="J370" s="51"/>
    </row>
    <row r="371" spans="1:10" x14ac:dyDescent="0.25">
      <c r="A371" s="1"/>
      <c r="B371" s="42"/>
      <c r="C371" s="43"/>
      <c r="D371" s="43"/>
      <c r="E371" s="43"/>
      <c r="F371" s="50"/>
      <c r="G371" s="51"/>
      <c r="H371" s="51"/>
      <c r="I371" s="51"/>
      <c r="J371" s="51"/>
    </row>
    <row r="372" spans="1:10" x14ac:dyDescent="0.25">
      <c r="A372" s="1"/>
      <c r="B372" s="42"/>
      <c r="C372" s="43"/>
      <c r="D372" s="43"/>
      <c r="E372" s="43"/>
      <c r="F372" s="50"/>
      <c r="G372" s="51"/>
      <c r="H372" s="51"/>
      <c r="I372" s="51"/>
      <c r="J372" s="51"/>
    </row>
    <row r="373" spans="1:10" x14ac:dyDescent="0.25">
      <c r="A373" s="1"/>
      <c r="B373" s="42"/>
      <c r="C373" s="43"/>
      <c r="D373" s="43"/>
      <c r="E373" s="43"/>
      <c r="F373" s="50"/>
      <c r="G373" s="51"/>
      <c r="H373" s="51"/>
      <c r="I373" s="51"/>
      <c r="J373" s="51"/>
    </row>
    <row r="374" spans="1:10" x14ac:dyDescent="0.25">
      <c r="A374" s="1"/>
      <c r="B374" s="42"/>
      <c r="C374" s="43"/>
      <c r="D374" s="43"/>
      <c r="E374" s="43"/>
      <c r="F374" s="50"/>
      <c r="G374" s="51"/>
      <c r="H374" s="51"/>
      <c r="I374" s="51"/>
      <c r="J374" s="51"/>
    </row>
    <row r="375" spans="1:10" x14ac:dyDescent="0.25">
      <c r="A375" s="1"/>
      <c r="B375" s="42"/>
      <c r="C375" s="43"/>
      <c r="D375" s="43"/>
      <c r="E375" s="43"/>
      <c r="F375" s="50"/>
      <c r="G375" s="51"/>
      <c r="H375" s="51"/>
      <c r="I375" s="51"/>
      <c r="J375" s="51"/>
    </row>
    <row r="376" spans="1:10" x14ac:dyDescent="0.25">
      <c r="A376" s="1"/>
      <c r="B376" s="42"/>
      <c r="C376" s="43"/>
      <c r="D376" s="43"/>
      <c r="E376" s="43"/>
      <c r="F376" s="50"/>
      <c r="G376" s="51"/>
      <c r="H376" s="51"/>
      <c r="I376" s="51"/>
      <c r="J376" s="51"/>
    </row>
    <row r="377" spans="1:10" x14ac:dyDescent="0.25">
      <c r="A377" s="1"/>
      <c r="B377" s="42"/>
      <c r="C377" s="43"/>
      <c r="D377" s="43"/>
      <c r="E377" s="43"/>
      <c r="F377" s="50"/>
      <c r="G377" s="51"/>
      <c r="H377" s="51"/>
      <c r="I377" s="51"/>
      <c r="J377" s="51"/>
    </row>
    <row r="378" spans="1:10" x14ac:dyDescent="0.25">
      <c r="A378" s="1"/>
      <c r="B378" s="42"/>
      <c r="C378" s="43"/>
      <c r="D378" s="43"/>
      <c r="E378" s="43"/>
      <c r="F378" s="50"/>
      <c r="G378" s="51"/>
      <c r="H378" s="51"/>
      <c r="I378" s="51"/>
      <c r="J378" s="51"/>
    </row>
    <row r="379" spans="1:10" x14ac:dyDescent="0.25">
      <c r="A379" s="1"/>
      <c r="B379" s="42"/>
      <c r="C379" s="43"/>
      <c r="D379" s="43"/>
      <c r="E379" s="43"/>
      <c r="F379" s="50"/>
      <c r="G379" s="51"/>
      <c r="H379" s="51"/>
      <c r="I379" s="51"/>
      <c r="J379" s="51"/>
    </row>
    <row r="380" spans="1:10" x14ac:dyDescent="0.25">
      <c r="A380" s="1"/>
      <c r="B380" s="42"/>
      <c r="C380" s="43"/>
      <c r="D380" s="43"/>
      <c r="E380" s="43"/>
      <c r="F380" s="50"/>
      <c r="G380" s="51"/>
      <c r="H380" s="51"/>
      <c r="I380" s="51"/>
      <c r="J380" s="51"/>
    </row>
    <row r="381" spans="1:10" x14ac:dyDescent="0.25">
      <c r="A381" s="1"/>
      <c r="B381" s="42"/>
      <c r="C381" s="43"/>
      <c r="D381" s="43"/>
      <c r="E381" s="43"/>
      <c r="F381" s="50"/>
      <c r="G381" s="51"/>
      <c r="H381" s="51"/>
      <c r="I381" s="51"/>
      <c r="J381" s="51"/>
    </row>
    <row r="382" spans="1:10" x14ac:dyDescent="0.25">
      <c r="A382" s="1"/>
      <c r="B382" s="42"/>
      <c r="C382" s="43"/>
      <c r="D382" s="43"/>
      <c r="E382" s="43"/>
      <c r="F382" s="50"/>
      <c r="G382" s="51"/>
      <c r="H382" s="51"/>
      <c r="I382" s="51"/>
      <c r="J382" s="51"/>
    </row>
    <row r="383" spans="1:10" x14ac:dyDescent="0.25">
      <c r="A383" s="1"/>
      <c r="B383" s="42"/>
      <c r="C383" s="43"/>
      <c r="D383" s="43"/>
      <c r="E383" s="43"/>
      <c r="F383" s="50"/>
      <c r="G383" s="51"/>
      <c r="H383" s="51"/>
      <c r="I383" s="51"/>
      <c r="J383" s="51"/>
    </row>
    <row r="384" spans="1:10" x14ac:dyDescent="0.25">
      <c r="A384" s="1"/>
      <c r="B384" s="42"/>
      <c r="C384" s="43"/>
      <c r="D384" s="43"/>
      <c r="E384" s="43"/>
      <c r="F384" s="50"/>
      <c r="G384" s="51"/>
      <c r="H384" s="51"/>
      <c r="I384" s="51"/>
      <c r="J384" s="51"/>
    </row>
    <row r="385" spans="1:10" x14ac:dyDescent="0.25">
      <c r="A385" s="1"/>
      <c r="B385" s="42"/>
      <c r="C385" s="43"/>
      <c r="D385" s="43"/>
      <c r="E385" s="43"/>
      <c r="F385" s="50"/>
      <c r="G385" s="51"/>
      <c r="H385" s="51"/>
      <c r="I385" s="51"/>
      <c r="J385" s="51"/>
    </row>
    <row r="386" spans="1:10" x14ac:dyDescent="0.25">
      <c r="A386" s="1"/>
      <c r="B386" s="42"/>
      <c r="C386" s="43"/>
      <c r="D386" s="43"/>
      <c r="E386" s="43"/>
      <c r="F386" s="50"/>
      <c r="G386" s="51"/>
      <c r="H386" s="51"/>
      <c r="I386" s="51"/>
      <c r="J386" s="51"/>
    </row>
    <row r="387" spans="1:10" x14ac:dyDescent="0.25">
      <c r="A387" s="1"/>
      <c r="B387" s="42"/>
      <c r="C387" s="43"/>
      <c r="D387" s="43"/>
      <c r="E387" s="43"/>
      <c r="F387" s="50"/>
      <c r="G387" s="51"/>
      <c r="H387" s="51"/>
      <c r="I387" s="51"/>
      <c r="J387" s="51"/>
    </row>
    <row r="388" spans="1:10" x14ac:dyDescent="0.25">
      <c r="A388" s="1"/>
      <c r="B388" s="42"/>
      <c r="C388" s="43"/>
      <c r="D388" s="43"/>
      <c r="E388" s="43"/>
      <c r="F388" s="50"/>
      <c r="G388" s="51"/>
      <c r="H388" s="51"/>
      <c r="I388" s="51"/>
      <c r="J388" s="51"/>
    </row>
    <row r="389" spans="1:10" x14ac:dyDescent="0.25">
      <c r="A389" s="1"/>
      <c r="B389" s="42"/>
      <c r="C389" s="43"/>
      <c r="D389" s="43"/>
      <c r="E389" s="43"/>
      <c r="F389" s="50"/>
      <c r="G389" s="51"/>
      <c r="H389" s="51"/>
      <c r="I389" s="51"/>
      <c r="J389" s="51"/>
    </row>
    <row r="390" spans="1:10" x14ac:dyDescent="0.25">
      <c r="A390" s="1"/>
      <c r="B390" s="42"/>
      <c r="C390" s="43"/>
      <c r="D390" s="43"/>
      <c r="E390" s="43"/>
      <c r="F390" s="50"/>
      <c r="G390" s="51"/>
      <c r="H390" s="51"/>
      <c r="I390" s="51"/>
      <c r="J390" s="51"/>
    </row>
    <row r="391" spans="1:10" x14ac:dyDescent="0.25">
      <c r="A391" s="1"/>
      <c r="B391" s="42"/>
      <c r="C391" s="43"/>
      <c r="D391" s="43"/>
      <c r="E391" s="43"/>
      <c r="F391" s="50"/>
      <c r="G391" s="51"/>
      <c r="H391" s="51"/>
      <c r="I391" s="51"/>
      <c r="J391" s="51"/>
    </row>
    <row r="392" spans="1:10" x14ac:dyDescent="0.25">
      <c r="A392" s="1"/>
      <c r="B392" s="42"/>
      <c r="C392" s="43"/>
      <c r="D392" s="43"/>
      <c r="E392" s="43"/>
      <c r="F392" s="50"/>
      <c r="G392" s="51"/>
      <c r="H392" s="51"/>
      <c r="I392" s="51"/>
      <c r="J392" s="51"/>
    </row>
    <row r="393" spans="1:10" x14ac:dyDescent="0.25">
      <c r="A393" s="1"/>
      <c r="B393" s="42"/>
      <c r="C393" s="43"/>
      <c r="D393" s="43"/>
      <c r="E393" s="43"/>
      <c r="F393" s="50"/>
      <c r="G393" s="51"/>
      <c r="H393" s="51"/>
      <c r="I393" s="51"/>
      <c r="J393" s="51"/>
    </row>
    <row r="394" spans="1:10" x14ac:dyDescent="0.25">
      <c r="A394" s="1"/>
      <c r="B394" s="42"/>
      <c r="C394" s="43"/>
      <c r="D394" s="43"/>
      <c r="E394" s="43"/>
      <c r="F394" s="50"/>
      <c r="G394" s="51"/>
      <c r="H394" s="51"/>
      <c r="I394" s="51"/>
      <c r="J394" s="51"/>
    </row>
    <row r="395" spans="1:10" x14ac:dyDescent="0.25">
      <c r="A395" s="1"/>
      <c r="B395" s="42"/>
      <c r="C395" s="43"/>
      <c r="D395" s="43"/>
      <c r="E395" s="43"/>
      <c r="F395" s="50"/>
      <c r="G395" s="51"/>
      <c r="H395" s="51"/>
      <c r="I395" s="51"/>
      <c r="J395" s="51"/>
    </row>
    <row r="396" spans="1:10" x14ac:dyDescent="0.25">
      <c r="A396" s="1"/>
      <c r="B396" s="42"/>
      <c r="C396" s="43"/>
      <c r="D396" s="43"/>
      <c r="E396" s="43"/>
      <c r="F396" s="50"/>
      <c r="G396" s="51"/>
      <c r="H396" s="51"/>
      <c r="I396" s="51"/>
      <c r="J396" s="51"/>
    </row>
    <row r="397" spans="1:10" x14ac:dyDescent="0.25">
      <c r="A397" s="1"/>
      <c r="B397" s="42"/>
      <c r="C397" s="43"/>
      <c r="D397" s="43"/>
      <c r="E397" s="43"/>
      <c r="F397" s="50"/>
      <c r="G397" s="51"/>
      <c r="H397" s="51"/>
      <c r="I397" s="51"/>
      <c r="J397" s="51"/>
    </row>
    <row r="398" spans="1:10" x14ac:dyDescent="0.25">
      <c r="A398" s="1"/>
      <c r="B398" s="42"/>
      <c r="C398" s="43"/>
      <c r="D398" s="43"/>
      <c r="E398" s="43"/>
      <c r="F398" s="50"/>
      <c r="G398" s="51"/>
      <c r="H398" s="51"/>
      <c r="I398" s="51"/>
      <c r="J398" s="51"/>
    </row>
    <row r="399" spans="1:10" x14ac:dyDescent="0.25">
      <c r="A399" s="1"/>
      <c r="B399" s="42"/>
      <c r="C399" s="43"/>
      <c r="D399" s="43"/>
      <c r="E399" s="43"/>
      <c r="F399" s="50"/>
      <c r="G399" s="51"/>
      <c r="H399" s="51"/>
      <c r="I399" s="51"/>
      <c r="J399" s="51"/>
    </row>
    <row r="400" spans="1:10" x14ac:dyDescent="0.25">
      <c r="A400" s="1"/>
      <c r="B400" s="42"/>
      <c r="C400" s="43"/>
      <c r="D400" s="43"/>
      <c r="E400" s="43"/>
      <c r="F400" s="50"/>
      <c r="G400" s="51"/>
      <c r="H400" s="51"/>
      <c r="I400" s="51"/>
      <c r="J400" s="51"/>
    </row>
    <row r="401" spans="1:10" x14ac:dyDescent="0.25">
      <c r="A401" s="1"/>
      <c r="B401" s="42"/>
      <c r="C401" s="43"/>
      <c r="D401" s="43"/>
      <c r="E401" s="43"/>
      <c r="F401" s="50"/>
      <c r="G401" s="51"/>
      <c r="H401" s="51"/>
      <c r="I401" s="51"/>
      <c r="J401" s="51"/>
    </row>
    <row r="402" spans="1:10" x14ac:dyDescent="0.25">
      <c r="A402" s="1"/>
      <c r="B402" s="42"/>
      <c r="C402" s="43"/>
      <c r="D402" s="43"/>
      <c r="E402" s="43"/>
      <c r="F402" s="50"/>
      <c r="G402" s="51"/>
      <c r="H402" s="51"/>
      <c r="I402" s="51"/>
      <c r="J402" s="51"/>
    </row>
    <row r="403" spans="1:10" x14ac:dyDescent="0.25">
      <c r="A403" s="1"/>
      <c r="B403" s="42"/>
      <c r="C403" s="43"/>
      <c r="D403" s="43"/>
      <c r="E403" s="43"/>
      <c r="F403" s="50"/>
      <c r="G403" s="51"/>
      <c r="H403" s="51"/>
      <c r="I403" s="51"/>
      <c r="J403" s="51"/>
    </row>
    <row r="404" spans="1:10" x14ac:dyDescent="0.25">
      <c r="A404" s="1"/>
      <c r="B404" s="42"/>
      <c r="C404" s="43"/>
      <c r="D404" s="43"/>
      <c r="E404" s="43"/>
      <c r="F404" s="50"/>
      <c r="G404" s="51"/>
      <c r="H404" s="51"/>
      <c r="I404" s="51"/>
      <c r="J404" s="51"/>
    </row>
    <row r="405" spans="1:10" x14ac:dyDescent="0.25">
      <c r="A405" s="1"/>
      <c r="B405" s="42"/>
      <c r="C405" s="43"/>
      <c r="D405" s="43"/>
      <c r="E405" s="43"/>
      <c r="F405" s="50"/>
      <c r="G405" s="51"/>
      <c r="H405" s="51"/>
      <c r="I405" s="51"/>
      <c r="J405" s="51"/>
    </row>
    <row r="406" spans="1:10" x14ac:dyDescent="0.25">
      <c r="A406" s="1"/>
      <c r="B406" s="42"/>
      <c r="C406" s="43"/>
      <c r="D406" s="43"/>
      <c r="E406" s="43"/>
      <c r="F406" s="50"/>
      <c r="G406" s="51"/>
      <c r="H406" s="51"/>
      <c r="I406" s="51"/>
      <c r="J406" s="51"/>
    </row>
    <row r="407" spans="1:10" x14ac:dyDescent="0.25">
      <c r="A407" s="1"/>
      <c r="B407" s="42"/>
      <c r="C407" s="43"/>
      <c r="D407" s="43"/>
      <c r="E407" s="43"/>
      <c r="F407" s="50"/>
      <c r="G407" s="51"/>
      <c r="H407" s="51"/>
      <c r="I407" s="51"/>
      <c r="J407" s="51"/>
    </row>
    <row r="408" spans="1:10" x14ac:dyDescent="0.25">
      <c r="A408" s="1"/>
      <c r="B408" s="42"/>
      <c r="C408" s="43"/>
      <c r="D408" s="43"/>
      <c r="E408" s="43"/>
      <c r="F408" s="50"/>
      <c r="G408" s="51"/>
      <c r="H408" s="51"/>
      <c r="I408" s="51"/>
      <c r="J408" s="51"/>
    </row>
    <row r="409" spans="1:10" x14ac:dyDescent="0.25">
      <c r="A409" s="1"/>
      <c r="B409" s="42"/>
      <c r="C409" s="43"/>
      <c r="D409" s="43"/>
      <c r="E409" s="43"/>
      <c r="F409" s="50"/>
      <c r="G409" s="51"/>
      <c r="H409" s="51"/>
      <c r="I409" s="51"/>
      <c r="J409" s="51"/>
    </row>
    <row r="410" spans="1:10" x14ac:dyDescent="0.25">
      <c r="A410" s="1"/>
      <c r="B410" s="42"/>
      <c r="C410" s="43"/>
      <c r="D410" s="43"/>
      <c r="E410" s="43"/>
      <c r="F410" s="50"/>
      <c r="G410" s="51"/>
      <c r="H410" s="51"/>
      <c r="I410" s="51"/>
      <c r="J410" s="51"/>
    </row>
    <row r="411" spans="1:10" x14ac:dyDescent="0.25">
      <c r="A411" s="1"/>
      <c r="B411" s="42"/>
      <c r="C411" s="43"/>
      <c r="D411" s="43"/>
      <c r="E411" s="43"/>
      <c r="F411" s="50"/>
      <c r="G411" s="51"/>
      <c r="H411" s="51"/>
      <c r="I411" s="51"/>
      <c r="J411" s="51"/>
    </row>
    <row r="412" spans="1:10" x14ac:dyDescent="0.25">
      <c r="A412" s="1"/>
      <c r="B412" s="42"/>
      <c r="C412" s="43"/>
      <c r="D412" s="43"/>
      <c r="E412" s="43"/>
      <c r="F412" s="50"/>
      <c r="G412" s="51"/>
      <c r="H412" s="51"/>
      <c r="I412" s="51"/>
      <c r="J412" s="51"/>
    </row>
    <row r="413" spans="1:10" x14ac:dyDescent="0.25">
      <c r="A413" s="1"/>
      <c r="B413" s="42"/>
      <c r="C413" s="43"/>
      <c r="D413" s="43"/>
      <c r="E413" s="43"/>
      <c r="F413" s="50"/>
      <c r="G413" s="51"/>
      <c r="H413" s="51"/>
      <c r="I413" s="51"/>
      <c r="J413" s="51"/>
    </row>
    <row r="414" spans="1:10" x14ac:dyDescent="0.25">
      <c r="A414" s="1"/>
      <c r="B414" s="42"/>
      <c r="C414" s="43"/>
      <c r="D414" s="43"/>
      <c r="E414" s="43"/>
      <c r="F414" s="50"/>
      <c r="G414" s="51"/>
      <c r="H414" s="51"/>
      <c r="I414" s="51"/>
      <c r="J414" s="51"/>
    </row>
    <row r="415" spans="1:10" x14ac:dyDescent="0.25">
      <c r="A415" s="1"/>
      <c r="B415" s="42"/>
      <c r="C415" s="43"/>
      <c r="D415" s="43"/>
      <c r="E415" s="43"/>
      <c r="F415" s="50"/>
      <c r="G415" s="51"/>
      <c r="H415" s="51"/>
      <c r="I415" s="51"/>
      <c r="J415" s="51"/>
    </row>
    <row r="416" spans="1:10" x14ac:dyDescent="0.25">
      <c r="A416" s="1"/>
      <c r="B416" s="42"/>
      <c r="C416" s="43"/>
      <c r="D416" s="43"/>
      <c r="E416" s="43"/>
      <c r="F416" s="50"/>
      <c r="G416" s="51"/>
      <c r="H416" s="51"/>
      <c r="I416" s="51"/>
      <c r="J416" s="51"/>
    </row>
    <row r="417" spans="1:10" x14ac:dyDescent="0.25">
      <c r="A417" s="1"/>
      <c r="B417" s="42"/>
      <c r="C417" s="43"/>
      <c r="D417" s="43"/>
      <c r="E417" s="43"/>
      <c r="F417" s="50"/>
      <c r="G417" s="51"/>
      <c r="H417" s="51"/>
      <c r="I417" s="51"/>
      <c r="J417" s="51"/>
    </row>
    <row r="418" spans="1:10" x14ac:dyDescent="0.25">
      <c r="A418" s="1"/>
      <c r="B418" s="42"/>
      <c r="C418" s="43"/>
      <c r="D418" s="43"/>
      <c r="E418" s="43"/>
      <c r="F418" s="50"/>
      <c r="G418" s="51"/>
      <c r="H418" s="51"/>
      <c r="I418" s="51"/>
      <c r="J418" s="51"/>
    </row>
    <row r="419" spans="1:10" x14ac:dyDescent="0.25">
      <c r="A419" s="1"/>
      <c r="B419" s="42"/>
      <c r="C419" s="43"/>
      <c r="D419" s="43"/>
      <c r="E419" s="43"/>
      <c r="F419" s="50"/>
      <c r="G419" s="51"/>
      <c r="H419" s="51"/>
      <c r="I419" s="51"/>
      <c r="J419" s="51"/>
    </row>
    <row r="420" spans="1:10" x14ac:dyDescent="0.25">
      <c r="A420" s="1"/>
      <c r="B420" s="42"/>
      <c r="C420" s="43"/>
      <c r="D420" s="43"/>
      <c r="E420" s="43"/>
      <c r="F420" s="50"/>
      <c r="G420" s="51"/>
      <c r="H420" s="51"/>
      <c r="I420" s="51"/>
      <c r="J420" s="51"/>
    </row>
    <row r="421" spans="1:10" x14ac:dyDescent="0.25">
      <c r="A421" s="1"/>
      <c r="B421" s="42"/>
      <c r="C421" s="43"/>
      <c r="D421" s="43"/>
      <c r="E421" s="43"/>
      <c r="F421" s="50"/>
      <c r="G421" s="51"/>
      <c r="H421" s="51"/>
      <c r="I421" s="51"/>
      <c r="J421" s="51"/>
    </row>
    <row r="422" spans="1:10" x14ac:dyDescent="0.25">
      <c r="A422" s="1"/>
      <c r="B422" s="42"/>
      <c r="C422" s="43"/>
      <c r="D422" s="43"/>
      <c r="E422" s="43"/>
      <c r="F422" s="50"/>
      <c r="G422" s="51"/>
      <c r="H422" s="51"/>
      <c r="I422" s="51"/>
      <c r="J422" s="51"/>
    </row>
    <row r="423" spans="1:10" x14ac:dyDescent="0.25">
      <c r="A423" s="1"/>
      <c r="B423" s="42"/>
      <c r="C423" s="43"/>
      <c r="D423" s="43"/>
      <c r="E423" s="43"/>
      <c r="F423" s="50"/>
      <c r="G423" s="51"/>
      <c r="H423" s="51"/>
      <c r="I423" s="51"/>
      <c r="J423" s="51"/>
    </row>
    <row r="424" spans="1:10" x14ac:dyDescent="0.25">
      <c r="A424" s="1"/>
      <c r="B424" s="42"/>
      <c r="C424" s="43"/>
      <c r="D424" s="43"/>
      <c r="E424" s="43"/>
      <c r="F424" s="50"/>
      <c r="G424" s="51"/>
      <c r="H424" s="51"/>
      <c r="I424" s="51"/>
      <c r="J424" s="51"/>
    </row>
    <row r="425" spans="1:10" x14ac:dyDescent="0.25">
      <c r="A425" s="1"/>
      <c r="B425" s="42"/>
      <c r="C425" s="43"/>
      <c r="D425" s="43"/>
      <c r="E425" s="43"/>
      <c r="F425" s="50"/>
      <c r="G425" s="51"/>
      <c r="H425" s="51"/>
      <c r="I425" s="51"/>
      <c r="J425" s="51"/>
    </row>
    <row r="426" spans="1:10" x14ac:dyDescent="0.25">
      <c r="A426" s="1"/>
      <c r="B426" s="42"/>
      <c r="C426" s="43"/>
      <c r="D426" s="43"/>
      <c r="E426" s="43"/>
      <c r="F426" s="50"/>
      <c r="G426" s="51"/>
      <c r="H426" s="51"/>
      <c r="I426" s="51"/>
      <c r="J426" s="51"/>
    </row>
    <row r="427" spans="1:10" x14ac:dyDescent="0.25">
      <c r="A427" s="1"/>
      <c r="B427" s="42"/>
      <c r="C427" s="43"/>
      <c r="D427" s="43"/>
      <c r="E427" s="43"/>
      <c r="F427" s="50"/>
      <c r="G427" s="51"/>
      <c r="H427" s="51"/>
      <c r="I427" s="51"/>
      <c r="J427" s="51"/>
    </row>
    <row r="428" spans="1:10" x14ac:dyDescent="0.25">
      <c r="A428" s="1"/>
      <c r="B428" s="42"/>
      <c r="C428" s="43"/>
      <c r="D428" s="43"/>
      <c r="E428" s="43"/>
      <c r="F428" s="50"/>
      <c r="G428" s="51"/>
      <c r="H428" s="51"/>
      <c r="I428" s="51"/>
      <c r="J428" s="51"/>
    </row>
    <row r="429" spans="1:10" x14ac:dyDescent="0.25">
      <c r="A429" s="1"/>
      <c r="B429" s="42"/>
      <c r="C429" s="43"/>
      <c r="D429" s="43"/>
      <c r="E429" s="43"/>
      <c r="F429" s="50"/>
      <c r="G429" s="51"/>
      <c r="H429" s="51"/>
      <c r="I429" s="51"/>
      <c r="J429" s="51"/>
    </row>
    <row r="430" spans="1:10" x14ac:dyDescent="0.25">
      <c r="A430" s="1"/>
      <c r="B430" s="42"/>
      <c r="C430" s="43"/>
      <c r="D430" s="43"/>
      <c r="E430" s="43"/>
      <c r="F430" s="50"/>
      <c r="G430" s="51"/>
      <c r="H430" s="51"/>
      <c r="I430" s="51"/>
      <c r="J430" s="51"/>
    </row>
    <row r="431" spans="1:10" x14ac:dyDescent="0.25">
      <c r="A431" s="1"/>
      <c r="B431" s="42"/>
      <c r="C431" s="43"/>
      <c r="D431" s="43"/>
      <c r="E431" s="43"/>
      <c r="F431" s="50"/>
      <c r="G431" s="51"/>
      <c r="H431" s="51"/>
      <c r="I431" s="51"/>
      <c r="J431" s="51"/>
    </row>
    <row r="432" spans="1:10" x14ac:dyDescent="0.25">
      <c r="A432" s="1"/>
      <c r="B432" s="42"/>
      <c r="C432" s="43"/>
      <c r="D432" s="43"/>
      <c r="E432" s="43"/>
      <c r="F432" s="50"/>
      <c r="G432" s="51"/>
      <c r="H432" s="51"/>
      <c r="I432" s="51"/>
      <c r="J432" s="51"/>
    </row>
    <row r="433" spans="1:10" x14ac:dyDescent="0.25">
      <c r="A433" s="1"/>
      <c r="B433" s="42"/>
      <c r="C433" s="43"/>
      <c r="D433" s="43"/>
      <c r="E433" s="43"/>
      <c r="F433" s="50"/>
      <c r="G433" s="51"/>
      <c r="H433" s="51"/>
      <c r="I433" s="51"/>
      <c r="J433" s="51"/>
    </row>
    <row r="434" spans="1:10" x14ac:dyDescent="0.25">
      <c r="A434" s="1"/>
      <c r="B434" s="42"/>
      <c r="C434" s="43"/>
      <c r="D434" s="43"/>
      <c r="E434" s="43"/>
      <c r="F434" s="50"/>
      <c r="G434" s="51"/>
      <c r="H434" s="51"/>
      <c r="I434" s="51"/>
      <c r="J434" s="51"/>
    </row>
    <row r="435" spans="1:10" x14ac:dyDescent="0.25">
      <c r="A435" s="1"/>
      <c r="B435" s="42"/>
      <c r="C435" s="43"/>
      <c r="D435" s="43"/>
      <c r="E435" s="43"/>
      <c r="F435" s="50"/>
      <c r="G435" s="51"/>
      <c r="H435" s="51"/>
      <c r="I435" s="51"/>
      <c r="J435" s="51"/>
    </row>
    <row r="436" spans="1:10" x14ac:dyDescent="0.25">
      <c r="A436" s="1"/>
      <c r="B436" s="42"/>
      <c r="C436" s="43"/>
      <c r="D436" s="43"/>
      <c r="E436" s="43"/>
      <c r="F436" s="50"/>
      <c r="G436" s="51"/>
      <c r="H436" s="51"/>
      <c r="I436" s="51"/>
      <c r="J436" s="51"/>
    </row>
    <row r="437" spans="1:10" x14ac:dyDescent="0.25">
      <c r="A437" s="1"/>
      <c r="B437" s="42"/>
      <c r="C437" s="43"/>
      <c r="D437" s="43"/>
      <c r="E437" s="43"/>
      <c r="F437" s="50"/>
      <c r="G437" s="51"/>
      <c r="H437" s="51"/>
      <c r="I437" s="51"/>
      <c r="J437" s="51"/>
    </row>
    <row r="438" spans="1:10" x14ac:dyDescent="0.25">
      <c r="A438" s="1"/>
      <c r="B438" s="42"/>
      <c r="C438" s="43"/>
      <c r="D438" s="43"/>
      <c r="E438" s="43"/>
      <c r="F438" s="50"/>
      <c r="G438" s="51"/>
      <c r="H438" s="51"/>
      <c r="I438" s="51"/>
      <c r="J438" s="51"/>
    </row>
    <row r="439" spans="1:10" x14ac:dyDescent="0.25">
      <c r="A439" s="1"/>
      <c r="B439" s="42"/>
      <c r="C439" s="43"/>
      <c r="D439" s="43"/>
      <c r="E439" s="43"/>
      <c r="F439" s="50"/>
      <c r="G439" s="51"/>
      <c r="H439" s="51"/>
      <c r="I439" s="51"/>
      <c r="J439" s="51"/>
    </row>
    <row r="440" spans="1:10" x14ac:dyDescent="0.25">
      <c r="A440" s="1"/>
      <c r="B440" s="42"/>
      <c r="C440" s="49"/>
      <c r="D440" s="52"/>
      <c r="E440" s="49"/>
      <c r="F440" s="50"/>
      <c r="G440" s="51"/>
      <c r="H440" s="51"/>
      <c r="I440" s="51"/>
      <c r="J440" s="51"/>
    </row>
    <row r="441" spans="1:10" x14ac:dyDescent="0.25">
      <c r="A441" s="1"/>
      <c r="B441" s="42"/>
      <c r="C441" s="49"/>
      <c r="D441" s="52"/>
      <c r="E441" s="49"/>
      <c r="F441" s="50"/>
      <c r="G441" s="51"/>
      <c r="H441" s="51"/>
      <c r="I441" s="51"/>
      <c r="J441" s="51"/>
    </row>
    <row r="442" spans="1:10" x14ac:dyDescent="0.25">
      <c r="A442" s="1"/>
      <c r="B442" s="42"/>
      <c r="C442" s="49"/>
      <c r="D442" s="52"/>
      <c r="E442" s="49"/>
      <c r="F442" s="50"/>
      <c r="G442" s="51"/>
      <c r="H442" s="51"/>
      <c r="I442" s="51"/>
      <c r="J442" s="51"/>
    </row>
    <row r="443" spans="1:10" x14ac:dyDescent="0.25">
      <c r="A443" s="1"/>
      <c r="B443" s="42"/>
      <c r="C443" s="49"/>
      <c r="D443" s="52"/>
      <c r="E443" s="49"/>
      <c r="F443" s="50"/>
      <c r="G443" s="51"/>
      <c r="H443" s="51"/>
      <c r="I443" s="51"/>
      <c r="J443" s="51"/>
    </row>
    <row r="444" spans="1:10" x14ac:dyDescent="0.25">
      <c r="A444" s="1"/>
      <c r="B444" s="42"/>
      <c r="C444" s="49"/>
      <c r="D444" s="52"/>
      <c r="E444" s="49"/>
      <c r="F444" s="50"/>
      <c r="G444" s="51"/>
      <c r="H444" s="51"/>
      <c r="I444" s="51"/>
      <c r="J444" s="51"/>
    </row>
    <row r="445" spans="1:10" x14ac:dyDescent="0.25">
      <c r="A445" s="1"/>
      <c r="B445" s="42"/>
      <c r="C445" s="49"/>
      <c r="D445" s="52"/>
      <c r="E445" s="49"/>
      <c r="F445" s="50"/>
      <c r="G445" s="51"/>
      <c r="H445" s="51"/>
      <c r="I445" s="51"/>
      <c r="J445" s="51"/>
    </row>
    <row r="446" spans="1:10" x14ac:dyDescent="0.25">
      <c r="A446" s="1"/>
      <c r="B446" s="42"/>
      <c r="C446" s="49"/>
      <c r="D446" s="52"/>
      <c r="E446" s="49"/>
      <c r="F446" s="50"/>
      <c r="G446" s="51"/>
      <c r="H446" s="51"/>
      <c r="I446" s="51"/>
      <c r="J446" s="51"/>
    </row>
    <row r="447" spans="1:10" x14ac:dyDescent="0.25">
      <c r="A447" s="1"/>
      <c r="B447" s="42"/>
      <c r="C447" s="49"/>
      <c r="D447" s="52"/>
      <c r="E447" s="49"/>
      <c r="F447" s="50"/>
      <c r="G447" s="51"/>
      <c r="H447" s="51"/>
      <c r="I447" s="51"/>
      <c r="J447" s="51"/>
    </row>
    <row r="448" spans="1:10" x14ac:dyDescent="0.25">
      <c r="A448" s="1"/>
      <c r="B448" s="42"/>
      <c r="C448" s="49"/>
      <c r="D448" s="52"/>
      <c r="E448" s="49"/>
      <c r="F448" s="50"/>
      <c r="G448" s="51"/>
      <c r="H448" s="51"/>
      <c r="I448" s="51"/>
      <c r="J448" s="51"/>
    </row>
    <row r="449" spans="1:10" x14ac:dyDescent="0.25">
      <c r="A449" s="1"/>
      <c r="B449" s="42"/>
      <c r="C449" s="49"/>
      <c r="D449" s="52"/>
      <c r="E449" s="49"/>
      <c r="F449" s="50"/>
      <c r="G449" s="51"/>
      <c r="H449" s="51"/>
      <c r="I449" s="51"/>
      <c r="J449" s="51"/>
    </row>
    <row r="450" spans="1:10" x14ac:dyDescent="0.25">
      <c r="A450" s="1"/>
      <c r="B450" s="42"/>
      <c r="C450" s="49"/>
      <c r="D450" s="52"/>
      <c r="E450" s="49"/>
      <c r="F450" s="50"/>
      <c r="G450" s="51"/>
      <c r="H450" s="51"/>
      <c r="I450" s="51"/>
      <c r="J450" s="51"/>
    </row>
    <row r="451" spans="1:10" x14ac:dyDescent="0.25">
      <c r="A451" s="1"/>
      <c r="B451" s="42"/>
      <c r="C451" s="49"/>
      <c r="D451" s="52"/>
      <c r="E451" s="49"/>
      <c r="F451" s="50"/>
      <c r="G451" s="51"/>
      <c r="H451" s="51"/>
      <c r="I451" s="51"/>
      <c r="J451" s="51"/>
    </row>
    <row r="452" spans="1:10" x14ac:dyDescent="0.25">
      <c r="A452" s="1"/>
      <c r="B452" s="42"/>
      <c r="C452" s="49"/>
      <c r="D452" s="52"/>
      <c r="E452" s="49"/>
      <c r="F452" s="50"/>
      <c r="G452" s="51"/>
      <c r="H452" s="51"/>
      <c r="I452" s="51"/>
      <c r="J452" s="51"/>
    </row>
    <row r="453" spans="1:10" x14ac:dyDescent="0.25">
      <c r="A453" s="1"/>
      <c r="B453" s="42"/>
      <c r="C453" s="49"/>
      <c r="D453" s="52"/>
      <c r="E453" s="49"/>
      <c r="F453" s="50"/>
      <c r="G453" s="51"/>
      <c r="H453" s="51"/>
      <c r="I453" s="51"/>
      <c r="J453" s="51"/>
    </row>
    <row r="454" spans="1:10" x14ac:dyDescent="0.25">
      <c r="A454" s="1"/>
      <c r="B454" s="42"/>
      <c r="C454" s="49"/>
      <c r="D454" s="52"/>
      <c r="E454" s="49"/>
      <c r="F454" s="50"/>
      <c r="G454" s="51"/>
      <c r="H454" s="51"/>
      <c r="I454" s="51"/>
      <c r="J454" s="51"/>
    </row>
    <row r="455" spans="1:10" x14ac:dyDescent="0.25">
      <c r="A455" s="1"/>
      <c r="B455" s="42"/>
      <c r="C455" s="49"/>
      <c r="D455" s="52"/>
      <c r="E455" s="49"/>
      <c r="F455" s="50"/>
      <c r="G455" s="51"/>
      <c r="H455" s="51"/>
      <c r="I455" s="51"/>
      <c r="J455" s="51"/>
    </row>
    <row r="456" spans="1:10" x14ac:dyDescent="0.25">
      <c r="A456" s="1"/>
      <c r="B456" s="42"/>
      <c r="C456" s="49"/>
      <c r="D456" s="52"/>
      <c r="E456" s="49"/>
      <c r="F456" s="50"/>
      <c r="G456" s="51"/>
      <c r="H456" s="51"/>
      <c r="I456" s="51"/>
      <c r="J456" s="51"/>
    </row>
    <row r="457" spans="1:10" x14ac:dyDescent="0.25">
      <c r="A457" s="1"/>
      <c r="B457" s="42"/>
      <c r="C457" s="49"/>
      <c r="D457" s="52"/>
      <c r="E457" s="49"/>
      <c r="F457" s="50"/>
      <c r="G457" s="51"/>
      <c r="H457" s="51"/>
      <c r="I457" s="51"/>
      <c r="J457" s="51"/>
    </row>
    <row r="458" spans="1:10" x14ac:dyDescent="0.25">
      <c r="A458" s="1"/>
      <c r="B458" s="42"/>
      <c r="C458" s="49"/>
      <c r="D458" s="52"/>
      <c r="E458" s="49"/>
      <c r="F458" s="50"/>
      <c r="G458" s="51"/>
      <c r="H458" s="51"/>
      <c r="I458" s="51"/>
      <c r="J458" s="51"/>
    </row>
    <row r="459" spans="1:10" x14ac:dyDescent="0.25">
      <c r="A459" s="1"/>
      <c r="B459" s="42"/>
      <c r="C459" s="49"/>
      <c r="D459" s="52"/>
      <c r="E459" s="49"/>
      <c r="F459" s="50"/>
      <c r="G459" s="51"/>
      <c r="H459" s="51"/>
      <c r="I459" s="51"/>
      <c r="J459" s="51"/>
    </row>
    <row r="460" spans="1:10" x14ac:dyDescent="0.25">
      <c r="A460" s="1"/>
      <c r="B460" s="42"/>
      <c r="C460" s="49"/>
      <c r="D460" s="52"/>
      <c r="E460" s="49"/>
      <c r="F460" s="50"/>
      <c r="G460" s="51"/>
      <c r="H460" s="51"/>
      <c r="I460" s="51"/>
      <c r="J460" s="51"/>
    </row>
    <row r="461" spans="1:10" x14ac:dyDescent="0.25">
      <c r="A461" s="1"/>
      <c r="B461" s="42"/>
      <c r="C461" s="49"/>
      <c r="D461" s="52"/>
      <c r="E461" s="49"/>
      <c r="F461" s="50"/>
      <c r="G461" s="51"/>
      <c r="H461" s="51"/>
      <c r="I461" s="51"/>
      <c r="J461" s="51"/>
    </row>
    <row r="462" spans="1:10" x14ac:dyDescent="0.25">
      <c r="A462" s="1"/>
      <c r="B462" s="42"/>
      <c r="C462" s="49"/>
      <c r="D462" s="52"/>
      <c r="E462" s="49"/>
      <c r="F462" s="50"/>
      <c r="G462" s="51"/>
      <c r="H462" s="51"/>
      <c r="I462" s="51"/>
      <c r="J462" s="51"/>
    </row>
    <row r="463" spans="1:10" x14ac:dyDescent="0.25">
      <c r="A463" s="1"/>
      <c r="B463" s="42"/>
      <c r="C463" s="49"/>
      <c r="D463" s="52"/>
      <c r="E463" s="49"/>
      <c r="F463" s="50"/>
      <c r="G463" s="51"/>
      <c r="H463" s="51"/>
      <c r="I463" s="51"/>
      <c r="J463" s="51"/>
    </row>
    <row r="464" spans="1:10" x14ac:dyDescent="0.25">
      <c r="A464" s="1"/>
      <c r="B464" s="42"/>
      <c r="C464" s="49"/>
      <c r="D464" s="52"/>
      <c r="E464" s="49"/>
      <c r="F464" s="50"/>
      <c r="G464" s="51"/>
      <c r="H464" s="51"/>
      <c r="I464" s="51"/>
      <c r="J464" s="51"/>
    </row>
    <row r="465" spans="1:10" x14ac:dyDescent="0.25">
      <c r="A465" s="1"/>
      <c r="B465" s="42"/>
      <c r="C465" s="49"/>
      <c r="D465" s="52"/>
      <c r="E465" s="49"/>
      <c r="F465" s="50"/>
      <c r="G465" s="51"/>
      <c r="H465" s="51"/>
      <c r="I465" s="51"/>
      <c r="J465" s="51"/>
    </row>
    <row r="466" spans="1:10" x14ac:dyDescent="0.25">
      <c r="A466" s="1"/>
      <c r="B466" s="42"/>
      <c r="C466" s="49"/>
      <c r="D466" s="52"/>
      <c r="E466" s="49"/>
      <c r="F466" s="50"/>
      <c r="G466" s="51"/>
      <c r="H466" s="51"/>
      <c r="I466" s="51"/>
      <c r="J466" s="51"/>
    </row>
    <row r="467" spans="1:10" x14ac:dyDescent="0.25">
      <c r="A467" s="1"/>
      <c r="B467" s="42"/>
      <c r="C467" s="49"/>
      <c r="D467" s="52"/>
      <c r="E467" s="49"/>
      <c r="F467" s="50"/>
      <c r="G467" s="51"/>
      <c r="H467" s="51"/>
      <c r="I467" s="51"/>
      <c r="J467" s="51"/>
    </row>
    <row r="468" spans="1:10" x14ac:dyDescent="0.25">
      <c r="A468" s="1"/>
      <c r="B468" s="42"/>
      <c r="C468" s="49"/>
      <c r="D468" s="52"/>
      <c r="E468" s="49"/>
      <c r="F468" s="50"/>
      <c r="G468" s="51"/>
      <c r="H468" s="51"/>
      <c r="I468" s="51"/>
      <c r="J468" s="51"/>
    </row>
    <row r="469" spans="1:10" x14ac:dyDescent="0.25">
      <c r="A469" s="1"/>
      <c r="B469" s="42"/>
      <c r="C469" s="49"/>
      <c r="D469" s="52"/>
      <c r="E469" s="49"/>
      <c r="F469" s="50"/>
      <c r="G469" s="51"/>
      <c r="H469" s="51"/>
      <c r="I469" s="51"/>
      <c r="J469" s="51"/>
    </row>
    <row r="470" spans="1:10" x14ac:dyDescent="0.25">
      <c r="A470" s="1"/>
      <c r="B470" s="42"/>
      <c r="C470" s="49"/>
      <c r="D470" s="52"/>
      <c r="E470" s="49"/>
      <c r="F470" s="50"/>
      <c r="G470" s="51"/>
      <c r="H470" s="51"/>
      <c r="I470" s="51"/>
      <c r="J470" s="51"/>
    </row>
    <row r="471" spans="1:10" x14ac:dyDescent="0.25">
      <c r="A471" s="1"/>
      <c r="B471" s="42"/>
      <c r="C471" s="49"/>
      <c r="D471" s="52"/>
      <c r="E471" s="49"/>
      <c r="F471" s="50"/>
      <c r="G471" s="51"/>
      <c r="H471" s="51"/>
      <c r="I471" s="51"/>
      <c r="J471" s="51"/>
    </row>
    <row r="472" spans="1:10" x14ac:dyDescent="0.25">
      <c r="A472" s="1"/>
      <c r="B472" s="42"/>
      <c r="C472" s="49"/>
      <c r="D472" s="52"/>
      <c r="E472" s="49"/>
      <c r="F472" s="50"/>
      <c r="G472" s="51"/>
      <c r="H472" s="51"/>
      <c r="I472" s="51"/>
      <c r="J472" s="51"/>
    </row>
    <row r="473" spans="1:10" x14ac:dyDescent="0.25">
      <c r="A473" s="1"/>
      <c r="B473" s="42"/>
      <c r="C473" s="49"/>
      <c r="D473" s="52"/>
      <c r="E473" s="49"/>
      <c r="F473" s="50"/>
      <c r="G473" s="51"/>
      <c r="H473" s="51"/>
      <c r="I473" s="51"/>
      <c r="J473" s="51"/>
    </row>
  </sheetData>
  <dataValidations count="1">
    <dataValidation type="list" allowBlank="1" showInputMessage="1" showErrorMessage="1" sqref="G2:J2 JC2:JF2 SY2:TB2 ACU2:ACX2 AMQ2:AMT2 AWM2:AWP2 BGI2:BGL2 BQE2:BQH2 CAA2:CAD2 CJW2:CJZ2 CTS2:CTV2 DDO2:DDR2 DNK2:DNN2 DXG2:DXJ2 EHC2:EHF2 EQY2:ERB2 FAU2:FAX2 FKQ2:FKT2 FUM2:FUP2 GEI2:GEL2 GOE2:GOH2 GYA2:GYD2 HHW2:HHZ2 HRS2:HRV2 IBO2:IBR2 ILK2:ILN2 IVG2:IVJ2 JFC2:JFF2 JOY2:JPB2 JYU2:JYX2 KIQ2:KIT2 KSM2:KSP2 LCI2:LCL2 LME2:LMH2 LWA2:LWD2 MFW2:MFZ2 MPS2:MPV2 MZO2:MZR2 NJK2:NJN2 NTG2:NTJ2 ODC2:ODF2 OMY2:ONB2 OWU2:OWX2 PGQ2:PGT2 PQM2:PQP2 QAI2:QAL2 QKE2:QKH2 QUA2:QUD2 RDW2:RDZ2 RNS2:RNV2 RXO2:RXR2 SHK2:SHN2 SRG2:SRJ2 TBC2:TBF2 TKY2:TLB2 TUU2:TUX2 UEQ2:UET2 UOM2:UOP2 UYI2:UYL2 VIE2:VIH2 VSA2:VSD2 WBW2:WBZ2 WLS2:WLV2 WVO2:WVR2 G65538:J65538 JC65538:JF65538 SY65538:TB65538 ACU65538:ACX65538 AMQ65538:AMT65538 AWM65538:AWP65538 BGI65538:BGL65538 BQE65538:BQH65538 CAA65538:CAD65538 CJW65538:CJZ65538 CTS65538:CTV65538 DDO65538:DDR65538 DNK65538:DNN65538 DXG65538:DXJ65538 EHC65538:EHF65538 EQY65538:ERB65538 FAU65538:FAX65538 FKQ65538:FKT65538 FUM65538:FUP65538 GEI65538:GEL65538 GOE65538:GOH65538 GYA65538:GYD65538 HHW65538:HHZ65538 HRS65538:HRV65538 IBO65538:IBR65538 ILK65538:ILN65538 IVG65538:IVJ65538 JFC65538:JFF65538 JOY65538:JPB65538 JYU65538:JYX65538 KIQ65538:KIT65538 KSM65538:KSP65538 LCI65538:LCL65538 LME65538:LMH65538 LWA65538:LWD65538 MFW65538:MFZ65538 MPS65538:MPV65538 MZO65538:MZR65538 NJK65538:NJN65538 NTG65538:NTJ65538 ODC65538:ODF65538 OMY65538:ONB65538 OWU65538:OWX65538 PGQ65538:PGT65538 PQM65538:PQP65538 QAI65538:QAL65538 QKE65538:QKH65538 QUA65538:QUD65538 RDW65538:RDZ65538 RNS65538:RNV65538 RXO65538:RXR65538 SHK65538:SHN65538 SRG65538:SRJ65538 TBC65538:TBF65538 TKY65538:TLB65538 TUU65538:TUX65538 UEQ65538:UET65538 UOM65538:UOP65538 UYI65538:UYL65538 VIE65538:VIH65538 VSA65538:VSD65538 WBW65538:WBZ65538 WLS65538:WLV65538 WVO65538:WVR65538 G131074:J131074 JC131074:JF131074 SY131074:TB131074 ACU131074:ACX131074 AMQ131074:AMT131074 AWM131074:AWP131074 BGI131074:BGL131074 BQE131074:BQH131074 CAA131074:CAD131074 CJW131074:CJZ131074 CTS131074:CTV131074 DDO131074:DDR131074 DNK131074:DNN131074 DXG131074:DXJ131074 EHC131074:EHF131074 EQY131074:ERB131074 FAU131074:FAX131074 FKQ131074:FKT131074 FUM131074:FUP131074 GEI131074:GEL131074 GOE131074:GOH131074 GYA131074:GYD131074 HHW131074:HHZ131074 HRS131074:HRV131074 IBO131074:IBR131074 ILK131074:ILN131074 IVG131074:IVJ131074 JFC131074:JFF131074 JOY131074:JPB131074 JYU131074:JYX131074 KIQ131074:KIT131074 KSM131074:KSP131074 LCI131074:LCL131074 LME131074:LMH131074 LWA131074:LWD131074 MFW131074:MFZ131074 MPS131074:MPV131074 MZO131074:MZR131074 NJK131074:NJN131074 NTG131074:NTJ131074 ODC131074:ODF131074 OMY131074:ONB131074 OWU131074:OWX131074 PGQ131074:PGT131074 PQM131074:PQP131074 QAI131074:QAL131074 QKE131074:QKH131074 QUA131074:QUD131074 RDW131074:RDZ131074 RNS131074:RNV131074 RXO131074:RXR131074 SHK131074:SHN131074 SRG131074:SRJ131074 TBC131074:TBF131074 TKY131074:TLB131074 TUU131074:TUX131074 UEQ131074:UET131074 UOM131074:UOP131074 UYI131074:UYL131074 VIE131074:VIH131074 VSA131074:VSD131074 WBW131074:WBZ131074 WLS131074:WLV131074 WVO131074:WVR131074 G196610:J196610 JC196610:JF196610 SY196610:TB196610 ACU196610:ACX196610 AMQ196610:AMT196610 AWM196610:AWP196610 BGI196610:BGL196610 BQE196610:BQH196610 CAA196610:CAD196610 CJW196610:CJZ196610 CTS196610:CTV196610 DDO196610:DDR196610 DNK196610:DNN196610 DXG196610:DXJ196610 EHC196610:EHF196610 EQY196610:ERB196610 FAU196610:FAX196610 FKQ196610:FKT196610 FUM196610:FUP196610 GEI196610:GEL196610 GOE196610:GOH196610 GYA196610:GYD196610 HHW196610:HHZ196610 HRS196610:HRV196610 IBO196610:IBR196610 ILK196610:ILN196610 IVG196610:IVJ196610 JFC196610:JFF196610 JOY196610:JPB196610 JYU196610:JYX196610 KIQ196610:KIT196610 KSM196610:KSP196610 LCI196610:LCL196610 LME196610:LMH196610 LWA196610:LWD196610 MFW196610:MFZ196610 MPS196610:MPV196610 MZO196610:MZR196610 NJK196610:NJN196610 NTG196610:NTJ196610 ODC196610:ODF196610 OMY196610:ONB196610 OWU196610:OWX196610 PGQ196610:PGT196610 PQM196610:PQP196610 QAI196610:QAL196610 QKE196610:QKH196610 QUA196610:QUD196610 RDW196610:RDZ196610 RNS196610:RNV196610 RXO196610:RXR196610 SHK196610:SHN196610 SRG196610:SRJ196610 TBC196610:TBF196610 TKY196610:TLB196610 TUU196610:TUX196610 UEQ196610:UET196610 UOM196610:UOP196610 UYI196610:UYL196610 VIE196610:VIH196610 VSA196610:VSD196610 WBW196610:WBZ196610 WLS196610:WLV196610 WVO196610:WVR196610 G262146:J262146 JC262146:JF262146 SY262146:TB262146 ACU262146:ACX262146 AMQ262146:AMT262146 AWM262146:AWP262146 BGI262146:BGL262146 BQE262146:BQH262146 CAA262146:CAD262146 CJW262146:CJZ262146 CTS262146:CTV262146 DDO262146:DDR262146 DNK262146:DNN262146 DXG262146:DXJ262146 EHC262146:EHF262146 EQY262146:ERB262146 FAU262146:FAX262146 FKQ262146:FKT262146 FUM262146:FUP262146 GEI262146:GEL262146 GOE262146:GOH262146 GYA262146:GYD262146 HHW262146:HHZ262146 HRS262146:HRV262146 IBO262146:IBR262146 ILK262146:ILN262146 IVG262146:IVJ262146 JFC262146:JFF262146 JOY262146:JPB262146 JYU262146:JYX262146 KIQ262146:KIT262146 KSM262146:KSP262146 LCI262146:LCL262146 LME262146:LMH262146 LWA262146:LWD262146 MFW262146:MFZ262146 MPS262146:MPV262146 MZO262146:MZR262146 NJK262146:NJN262146 NTG262146:NTJ262146 ODC262146:ODF262146 OMY262146:ONB262146 OWU262146:OWX262146 PGQ262146:PGT262146 PQM262146:PQP262146 QAI262146:QAL262146 QKE262146:QKH262146 QUA262146:QUD262146 RDW262146:RDZ262146 RNS262146:RNV262146 RXO262146:RXR262146 SHK262146:SHN262146 SRG262146:SRJ262146 TBC262146:TBF262146 TKY262146:TLB262146 TUU262146:TUX262146 UEQ262146:UET262146 UOM262146:UOP262146 UYI262146:UYL262146 VIE262146:VIH262146 VSA262146:VSD262146 WBW262146:WBZ262146 WLS262146:WLV262146 WVO262146:WVR262146 G327682:J327682 JC327682:JF327682 SY327682:TB327682 ACU327682:ACX327682 AMQ327682:AMT327682 AWM327682:AWP327682 BGI327682:BGL327682 BQE327682:BQH327682 CAA327682:CAD327682 CJW327682:CJZ327682 CTS327682:CTV327682 DDO327682:DDR327682 DNK327682:DNN327682 DXG327682:DXJ327682 EHC327682:EHF327682 EQY327682:ERB327682 FAU327682:FAX327682 FKQ327682:FKT327682 FUM327682:FUP327682 GEI327682:GEL327682 GOE327682:GOH327682 GYA327682:GYD327682 HHW327682:HHZ327682 HRS327682:HRV327682 IBO327682:IBR327682 ILK327682:ILN327682 IVG327682:IVJ327682 JFC327682:JFF327682 JOY327682:JPB327682 JYU327682:JYX327682 KIQ327682:KIT327682 KSM327682:KSP327682 LCI327682:LCL327682 LME327682:LMH327682 LWA327682:LWD327682 MFW327682:MFZ327682 MPS327682:MPV327682 MZO327682:MZR327682 NJK327682:NJN327682 NTG327682:NTJ327682 ODC327682:ODF327682 OMY327682:ONB327682 OWU327682:OWX327682 PGQ327682:PGT327682 PQM327682:PQP327682 QAI327682:QAL327682 QKE327682:QKH327682 QUA327682:QUD327682 RDW327682:RDZ327682 RNS327682:RNV327682 RXO327682:RXR327682 SHK327682:SHN327682 SRG327682:SRJ327682 TBC327682:TBF327682 TKY327682:TLB327682 TUU327682:TUX327682 UEQ327682:UET327682 UOM327682:UOP327682 UYI327682:UYL327682 VIE327682:VIH327682 VSA327682:VSD327682 WBW327682:WBZ327682 WLS327682:WLV327682 WVO327682:WVR327682 G393218:J393218 JC393218:JF393218 SY393218:TB393218 ACU393218:ACX393218 AMQ393218:AMT393218 AWM393218:AWP393218 BGI393218:BGL393218 BQE393218:BQH393218 CAA393218:CAD393218 CJW393218:CJZ393218 CTS393218:CTV393218 DDO393218:DDR393218 DNK393218:DNN393218 DXG393218:DXJ393218 EHC393218:EHF393218 EQY393218:ERB393218 FAU393218:FAX393218 FKQ393218:FKT393218 FUM393218:FUP393218 GEI393218:GEL393218 GOE393218:GOH393218 GYA393218:GYD393218 HHW393218:HHZ393218 HRS393218:HRV393218 IBO393218:IBR393218 ILK393218:ILN393218 IVG393218:IVJ393218 JFC393218:JFF393218 JOY393218:JPB393218 JYU393218:JYX393218 KIQ393218:KIT393218 KSM393218:KSP393218 LCI393218:LCL393218 LME393218:LMH393218 LWA393218:LWD393218 MFW393218:MFZ393218 MPS393218:MPV393218 MZO393218:MZR393218 NJK393218:NJN393218 NTG393218:NTJ393218 ODC393218:ODF393218 OMY393218:ONB393218 OWU393218:OWX393218 PGQ393218:PGT393218 PQM393218:PQP393218 QAI393218:QAL393218 QKE393218:QKH393218 QUA393218:QUD393218 RDW393218:RDZ393218 RNS393218:RNV393218 RXO393218:RXR393218 SHK393218:SHN393218 SRG393218:SRJ393218 TBC393218:TBF393218 TKY393218:TLB393218 TUU393218:TUX393218 UEQ393218:UET393218 UOM393218:UOP393218 UYI393218:UYL393218 VIE393218:VIH393218 VSA393218:VSD393218 WBW393218:WBZ393218 WLS393218:WLV393218 WVO393218:WVR393218 G458754:J458754 JC458754:JF458754 SY458754:TB458754 ACU458754:ACX458754 AMQ458754:AMT458754 AWM458754:AWP458754 BGI458754:BGL458754 BQE458754:BQH458754 CAA458754:CAD458754 CJW458754:CJZ458754 CTS458754:CTV458754 DDO458754:DDR458754 DNK458754:DNN458754 DXG458754:DXJ458754 EHC458754:EHF458754 EQY458754:ERB458754 FAU458754:FAX458754 FKQ458754:FKT458754 FUM458754:FUP458754 GEI458754:GEL458754 GOE458754:GOH458754 GYA458754:GYD458754 HHW458754:HHZ458754 HRS458754:HRV458754 IBO458754:IBR458754 ILK458754:ILN458754 IVG458754:IVJ458754 JFC458754:JFF458754 JOY458754:JPB458754 JYU458754:JYX458754 KIQ458754:KIT458754 KSM458754:KSP458754 LCI458754:LCL458754 LME458754:LMH458754 LWA458754:LWD458754 MFW458754:MFZ458754 MPS458754:MPV458754 MZO458754:MZR458754 NJK458754:NJN458754 NTG458754:NTJ458754 ODC458754:ODF458754 OMY458754:ONB458754 OWU458754:OWX458754 PGQ458754:PGT458754 PQM458754:PQP458754 QAI458754:QAL458754 QKE458754:QKH458754 QUA458754:QUD458754 RDW458754:RDZ458754 RNS458754:RNV458754 RXO458754:RXR458754 SHK458754:SHN458754 SRG458754:SRJ458754 TBC458754:TBF458754 TKY458754:TLB458754 TUU458754:TUX458754 UEQ458754:UET458754 UOM458754:UOP458754 UYI458754:UYL458754 VIE458754:VIH458754 VSA458754:VSD458754 WBW458754:WBZ458754 WLS458754:WLV458754 WVO458754:WVR458754 G524290:J524290 JC524290:JF524290 SY524290:TB524290 ACU524290:ACX524290 AMQ524290:AMT524290 AWM524290:AWP524290 BGI524290:BGL524290 BQE524290:BQH524290 CAA524290:CAD524290 CJW524290:CJZ524290 CTS524290:CTV524290 DDO524290:DDR524290 DNK524290:DNN524290 DXG524290:DXJ524290 EHC524290:EHF524290 EQY524290:ERB524290 FAU524290:FAX524290 FKQ524290:FKT524290 FUM524290:FUP524290 GEI524290:GEL524290 GOE524290:GOH524290 GYA524290:GYD524290 HHW524290:HHZ524290 HRS524290:HRV524290 IBO524290:IBR524290 ILK524290:ILN524290 IVG524290:IVJ524290 JFC524290:JFF524290 JOY524290:JPB524290 JYU524290:JYX524290 KIQ524290:KIT524290 KSM524290:KSP524290 LCI524290:LCL524290 LME524290:LMH524290 LWA524290:LWD524290 MFW524290:MFZ524290 MPS524290:MPV524290 MZO524290:MZR524290 NJK524290:NJN524290 NTG524290:NTJ524290 ODC524290:ODF524290 OMY524290:ONB524290 OWU524290:OWX524290 PGQ524290:PGT524290 PQM524290:PQP524290 QAI524290:QAL524290 QKE524290:QKH524290 QUA524290:QUD524290 RDW524290:RDZ524290 RNS524290:RNV524290 RXO524290:RXR524290 SHK524290:SHN524290 SRG524290:SRJ524290 TBC524290:TBF524290 TKY524290:TLB524290 TUU524290:TUX524290 UEQ524290:UET524290 UOM524290:UOP524290 UYI524290:UYL524290 VIE524290:VIH524290 VSA524290:VSD524290 WBW524290:WBZ524290 WLS524290:WLV524290 WVO524290:WVR524290 G589826:J589826 JC589826:JF589826 SY589826:TB589826 ACU589826:ACX589826 AMQ589826:AMT589826 AWM589826:AWP589826 BGI589826:BGL589826 BQE589826:BQH589826 CAA589826:CAD589826 CJW589826:CJZ589826 CTS589826:CTV589826 DDO589826:DDR589826 DNK589826:DNN589826 DXG589826:DXJ589826 EHC589826:EHF589826 EQY589826:ERB589826 FAU589826:FAX589826 FKQ589826:FKT589826 FUM589826:FUP589826 GEI589826:GEL589826 GOE589826:GOH589826 GYA589826:GYD589826 HHW589826:HHZ589826 HRS589826:HRV589826 IBO589826:IBR589826 ILK589826:ILN589826 IVG589826:IVJ589826 JFC589826:JFF589826 JOY589826:JPB589826 JYU589826:JYX589826 KIQ589826:KIT589826 KSM589826:KSP589826 LCI589826:LCL589826 LME589826:LMH589826 LWA589826:LWD589826 MFW589826:MFZ589826 MPS589826:MPV589826 MZO589826:MZR589826 NJK589826:NJN589826 NTG589826:NTJ589826 ODC589826:ODF589826 OMY589826:ONB589826 OWU589826:OWX589826 PGQ589826:PGT589826 PQM589826:PQP589826 QAI589826:QAL589826 QKE589826:QKH589826 QUA589826:QUD589826 RDW589826:RDZ589826 RNS589826:RNV589826 RXO589826:RXR589826 SHK589826:SHN589826 SRG589826:SRJ589826 TBC589826:TBF589826 TKY589826:TLB589826 TUU589826:TUX589826 UEQ589826:UET589826 UOM589826:UOP589826 UYI589826:UYL589826 VIE589826:VIH589826 VSA589826:VSD589826 WBW589826:WBZ589826 WLS589826:WLV589826 WVO589826:WVR589826 G655362:J655362 JC655362:JF655362 SY655362:TB655362 ACU655362:ACX655362 AMQ655362:AMT655362 AWM655362:AWP655362 BGI655362:BGL655362 BQE655362:BQH655362 CAA655362:CAD655362 CJW655362:CJZ655362 CTS655362:CTV655362 DDO655362:DDR655362 DNK655362:DNN655362 DXG655362:DXJ655362 EHC655362:EHF655362 EQY655362:ERB655362 FAU655362:FAX655362 FKQ655362:FKT655362 FUM655362:FUP655362 GEI655362:GEL655362 GOE655362:GOH655362 GYA655362:GYD655362 HHW655362:HHZ655362 HRS655362:HRV655362 IBO655362:IBR655362 ILK655362:ILN655362 IVG655362:IVJ655362 JFC655362:JFF655362 JOY655362:JPB655362 JYU655362:JYX655362 KIQ655362:KIT655362 KSM655362:KSP655362 LCI655362:LCL655362 LME655362:LMH655362 LWA655362:LWD655362 MFW655362:MFZ655362 MPS655362:MPV655362 MZO655362:MZR655362 NJK655362:NJN655362 NTG655362:NTJ655362 ODC655362:ODF655362 OMY655362:ONB655362 OWU655362:OWX655362 PGQ655362:PGT655362 PQM655362:PQP655362 QAI655362:QAL655362 QKE655362:QKH655362 QUA655362:QUD655362 RDW655362:RDZ655362 RNS655362:RNV655362 RXO655362:RXR655362 SHK655362:SHN655362 SRG655362:SRJ655362 TBC655362:TBF655362 TKY655362:TLB655362 TUU655362:TUX655362 UEQ655362:UET655362 UOM655362:UOP655362 UYI655362:UYL655362 VIE655362:VIH655362 VSA655362:VSD655362 WBW655362:WBZ655362 WLS655362:WLV655362 WVO655362:WVR655362 G720898:J720898 JC720898:JF720898 SY720898:TB720898 ACU720898:ACX720898 AMQ720898:AMT720898 AWM720898:AWP720898 BGI720898:BGL720898 BQE720898:BQH720898 CAA720898:CAD720898 CJW720898:CJZ720898 CTS720898:CTV720898 DDO720898:DDR720898 DNK720898:DNN720898 DXG720898:DXJ720898 EHC720898:EHF720898 EQY720898:ERB720898 FAU720898:FAX720898 FKQ720898:FKT720898 FUM720898:FUP720898 GEI720898:GEL720898 GOE720898:GOH720898 GYA720898:GYD720898 HHW720898:HHZ720898 HRS720898:HRV720898 IBO720898:IBR720898 ILK720898:ILN720898 IVG720898:IVJ720898 JFC720898:JFF720898 JOY720898:JPB720898 JYU720898:JYX720898 KIQ720898:KIT720898 KSM720898:KSP720898 LCI720898:LCL720898 LME720898:LMH720898 LWA720898:LWD720898 MFW720898:MFZ720898 MPS720898:MPV720898 MZO720898:MZR720898 NJK720898:NJN720898 NTG720898:NTJ720898 ODC720898:ODF720898 OMY720898:ONB720898 OWU720898:OWX720898 PGQ720898:PGT720898 PQM720898:PQP720898 QAI720898:QAL720898 QKE720898:QKH720898 QUA720898:QUD720898 RDW720898:RDZ720898 RNS720898:RNV720898 RXO720898:RXR720898 SHK720898:SHN720898 SRG720898:SRJ720898 TBC720898:TBF720898 TKY720898:TLB720898 TUU720898:TUX720898 UEQ720898:UET720898 UOM720898:UOP720898 UYI720898:UYL720898 VIE720898:VIH720898 VSA720898:VSD720898 WBW720898:WBZ720898 WLS720898:WLV720898 WVO720898:WVR720898 G786434:J786434 JC786434:JF786434 SY786434:TB786434 ACU786434:ACX786434 AMQ786434:AMT786434 AWM786434:AWP786434 BGI786434:BGL786434 BQE786434:BQH786434 CAA786434:CAD786434 CJW786434:CJZ786434 CTS786434:CTV786434 DDO786434:DDR786434 DNK786434:DNN786434 DXG786434:DXJ786434 EHC786434:EHF786434 EQY786434:ERB786434 FAU786434:FAX786434 FKQ786434:FKT786434 FUM786434:FUP786434 GEI786434:GEL786434 GOE786434:GOH786434 GYA786434:GYD786434 HHW786434:HHZ786434 HRS786434:HRV786434 IBO786434:IBR786434 ILK786434:ILN786434 IVG786434:IVJ786434 JFC786434:JFF786434 JOY786434:JPB786434 JYU786434:JYX786434 KIQ786434:KIT786434 KSM786434:KSP786434 LCI786434:LCL786434 LME786434:LMH786434 LWA786434:LWD786434 MFW786434:MFZ786434 MPS786434:MPV786434 MZO786434:MZR786434 NJK786434:NJN786434 NTG786434:NTJ786434 ODC786434:ODF786434 OMY786434:ONB786434 OWU786434:OWX786434 PGQ786434:PGT786434 PQM786434:PQP786434 QAI786434:QAL786434 QKE786434:QKH786434 QUA786434:QUD786434 RDW786434:RDZ786434 RNS786434:RNV786434 RXO786434:RXR786434 SHK786434:SHN786434 SRG786434:SRJ786434 TBC786434:TBF786434 TKY786434:TLB786434 TUU786434:TUX786434 UEQ786434:UET786434 UOM786434:UOP786434 UYI786434:UYL786434 VIE786434:VIH786434 VSA786434:VSD786434 WBW786434:WBZ786434 WLS786434:WLV786434 WVO786434:WVR786434 G851970:J851970 JC851970:JF851970 SY851970:TB851970 ACU851970:ACX851970 AMQ851970:AMT851970 AWM851970:AWP851970 BGI851970:BGL851970 BQE851970:BQH851970 CAA851970:CAD851970 CJW851970:CJZ851970 CTS851970:CTV851970 DDO851970:DDR851970 DNK851970:DNN851970 DXG851970:DXJ851970 EHC851970:EHF851970 EQY851970:ERB851970 FAU851970:FAX851970 FKQ851970:FKT851970 FUM851970:FUP851970 GEI851970:GEL851970 GOE851970:GOH851970 GYA851970:GYD851970 HHW851970:HHZ851970 HRS851970:HRV851970 IBO851970:IBR851970 ILK851970:ILN851970 IVG851970:IVJ851970 JFC851970:JFF851970 JOY851970:JPB851970 JYU851970:JYX851970 KIQ851970:KIT851970 KSM851970:KSP851970 LCI851970:LCL851970 LME851970:LMH851970 LWA851970:LWD851970 MFW851970:MFZ851970 MPS851970:MPV851970 MZO851970:MZR851970 NJK851970:NJN851970 NTG851970:NTJ851970 ODC851970:ODF851970 OMY851970:ONB851970 OWU851970:OWX851970 PGQ851970:PGT851970 PQM851970:PQP851970 QAI851970:QAL851970 QKE851970:QKH851970 QUA851970:QUD851970 RDW851970:RDZ851970 RNS851970:RNV851970 RXO851970:RXR851970 SHK851970:SHN851970 SRG851970:SRJ851970 TBC851970:TBF851970 TKY851970:TLB851970 TUU851970:TUX851970 UEQ851970:UET851970 UOM851970:UOP851970 UYI851970:UYL851970 VIE851970:VIH851970 VSA851970:VSD851970 WBW851970:WBZ851970 WLS851970:WLV851970 WVO851970:WVR851970 G917506:J917506 JC917506:JF917506 SY917506:TB917506 ACU917506:ACX917506 AMQ917506:AMT917506 AWM917506:AWP917506 BGI917506:BGL917506 BQE917506:BQH917506 CAA917506:CAD917506 CJW917506:CJZ917506 CTS917506:CTV917506 DDO917506:DDR917506 DNK917506:DNN917506 DXG917506:DXJ917506 EHC917506:EHF917506 EQY917506:ERB917506 FAU917506:FAX917506 FKQ917506:FKT917506 FUM917506:FUP917506 GEI917506:GEL917506 GOE917506:GOH917506 GYA917506:GYD917506 HHW917506:HHZ917506 HRS917506:HRV917506 IBO917506:IBR917506 ILK917506:ILN917506 IVG917506:IVJ917506 JFC917506:JFF917506 JOY917506:JPB917506 JYU917506:JYX917506 KIQ917506:KIT917506 KSM917506:KSP917506 LCI917506:LCL917506 LME917506:LMH917506 LWA917506:LWD917506 MFW917506:MFZ917506 MPS917506:MPV917506 MZO917506:MZR917506 NJK917506:NJN917506 NTG917506:NTJ917506 ODC917506:ODF917506 OMY917506:ONB917506 OWU917506:OWX917506 PGQ917506:PGT917506 PQM917506:PQP917506 QAI917506:QAL917506 QKE917506:QKH917506 QUA917506:QUD917506 RDW917506:RDZ917506 RNS917506:RNV917506 RXO917506:RXR917506 SHK917506:SHN917506 SRG917506:SRJ917506 TBC917506:TBF917506 TKY917506:TLB917506 TUU917506:TUX917506 UEQ917506:UET917506 UOM917506:UOP917506 UYI917506:UYL917506 VIE917506:VIH917506 VSA917506:VSD917506 WBW917506:WBZ917506 WLS917506:WLV917506 WVO917506:WVR917506 G983042:J983042 JC983042:JF983042 SY983042:TB983042 ACU983042:ACX983042 AMQ983042:AMT983042 AWM983042:AWP983042 BGI983042:BGL983042 BQE983042:BQH983042 CAA983042:CAD983042 CJW983042:CJZ983042 CTS983042:CTV983042 DDO983042:DDR983042 DNK983042:DNN983042 DXG983042:DXJ983042 EHC983042:EHF983042 EQY983042:ERB983042 FAU983042:FAX983042 FKQ983042:FKT983042 FUM983042:FUP983042 GEI983042:GEL983042 GOE983042:GOH983042 GYA983042:GYD983042 HHW983042:HHZ983042 HRS983042:HRV983042 IBO983042:IBR983042 ILK983042:ILN983042 IVG983042:IVJ983042 JFC983042:JFF983042 JOY983042:JPB983042 JYU983042:JYX983042 KIQ983042:KIT983042 KSM983042:KSP983042 LCI983042:LCL983042 LME983042:LMH983042 LWA983042:LWD983042 MFW983042:MFZ983042 MPS983042:MPV983042 MZO983042:MZR983042 NJK983042:NJN983042 NTG983042:NTJ983042 ODC983042:ODF983042 OMY983042:ONB983042 OWU983042:OWX983042 PGQ983042:PGT983042 PQM983042:PQP983042 QAI983042:QAL983042 QKE983042:QKH983042 QUA983042:QUD983042 RDW983042:RDZ983042 RNS983042:RNV983042 RXO983042:RXR983042 SHK983042:SHN983042 SRG983042:SRJ983042 TBC983042:TBF983042 TKY983042:TLB983042 TUU983042:TUX983042 UEQ983042:UET983042 UOM983042:UOP983042 UYI983042:UYL983042 VIE983042:VIH983042 VSA983042:VSD983042 WBW983042:WBZ983042 WLS983042:WLV983042 WVO983042:WVR983042">
      <formula1>"TRUE, FALSE"</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Standard Amortization</vt:lpstr>
      <vt:lpstr>Interest Only</vt:lpstr>
      <vt:lpstr>Prepayment</vt:lpstr>
      <vt:lpstr>Valuation</vt:lpstr>
      <vt:lpstr>A360 vs 30360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JoshuaKahr</dc:creator>
  <cp:lastModifiedBy>JoshuaKahr</cp:lastModifiedBy>
  <dcterms:created xsi:type="dcterms:W3CDTF">2015-07-01T20:34:38Z</dcterms:created>
  <dcterms:modified xsi:type="dcterms:W3CDTF">2015-07-01T20:40:40Z</dcterms:modified>
</cp:coreProperties>
</file>